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PROSPECTS'!$A$1:$BQ$850</definedName>
    <definedName name="_xlnm._FilterDatabase" localSheetId="2" hidden="1">'VAPE SHOPS'!$A$1:$AB$305</definedName>
    <definedName name="_xlnm._FilterDatabase" localSheetId="3" hidden="1">'CONVENIENCE'!$A$1:$AB$176</definedName>
    <definedName name="_xlnm._FilterDatabase" localSheetId="4" hidden="1">'PETROL - FORECOURTS'!$A$1:$AB$24</definedName>
    <definedName name="_xlnm._FilterDatabase" localSheetId="5" hidden="1">'OFF LICENCES'!$A$1:$AB$126</definedName>
    <definedName name="_xlnm._FilterDatabase" localSheetId="6" hidden="1">'TOBACCO - SMOKE - SHISHA'!$A$1:$AB$56</definedName>
    <definedName name="_xlnm._FilterDatabase" localSheetId="7" hidden="1">'SUPERMARKETS'!$A$1:$AB$167</definedName>
    <definedName name="_xlnm._FilterDatabase" localSheetId="8" hidden="1">'CHAINS - MULTI-SITE'!$A$1:$AB$235</definedName>
    <definedName name="_xlnm._FilterDatabase" localSheetId="9" hidden="1">'MISSING CONTACT INFO'!$A$1:$AB$441</definedName>
    <definedName name="_xlnm._FilterDatabase" localSheetId="10" hidden="1">'DUPLICATE REVIEW'!$A$1:$AB$5</definedName>
    <definedName name="_xlnm._FilterDatabase" localSheetId="11" hidden="1">'SOURCE LOG'!$A$1:$H$1247</definedName>
    <definedName name="_xlnm._FilterDatabase" localSheetId="12" hidden="1">'CRM - FOLLOW-UP'!$A$1:$U$850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PROSPECTS'!$A$2:$A$850)</f>
        <v/>
      </c>
      <c r="D6" s="7" t="n">
        <v>849</v>
      </c>
      <c r="F6" s="5" t="inlineStr">
        <is>
          <t>Vape Shop</t>
        </is>
      </c>
      <c r="G6" s="8">
        <f>COUNTIF('ALL PROSPECTS'!$G$2:$G$850,"Vape Shop")</f>
        <v/>
      </c>
      <c r="H6" s="9" t="n">
        <v>304</v>
      </c>
      <c r="J6" s="5" t="inlineStr">
        <is>
          <t>Airdrie</t>
        </is>
      </c>
      <c r="K6" s="8">
        <f>COUNTIF('ALL PROSPECTS'!$Q$2:$Q$850,"Airdrie")</f>
        <v/>
      </c>
      <c r="L6" s="9" t="n">
        <v>3</v>
      </c>
    </row>
    <row r="7">
      <c r="B7" s="10" t="inlineStr">
        <is>
          <t>PHONE AVAILABLE</t>
        </is>
      </c>
      <c r="C7" s="11">
        <f>COUNTIF('ALL PROSPECTS'!$V$2:$V$850,"?*")</f>
        <v/>
      </c>
      <c r="D7" s="12" t="n">
        <v>400</v>
      </c>
      <c r="F7" s="10" t="inlineStr">
        <is>
          <t>Convenience Store</t>
        </is>
      </c>
      <c r="G7" s="13">
        <f>COUNTIF('ALL PROSPECTS'!$G$2:$G$850,"Convenience Store")</f>
        <v/>
      </c>
      <c r="H7" s="14" t="n">
        <v>139</v>
      </c>
      <c r="J7" s="10" t="inlineStr">
        <is>
          <t>Alloa</t>
        </is>
      </c>
      <c r="K7" s="13">
        <f>COUNTIF('ALL PROSPECTS'!$Q$2:$Q$850,"Alloa")</f>
        <v/>
      </c>
      <c r="L7" s="14" t="n">
        <v>1</v>
      </c>
    </row>
    <row r="8">
      <c r="B8" s="5" t="inlineStr">
        <is>
          <t>EMAIL AVAILABLE</t>
        </is>
      </c>
      <c r="C8" s="6">
        <f>SUMPRODUCT(--(('ALL PROSPECTS'!$Y$2:$Y$850&lt;&gt;"")+('ALL PROSPECTS'!$Z$2:$Z$850&lt;&gt;"")+('ALL PROSPECTS'!$AA$2:$AA$850&lt;&gt;"")&gt;0))</f>
        <v/>
      </c>
      <c r="D8" s="7" t="n">
        <v>60</v>
      </c>
      <c r="F8" s="5" t="inlineStr">
        <is>
          <t>Petrol Station / Forecourt</t>
        </is>
      </c>
      <c r="G8" s="8">
        <f>COUNTIF('ALL PROSPECTS'!$G$2:$G$850,"Petrol Station / Forecourt")</f>
        <v/>
      </c>
      <c r="H8" s="9" t="n">
        <v>23</v>
      </c>
      <c r="J8" s="5" t="inlineStr">
        <is>
          <t>Altrincham</t>
        </is>
      </c>
      <c r="K8" s="8">
        <f>COUNTIF('ALL PROSPECTS'!$Q$2:$Q$850,"Altrincham")</f>
        <v/>
      </c>
      <c r="L8" s="9" t="n">
        <v>2</v>
      </c>
    </row>
    <row r="9">
      <c r="B9" s="10" t="inlineStr">
        <is>
          <t>WEBSITE AVAILABLE</t>
        </is>
      </c>
      <c r="C9" s="11">
        <f>COUNTIF('ALL PROSPECTS'!$K$2:$K$850,"?*")</f>
        <v/>
      </c>
      <c r="D9" s="12" t="n">
        <v>236</v>
      </c>
      <c r="F9" s="10" t="inlineStr">
        <is>
          <t>Off-Licence</t>
        </is>
      </c>
      <c r="G9" s="13">
        <f>COUNTIF('ALL PROSPECTS'!$G$2:$G$850,"Off-Licence")</f>
        <v/>
      </c>
      <c r="H9" s="14" t="n">
        <v>125</v>
      </c>
      <c r="J9" s="10" t="inlineStr">
        <is>
          <t>Ashton-under-Lyne</t>
        </is>
      </c>
      <c r="K9" s="13">
        <f>COUNTIF('ALL PROSPECTS'!$Q$2:$Q$850,"Ashton-under-Lyne")</f>
        <v/>
      </c>
      <c r="L9" s="14" t="n">
        <v>4</v>
      </c>
    </row>
    <row r="10">
      <c r="B10" s="5" t="inlineStr">
        <is>
          <t>PHONE VERIFIED (OFFICIAL SITE)</t>
        </is>
      </c>
      <c r="C10" s="6">
        <f>COUNTIF('ALL PROSPECTS'!$AY$2:$AY$850,"Verified on official website")</f>
        <v/>
      </c>
      <c r="D10" s="7" t="n">
        <v>37</v>
      </c>
      <c r="F10" s="5" t="inlineStr">
        <is>
          <t>Tobacco Specialist</t>
        </is>
      </c>
      <c r="G10" s="8">
        <f>COUNTIF('ALL PROSPECTS'!$G$2:$G$850,"Tobacco Specialist")</f>
        <v/>
      </c>
      <c r="H10" s="9" t="n">
        <v>20</v>
      </c>
      <c r="J10" s="5" t="inlineStr">
        <is>
          <t>Barking</t>
        </is>
      </c>
      <c r="K10" s="8">
        <f>COUNTIF('ALL PROSPECTS'!$Q$2:$Q$850,"Barking")</f>
        <v/>
      </c>
      <c r="L10" s="9" t="n">
        <v>1</v>
      </c>
    </row>
    <row r="11">
      <c r="B11" s="10" t="inlineStr">
        <is>
          <t>EMAIL PUBLICLY LISTED</t>
        </is>
      </c>
      <c r="C11" s="11">
        <f>COUNTIF('ALL PROSPECTS'!$AZ$2:$AZ$850,"Publicly Listed")+COUNTIF('ALL PROSPECTS'!$AZ$2:$AZ$850,"Verified")</f>
        <v/>
      </c>
      <c r="D11" s="12" t="n">
        <v>37</v>
      </c>
      <c r="F11" s="10" t="inlineStr">
        <is>
          <t>Newsagent</t>
        </is>
      </c>
      <c r="G11" s="13">
        <f>COUNTIF('ALL PROSPECTS'!$G$2:$G$850,"Newsagent")</f>
        <v/>
      </c>
      <c r="H11" s="14" t="n">
        <v>36</v>
      </c>
      <c r="J11" s="10" t="inlineStr">
        <is>
          <t>Barnsley</t>
        </is>
      </c>
      <c r="K11" s="13">
        <f>COUNTIF('ALL PROSPECTS'!$Q$2:$Q$850,"Barnsley")</f>
        <v/>
      </c>
      <c r="L11" s="14" t="n">
        <v>9</v>
      </c>
    </row>
    <row r="12">
      <c r="B12" s="5" t="inlineStr">
        <is>
          <t>COMPANIES HOUSE VERIFIED</t>
        </is>
      </c>
      <c r="C12" s="6">
        <f>COUNTIF('ALL PROSPECTS'!$AX$2:$AX$850,"Yes")</f>
        <v/>
      </c>
      <c r="D12" s="7" t="n">
        <v>46</v>
      </c>
      <c r="F12" s="5" t="inlineStr">
        <is>
          <t>Independent Supermarket</t>
        </is>
      </c>
      <c r="G12" s="8">
        <f>COUNTIF('ALL PROSPECTS'!$G$2:$G$850,"Independent Supermarket")</f>
        <v/>
      </c>
      <c r="H12" s="9" t="n">
        <v>106</v>
      </c>
      <c r="J12" s="5" t="inlineStr">
        <is>
          <t>Bathgate</t>
        </is>
      </c>
      <c r="K12" s="8">
        <f>COUNTIF('ALL PROSPECTS'!$Q$2:$Q$850,"Bathgate")</f>
        <v/>
      </c>
      <c r="L12" s="9" t="n">
        <v>2</v>
      </c>
    </row>
    <row r="13">
      <c r="B13" s="10" t="inlineStr">
        <is>
          <t>REQUIRES VERIFICATION</t>
        </is>
      </c>
      <c r="C13" s="11">
        <f>COUNTIF('ALL PROSPECTS'!$BB$2:$BB$850,"Requires Verification")</f>
        <v/>
      </c>
      <c r="D13" s="12" t="n">
        <v>767</v>
      </c>
      <c r="F13" s="10" t="inlineStr">
        <is>
          <t>Smoke / Shisha Shop</t>
        </is>
      </c>
      <c r="G13" s="13">
        <f>COUNTIF('ALL PROSPECTS'!$G$2:$G$850,"Smoke / Shisha Shop")</f>
        <v/>
      </c>
      <c r="H13" s="14" t="n">
        <v>35</v>
      </c>
      <c r="J13" s="10" t="inlineStr">
        <is>
          <t>Batley</t>
        </is>
      </c>
      <c r="K13" s="13">
        <f>COUNTIF('ALL PROSPECTS'!$Q$2:$Q$850,"Batley")</f>
        <v/>
      </c>
      <c r="L13" s="14" t="n">
        <v>7</v>
      </c>
    </row>
    <row r="14">
      <c r="B14" s="5" t="inlineStr">
        <is>
          <t>DUPLICATE REVIEW REQUIRED</t>
        </is>
      </c>
      <c r="C14" s="6">
        <f>COUNTIF('ALL PROSPECTS'!$BD$2:$BD$850,"?*")</f>
        <v/>
      </c>
      <c r="D14" s="7" t="n">
        <v>4</v>
      </c>
      <c r="F14" s="5" t="inlineStr">
        <is>
          <t>Cash &amp; Carry</t>
        </is>
      </c>
      <c r="G14" s="8">
        <f>COUNTIF('ALL PROSPECTS'!$G$2:$G$850,"Cash &amp; Carry")</f>
        <v/>
      </c>
      <c r="H14" s="9" t="n">
        <v>60</v>
      </c>
      <c r="J14" s="5" t="inlineStr">
        <is>
          <t>Bethnal Green</t>
        </is>
      </c>
      <c r="K14" s="8">
        <f>COUNTIF('ALL PROSPECTS'!$Q$2:$Q$850,"Bethnal Green")</f>
        <v/>
      </c>
      <c r="L14" s="9" t="n">
        <v>5</v>
      </c>
    </row>
    <row r="15">
      <c r="B15" s="10" t="inlineStr">
        <is>
          <t>MULTI-SITE LOCATIONS</t>
        </is>
      </c>
      <c r="C15" s="11">
        <f>COUNTIF('ALL PROSPECTS'!$C$2:$C$850,"?*")</f>
        <v/>
      </c>
      <c r="D15" s="12" t="n">
        <v>233</v>
      </c>
      <c r="F15" s="10" t="inlineStr">
        <is>
          <t>Other Relevant Retail</t>
        </is>
      </c>
      <c r="G15" s="13">
        <f>COUNTIF('ALL PROSPECTS'!$G$2:$G$850,"Other Relevant Retail")</f>
        <v/>
      </c>
      <c r="H15" s="14" t="n">
        <v>1</v>
      </c>
      <c r="J15" s="10" t="inlineStr">
        <is>
          <t>Beverley</t>
        </is>
      </c>
      <c r="K15" s="13">
        <f>COUNTIF('ALL PROSPECTS'!$Q$2:$Q$850,"Beverley")</f>
        <v/>
      </c>
      <c r="L15" s="14" t="n">
        <v>2</v>
      </c>
    </row>
    <row r="16">
      <c r="B16" s="5" t="inlineStr">
        <is>
          <t>HIGH PRIORITY LEADS</t>
        </is>
      </c>
      <c r="C16" s="6">
        <f>COUNTIF('ALL PROSPECTS'!$AP$2:$AP$850,"High")</f>
        <v/>
      </c>
      <c r="D16" s="7" t="n">
        <v>112</v>
      </c>
      <c r="J16" s="5" t="inlineStr">
        <is>
          <t>Bilston</t>
        </is>
      </c>
      <c r="K16" s="8">
        <f>COUNTIF('ALL PROSPECTS'!$Q$2:$Q$850,"Bilston")</f>
        <v/>
      </c>
      <c r="L16" s="9" t="n">
        <v>2</v>
      </c>
    </row>
    <row r="17">
      <c r="B17" s="10" t="inlineStr">
        <is>
          <t>MEDIUM PRIORITY LEADS</t>
        </is>
      </c>
      <c r="C17" s="11">
        <f>COUNTIF('ALL PROSPECTS'!$AP$2:$AP$850,"Medium")</f>
        <v/>
      </c>
      <c r="D17" s="12" t="n">
        <v>464</v>
      </c>
      <c r="J17" s="10" t="inlineStr">
        <is>
          <t>Bingley</t>
        </is>
      </c>
      <c r="K17" s="13">
        <f>COUNTIF('ALL PROSPECTS'!$Q$2:$Q$850,"Bingley")</f>
        <v/>
      </c>
      <c r="L17" s="14" t="n">
        <v>4</v>
      </c>
    </row>
    <row r="18">
      <c r="J18" s="5" t="inlineStr">
        <is>
          <t>Birkenhead</t>
        </is>
      </c>
      <c r="K18" s="8">
        <f>COUNTIF('ALL PROSPECTS'!$Q$2:$Q$850,"Birkenhead")</f>
        <v/>
      </c>
      <c r="L18" s="9" t="n">
        <v>5</v>
      </c>
    </row>
    <row r="19">
      <c r="B19" s="15" t="inlineStr">
        <is>
          <t>LIVE column recalculates from ALL PROSPECTS when opened in Excel/Sheets; SNAPSHOT is the static count at generation time. If they differ, the data was edited.</t>
        </is>
      </c>
      <c r="J19" s="10" t="inlineStr">
        <is>
          <t>Birmingham</t>
        </is>
      </c>
      <c r="K19" s="13">
        <f>COUNTIF('ALL PROSPECTS'!$Q$2:$Q$850,"Birmingham")</f>
        <v/>
      </c>
      <c r="L19" s="14" t="n">
        <v>44</v>
      </c>
    </row>
    <row r="20">
      <c r="J20" s="5" t="inlineStr">
        <is>
          <t>Bolton</t>
        </is>
      </c>
      <c r="K20" s="8">
        <f>COUNTIF('ALL PROSPECTS'!$Q$2:$Q$850,"Bolton")</f>
        <v/>
      </c>
      <c r="L20" s="9" t="n">
        <v>21</v>
      </c>
    </row>
    <row r="21">
      <c r="J21" s="10" t="inlineStr">
        <is>
          <t>Bootle</t>
        </is>
      </c>
      <c r="K21" s="13">
        <f>COUNTIF('ALL PROSPECTS'!$Q$2:$Q$850,"Bootle")</f>
        <v/>
      </c>
      <c r="L21" s="14" t="n">
        <v>7</v>
      </c>
    </row>
    <row r="22">
      <c r="J22" s="5" t="inlineStr">
        <is>
          <t>Boroughbridge</t>
        </is>
      </c>
      <c r="K22" s="8">
        <f>COUNTIF('ALL PROSPECTS'!$Q$2:$Q$850,"Boroughbridge")</f>
        <v/>
      </c>
      <c r="L22" s="9" t="n">
        <v>1</v>
      </c>
    </row>
    <row r="23">
      <c r="J23" s="10" t="inlineStr">
        <is>
          <t>Bow</t>
        </is>
      </c>
      <c r="K23" s="13">
        <f>COUNTIF('ALL PROSPECTS'!$Q$2:$Q$850,"Bow")</f>
        <v/>
      </c>
      <c r="L23" s="14" t="n">
        <v>1</v>
      </c>
    </row>
    <row r="24">
      <c r="J24" s="5" t="inlineStr">
        <is>
          <t>Bradford</t>
        </is>
      </c>
      <c r="K24" s="8">
        <f>COUNTIF('ALL PROSPECTS'!$Q$2:$Q$850,"Bradford")</f>
        <v/>
      </c>
      <c r="L24" s="9" t="n">
        <v>22</v>
      </c>
    </row>
    <row r="25">
      <c r="J25" s="10" t="inlineStr">
        <is>
          <t>Bramhall</t>
        </is>
      </c>
      <c r="K25" s="13">
        <f>COUNTIF('ALL PROSPECTS'!$Q$2:$Q$850,"Bramhall")</f>
        <v/>
      </c>
      <c r="L25" s="14" t="n">
        <v>1</v>
      </c>
    </row>
    <row r="26">
      <c r="J26" s="5" t="inlineStr">
        <is>
          <t>Bridlington</t>
        </is>
      </c>
      <c r="K26" s="8">
        <f>COUNTIF('ALL PROSPECTS'!$Q$2:$Q$850,"Bridlington")</f>
        <v/>
      </c>
      <c r="L26" s="9" t="n">
        <v>2</v>
      </c>
    </row>
    <row r="27">
      <c r="J27" s="10" t="inlineStr">
        <is>
          <t>Brierley Hill</t>
        </is>
      </c>
      <c r="K27" s="13">
        <f>COUNTIF('ALL PROSPECTS'!$Q$2:$Q$850,"Brierley Hill")</f>
        <v/>
      </c>
      <c r="L27" s="14" t="n">
        <v>3</v>
      </c>
    </row>
    <row r="28">
      <c r="J28" s="5" t="inlineStr">
        <is>
          <t>Brighouse</t>
        </is>
      </c>
      <c r="K28" s="8">
        <f>COUNTIF('ALL PROSPECTS'!$Q$2:$Q$850,"Brighouse")</f>
        <v/>
      </c>
      <c r="L28" s="9" t="n">
        <v>5</v>
      </c>
    </row>
    <row r="29">
      <c r="J29" s="10" t="inlineStr">
        <is>
          <t>Bury</t>
        </is>
      </c>
      <c r="K29" s="13">
        <f>COUNTIF('ALL PROSPECTS'!$Q$2:$Q$850,"Bury")</f>
        <v/>
      </c>
      <c r="L29" s="14" t="n">
        <v>3</v>
      </c>
    </row>
    <row r="30">
      <c r="J30" s="5" t="inlineStr">
        <is>
          <t>Castleford</t>
        </is>
      </c>
      <c r="K30" s="8">
        <f>COUNTIF('ALL PROSPECTS'!$Q$2:$Q$850,"Castleford")</f>
        <v/>
      </c>
      <c r="L30" s="9" t="n">
        <v>5</v>
      </c>
    </row>
    <row r="31">
      <c r="J31" s="10" t="inlineStr">
        <is>
          <t>Chadderton</t>
        </is>
      </c>
      <c r="K31" s="13">
        <f>COUNTIF('ALL PROSPECTS'!$Q$2:$Q$850,"Chadderton")</f>
        <v/>
      </c>
      <c r="L31" s="14" t="n">
        <v>2</v>
      </c>
    </row>
    <row r="32">
      <c r="J32" s="5" t="inlineStr">
        <is>
          <t>Cheadle</t>
        </is>
      </c>
      <c r="K32" s="8">
        <f>COUNTIF('ALL PROSPECTS'!$Q$2:$Q$850,"Cheadle")</f>
        <v/>
      </c>
      <c r="L32" s="9" t="n">
        <v>1</v>
      </c>
    </row>
    <row r="33">
      <c r="J33" s="10" t="inlineStr">
        <is>
          <t>Cleckheaton</t>
        </is>
      </c>
      <c r="K33" s="13">
        <f>COUNTIF('ALL PROSPECTS'!$Q$2:$Q$850,"Cleckheaton")</f>
        <v/>
      </c>
      <c r="L33" s="14" t="n">
        <v>1</v>
      </c>
    </row>
    <row r="34">
      <c r="J34" s="5" t="inlineStr">
        <is>
          <t>Cleethorpes</t>
        </is>
      </c>
      <c r="K34" s="8">
        <f>COUNTIF('ALL PROSPECTS'!$Q$2:$Q$850,"Cleethorpes")</f>
        <v/>
      </c>
      <c r="L34" s="9" t="n">
        <v>7</v>
      </c>
    </row>
    <row r="35">
      <c r="J35" s="10" t="inlineStr">
        <is>
          <t>Clydebank</t>
        </is>
      </c>
      <c r="K35" s="13">
        <f>COUNTIF('ALL PROSPECTS'!$Q$2:$Q$850,"Clydebank")</f>
        <v/>
      </c>
      <c r="L35" s="14" t="n">
        <v>3</v>
      </c>
    </row>
    <row r="36">
      <c r="J36" s="5" t="inlineStr">
        <is>
          <t>Coatbridge</t>
        </is>
      </c>
      <c r="K36" s="8">
        <f>COUNTIF('ALL PROSPECTS'!$Q$2:$Q$850,"Coatbridge")</f>
        <v/>
      </c>
      <c r="L36" s="9" t="n">
        <v>3</v>
      </c>
    </row>
    <row r="37">
      <c r="J37" s="10" t="inlineStr">
        <is>
          <t>Cradley Heath</t>
        </is>
      </c>
      <c r="K37" s="13">
        <f>COUNTIF('ALL PROSPECTS'!$Q$2:$Q$850,"Cradley Heath")</f>
        <v/>
      </c>
      <c r="L37" s="14" t="n">
        <v>1</v>
      </c>
    </row>
    <row r="38">
      <c r="J38" s="5" t="inlineStr">
        <is>
          <t>Crosby</t>
        </is>
      </c>
      <c r="K38" s="8">
        <f>COUNTIF('ALL PROSPECTS'!$Q$2:$Q$850,"Crosby")</f>
        <v/>
      </c>
      <c r="L38" s="9" t="n">
        <v>1</v>
      </c>
    </row>
    <row r="39">
      <c r="J39" s="10" t="inlineStr">
        <is>
          <t>Croydon</t>
        </is>
      </c>
      <c r="K39" s="13">
        <f>COUNTIF('ALL PROSPECTS'!$Q$2:$Q$850,"Croydon")</f>
        <v/>
      </c>
      <c r="L39" s="1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85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32" customWidth="1" min="16" max="16"/>
    <col width="20"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32" customWidth="1" min="25" max="25"/>
    <col width="30" customWidth="1" min="26" max="26"/>
    <col width="24" customWidth="1" min="27" max="27"/>
    <col width="22" customWidth="1" min="28" max="28"/>
    <col width="18" customWidth="1" min="29" max="29"/>
    <col width="45" customWidth="1" min="30" max="30"/>
    <col width="24" customWidth="1" min="31" max="31"/>
    <col width="16" customWidth="1" min="32" max="32"/>
    <col width="40" customWidth="1" min="33" max="33"/>
    <col width="45" customWidth="1" min="34" max="34"/>
    <col width="20" customWidth="1" min="35" max="35"/>
    <col width="36"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UK-000419</t>
        </is>
      </c>
      <c r="B12" s="5" t="inlineStr">
        <is>
          <t>AZADSUPERM-01</t>
        </is>
      </c>
      <c r="C12" s="5" t="inlineStr">
        <is>
          <t>Azad Supermarket</t>
        </is>
      </c>
      <c r="D12" s="5" t="inlineStr">
        <is>
          <t>Azad Supermarket - Alum Rock</t>
        </is>
      </c>
      <c r="E12" s="5" t="inlineStr">
        <is>
          <t>Azad Supermarket</t>
        </is>
      </c>
      <c r="F12" s="5" t="inlineStr"/>
      <c r="G12" s="5" t="inlineStr">
        <is>
          <t>Independent Supermarket</t>
        </is>
      </c>
      <c r="H12" s="5" t="inlineStr">
        <is>
          <t>Halal / world food supermarket</t>
        </is>
      </c>
      <c r="I12" s="5" t="inlineStr">
        <is>
          <t>Multi-Site Independent</t>
        </is>
      </c>
      <c r="J12" s="5" t="inlineStr">
        <is>
          <t>1</t>
        </is>
      </c>
      <c r="K12" s="5" t="inlineStr"/>
      <c r="L12" s="5" t="inlineStr"/>
      <c r="M12" s="5" t="inlineStr"/>
      <c r="N12" s="5" t="inlineStr"/>
      <c r="O12" s="5" t="inlineStr">
        <is>
          <t>733 Alum Rock Road</t>
        </is>
      </c>
      <c r="P12" s="5" t="inlineStr">
        <is>
          <t>Alum Rock</t>
        </is>
      </c>
      <c r="Q12" s="5" t="inlineStr">
        <is>
          <t>Birmingham</t>
        </is>
      </c>
      <c r="R12" s="5" t="inlineStr">
        <is>
          <t>West Midlands</t>
        </is>
      </c>
      <c r="S12" s="5" t="inlineStr">
        <is>
          <t>B8 2NY</t>
        </is>
      </c>
      <c r="T12" s="5" t="inlineStr">
        <is>
          <t>West Midlands</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halal butchery; world food; grocery</t>
        </is>
      </c>
      <c r="AL12" s="5" t="inlineStr"/>
      <c r="AM12" s="5" t="inlineStr">
        <is>
          <t>Independent Supermarket</t>
        </is>
      </c>
      <c r="AN12" s="5" t="inlineStr"/>
      <c r="AO12" s="5" t="inlineStr">
        <is>
          <t>Alum Rock branch of the Azad Supermarket group (also Stoney Lane/Balsall Heath and Ladypool/Sparkbrook). HMC-listed halal outlet.</t>
        </is>
      </c>
      <c r="AP12" s="5" t="inlineStr">
        <is>
          <t>Medium</t>
        </is>
      </c>
      <c r="AQ12" s="5" t="inlineStr">
        <is>
          <t>Multi-site retailer; Independent retailer; Relevant category</t>
        </is>
      </c>
      <c r="AR12" s="5" t="inlineStr">
        <is>
          <t>https://halalhmc.org/outlets/azad-supermarket-alum-rock/</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UK-000420</t>
        </is>
      </c>
      <c r="B13" s="10" t="inlineStr">
        <is>
          <t>AZADSUPERM-02</t>
        </is>
      </c>
      <c r="C13" s="10" t="inlineStr">
        <is>
          <t>Azad Supermarket</t>
        </is>
      </c>
      <c r="D13" s="10" t="inlineStr">
        <is>
          <t>Azad Supermarket - Balsall Heath (Stoney Lane)</t>
        </is>
      </c>
      <c r="E13" s="10" t="inlineStr">
        <is>
          <t>Azad Supermarket</t>
        </is>
      </c>
      <c r="F13" s="10" t="inlineStr"/>
      <c r="G13" s="10" t="inlineStr">
        <is>
          <t>Independent Supermarket</t>
        </is>
      </c>
      <c r="H13" s="10" t="inlineStr">
        <is>
          <t>Halal / world food supermarket</t>
        </is>
      </c>
      <c r="I13" s="10" t="inlineStr">
        <is>
          <t>Multi-Site Independent</t>
        </is>
      </c>
      <c r="J13" s="10" t="inlineStr">
        <is>
          <t>1</t>
        </is>
      </c>
      <c r="K13" s="10" t="inlineStr"/>
      <c r="L13" s="10" t="inlineStr"/>
      <c r="M13" s="10" t="inlineStr"/>
      <c r="N13" s="10" t="inlineStr"/>
      <c r="O13" s="10" t="inlineStr">
        <is>
          <t>154-158 Stoney Lane</t>
        </is>
      </c>
      <c r="P13" s="10" t="inlineStr">
        <is>
          <t>Balsall Heath</t>
        </is>
      </c>
      <c r="Q13" s="10" t="inlineStr">
        <is>
          <t>Birmingham</t>
        </is>
      </c>
      <c r="R13" s="10" t="inlineStr">
        <is>
          <t>West Midlands</t>
        </is>
      </c>
      <c r="S13" s="10" t="inlineStr">
        <is>
          <t>B12 8AJ</t>
        </is>
      </c>
      <c r="T13" s="10" t="inlineStr">
        <is>
          <t>West Midlands</t>
        </is>
      </c>
      <c r="U13" s="10" t="inlineStr">
        <is>
          <t>England</t>
        </is>
      </c>
      <c r="V13" s="10" t="inlineStr">
        <is>
          <t>0121 449 8882</t>
        </is>
      </c>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halal butchery; world food; grocery</t>
        </is>
      </c>
      <c r="AL13" s="10" t="inlineStr"/>
      <c r="AM13" s="10" t="inlineStr">
        <is>
          <t>Independent Supermarket</t>
        </is>
      </c>
      <c r="AN13" s="10" t="inlineStr"/>
      <c r="AO13" s="10" t="inlineStr">
        <is>
          <t>Balsall Heath branch of the Azad Supermarket group (Stoney Lane). HMC-listed halal outlet.</t>
        </is>
      </c>
      <c r="AP13" s="10" t="inlineStr">
        <is>
          <t>Medium</t>
        </is>
      </c>
      <c r="AQ13" s="10" t="inlineStr">
        <is>
          <t>Multi-site retailer; Independent retailer; Relevant category</t>
        </is>
      </c>
      <c r="AR13" s="10" t="inlineStr">
        <is>
          <t>https://halalhmc.org/outlets/azad-supermarket-balsall-heath/</t>
        </is>
      </c>
      <c r="AS13" s="10" t="inlineStr"/>
      <c r="AT13" s="10" t="inlineStr">
        <is>
          <t>1</t>
        </is>
      </c>
      <c r="AU13" s="10" t="inlineStr">
        <is>
          <t>No</t>
        </is>
      </c>
      <c r="AV13" s="10" t="inlineStr">
        <is>
          <t>No</t>
        </is>
      </c>
      <c r="AW13" s="10" t="inlineStr">
        <is>
          <t>No</t>
        </is>
      </c>
      <c r="AX13" s="10" t="inlineStr">
        <is>
          <t>No</t>
        </is>
      </c>
      <c r="AY13" s="10" t="inlineStr">
        <is>
          <t>Verified directory</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UK-000421</t>
        </is>
      </c>
      <c r="B14" s="5" t="inlineStr">
        <is>
          <t>AZADSUPERM-03</t>
        </is>
      </c>
      <c r="C14" s="5" t="inlineStr">
        <is>
          <t>Azad Supermarket</t>
        </is>
      </c>
      <c r="D14" s="5" t="inlineStr">
        <is>
          <t>Azad Supermarket - Sparkbrook (Ladypool Road)</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132-136 Ladypool Road</t>
        </is>
      </c>
      <c r="P14" s="5" t="inlineStr">
        <is>
          <t>Sparkbrook</t>
        </is>
      </c>
      <c r="Q14" s="5" t="inlineStr">
        <is>
          <t>Birmingham</t>
        </is>
      </c>
      <c r="R14" s="5" t="inlineStr">
        <is>
          <t>West Midlands</t>
        </is>
      </c>
      <c r="S14" s="5" t="inlineStr">
        <is>
          <t>B12 8JA</t>
        </is>
      </c>
      <c r="T14" s="5" t="inlineStr">
        <is>
          <t>West Midlands</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Sparkbrook (Ladypool Road / Balti Triangle) branch of the Azad Supermarket group. Address per Uber Eats store listing.</t>
        </is>
      </c>
      <c r="AP14" s="5" t="inlineStr">
        <is>
          <t>Medium</t>
        </is>
      </c>
      <c r="AQ14" s="5" t="inlineStr">
        <is>
          <t>Multi-site retailer; Independent retailer; Relevant category</t>
        </is>
      </c>
      <c r="AR14" s="5" t="inlineStr">
        <is>
          <t>https://www.ubereats.com/gb/store/azad-supermarket/JDnk99jbUOmiPnraKoxqGw</t>
        </is>
      </c>
      <c r="AS14" s="5" t="inlineStr"/>
      <c r="AT14" s="5" t="inlineStr">
        <is>
          <t>1</t>
        </is>
      </c>
      <c r="AU14" s="5" t="inlineStr">
        <is>
          <t>No</t>
        </is>
      </c>
      <c r="AV14" s="5" t="inlineStr">
        <is>
          <t>No</t>
        </is>
      </c>
      <c r="AW14" s="5" t="inlineStr">
        <is>
          <t>No</t>
        </is>
      </c>
      <c r="AX14" s="5" t="inlineStr">
        <is>
          <t>No</t>
        </is>
      </c>
      <c r="AY14" s="5" t="inlineStr">
        <is>
          <t>Not Found</t>
        </is>
      </c>
      <c r="AZ14" s="5" t="inlineStr">
        <is>
          <t>Not Found</t>
        </is>
      </c>
      <c r="BA14" s="5" t="inlineStr">
        <is>
          <t>2026-09-17</t>
        </is>
      </c>
      <c r="BB14" s="5" t="inlineStr">
        <is>
          <t>Requires Verification</t>
        </is>
      </c>
      <c r="BC14" s="5" t="inlineStr">
        <is>
          <t>Low</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UK-000691</t>
        </is>
      </c>
      <c r="B15" s="10" t="inlineStr">
        <is>
          <t>BARGAINBOO-01</t>
        </is>
      </c>
      <c r="C15" s="10" t="inlineStr">
        <is>
          <t>Bargain Booze (Bestway Retail)</t>
        </is>
      </c>
      <c r="D15" s="10" t="inlineStr">
        <is>
          <t>Bargain Booze - Lord Street Southport</t>
        </is>
      </c>
      <c r="E15" s="10" t="inlineStr">
        <is>
          <t>Bargain Booze</t>
        </is>
      </c>
      <c r="F15" s="10" t="inlineStr"/>
      <c r="G15" s="10" t="inlineStr">
        <is>
          <t>Off-Licence</t>
        </is>
      </c>
      <c r="H15" s="10" t="inlineStr">
        <is>
          <t>Off-licence / convenience with Post Office</t>
        </is>
      </c>
      <c r="I15" s="10" t="inlineStr">
        <is>
          <t>Franchise / Symbol Group</t>
        </is>
      </c>
      <c r="J15" s="10" t="inlineStr">
        <is>
          <t>1</t>
        </is>
      </c>
      <c r="K15" s="10" t="inlineStr">
        <is>
          <t>https://branches.bargainbooze.co.uk/southport/597-599-lord-street.html</t>
        </is>
      </c>
      <c r="L15" s="10" t="inlineStr"/>
      <c r="M15" s="10" t="inlineStr"/>
      <c r="N15" s="10" t="inlineStr"/>
      <c r="O15" s="10" t="inlineStr">
        <is>
          <t>597-599 Lord Street</t>
        </is>
      </c>
      <c r="P15" s="10" t="inlineStr"/>
      <c r="Q15" s="10" t="inlineStr">
        <is>
          <t>Southport</t>
        </is>
      </c>
      <c r="R15" s="10" t="inlineStr">
        <is>
          <t>Merseyside</t>
        </is>
      </c>
      <c r="S15" s="10" t="inlineStr"/>
      <c r="T15" s="10" t="inlineStr">
        <is>
          <t>North West</t>
        </is>
      </c>
      <c r="U15" s="10" t="inlineStr">
        <is>
          <t>England</t>
        </is>
      </c>
      <c r="V15" s="10" t="inlineStr">
        <is>
          <t>01704 534826</t>
        </is>
      </c>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alcohol; soft drinks; e-cigs; Post Office</t>
        </is>
      </c>
      <c r="AL15" s="10" t="inlineStr"/>
      <c r="AM15" s="10" t="inlineStr">
        <is>
          <t>Off-Licence</t>
        </is>
      </c>
      <c r="AN15" s="10" t="inlineStr"/>
      <c r="AO15" s="10" t="inlineStr">
        <is>
          <t>Bargain Booze symbol-group off-licence with Post Office, 597-599 Lord Street, Southport (by the Bold Hotel). Phone/address from official Bargain Booze branch page. Postcode not shown in snippet.</t>
        </is>
      </c>
      <c r="AP15" s="10" t="inlineStr">
        <is>
          <t>Medium</t>
        </is>
      </c>
      <c r="AQ15" s="10" t="inlineStr">
        <is>
          <t>Multi-site retailer; Independent retailer; Relevant category; Active website</t>
        </is>
      </c>
      <c r="AR15" s="10" t="inlineStr">
        <is>
          <t>https://branches.bargainbooze.co.uk/southport/597-599-lord-street.html</t>
        </is>
      </c>
      <c r="AS15" s="10" t="inlineStr"/>
      <c r="AT15" s="10" t="inlineStr">
        <is>
          <t>1</t>
        </is>
      </c>
      <c r="AU15" s="10" t="inlineStr">
        <is>
          <t>No</t>
        </is>
      </c>
      <c r="AV15" s="10" t="inlineStr">
        <is>
          <t>No</t>
        </is>
      </c>
      <c r="AW15" s="10" t="inlineStr">
        <is>
          <t>No</t>
        </is>
      </c>
      <c r="AX15" s="10" t="inlineStr">
        <is>
          <t>No</t>
        </is>
      </c>
      <c r="AY15" s="10" t="inlineStr">
        <is>
          <t>Verified directory</t>
        </is>
      </c>
      <c r="AZ15" s="10" t="inlineStr">
        <is>
          <t>Website Found</t>
        </is>
      </c>
      <c r="BA15" s="10" t="inlineStr">
        <is>
          <t>2026-09-17</t>
        </is>
      </c>
      <c r="BB15" s="10" t="inlineStr">
        <is>
          <t>Requires Verification</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UK-000297</t>
        </is>
      </c>
      <c r="B16" s="5" t="inlineStr">
        <is>
          <t>BARGAINBOO-02</t>
        </is>
      </c>
      <c r="C16" s="5" t="inlineStr">
        <is>
          <t>Bargain Booze (Bestway Retail)</t>
        </is>
      </c>
      <c r="D16" s="5" t="inlineStr">
        <is>
          <t>Bargain Booze Plus Ashton-in-Makerfield</t>
        </is>
      </c>
      <c r="E16" s="5" t="inlineStr">
        <is>
          <t>Bargain Booze Plus</t>
        </is>
      </c>
      <c r="F16" s="5" t="inlineStr"/>
      <c r="G16" s="5" t="inlineStr">
        <is>
          <t>Off-Licence</t>
        </is>
      </c>
      <c r="H16" s="5" t="inlineStr">
        <is>
          <t>Off-licence and convenience</t>
        </is>
      </c>
      <c r="I16" s="5" t="inlineStr">
        <is>
          <t>Franchise / Symbol Group</t>
        </is>
      </c>
      <c r="J16" s="5" t="inlineStr">
        <is>
          <t>1</t>
        </is>
      </c>
      <c r="K16" s="5" t="inlineStr"/>
      <c r="L16" s="5" t="inlineStr"/>
      <c r="M16" s="5" t="inlineStr"/>
      <c r="N16" s="5" t="inlineStr"/>
      <c r="O16" s="5" t="inlineStr">
        <is>
          <t>333-333a Wigan Road</t>
        </is>
      </c>
      <c r="P16" s="5" t="inlineStr">
        <is>
          <t>Ashton-in-Makerfield</t>
        </is>
      </c>
      <c r="Q16" s="5" t="inlineStr">
        <is>
          <t>Wigan</t>
        </is>
      </c>
      <c r="R16" s="5" t="inlineStr">
        <is>
          <t>Greater Manchester</t>
        </is>
      </c>
      <c r="S16" s="5" t="inlineStr">
        <is>
          <t>WN4 9SX</t>
        </is>
      </c>
      <c r="T16" s="5" t="inlineStr">
        <is>
          <t>North West</t>
        </is>
      </c>
      <c r="U16" s="5" t="inlineStr">
        <is>
          <t>England</t>
        </is>
      </c>
      <c r="V16" s="5" t="inlineStr"/>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beer; wine; spirits; convenience; tobacco; vape</t>
        </is>
      </c>
      <c r="AL16" s="5" t="inlineStr"/>
      <c r="AM16" s="5" t="inlineStr">
        <is>
          <t>Off-Licence</t>
        </is>
      </c>
      <c r="AN16" s="5" t="inlineStr">
        <is>
          <t>Bargain Booze symbol group (Bestway Retail)</t>
        </is>
      </c>
      <c r="AO16" s="5" t="inlineStr">
        <is>
          <t>Bargain Booze Plus symbol-group store, Wigan Road, Ashton-in-Makerfield (WN4 9SX). Stocks tobacco and vape alongside off-licence range.</t>
        </is>
      </c>
      <c r="AP16" s="5" t="inlineStr">
        <is>
          <t>Medium</t>
        </is>
      </c>
      <c r="AQ16" s="5" t="inlineStr">
        <is>
          <t>Multi-site retailer; Independent retailer; Relevant category</t>
        </is>
      </c>
      <c r="AR16" s="5" t="inlineStr">
        <is>
          <t>https://directory.gazettelive.co.uk/company/438385185382400</t>
        </is>
      </c>
      <c r="AS16" s="5" t="inlineStr"/>
      <c r="AT16" s="5" t="inlineStr">
        <is>
          <t>1</t>
        </is>
      </c>
      <c r="AU16" s="5" t="inlineStr">
        <is>
          <t>No</t>
        </is>
      </c>
      <c r="AV16" s="5" t="inlineStr">
        <is>
          <t>No</t>
        </is>
      </c>
      <c r="AW16" s="5" t="inlineStr">
        <is>
          <t>No</t>
        </is>
      </c>
      <c r="AX16" s="5" t="inlineStr">
        <is>
          <t>No</t>
        </is>
      </c>
      <c r="AY16" s="5" t="inlineStr">
        <is>
          <t>Not Found</t>
        </is>
      </c>
      <c r="AZ16" s="5" t="inlineStr">
        <is>
          <t>Not Found</t>
        </is>
      </c>
      <c r="BA16" s="5" t="inlineStr">
        <is>
          <t>2026-09-17</t>
        </is>
      </c>
      <c r="BB16" s="5" t="inlineStr">
        <is>
          <t>Requires Verification</t>
        </is>
      </c>
      <c r="BC16" s="5" t="inlineStr">
        <is>
          <t>Low</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UK-000692</t>
        </is>
      </c>
      <c r="B17" s="10" t="inlineStr">
        <is>
          <t>BARGAINBOO-03</t>
        </is>
      </c>
      <c r="C17" s="10" t="inlineStr">
        <is>
          <t>Bargain Booze (Bestway Retail)</t>
        </is>
      </c>
      <c r="D17" s="10" t="inlineStr">
        <is>
          <t>Bargain Booze Select Convenience - Newton-le-Willows</t>
        </is>
      </c>
      <c r="E17" s="10" t="inlineStr">
        <is>
          <t>Bargain Booze Select Convenience</t>
        </is>
      </c>
      <c r="F17" s="10" t="inlineStr"/>
      <c r="G17" s="10" t="inlineStr">
        <is>
          <t>Off-Licence</t>
        </is>
      </c>
      <c r="H17" s="10" t="inlineStr">
        <is>
          <t>Off-licence / convenience (symbol group)</t>
        </is>
      </c>
      <c r="I17" s="10" t="inlineStr">
        <is>
          <t>Franchise / Symbol Group</t>
        </is>
      </c>
      <c r="J17" s="10" t="inlineStr">
        <is>
          <t>1</t>
        </is>
      </c>
      <c r="K17" s="10" t="inlineStr">
        <is>
          <t>https://branches.bargainbooze.co.uk/newton-le-willows/76b-high-street.html</t>
        </is>
      </c>
      <c r="L17" s="10" t="inlineStr"/>
      <c r="M17" s="10" t="inlineStr"/>
      <c r="N17" s="10" t="inlineStr"/>
      <c r="O17" s="10" t="inlineStr">
        <is>
          <t>76b High Street</t>
        </is>
      </c>
      <c r="P17" s="10" t="inlineStr"/>
      <c r="Q17" s="10" t="inlineStr">
        <is>
          <t>Newton-le-Willows</t>
        </is>
      </c>
      <c r="R17" s="10" t="inlineStr">
        <is>
          <t>Merseyside</t>
        </is>
      </c>
      <c r="S17" s="10" t="inlineStr">
        <is>
          <t>WA12 9SH</t>
        </is>
      </c>
      <c r="T17" s="10" t="inlineStr">
        <is>
          <t>North West</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alcohol; groceries; tobacco</t>
        </is>
      </c>
      <c r="AL17" s="10" t="inlineStr"/>
      <c r="AM17" s="10" t="inlineStr">
        <is>
          <t>Off-Licence</t>
        </is>
      </c>
      <c r="AN17" s="10" t="inlineStr"/>
      <c r="AO17" s="10" t="inlineStr">
        <is>
          <t>Bargain Booze Select Convenience symbol-group franchise store, 76b High Street, Newton-le-Willows. Address/postcode from the official Bargain Booze branch page. Independently operated under the Bestway/Bargain Booze symbol brand.</t>
        </is>
      </c>
      <c r="AP17" s="10" t="inlineStr">
        <is>
          <t>Medium</t>
        </is>
      </c>
      <c r="AQ17" s="10" t="inlineStr">
        <is>
          <t>Multi-site retailer; Independent retailer; Relevant category; Active website</t>
        </is>
      </c>
      <c r="AR17" s="10" t="inlineStr">
        <is>
          <t>https://branches.bargainbooze.co.uk/newton-le-willows/76b-high-street.html</t>
        </is>
      </c>
      <c r="AS17" s="10" t="inlineStr"/>
      <c r="AT17" s="10" t="inlineStr">
        <is>
          <t>1</t>
        </is>
      </c>
      <c r="AU17" s="10" t="inlineStr">
        <is>
          <t>No</t>
        </is>
      </c>
      <c r="AV17" s="10" t="inlineStr">
        <is>
          <t>No</t>
        </is>
      </c>
      <c r="AW17" s="10" t="inlineStr">
        <is>
          <t>No</t>
        </is>
      </c>
      <c r="AX17" s="10" t="inlineStr">
        <is>
          <t>No</t>
        </is>
      </c>
      <c r="AY17" s="10" t="inlineStr">
        <is>
          <t>Not Found</t>
        </is>
      </c>
      <c r="AZ17" s="10" t="inlineStr">
        <is>
          <t>Website Found</t>
        </is>
      </c>
      <c r="BA17" s="10" t="inlineStr">
        <is>
          <t>2026-09-17</t>
        </is>
      </c>
      <c r="BB17" s="10" t="inlineStr">
        <is>
          <t>Requires Verification</t>
        </is>
      </c>
      <c r="BC17" s="10" t="inlineStr">
        <is>
          <t>Medium</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UK-000298</t>
        </is>
      </c>
      <c r="B18" s="5" t="inlineStr">
        <is>
          <t>BARGAINBOO-04</t>
        </is>
      </c>
      <c r="C18" s="5" t="inlineStr">
        <is>
          <t>Bargain Booze (Bestway Retail)</t>
        </is>
      </c>
      <c r="D18" s="5" t="inlineStr">
        <is>
          <t>Bargain Booze Wigan Lane</t>
        </is>
      </c>
      <c r="E18" s="5" t="inlineStr">
        <is>
          <t>Bargain Booze</t>
        </is>
      </c>
      <c r="F18" s="5" t="inlineStr"/>
      <c r="G18" s="5" t="inlineStr">
        <is>
          <t>Off-Licence</t>
        </is>
      </c>
      <c r="H18" s="5" t="inlineStr">
        <is>
          <t>Off-licence and convenience</t>
        </is>
      </c>
      <c r="I18" s="5" t="inlineStr">
        <is>
          <t>Franchise / Symbol Group</t>
        </is>
      </c>
      <c r="J18" s="5" t="inlineStr">
        <is>
          <t>1</t>
        </is>
      </c>
      <c r="K18" s="5" t="inlineStr"/>
      <c r="L18" s="5" t="inlineStr">
        <is>
          <t>https://www.facebook.com/BargainBoozeWN11XS/</t>
        </is>
      </c>
      <c r="M18" s="5" t="inlineStr"/>
      <c r="N18" s="5" t="inlineStr"/>
      <c r="O18" s="5" t="inlineStr">
        <is>
          <t>54 Wigan Lane</t>
        </is>
      </c>
      <c r="P18" s="5" t="inlineStr"/>
      <c r="Q18" s="5" t="inlineStr">
        <is>
          <t>Wigan</t>
        </is>
      </c>
      <c r="R18" s="5" t="inlineStr">
        <is>
          <t>Greater Manchester</t>
        </is>
      </c>
      <c r="S18" s="5" t="inlineStr">
        <is>
          <t>WN1 1XS</t>
        </is>
      </c>
      <c r="T18" s="5" t="inlineStr">
        <is>
          <t>North West</t>
        </is>
      </c>
      <c r="U18" s="5" t="inlineStr">
        <is>
          <t>England</t>
        </is>
      </c>
      <c r="V18" s="5" t="inlineStr">
        <is>
          <t>01942 829539</t>
        </is>
      </c>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beer; wine; spirits; convenience</t>
        </is>
      </c>
      <c r="AL18" s="5" t="inlineStr"/>
      <c r="AM18" s="5" t="inlineStr">
        <is>
          <t>Off-Licence</t>
        </is>
      </c>
      <c r="AN18" s="5" t="inlineStr">
        <is>
          <t>Bargain Booze symbol group (Bestway Retail)</t>
        </is>
      </c>
      <c r="AO18" s="5" t="inlineStr">
        <is>
          <t>Bargain Booze symbol-group off-licence, 54 Wigan Lane, Wigan (WN1 1XS). Individually operated franchise store.</t>
        </is>
      </c>
      <c r="AP18" s="5" t="inlineStr">
        <is>
          <t>Medium</t>
        </is>
      </c>
      <c r="AQ18" s="5" t="inlineStr">
        <is>
          <t>Multi-site retailer; Independent retailer; Relevant category; Social presence</t>
        </is>
      </c>
      <c r="AR18" s="5" t="inlineStr">
        <is>
          <t>https://www.facebook.com/BargainBoozeWN11XS/</t>
        </is>
      </c>
      <c r="AS18" s="5" t="inlineStr">
        <is>
          <t>https://wigan.open-closed.co.uk/bargain-booze-opening-times-54-wigan-lane</t>
        </is>
      </c>
      <c r="AT18" s="5" t="inlineStr">
        <is>
          <t>2</t>
        </is>
      </c>
      <c r="AU18" s="5" t="inlineStr">
        <is>
          <t>No</t>
        </is>
      </c>
      <c r="AV18" s="5" t="inlineStr">
        <is>
          <t>No</t>
        </is>
      </c>
      <c r="AW18" s="5" t="inlineStr">
        <is>
          <t>No</t>
        </is>
      </c>
      <c r="AX18" s="5" t="inlineStr">
        <is>
          <t>No</t>
        </is>
      </c>
      <c r="AY18" s="5" t="inlineStr">
        <is>
          <t>Verified directory</t>
        </is>
      </c>
      <c r="AZ18" s="5" t="inlineStr">
        <is>
          <t>Not Found</t>
        </is>
      </c>
      <c r="BA18" s="5" t="inlineStr">
        <is>
          <t>2026-09-17</t>
        </is>
      </c>
      <c r="BB18" s="5" t="inlineStr">
        <is>
          <t>Requires Verification</t>
        </is>
      </c>
      <c r="BC18" s="5" t="inlineStr">
        <is>
          <t>Low</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UK-000693</t>
        </is>
      </c>
      <c r="B19" s="10" t="inlineStr">
        <is>
          <t>BESTONEBES-01</t>
        </is>
      </c>
      <c r="C19" s="10" t="inlineStr">
        <is>
          <t>Best-One (Bestway)</t>
        </is>
      </c>
      <c r="D19" s="10" t="inlineStr">
        <is>
          <t>Best-One Leith Walk Stores</t>
        </is>
      </c>
      <c r="E19" s="10" t="inlineStr">
        <is>
          <t>Best-One</t>
        </is>
      </c>
      <c r="F19" s="10" t="inlineStr"/>
      <c r="G19" s="10" t="inlineStr">
        <is>
          <t>Convenience Store</t>
        </is>
      </c>
      <c r="H19" s="10" t="inlineStr">
        <is>
          <t>Symbol-group convenience &amp; off-licence</t>
        </is>
      </c>
      <c r="I19" s="10" t="inlineStr">
        <is>
          <t>Franchise / Symbol Group</t>
        </is>
      </c>
      <c r="J19" s="10" t="inlineStr">
        <is>
          <t>1</t>
        </is>
      </c>
      <c r="K19" s="10" t="inlineStr"/>
      <c r="L19" s="10" t="inlineStr"/>
      <c r="M19" s="10" t="inlineStr"/>
      <c r="N19" s="10" t="inlineStr"/>
      <c r="O19" s="10" t="inlineStr">
        <is>
          <t>301 Leith Walk</t>
        </is>
      </c>
      <c r="P19" s="10" t="inlineStr"/>
      <c r="Q19" s="10" t="inlineStr">
        <is>
          <t>Edinburgh</t>
        </is>
      </c>
      <c r="R19" s="10" t="inlineStr">
        <is>
          <t>City of Edinburgh</t>
        </is>
      </c>
      <c r="S19" s="10" t="inlineStr">
        <is>
          <t>EH6 8SA</t>
        </is>
      </c>
      <c r="T19" s="10" t="inlineStr">
        <is>
          <t>Scotland</t>
        </is>
      </c>
      <c r="U19" s="10" t="inlineStr">
        <is>
          <t>Scotland</t>
        </is>
      </c>
      <c r="V19" s="10" t="inlineStr">
        <is>
          <t>0131 553 4260</t>
        </is>
      </c>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groceries; alcohol; tobacco; fresh produce</t>
        </is>
      </c>
      <c r="AL19" s="10" t="inlineStr"/>
      <c r="AM19" s="10" t="inlineStr">
        <is>
          <t>Convenience Store</t>
        </is>
      </c>
      <c r="AN19" s="10" t="inlineStr">
        <is>
          <t>Best-One symbol group (Bestway)</t>
        </is>
      </c>
      <c r="AO19" s="10" t="inlineStr">
        <is>
          <t>Independently-run Best-One symbol-group convenience store on Leith Walk, licensed for alcohol. Details from Yell/192 snippet.</t>
        </is>
      </c>
      <c r="AP19" s="10" t="inlineStr">
        <is>
          <t>Medium</t>
        </is>
      </c>
      <c r="AQ19" s="10" t="inlineStr">
        <is>
          <t>Multi-site retailer; Independent retailer; Relevant category</t>
        </is>
      </c>
      <c r="AR19" s="10" t="inlineStr">
        <is>
          <t>https://www.yell.com/biz/best-one-leith-walk-stores-edinburgh-4914979/</t>
        </is>
      </c>
      <c r="AS19" s="10" t="inlineStr">
        <is>
          <t>https://www.192.com/atoz/business/edinburgh-eh6/convenience-stores/best-one-leith-walk-stores/343630dee52d34c844be618f087e93ac150bea7c/ml/</t>
        </is>
      </c>
      <c r="AT19" s="10" t="inlineStr">
        <is>
          <t>2</t>
        </is>
      </c>
      <c r="AU19" s="10" t="inlineStr">
        <is>
          <t>No</t>
        </is>
      </c>
      <c r="AV19" s="10" t="inlineStr">
        <is>
          <t>No</t>
        </is>
      </c>
      <c r="AW19" s="10" t="inlineStr">
        <is>
          <t>No</t>
        </is>
      </c>
      <c r="AX19" s="10" t="inlineStr">
        <is>
          <t>No</t>
        </is>
      </c>
      <c r="AY19" s="10" t="inlineStr">
        <is>
          <t>Verified directory</t>
        </is>
      </c>
      <c r="AZ19" s="10" t="inlineStr">
        <is>
          <t>Not Found</t>
        </is>
      </c>
      <c r="BA19" s="10" t="inlineStr">
        <is>
          <t>2026-09-17</t>
        </is>
      </c>
      <c r="BB19" s="10" t="inlineStr">
        <is>
          <t>Requires Verification</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UK-000694</t>
        </is>
      </c>
      <c r="B20" s="5" t="inlineStr">
        <is>
          <t>BESTONEBES-01</t>
        </is>
      </c>
      <c r="C20" s="5" t="inlineStr">
        <is>
          <t>Best-one (Bestway)</t>
        </is>
      </c>
      <c r="D20" s="5" t="inlineStr">
        <is>
          <t>Best-one - Charles Street</t>
        </is>
      </c>
      <c r="E20" s="5" t="inlineStr">
        <is>
          <t>Best-one</t>
        </is>
      </c>
      <c r="F20" s="5" t="inlineStr"/>
      <c r="G20" s="5" t="inlineStr">
        <is>
          <t>Convenience Store</t>
        </is>
      </c>
      <c r="H20" s="5" t="inlineStr">
        <is>
          <t>Best-one symbol convenience store</t>
        </is>
      </c>
      <c r="I20" s="5" t="inlineStr">
        <is>
          <t>Franchise / Symbol Group</t>
        </is>
      </c>
      <c r="J20" s="5" t="inlineStr">
        <is>
          <t>1</t>
        </is>
      </c>
      <c r="K20" s="5" t="inlineStr"/>
      <c r="L20" s="5" t="inlineStr"/>
      <c r="M20" s="5" t="inlineStr"/>
      <c r="N20" s="5" t="inlineStr"/>
      <c r="O20" s="5" t="inlineStr">
        <is>
          <t>23 Charles Street</t>
        </is>
      </c>
      <c r="P20" s="5" t="inlineStr"/>
      <c r="Q20" s="5" t="inlineStr">
        <is>
          <t>St Helens</t>
        </is>
      </c>
      <c r="R20" s="5" t="inlineStr">
        <is>
          <t>Merseyside</t>
        </is>
      </c>
      <c r="S20" s="5" t="inlineStr">
        <is>
          <t>WA10 1LA</t>
        </is>
      </c>
      <c r="T20" s="5" t="inlineStr">
        <is>
          <t>North West</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groceries; alcohol; tobacco</t>
        </is>
      </c>
      <c r="AL20" s="5" t="inlineStr"/>
      <c r="AM20" s="5" t="inlineStr">
        <is>
          <t>Convenience Store</t>
        </is>
      </c>
      <c r="AN20" s="5" t="inlineStr"/>
      <c r="AO20" s="5" t="inlineStr">
        <is>
          <t>Best-one symbol-group convenience store, 23 Charles Street, St Helens town centre. Address/postcode from Cylex St Helens convenience store listings.</t>
        </is>
      </c>
      <c r="AP20" s="5" t="inlineStr">
        <is>
          <t>Medium</t>
        </is>
      </c>
      <c r="AQ20" s="5" t="inlineStr">
        <is>
          <t>Multi-site retailer; Independent retailer; Relevant category</t>
        </is>
      </c>
      <c r="AR20" s="5" t="inlineStr">
        <is>
          <t>https://st-helens-merseyside.cylex-uk.co.uk/convenience-stores/</t>
        </is>
      </c>
      <c r="AS20" s="5" t="inlineStr"/>
      <c r="AT20" s="5" t="inlineStr">
        <is>
          <t>1</t>
        </is>
      </c>
      <c r="AU20" s="5" t="inlineStr">
        <is>
          <t>No</t>
        </is>
      </c>
      <c r="AV20" s="5" t="inlineStr">
        <is>
          <t>No</t>
        </is>
      </c>
      <c r="AW20" s="5" t="inlineStr">
        <is>
          <t>No</t>
        </is>
      </c>
      <c r="AX20" s="5" t="inlineStr">
        <is>
          <t>No</t>
        </is>
      </c>
      <c r="AY20" s="5" t="inlineStr">
        <is>
          <t>Not Found</t>
        </is>
      </c>
      <c r="AZ20" s="5" t="inlineStr">
        <is>
          <t>Not Found</t>
        </is>
      </c>
      <c r="BA20" s="5" t="inlineStr">
        <is>
          <t>2026-09-17</t>
        </is>
      </c>
      <c r="BB20" s="5" t="inlineStr">
        <is>
          <t>Requires Verification</t>
        </is>
      </c>
      <c r="BC20" s="5" t="inlineStr">
        <is>
          <t>Low</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UK-000695</t>
        </is>
      </c>
      <c r="B21" s="10" t="inlineStr">
        <is>
          <t>BESTONEBES-02</t>
        </is>
      </c>
      <c r="C21" s="10" t="inlineStr">
        <is>
          <t>Best-one (Bestway)</t>
        </is>
      </c>
      <c r="D21" s="10" t="inlineStr">
        <is>
          <t>Best-one - Crow Lane East</t>
        </is>
      </c>
      <c r="E21" s="10" t="inlineStr">
        <is>
          <t>Best-one</t>
        </is>
      </c>
      <c r="F21" s="10" t="inlineStr"/>
      <c r="G21" s="10" t="inlineStr">
        <is>
          <t>Convenience Store</t>
        </is>
      </c>
      <c r="H21" s="10" t="inlineStr">
        <is>
          <t>Best-one symbol convenience store</t>
        </is>
      </c>
      <c r="I21" s="10" t="inlineStr">
        <is>
          <t>Franchise / Symbol Group</t>
        </is>
      </c>
      <c r="J21" s="10" t="inlineStr">
        <is>
          <t>1</t>
        </is>
      </c>
      <c r="K21" s="10" t="inlineStr"/>
      <c r="L21" s="10" t="inlineStr"/>
      <c r="M21" s="10" t="inlineStr"/>
      <c r="N21" s="10" t="inlineStr"/>
      <c r="O21" s="10" t="inlineStr">
        <is>
          <t>215 Crow Lane East</t>
        </is>
      </c>
      <c r="P21" s="10" t="inlineStr"/>
      <c r="Q21" s="10" t="inlineStr">
        <is>
          <t>Newton-le-Willows</t>
        </is>
      </c>
      <c r="R21" s="10" t="inlineStr">
        <is>
          <t>Merseyside</t>
        </is>
      </c>
      <c r="S21" s="10" t="inlineStr">
        <is>
          <t>WA12 9UB</t>
        </is>
      </c>
      <c r="T21" s="10" t="inlineStr">
        <is>
          <t>North West</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groceries; alcohol; tobacco</t>
        </is>
      </c>
      <c r="AL21" s="10" t="inlineStr"/>
      <c r="AM21" s="10" t="inlineStr">
        <is>
          <t>Convenience Store</t>
        </is>
      </c>
      <c r="AN21" s="10" t="inlineStr"/>
      <c r="AO21" s="10" t="inlineStr">
        <is>
          <t>Independently operated Best-one symbol-group convenience store, 215 Crow Lane East, Newton-le-Willows. Address/postcode from mylocalservices/Cylex convenience listings.</t>
        </is>
      </c>
      <c r="AP21" s="10" t="inlineStr">
        <is>
          <t>Medium</t>
        </is>
      </c>
      <c r="AQ21" s="10" t="inlineStr">
        <is>
          <t>Multi-site retailer; Independent retailer; Relevant category</t>
        </is>
      </c>
      <c r="AR21" s="10" t="inlineStr">
        <is>
          <t>https://www.mylocalservices.co.uk/Convenience+Stores-Newton+Le+Willows.html</t>
        </is>
      </c>
      <c r="AS21" s="10" t="inlineStr"/>
      <c r="AT21" s="10" t="inlineStr">
        <is>
          <t>1</t>
        </is>
      </c>
      <c r="AU21" s="10" t="inlineStr">
        <is>
          <t>No</t>
        </is>
      </c>
      <c r="AV21" s="10" t="inlineStr">
        <is>
          <t>No</t>
        </is>
      </c>
      <c r="AW21" s="10" t="inlineStr">
        <is>
          <t>No</t>
        </is>
      </c>
      <c r="AX21" s="10" t="inlineStr">
        <is>
          <t>No</t>
        </is>
      </c>
      <c r="AY21" s="10" t="inlineStr">
        <is>
          <t>Not Found</t>
        </is>
      </c>
      <c r="AZ21" s="10" t="inlineStr">
        <is>
          <t>Not Found</t>
        </is>
      </c>
      <c r="BA21" s="10" t="inlineStr">
        <is>
          <t>2026-09-17</t>
        </is>
      </c>
      <c r="BB21" s="10" t="inlineStr">
        <is>
          <t>Requires Verification</t>
        </is>
      </c>
      <c r="BC21" s="10" t="inlineStr">
        <is>
          <t>Low</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UK-000696</t>
        </is>
      </c>
      <c r="B22" s="5" t="inlineStr">
        <is>
          <t>BESTONEBES-01</t>
        </is>
      </c>
      <c r="C22" s="5" t="inlineStr">
        <is>
          <t>Best-one (Bestway) symbol group</t>
        </is>
      </c>
      <c r="D22" s="5" t="inlineStr">
        <is>
          <t>Best-one Paisley (Greenhill Road)</t>
        </is>
      </c>
      <c r="E22" s="5" t="inlineStr">
        <is>
          <t>Best-one</t>
        </is>
      </c>
      <c r="F22" s="5" t="inlineStr"/>
      <c r="G22" s="5" t="inlineStr">
        <is>
          <t>Convenience Store</t>
        </is>
      </c>
      <c r="H22" s="5" t="inlineStr">
        <is>
          <t>Symbol-group convenience store</t>
        </is>
      </c>
      <c r="I22" s="5" t="inlineStr">
        <is>
          <t>Franchise / Symbol Group</t>
        </is>
      </c>
      <c r="J22" s="5" t="inlineStr">
        <is>
          <t>1</t>
        </is>
      </c>
      <c r="K22" s="5" t="inlineStr"/>
      <c r="L22" s="5" t="inlineStr"/>
      <c r="M22" s="5" t="inlineStr"/>
      <c r="N22" s="5" t="inlineStr"/>
      <c r="O22" s="5" t="inlineStr">
        <is>
          <t>35 Greenhill Road</t>
        </is>
      </c>
      <c r="P22" s="5" t="inlineStr"/>
      <c r="Q22" s="5" t="inlineStr">
        <is>
          <t>Paisley</t>
        </is>
      </c>
      <c r="R22" s="5" t="inlineStr">
        <is>
          <t>Renfrewshire</t>
        </is>
      </c>
      <c r="S22" s="5" t="inlineStr">
        <is>
          <t>PA3 1RN</t>
        </is>
      </c>
      <c r="T22" s="5" t="inlineStr">
        <is>
          <t>Scotland</t>
        </is>
      </c>
      <c r="U22" s="5" t="inlineStr">
        <is>
          <t>Scotland</t>
        </is>
      </c>
      <c r="V22" s="5" t="inlineStr"/>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convenience grocery; off-licence; tobacco; confectionery</t>
        </is>
      </c>
      <c r="AL22" s="5" t="inlineStr"/>
      <c r="AM22" s="5" t="inlineStr">
        <is>
          <t>Convenience Store</t>
        </is>
      </c>
      <c r="AN22" s="5" t="inlineStr">
        <is>
          <t>Best-one (Bestway) symbol-group fascia</t>
        </is>
      </c>
      <c r="AO22" s="5" t="inlineStr">
        <is>
          <t>Independent Paisley convenience store trading under the Best-one symbol-group fascia at 35 Greenhill Road; described as serving the community since 2002. Phone not confirmed in snippets.</t>
        </is>
      </c>
      <c r="AP22" s="5" t="inlineStr">
        <is>
          <t>Medium</t>
        </is>
      </c>
      <c r="AQ22" s="5" t="inlineStr">
        <is>
          <t>Multi-site retailer; Independent retailer; Relevant category</t>
        </is>
      </c>
      <c r="AR22" s="5" t="inlineStr">
        <is>
          <t>https://www.yell.com/s/grocers+and+convenience+stores-paisley.html</t>
        </is>
      </c>
      <c r="AS22" s="5" t="inlineStr"/>
      <c r="AT22" s="5" t="inlineStr">
        <is>
          <t>1</t>
        </is>
      </c>
      <c r="AU22" s="5" t="inlineStr">
        <is>
          <t>No</t>
        </is>
      </c>
      <c r="AV22" s="5" t="inlineStr">
        <is>
          <t>No</t>
        </is>
      </c>
      <c r="AW22" s="5" t="inlineStr">
        <is>
          <t>No</t>
        </is>
      </c>
      <c r="AX22" s="5" t="inlineStr">
        <is>
          <t>No</t>
        </is>
      </c>
      <c r="AY22" s="5" t="inlineStr">
        <is>
          <t>Not Found</t>
        </is>
      </c>
      <c r="AZ22" s="5" t="inlineStr">
        <is>
          <t>Not Found</t>
        </is>
      </c>
      <c r="BA22" s="5" t="inlineStr">
        <is>
          <t>2026-09-17</t>
        </is>
      </c>
      <c r="BB22" s="5" t="inlineStr">
        <is>
          <t>Requires Verification</t>
        </is>
      </c>
      <c r="BC22" s="5" t="inlineStr">
        <is>
          <t>Low</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UK-000299</t>
        </is>
      </c>
      <c r="B23" s="10" t="inlineStr">
        <is>
          <t>BESTWAYBES-01</t>
        </is>
      </c>
      <c r="C23" s="10" t="inlineStr">
        <is>
          <t>Bestway (Best-one symbol group)</t>
        </is>
      </c>
      <c r="D23" s="10" t="inlineStr">
        <is>
          <t>Best One (Liverpool Road, Eccles)</t>
        </is>
      </c>
      <c r="E23" s="10" t="inlineStr">
        <is>
          <t>Best One Liverpool Road</t>
        </is>
      </c>
      <c r="F23" s="10" t="inlineStr"/>
      <c r="G23" s="10" t="inlineStr">
        <is>
          <t>Off-Licence</t>
        </is>
      </c>
      <c r="H23" s="10" t="inlineStr">
        <is>
          <t>Convenience &amp; off-licence (symbol group)</t>
        </is>
      </c>
      <c r="I23" s="10" t="inlineStr">
        <is>
          <t>Franchise / Symbol Group</t>
        </is>
      </c>
      <c r="J23" s="10" t="inlineStr">
        <is>
          <t>1</t>
        </is>
      </c>
      <c r="K23" s="10" t="inlineStr"/>
      <c r="L23" s="10" t="inlineStr"/>
      <c r="M23" s="10" t="inlineStr"/>
      <c r="N23" s="10" t="inlineStr"/>
      <c r="O23" s="10" t="inlineStr">
        <is>
          <t>213-217 Liverpool Road</t>
        </is>
      </c>
      <c r="P23" s="10" t="inlineStr">
        <is>
          <t>Eccles</t>
        </is>
      </c>
      <c r="Q23" s="10" t="inlineStr">
        <is>
          <t>Eccles</t>
        </is>
      </c>
      <c r="R23" s="10" t="inlineStr">
        <is>
          <t>Greater Manchester</t>
        </is>
      </c>
      <c r="S23" s="10" t="inlineStr">
        <is>
          <t>M30 0QW</t>
        </is>
      </c>
      <c r="T23" s="10" t="inlineStr">
        <is>
          <t>North West</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groceries; off-licence; tobacco; confectionery; soft drinks</t>
        </is>
      </c>
      <c r="AL23" s="10" t="inlineStr"/>
      <c r="AM23" s="10" t="inlineStr">
        <is>
          <t>Off-Licence</t>
        </is>
      </c>
      <c r="AN23" s="10" t="inlineStr">
        <is>
          <t>Best-one symbol group (Bestway)</t>
        </is>
      </c>
      <c r="AO23" s="10" t="inlineStr">
        <is>
          <t>Independently owned Best-one symbol-group off-licence/convenience store, Eccles. Licensed 6am-3am. Address/postcode from 24 Hour Alcohol directory; phone not captured.</t>
        </is>
      </c>
      <c r="AP23" s="10" t="inlineStr">
        <is>
          <t>Medium</t>
        </is>
      </c>
      <c r="AQ23" s="10" t="inlineStr">
        <is>
          <t>Multi-site retailer; Independent retailer; Relevant category</t>
        </is>
      </c>
      <c r="AR23" s="10" t="inlineStr">
        <is>
          <t>https://www.24houralcohol.co.uk/salford-off-licences</t>
        </is>
      </c>
      <c r="AS23" s="10" t="inlineStr"/>
      <c r="AT23" s="10" t="inlineStr">
        <is>
          <t>1</t>
        </is>
      </c>
      <c r="AU23" s="10" t="inlineStr">
        <is>
          <t>No</t>
        </is>
      </c>
      <c r="AV23" s="10" t="inlineStr">
        <is>
          <t>No</t>
        </is>
      </c>
      <c r="AW23" s="10" t="inlineStr">
        <is>
          <t>No</t>
        </is>
      </c>
      <c r="AX23" s="10" t="inlineStr">
        <is>
          <t>No</t>
        </is>
      </c>
      <c r="AY23" s="10" t="inlineStr">
        <is>
          <t>Not Found</t>
        </is>
      </c>
      <c r="AZ23" s="10" t="inlineStr">
        <is>
          <t>Not Found</t>
        </is>
      </c>
      <c r="BA23" s="10" t="inlineStr">
        <is>
          <t>2026-09-17</t>
        </is>
      </c>
      <c r="BB23" s="10" t="inlineStr">
        <is>
          <t>Requires Verification</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UK-000697</t>
        </is>
      </c>
      <c r="B24" s="5" t="inlineStr">
        <is>
          <t>BESTWAYRET-01</t>
        </is>
      </c>
      <c r="C24" s="5" t="inlineStr">
        <is>
          <t>Bestway Retail (Bargain Booze)</t>
        </is>
      </c>
      <c r="D24" s="5" t="inlineStr">
        <is>
          <t>Bargain Booze - Page Moss</t>
        </is>
      </c>
      <c r="E24" s="5" t="inlineStr">
        <is>
          <t>Bargain Booze</t>
        </is>
      </c>
      <c r="F24" s="5" t="inlineStr"/>
      <c r="G24" s="5" t="inlineStr">
        <is>
          <t>Off-Licence</t>
        </is>
      </c>
      <c r="H24" s="5" t="inlineStr">
        <is>
          <t>Off-licence / convenience (symbol group)</t>
        </is>
      </c>
      <c r="I24" s="5" t="inlineStr">
        <is>
          <t>Franchise / Symbol Group</t>
        </is>
      </c>
      <c r="J24" s="5" t="inlineStr">
        <is>
          <t>1</t>
        </is>
      </c>
      <c r="K24" s="5" t="inlineStr"/>
      <c r="L24" s="5" t="inlineStr"/>
      <c r="M24" s="5" t="inlineStr"/>
      <c r="N24" s="5" t="inlineStr"/>
      <c r="O24" s="5" t="inlineStr">
        <is>
          <t>9 Pagemoss Parade</t>
        </is>
      </c>
      <c r="P24" s="5" t="inlineStr">
        <is>
          <t>Huyton</t>
        </is>
      </c>
      <c r="Q24" s="5" t="inlineStr">
        <is>
          <t>Liverpool</t>
        </is>
      </c>
      <c r="R24" s="5" t="inlineStr">
        <is>
          <t>Merseyside</t>
        </is>
      </c>
      <c r="S24" s="5" t="inlineStr">
        <is>
          <t>L36 2PA</t>
        </is>
      </c>
      <c r="T24" s="5" t="inlineStr">
        <is>
          <t>North West</t>
        </is>
      </c>
      <c r="U24" s="5" t="inlineStr">
        <is>
          <t>England</t>
        </is>
      </c>
      <c r="V24" s="5" t="inlineStr"/>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wines; beers; spirits; tobacco; vape; snacks</t>
        </is>
      </c>
      <c r="AL24" s="5" t="inlineStr"/>
      <c r="AM24" s="5" t="inlineStr">
        <is>
          <t>Off-Licence</t>
        </is>
      </c>
      <c r="AN24" s="5" t="inlineStr">
        <is>
          <t>Bargain Booze symbol group (Bestway Retail)</t>
        </is>
      </c>
      <c r="AO24" s="5" t="inlineStr">
        <is>
          <t>Bargain Booze symbol-group off-licence at Page Moss, Huyton (Knowsley, L36). Sells tobacco, vape, beers, wine, sweets and snacks.</t>
        </is>
      </c>
      <c r="AP24" s="5" t="inlineStr">
        <is>
          <t>Medium</t>
        </is>
      </c>
      <c r="AQ24" s="5" t="inlineStr">
        <is>
          <t>Multi-site retailer; Independent retailer; Relevant category</t>
        </is>
      </c>
      <c r="AR24" s="5" t="inlineStr">
        <is>
          <t>https://huyton.cylex-uk.co.uk/convenience-stores/</t>
        </is>
      </c>
      <c r="AS24" s="5" t="inlineStr"/>
      <c r="AT24" s="5" t="inlineStr">
        <is>
          <t>1</t>
        </is>
      </c>
      <c r="AU24" s="5" t="inlineStr">
        <is>
          <t>No</t>
        </is>
      </c>
      <c r="AV24" s="5" t="inlineStr">
        <is>
          <t>No</t>
        </is>
      </c>
      <c r="AW24" s="5" t="inlineStr">
        <is>
          <t>No</t>
        </is>
      </c>
      <c r="AX24" s="5" t="inlineStr">
        <is>
          <t>No</t>
        </is>
      </c>
      <c r="AY24" s="5" t="inlineStr">
        <is>
          <t>Not Found</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UK-000698</t>
        </is>
      </c>
      <c r="B25" s="10" t="inlineStr">
        <is>
          <t>BESTWAYRET-02</t>
        </is>
      </c>
      <c r="C25" s="10" t="inlineStr">
        <is>
          <t>Bestway Retail (Bargain Booze)</t>
        </is>
      </c>
      <c r="D25" s="10" t="inlineStr">
        <is>
          <t>Bargain Booze - Prescot Road</t>
        </is>
      </c>
      <c r="E25" s="10" t="inlineStr">
        <is>
          <t>Bargain Booze</t>
        </is>
      </c>
      <c r="F25" s="10" t="inlineStr"/>
      <c r="G25" s="10" t="inlineStr">
        <is>
          <t>Off-Licence</t>
        </is>
      </c>
      <c r="H25" s="10" t="inlineStr">
        <is>
          <t>Off-licence / convenience (symbol group)</t>
        </is>
      </c>
      <c r="I25" s="10" t="inlineStr">
        <is>
          <t>Franchise / Symbol Group</t>
        </is>
      </c>
      <c r="J25" s="10" t="inlineStr">
        <is>
          <t>1</t>
        </is>
      </c>
      <c r="K25" s="10" t="inlineStr"/>
      <c r="L25" s="10" t="inlineStr"/>
      <c r="M25" s="10" t="inlineStr"/>
      <c r="N25" s="10" t="inlineStr"/>
      <c r="O25" s="10" t="inlineStr">
        <is>
          <t>557 Prescot Road</t>
        </is>
      </c>
      <c r="P25" s="10" t="inlineStr">
        <is>
          <t>Old Swan</t>
        </is>
      </c>
      <c r="Q25" s="10" t="inlineStr">
        <is>
          <t>Liverpool</t>
        </is>
      </c>
      <c r="R25" s="10" t="inlineStr">
        <is>
          <t>Merseyside</t>
        </is>
      </c>
      <c r="S25" s="10" t="inlineStr">
        <is>
          <t>L13 5UX</t>
        </is>
      </c>
      <c r="T25" s="10" t="inlineStr">
        <is>
          <t>North West</t>
        </is>
      </c>
      <c r="U25" s="10" t="inlineStr">
        <is>
          <t>England</t>
        </is>
      </c>
      <c r="V25" s="10" t="inlineStr"/>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wines; beers; spirits; tobacco; vape; convenience groceries</t>
        </is>
      </c>
      <c r="AL25" s="10" t="inlineStr"/>
      <c r="AM25" s="10" t="inlineStr">
        <is>
          <t>Off-Licence</t>
        </is>
      </c>
      <c r="AN25" s="10" t="inlineStr">
        <is>
          <t>Bargain Booze symbol group (Bestway Retail)</t>
        </is>
      </c>
      <c r="AO25" s="10" t="inlineStr">
        <is>
          <t>Bargain Booze symbol-group off-licence on Prescot Road, Old Swan (L13). Sells tobacco, vape, beers, wine, snacks.</t>
        </is>
      </c>
      <c r="AP25" s="10" t="inlineStr">
        <is>
          <t>Medium</t>
        </is>
      </c>
      <c r="AQ25" s="10" t="inlineStr">
        <is>
          <t>Multi-site retailer; Independent retailer; Relevant category</t>
        </is>
      </c>
      <c r="AR25" s="10" t="inlineStr">
        <is>
          <t>https://liverpool.cylex-uk.co.uk/vape-shops/?dst=old-swan</t>
        </is>
      </c>
      <c r="AS25" s="10" t="inlineStr"/>
      <c r="AT25" s="10" t="inlineStr">
        <is>
          <t>1</t>
        </is>
      </c>
      <c r="AU25" s="10" t="inlineStr">
        <is>
          <t>No</t>
        </is>
      </c>
      <c r="AV25" s="10" t="inlineStr">
        <is>
          <t>No</t>
        </is>
      </c>
      <c r="AW25" s="10" t="inlineStr">
        <is>
          <t>No</t>
        </is>
      </c>
      <c r="AX25" s="10" t="inlineStr">
        <is>
          <t>No</t>
        </is>
      </c>
      <c r="AY25" s="10" t="inlineStr">
        <is>
          <t>Not Found</t>
        </is>
      </c>
      <c r="AZ25" s="10" t="inlineStr">
        <is>
          <t>Not Found</t>
        </is>
      </c>
      <c r="BA25" s="10" t="inlineStr">
        <is>
          <t>2026-09-17</t>
        </is>
      </c>
      <c r="BB25" s="10" t="inlineStr">
        <is>
          <t>Requires Verification</t>
        </is>
      </c>
      <c r="BC25" s="10" t="inlineStr">
        <is>
          <t>Low</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UK-000699</t>
        </is>
      </c>
      <c r="B26" s="5" t="inlineStr">
        <is>
          <t>BESTWAYRET-03</t>
        </is>
      </c>
      <c r="C26" s="5" t="inlineStr">
        <is>
          <t>Bestway Retail (Bargain Booze)</t>
        </is>
      </c>
      <c r="D26" s="5" t="inlineStr">
        <is>
          <t>Bargain Booze - West Derby Road</t>
        </is>
      </c>
      <c r="E26" s="5" t="inlineStr">
        <is>
          <t>Bargain Booze</t>
        </is>
      </c>
      <c r="F26" s="5" t="inlineStr"/>
      <c r="G26" s="5" t="inlineStr">
        <is>
          <t>Off-Licence</t>
        </is>
      </c>
      <c r="H26" s="5" t="inlineStr">
        <is>
          <t>Off-licence / convenience (symbol group)</t>
        </is>
      </c>
      <c r="I26" s="5" t="inlineStr">
        <is>
          <t>Franchise / Symbol Group</t>
        </is>
      </c>
      <c r="J26" s="5" t="inlineStr">
        <is>
          <t>1</t>
        </is>
      </c>
      <c r="K26" s="5" t="inlineStr"/>
      <c r="L26" s="5" t="inlineStr"/>
      <c r="M26" s="5" t="inlineStr"/>
      <c r="N26" s="5" t="inlineStr"/>
      <c r="O26" s="5" t="inlineStr">
        <is>
          <t>525 West Derby Road</t>
        </is>
      </c>
      <c r="P26" s="5" t="inlineStr">
        <is>
          <t>Tuebrook</t>
        </is>
      </c>
      <c r="Q26" s="5" t="inlineStr">
        <is>
          <t>Liverpool</t>
        </is>
      </c>
      <c r="R26" s="5" t="inlineStr">
        <is>
          <t>Merseyside</t>
        </is>
      </c>
      <c r="S26" s="5" t="inlineStr">
        <is>
          <t>L13 8AA</t>
        </is>
      </c>
      <c r="T26" s="5" t="inlineStr">
        <is>
          <t>North West</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wines; beers; spirits; tobacco; vape; convenience groceries</t>
        </is>
      </c>
      <c r="AL26" s="5" t="inlineStr"/>
      <c r="AM26" s="5" t="inlineStr">
        <is>
          <t>Off-Licence</t>
        </is>
      </c>
      <c r="AN26" s="5" t="inlineStr">
        <is>
          <t>Bargain Booze symbol group (Bestway Retail)</t>
        </is>
      </c>
      <c r="AO26" s="5" t="inlineStr">
        <is>
          <t>Bargain Booze symbol-group off-licence on West Derby Road, Tuebrook (L13).</t>
        </is>
      </c>
      <c r="AP26" s="5" t="inlineStr">
        <is>
          <t>Medium</t>
        </is>
      </c>
      <c r="AQ26" s="5" t="inlineStr">
        <is>
          <t>Multi-site retailer; Independent retailer; Relevant category</t>
        </is>
      </c>
      <c r="AR26" s="5" t="inlineStr">
        <is>
          <t>https://liverpool.cylex-uk.co.uk/vape-shops/?dst=old-swan</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UK-000700</t>
        </is>
      </c>
      <c r="B27" s="10" t="inlineStr">
        <is>
          <t>BESTWAYRET-01</t>
        </is>
      </c>
      <c r="C27" s="10" t="inlineStr">
        <is>
          <t>Bestway Retail (Best-one)</t>
        </is>
      </c>
      <c r="D27" s="10" t="inlineStr">
        <is>
          <t>Best-one - Elgin Court</t>
        </is>
      </c>
      <c r="E27" s="10" t="inlineStr">
        <is>
          <t>Best-one</t>
        </is>
      </c>
      <c r="F27" s="10" t="inlineStr"/>
      <c r="G27" s="10" t="inlineStr">
        <is>
          <t>Convenience Store</t>
        </is>
      </c>
      <c r="H27" s="10" t="inlineStr">
        <is>
          <t>Convenience store (symbol group)</t>
        </is>
      </c>
      <c r="I27" s="10" t="inlineStr">
        <is>
          <t>Franchise / Symbol Group</t>
        </is>
      </c>
      <c r="J27" s="10" t="inlineStr">
        <is>
          <t>1</t>
        </is>
      </c>
      <c r="K27" s="10" t="inlineStr"/>
      <c r="L27" s="10" t="inlineStr"/>
      <c r="M27" s="10" t="inlineStr"/>
      <c r="N27" s="10" t="inlineStr"/>
      <c r="O27" s="10" t="inlineStr">
        <is>
          <t>6 Elgin Court</t>
        </is>
      </c>
      <c r="P27" s="10" t="inlineStr">
        <is>
          <t>Prescot</t>
        </is>
      </c>
      <c r="Q27" s="10" t="inlineStr">
        <is>
          <t>Prescot</t>
        </is>
      </c>
      <c r="R27" s="10" t="inlineStr">
        <is>
          <t>Merseyside</t>
        </is>
      </c>
      <c r="S27" s="10" t="inlineStr">
        <is>
          <t>L35 0QW</t>
        </is>
      </c>
      <c r="T27" s="10" t="inlineStr">
        <is>
          <t>North West</t>
        </is>
      </c>
      <c r="U27" s="10" t="inlineStr">
        <is>
          <t>England</t>
        </is>
      </c>
      <c r="V27" s="10" t="inlineStr"/>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convenience groceries; tobacco; soft drinks</t>
        </is>
      </c>
      <c r="AL27" s="10" t="inlineStr"/>
      <c r="AM27" s="10" t="inlineStr">
        <is>
          <t>Convenience Store</t>
        </is>
      </c>
      <c r="AN27" s="10" t="inlineStr">
        <is>
          <t>Best-one symbol group (Bestway Retail)</t>
        </is>
      </c>
      <c r="AO27" s="10" t="inlineStr">
        <is>
          <t>Best-one symbol-group convenience store at Elgin Court, Prescot (Knowsley, L35).</t>
        </is>
      </c>
      <c r="AP27" s="10" t="inlineStr">
        <is>
          <t>Medium</t>
        </is>
      </c>
      <c r="AQ27" s="10" t="inlineStr">
        <is>
          <t>Multi-site retailer; Independent retailer; Relevant category</t>
        </is>
      </c>
      <c r="AR27" s="10" t="inlineStr">
        <is>
          <t>https://www.192.com/atoz/business/prescot-l35/convenience-stores/best-one/c272bbf3-defd-410c-93e2-54df41799bbd/ugc/</t>
        </is>
      </c>
      <c r="AS27" s="10" t="inlineStr"/>
      <c r="AT27" s="10" t="inlineStr">
        <is>
          <t>1</t>
        </is>
      </c>
      <c r="AU27" s="10" t="inlineStr">
        <is>
          <t>No</t>
        </is>
      </c>
      <c r="AV27" s="10" t="inlineStr">
        <is>
          <t>No</t>
        </is>
      </c>
      <c r="AW27" s="10" t="inlineStr">
        <is>
          <t>No</t>
        </is>
      </c>
      <c r="AX27" s="10" t="inlineStr">
        <is>
          <t>No</t>
        </is>
      </c>
      <c r="AY27" s="10" t="inlineStr">
        <is>
          <t>Not Found</t>
        </is>
      </c>
      <c r="AZ27" s="10" t="inlineStr">
        <is>
          <t>Not Found</t>
        </is>
      </c>
      <c r="BA27" s="10" t="inlineStr">
        <is>
          <t>2026-09-17</t>
        </is>
      </c>
      <c r="BB27" s="10" t="inlineStr">
        <is>
          <t>Requires Verification</t>
        </is>
      </c>
      <c r="BC27" s="10" t="inlineStr">
        <is>
          <t>Low</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UK-000701</t>
        </is>
      </c>
      <c r="B28" s="5" t="inlineStr">
        <is>
          <t>BESTWAYRET-02</t>
        </is>
      </c>
      <c r="C28" s="5" t="inlineStr">
        <is>
          <t>Bestway Retail (Best-one)</t>
        </is>
      </c>
      <c r="D28" s="5" t="inlineStr">
        <is>
          <t>Best-one - Halsnead Avenue</t>
        </is>
      </c>
      <c r="E28" s="5" t="inlineStr">
        <is>
          <t>Best-one</t>
        </is>
      </c>
      <c r="F28" s="5" t="inlineStr"/>
      <c r="G28" s="5" t="inlineStr">
        <is>
          <t>Convenience Store</t>
        </is>
      </c>
      <c r="H28" s="5" t="inlineStr">
        <is>
          <t>Convenience store (symbol group)</t>
        </is>
      </c>
      <c r="I28" s="5" t="inlineStr">
        <is>
          <t>Franchise / Symbol Group</t>
        </is>
      </c>
      <c r="J28" s="5" t="inlineStr">
        <is>
          <t>1</t>
        </is>
      </c>
      <c r="K28" s="5" t="inlineStr"/>
      <c r="L28" s="5" t="inlineStr"/>
      <c r="M28" s="5" t="inlineStr"/>
      <c r="N28" s="5" t="inlineStr"/>
      <c r="O28" s="5" t="inlineStr">
        <is>
          <t>1 Halsnead Avenue</t>
        </is>
      </c>
      <c r="P28" s="5" t="inlineStr">
        <is>
          <t>Whiston</t>
        </is>
      </c>
      <c r="Q28" s="5" t="inlineStr">
        <is>
          <t>Prescot</t>
        </is>
      </c>
      <c r="R28" s="5" t="inlineStr">
        <is>
          <t>Merseyside</t>
        </is>
      </c>
      <c r="S28" s="5" t="inlineStr">
        <is>
          <t>L35 3SD</t>
        </is>
      </c>
      <c r="T28" s="5" t="inlineStr">
        <is>
          <t>North West</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convenience groceries; tobacco; soft drinks</t>
        </is>
      </c>
      <c r="AL28" s="5" t="inlineStr"/>
      <c r="AM28" s="5" t="inlineStr">
        <is>
          <t>Convenience Store</t>
        </is>
      </c>
      <c r="AN28" s="5" t="inlineStr">
        <is>
          <t>Best-one symbol group (Bestway Retail)</t>
        </is>
      </c>
      <c r="AO28" s="5" t="inlineStr">
        <is>
          <t>Best-one symbol-group convenience store on Halsnead Avenue, Whiston/Prescot (Knowsley, L35). 'At the heart of the community since 2002.'</t>
        </is>
      </c>
      <c r="AP28" s="5" t="inlineStr">
        <is>
          <t>Medium</t>
        </is>
      </c>
      <c r="AQ28" s="5" t="inlineStr">
        <is>
          <t>Multi-site retailer; Independent retailer; Relevant category</t>
        </is>
      </c>
      <c r="AR28" s="5" t="inlineStr">
        <is>
          <t>https://www.192.com/atoz/business/prescot-l35/convenience-stores/best-one/c272bbf3-defd-410c-93e2-54df41799bbd/ugc/</t>
        </is>
      </c>
      <c r="AS28" s="5" t="inlineStr"/>
      <c r="AT28" s="5" t="inlineStr">
        <is>
          <t>1</t>
        </is>
      </c>
      <c r="AU28" s="5" t="inlineStr">
        <is>
          <t>No</t>
        </is>
      </c>
      <c r="AV28" s="5" t="inlineStr">
        <is>
          <t>No</t>
        </is>
      </c>
      <c r="AW28" s="5" t="inlineStr">
        <is>
          <t>No</t>
        </is>
      </c>
      <c r="AX28" s="5" t="inlineStr">
        <is>
          <t>No</t>
        </is>
      </c>
      <c r="AY28" s="5" t="inlineStr">
        <is>
          <t>Not Found</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UK-000702</t>
        </is>
      </c>
      <c r="B29" s="10" t="inlineStr">
        <is>
          <t>BESTWAYRET-03</t>
        </is>
      </c>
      <c r="C29" s="10" t="inlineStr">
        <is>
          <t>Bestway Retail (Best-one)</t>
        </is>
      </c>
      <c r="D29" s="10" t="inlineStr">
        <is>
          <t>Best-one - Loweswater Way</t>
        </is>
      </c>
      <c r="E29" s="10" t="inlineStr">
        <is>
          <t>Best-one</t>
        </is>
      </c>
      <c r="F29" s="10" t="inlineStr"/>
      <c r="G29" s="10" t="inlineStr">
        <is>
          <t>Convenience Store</t>
        </is>
      </c>
      <c r="H29" s="10" t="inlineStr">
        <is>
          <t>Convenience store (symbol group)</t>
        </is>
      </c>
      <c r="I29" s="10" t="inlineStr">
        <is>
          <t>Franchise / Symbol Group</t>
        </is>
      </c>
      <c r="J29" s="10" t="inlineStr">
        <is>
          <t>1</t>
        </is>
      </c>
      <c r="K29" s="10" t="inlineStr"/>
      <c r="L29" s="10" t="inlineStr"/>
      <c r="M29" s="10" t="inlineStr"/>
      <c r="N29" s="10" t="inlineStr"/>
      <c r="O29" s="10" t="inlineStr">
        <is>
          <t>3 Loweswater Way</t>
        </is>
      </c>
      <c r="P29" s="10" t="inlineStr">
        <is>
          <t>Kirkby</t>
        </is>
      </c>
      <c r="Q29" s="10" t="inlineStr">
        <is>
          <t>Liverpool</t>
        </is>
      </c>
      <c r="R29" s="10" t="inlineStr">
        <is>
          <t>Merseyside</t>
        </is>
      </c>
      <c r="S29" s="10" t="inlineStr">
        <is>
          <t>L33 2DL</t>
        </is>
      </c>
      <c r="T29" s="10" t="inlineStr">
        <is>
          <t>North West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convenience groceries; tobacco; soft drinks</t>
        </is>
      </c>
      <c r="AL29" s="10" t="inlineStr"/>
      <c r="AM29" s="10" t="inlineStr">
        <is>
          <t>Convenience Store</t>
        </is>
      </c>
      <c r="AN29" s="10" t="inlineStr">
        <is>
          <t>Best-one symbol group (Bestway Retail)</t>
        </is>
      </c>
      <c r="AO29" s="10" t="inlineStr">
        <is>
          <t>Best-one symbol-group convenience store on Loweswater Way, Kirkby (L33).</t>
        </is>
      </c>
      <c r="AP29" s="10" t="inlineStr">
        <is>
          <t>Medium</t>
        </is>
      </c>
      <c r="AQ29" s="10" t="inlineStr">
        <is>
          <t>Multi-site retailer; Independent retailer; Relevant category</t>
        </is>
      </c>
      <c r="AR29" s="10" t="inlineStr">
        <is>
          <t>https://kirkby.cylex-uk.co.uk/convenience-stores/</t>
        </is>
      </c>
      <c r="AS29" s="10" t="inlineStr"/>
      <c r="AT29" s="10" t="inlineStr">
        <is>
          <t>1</t>
        </is>
      </c>
      <c r="AU29" s="10" t="inlineStr">
        <is>
          <t>No</t>
        </is>
      </c>
      <c r="AV29" s="10" t="inlineStr">
        <is>
          <t>No</t>
        </is>
      </c>
      <c r="AW29" s="10" t="inlineStr">
        <is>
          <t>No</t>
        </is>
      </c>
      <c r="AX29" s="10" t="inlineStr">
        <is>
          <t>No</t>
        </is>
      </c>
      <c r="AY29" s="10" t="inlineStr">
        <is>
          <t>Not Found</t>
        </is>
      </c>
      <c r="AZ29" s="10" t="inlineStr">
        <is>
          <t>Not Found</t>
        </is>
      </c>
      <c r="BA29" s="10" t="inlineStr">
        <is>
          <t>2026-09-17</t>
        </is>
      </c>
      <c r="BB29" s="10" t="inlineStr">
        <is>
          <t>Requires Verification</t>
        </is>
      </c>
      <c r="BC29" s="10" t="inlineStr">
        <is>
          <t>Low</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UK-000703</t>
        </is>
      </c>
      <c r="B30" s="5" t="inlineStr">
        <is>
          <t>BESTWAYRET-04</t>
        </is>
      </c>
      <c r="C30" s="5" t="inlineStr">
        <is>
          <t>Bestway Retail (Best-one)</t>
        </is>
      </c>
      <c r="D30" s="5" t="inlineStr">
        <is>
          <t>Best-one - Westhall Avenue</t>
        </is>
      </c>
      <c r="E30" s="5" t="inlineStr">
        <is>
          <t>Best-one</t>
        </is>
      </c>
      <c r="F30" s="5" t="inlineStr"/>
      <c r="G30" s="5" t="inlineStr">
        <is>
          <t>Convenience Store</t>
        </is>
      </c>
      <c r="H30" s="5" t="inlineStr">
        <is>
          <t>Convenience store (symbol group)</t>
        </is>
      </c>
      <c r="I30" s="5" t="inlineStr">
        <is>
          <t>Franchise / Symbol Group</t>
        </is>
      </c>
      <c r="J30" s="5" t="inlineStr">
        <is>
          <t>1</t>
        </is>
      </c>
      <c r="K30" s="5" t="inlineStr"/>
      <c r="L30" s="5" t="inlineStr"/>
      <c r="M30" s="5" t="inlineStr"/>
      <c r="N30" s="5" t="inlineStr"/>
      <c r="O30" s="5" t="inlineStr">
        <is>
          <t>Westhall Avenue</t>
        </is>
      </c>
      <c r="P30" s="5" t="inlineStr">
        <is>
          <t>Kirkby</t>
        </is>
      </c>
      <c r="Q30" s="5" t="inlineStr">
        <is>
          <t>Liverpool</t>
        </is>
      </c>
      <c r="R30" s="5" t="inlineStr">
        <is>
          <t>Merseyside</t>
        </is>
      </c>
      <c r="S30" s="5" t="inlineStr">
        <is>
          <t>L33 0XE</t>
        </is>
      </c>
      <c r="T30" s="5" t="inlineStr">
        <is>
          <t>North West</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convenience groceries; tobacco; soft drinks</t>
        </is>
      </c>
      <c r="AL30" s="5" t="inlineStr"/>
      <c r="AM30" s="5" t="inlineStr">
        <is>
          <t>Convenience Store</t>
        </is>
      </c>
      <c r="AN30" s="5" t="inlineStr">
        <is>
          <t>Best-one symbol group (Bestway Retail)</t>
        </is>
      </c>
      <c r="AO30" s="5" t="inlineStr">
        <is>
          <t>Best-one symbol-group convenience store on Westhall Avenue, Kirkby (L33). 'At the heart of the community since 2002.'</t>
        </is>
      </c>
      <c r="AP30" s="5" t="inlineStr">
        <is>
          <t>Medium</t>
        </is>
      </c>
      <c r="AQ30" s="5" t="inlineStr">
        <is>
          <t>Multi-site retailer; Independent retailer; Relevant category</t>
        </is>
      </c>
      <c r="AR30" s="5" t="inlineStr">
        <is>
          <t>https://kirkby.cylex-uk.co.uk/convenience-stores/</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2026-09-17</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UK-000422</t>
        </is>
      </c>
      <c r="B31" s="10" t="inlineStr">
        <is>
          <t>BESTWAYWHO-01</t>
        </is>
      </c>
      <c r="C31" s="10" t="inlineStr">
        <is>
          <t>Bestway Wholesale</t>
        </is>
      </c>
      <c r="D31" s="10" t="inlineStr">
        <is>
          <t>Bestway Walsall</t>
        </is>
      </c>
      <c r="E31" s="10" t="inlineStr">
        <is>
          <t>Bestway Wholesale</t>
        </is>
      </c>
      <c r="F31" s="10" t="inlineStr">
        <is>
          <t>Bestway Wholesale Limited</t>
        </is>
      </c>
      <c r="G31" s="10" t="inlineStr">
        <is>
          <t>Cash &amp; Carry</t>
        </is>
      </c>
      <c r="H31" s="10" t="inlineStr">
        <is>
          <t>Grocery &amp; tobacco wholesale depot</t>
        </is>
      </c>
      <c r="I31" s="10" t="inlineStr">
        <is>
          <t>National Chain</t>
        </is>
      </c>
      <c r="J31" s="10" t="inlineStr">
        <is>
          <t>1</t>
        </is>
      </c>
      <c r="K31" s="10" t="inlineStr">
        <is>
          <t>https://www.bestwaywholesale.co.uk/depots/Bestway-Walsall</t>
        </is>
      </c>
      <c r="L31" s="10" t="inlineStr"/>
      <c r="M31" s="10" t="inlineStr"/>
      <c r="N31" s="10" t="inlineStr"/>
      <c r="O31" s="10" t="inlineStr">
        <is>
          <t>9-10 Bloxwich Lane</t>
        </is>
      </c>
      <c r="P31" s="10" t="inlineStr"/>
      <c r="Q31" s="10" t="inlineStr">
        <is>
          <t>Walsall</t>
        </is>
      </c>
      <c r="R31" s="10" t="inlineStr">
        <is>
          <t>West Midlands</t>
        </is>
      </c>
      <c r="S31" s="10" t="inlineStr">
        <is>
          <t>WS2 8TF</t>
        </is>
      </c>
      <c r="T31" s="10" t="inlineStr">
        <is>
          <t>West Midlands</t>
        </is>
      </c>
      <c r="U31" s="10" t="inlineStr">
        <is>
          <t>England</t>
        </is>
      </c>
      <c r="V31" s="10" t="inlineStr">
        <is>
          <t>01922 633561</t>
        </is>
      </c>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grocery; tobacco; soft drinks; confectionery; wholesale</t>
        </is>
      </c>
      <c r="AL31" s="10" t="inlineStr"/>
      <c r="AM31" s="10" t="inlineStr">
        <is>
          <t>Cash &amp; Carry</t>
        </is>
      </c>
      <c r="AN31" s="10" t="inlineStr">
        <is>
          <t>National cash &amp; carry / delivered wholesale operator (supplier, not a retail prospect per se).</t>
        </is>
      </c>
      <c r="AO31" s="10" t="inlineStr">
        <is>
          <t>National Bestway depot in Walsall (Bloxwich Lane); cash &amp; carry plus click &amp; collect. Included as a category target though a national multiple.</t>
        </is>
      </c>
      <c r="AP31" s="10" t="inlineStr">
        <is>
          <t>High</t>
        </is>
      </c>
      <c r="AQ31" s="10" t="inlineStr">
        <is>
          <t>Multi-site retailer; Core relevant category; Active website; Phone verified on official website</t>
        </is>
      </c>
      <c r="AR31" s="10" t="inlineStr">
        <is>
          <t>https://www.bestwaywholesale.co.uk/depots/Bestway-Walsall</t>
        </is>
      </c>
      <c r="AS31" s="10" t="inlineStr"/>
      <c r="AT31" s="10" t="inlineStr">
        <is>
          <t>1</t>
        </is>
      </c>
      <c r="AU31" s="10" t="inlineStr">
        <is>
          <t>Yes</t>
        </is>
      </c>
      <c r="AV31" s="10" t="inlineStr">
        <is>
          <t>No</t>
        </is>
      </c>
      <c r="AW31" s="10" t="inlineStr">
        <is>
          <t>No</t>
        </is>
      </c>
      <c r="AX31" s="10" t="inlineStr">
        <is>
          <t>No</t>
        </is>
      </c>
      <c r="AY31" s="10" t="inlineStr">
        <is>
          <t>Verified on official website</t>
        </is>
      </c>
      <c r="AZ31" s="10" t="inlineStr">
        <is>
          <t>Website Found</t>
        </is>
      </c>
      <c r="BA31" s="10" t="inlineStr">
        <is>
          <t>2026-09-17</t>
        </is>
      </c>
      <c r="BB31" s="10" t="inlineStr">
        <is>
          <t>Partially Verified</t>
        </is>
      </c>
      <c r="BC31" s="10" t="inlineStr">
        <is>
          <t>High</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UK-000548</t>
        </is>
      </c>
      <c r="B32" s="5" t="inlineStr">
        <is>
          <t>CGARSLTD-01</t>
        </is>
      </c>
      <c r="C32" s="5" t="inlineStr">
        <is>
          <t>C.Gars Ltd</t>
        </is>
      </c>
      <c r="D32" s="5" t="inlineStr">
        <is>
          <t>C.Gars Ltd - St James's</t>
        </is>
      </c>
      <c r="E32" s="5" t="inlineStr">
        <is>
          <t>C.Gars</t>
        </is>
      </c>
      <c r="F32" s="5" t="inlineStr"/>
      <c r="G32" s="5" t="inlineStr">
        <is>
          <t>Tobacco Specialist</t>
        </is>
      </c>
      <c r="H32" s="5" t="inlineStr">
        <is>
          <t>Cigar merchant &amp; whisky</t>
        </is>
      </c>
      <c r="I32" s="5" t="inlineStr">
        <is>
          <t>Regional Chain</t>
        </is>
      </c>
      <c r="J32" s="5" t="inlineStr">
        <is>
          <t>1</t>
        </is>
      </c>
      <c r="K32" s="5" t="inlineStr">
        <is>
          <t>https://www.cgarsltd.co.uk/</t>
        </is>
      </c>
      <c r="L32" s="5" t="inlineStr"/>
      <c r="M32" s="5" t="inlineStr"/>
      <c r="N32" s="5" t="inlineStr"/>
      <c r="O32" s="5" t="inlineStr">
        <is>
          <t>23a St James's Street</t>
        </is>
      </c>
      <c r="P32" s="5" t="inlineStr">
        <is>
          <t>St James's</t>
        </is>
      </c>
      <c r="Q32" s="5" t="inlineStr">
        <is>
          <t>London</t>
        </is>
      </c>
      <c r="R32" s="5" t="inlineStr">
        <is>
          <t>Greater London</t>
        </is>
      </c>
      <c r="S32" s="5" t="inlineStr">
        <is>
          <t>SW1A 1HA</t>
        </is>
      </c>
      <c r="T32" s="5" t="inlineStr">
        <is>
          <t>London</t>
        </is>
      </c>
      <c r="U32" s="5" t="inlineStr">
        <is>
          <t>England</t>
        </is>
      </c>
      <c r="V32" s="5" t="inlineStr">
        <is>
          <t>020 7930 7095</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cigars; whisky; accessories</t>
        </is>
      </c>
      <c r="AL32" s="5" t="inlineStr"/>
      <c r="AM32" s="5" t="inlineStr">
        <is>
          <t>Tobacco Specialist</t>
        </is>
      </c>
      <c r="AN32" s="5" t="inlineStr"/>
      <c r="AO32" s="5" t="inlineStr">
        <is>
          <t>St James's flagship of C.Gars Ltd (parent of Turmeaus), walk-in humidor with Cuban/New World cigars. Address/postcode/phone from cgarsltd.co.uk shop page snippet.</t>
        </is>
      </c>
      <c r="AP32" s="5" t="inlineStr">
        <is>
          <t>High</t>
        </is>
      </c>
      <c r="AQ32" s="5" t="inlineStr">
        <is>
          <t>Multi-site retailer; Core relevant category; Active website; Phone verified on official website</t>
        </is>
      </c>
      <c r="AR32" s="5" t="inlineStr">
        <is>
          <t>https://www.cgarsltd.co.uk/cigar-shops/The_Cgars_shop_site.htm</t>
        </is>
      </c>
      <c r="AS32" s="5" t="inlineStr"/>
      <c r="AT32" s="5" t="inlineStr">
        <is>
          <t>1</t>
        </is>
      </c>
      <c r="AU32" s="5" t="inlineStr">
        <is>
          <t>No</t>
        </is>
      </c>
      <c r="AV32" s="5" t="inlineStr">
        <is>
          <t>No</t>
        </is>
      </c>
      <c r="AW32" s="5" t="inlineStr">
        <is>
          <t>No</t>
        </is>
      </c>
      <c r="AX32" s="5" t="inlineStr">
        <is>
          <t>No</t>
        </is>
      </c>
      <c r="AY32" s="5" t="inlineStr">
        <is>
          <t>Verified on official website</t>
        </is>
      </c>
      <c r="AZ32" s="5" t="inlineStr">
        <is>
          <t>Website Found</t>
        </is>
      </c>
      <c r="BA32" s="5" t="inlineStr">
        <is>
          <t>2026-09-17</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UK-000549</t>
        </is>
      </c>
      <c r="B33" s="10" t="inlineStr">
        <is>
          <t>CGARSLTD-02</t>
        </is>
      </c>
      <c r="C33" s="10" t="inlineStr">
        <is>
          <t>C.Gars Ltd</t>
        </is>
      </c>
      <c r="D33" s="10" t="inlineStr">
        <is>
          <t>C.Gars Ltd - The City (Lime Street)</t>
        </is>
      </c>
      <c r="E33" s="10" t="inlineStr">
        <is>
          <t>C.Gars</t>
        </is>
      </c>
      <c r="F33" s="10" t="inlineStr"/>
      <c r="G33" s="10" t="inlineStr">
        <is>
          <t>Tobacco Specialist</t>
        </is>
      </c>
      <c r="H33" s="10" t="inlineStr">
        <is>
          <t>Cigar merchant &amp; whisky</t>
        </is>
      </c>
      <c r="I33" s="10" t="inlineStr">
        <is>
          <t>Regional Chain</t>
        </is>
      </c>
      <c r="J33" s="10" t="inlineStr">
        <is>
          <t>1</t>
        </is>
      </c>
      <c r="K33" s="10" t="inlineStr">
        <is>
          <t>https://www.cgarsltd.co.uk/</t>
        </is>
      </c>
      <c r="L33" s="10" t="inlineStr"/>
      <c r="M33" s="10" t="inlineStr"/>
      <c r="N33" s="10" t="inlineStr"/>
      <c r="O33" s="10" t="inlineStr">
        <is>
          <t>30 Lime Street</t>
        </is>
      </c>
      <c r="P33" s="10" t="inlineStr"/>
      <c r="Q33" s="10" t="inlineStr">
        <is>
          <t>London</t>
        </is>
      </c>
      <c r="R33" s="10" t="inlineStr">
        <is>
          <t>Greater London</t>
        </is>
      </c>
      <c r="S33" s="10" t="inlineStr">
        <is>
          <t>EC3M 7HR</t>
        </is>
      </c>
      <c r="T33" s="10" t="inlineStr">
        <is>
          <t>London</t>
        </is>
      </c>
      <c r="U33" s="10" t="inlineStr">
        <is>
          <t>England</t>
        </is>
      </c>
      <c r="V33" s="10" t="inlineStr">
        <is>
          <t>020 3795 5926</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cigars; whisky; accessories</t>
        </is>
      </c>
      <c r="AL33" s="10" t="inlineStr"/>
      <c r="AM33" s="10" t="inlineStr">
        <is>
          <t>Tobacco Specialist</t>
        </is>
      </c>
      <c r="AN33" s="10" t="inlineStr"/>
      <c r="AO33" s="10" t="inlineStr">
        <is>
          <t>City of London (Lime Street / Leadenhall) branch of C.Gars Ltd. Address/postcode/phone from cgarsltd.co.uk City shop page snippet. City fringe location.</t>
        </is>
      </c>
      <c r="AP33" s="10" t="inlineStr">
        <is>
          <t>High</t>
        </is>
      </c>
      <c r="AQ33" s="10" t="inlineStr">
        <is>
          <t>Multi-site retailer; Core relevant category; Active website; Phone verified on official website</t>
        </is>
      </c>
      <c r="AR33" s="10" t="inlineStr">
        <is>
          <t>https://www.cgarsltd.co.uk/cigar-shops/CGars_The_City_shop.htm</t>
        </is>
      </c>
      <c r="AS33" s="10" t="inlineStr"/>
      <c r="AT33" s="10" t="inlineStr">
        <is>
          <t>1</t>
        </is>
      </c>
      <c r="AU33" s="10" t="inlineStr">
        <is>
          <t>No</t>
        </is>
      </c>
      <c r="AV33" s="10" t="inlineStr">
        <is>
          <t>No</t>
        </is>
      </c>
      <c r="AW33" s="10" t="inlineStr">
        <is>
          <t>No</t>
        </is>
      </c>
      <c r="AX33" s="10" t="inlineStr">
        <is>
          <t>No</t>
        </is>
      </c>
      <c r="AY33" s="10" t="inlineStr">
        <is>
          <t>Verified on official website</t>
        </is>
      </c>
      <c r="AZ33" s="10" t="inlineStr">
        <is>
          <t>Website Found</t>
        </is>
      </c>
      <c r="BA33" s="10" t="inlineStr">
        <is>
          <t>2026-09-17</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UK-000550</t>
        </is>
      </c>
      <c r="B34" s="5" t="inlineStr">
        <is>
          <t>CGARSLTD-03</t>
        </is>
      </c>
      <c r="C34" s="5" t="inlineStr">
        <is>
          <t>C.Gars Ltd</t>
        </is>
      </c>
      <c r="D34" s="5" t="inlineStr">
        <is>
          <t>Turmeaus Tobacconist - Mayfair</t>
        </is>
      </c>
      <c r="E34" s="5" t="inlineStr">
        <is>
          <t>Turmeaus</t>
        </is>
      </c>
      <c r="F34" s="5" t="inlineStr"/>
      <c r="G34" s="5" t="inlineStr">
        <is>
          <t>Tobacco Specialist</t>
        </is>
      </c>
      <c r="H34" s="5" t="inlineStr">
        <is>
          <t>Cigar merchant &amp; whisky</t>
        </is>
      </c>
      <c r="I34" s="5" t="inlineStr">
        <is>
          <t>Regional Chain</t>
        </is>
      </c>
      <c r="J34" s="5" t="inlineStr">
        <is>
          <t>1</t>
        </is>
      </c>
      <c r="K34" s="5" t="inlineStr">
        <is>
          <t>https://www.turmeaus.co.uk/</t>
        </is>
      </c>
      <c r="L34" s="5" t="inlineStr"/>
      <c r="M34" s="5" t="inlineStr"/>
      <c r="N34" s="5" t="inlineStr"/>
      <c r="O34" s="5" t="inlineStr">
        <is>
          <t>1 White Horse Street</t>
        </is>
      </c>
      <c r="P34" s="5" t="inlineStr">
        <is>
          <t>Shepherd Market, Mayfair</t>
        </is>
      </c>
      <c r="Q34" s="5" t="inlineStr">
        <is>
          <t>London</t>
        </is>
      </c>
      <c r="R34" s="5" t="inlineStr">
        <is>
          <t>Greater London</t>
        </is>
      </c>
      <c r="S34" s="5" t="inlineStr">
        <is>
          <t>W1J 7LB</t>
        </is>
      </c>
      <c r="T34" s="5" t="inlineStr">
        <is>
          <t>London</t>
        </is>
      </c>
      <c r="U34" s="5" t="inlineStr">
        <is>
          <t>England</t>
        </is>
      </c>
      <c r="V34" s="5" t="inlineStr">
        <is>
          <t>020 7495 7330</t>
        </is>
      </c>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cigars; pipe tobacco; whisky</t>
        </is>
      </c>
      <c r="AL34" s="5" t="inlineStr"/>
      <c r="AM34" s="5" t="inlineStr">
        <is>
          <t>Tobacco Specialist</t>
        </is>
      </c>
      <c r="AN34" s="5" t="inlineStr"/>
      <c r="AO34" s="5" t="inlineStr">
        <is>
          <t>Mayfair cigar merchant, part of the Turmeaus / C.Gars Ltd group (established brand dating to 1817). Address/postcode/phone from Turmeaus site page shown in snippet; walk-in humidor with Cuban cigars. Strong Tobacco Specialist prospect.</t>
        </is>
      </c>
      <c r="AP34" s="5" t="inlineStr">
        <is>
          <t>High</t>
        </is>
      </c>
      <c r="AQ34" s="5" t="inlineStr">
        <is>
          <t>Multi-site retailer; Core relevant category; Active website; Phone verified on official website</t>
        </is>
      </c>
      <c r="AR34" s="5" t="inlineStr">
        <is>
          <t>https://www.turmeaus.co.uk/cigar-shops/mayfair_turmeaus_tobacconist_site.htm</t>
        </is>
      </c>
      <c r="AS34" s="5" t="inlineStr"/>
      <c r="AT34" s="5" t="inlineStr">
        <is>
          <t>1</t>
        </is>
      </c>
      <c r="AU34" s="5" t="inlineStr">
        <is>
          <t>No</t>
        </is>
      </c>
      <c r="AV34" s="5" t="inlineStr">
        <is>
          <t>No</t>
        </is>
      </c>
      <c r="AW34" s="5" t="inlineStr">
        <is>
          <t>No</t>
        </is>
      </c>
      <c r="AX34" s="5" t="inlineStr">
        <is>
          <t>No</t>
        </is>
      </c>
      <c r="AY34" s="5" t="inlineStr">
        <is>
          <t>Verified on official website</t>
        </is>
      </c>
      <c r="AZ34" s="5" t="inlineStr">
        <is>
          <t>Website Found</t>
        </is>
      </c>
      <c r="BA34" s="5" t="inlineStr">
        <is>
          <t>2026-09-17</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UK-000194</t>
        </is>
      </c>
      <c r="B35" s="10" t="inlineStr">
        <is>
          <t>CRAMVAPE-01</t>
        </is>
      </c>
      <c r="C35" s="10" t="inlineStr">
        <is>
          <t>CRAM Vape</t>
        </is>
      </c>
      <c r="D35" s="10" t="inlineStr">
        <is>
          <t>CRAM Vape</t>
        </is>
      </c>
      <c r="E35" s="10" t="inlineStr">
        <is>
          <t>CRAM Vape</t>
        </is>
      </c>
      <c r="F35" s="10" t="inlineStr">
        <is>
          <t>CRAM VAPE LTD</t>
        </is>
      </c>
      <c r="G35" s="10" t="inlineStr">
        <is>
          <t>Vape Shop</t>
        </is>
      </c>
      <c r="H35" s="10" t="inlineStr">
        <is>
          <t>Vape store</t>
        </is>
      </c>
      <c r="I35" s="10" t="inlineStr">
        <is>
          <t>Multi-Site Independent</t>
        </is>
      </c>
      <c r="J35" s="10" t="inlineStr">
        <is>
          <t>2</t>
        </is>
      </c>
      <c r="K35" s="10" t="inlineStr">
        <is>
          <t>https://www.cramvape.co.uk</t>
        </is>
      </c>
      <c r="L35" s="10" t="inlineStr"/>
      <c r="M35" s="10" t="inlineStr"/>
      <c r="N35" s="10" t="inlineStr"/>
      <c r="O35" s="10" t="inlineStr">
        <is>
          <t>190 Ashby Road</t>
        </is>
      </c>
      <c r="P35" s="10" t="inlineStr"/>
      <c r="Q35" s="10" t="inlineStr">
        <is>
          <t>Scunthorpe</t>
        </is>
      </c>
      <c r="R35" s="10" t="inlineStr">
        <is>
          <t>Lincolnshire</t>
        </is>
      </c>
      <c r="S35" s="10" t="inlineStr">
        <is>
          <t>DN16 2AR</t>
        </is>
      </c>
      <c r="T35" s="10" t="inlineStr">
        <is>
          <t>Yorkshire &amp; Humber</t>
        </is>
      </c>
      <c r="U35" s="10" t="inlineStr">
        <is>
          <t>England</t>
        </is>
      </c>
      <c r="V35" s="10" t="inlineStr">
        <is>
          <t>01724 277259</t>
        </is>
      </c>
      <c r="W35" s="10" t="inlineStr"/>
      <c r="X35" s="10" t="inlineStr"/>
      <c r="Y35" s="10" t="inlineStr"/>
      <c r="Z35" s="10" t="inlineStr"/>
      <c r="AA35" s="10" t="inlineStr"/>
      <c r="AB35" s="10" t="inlineStr"/>
      <c r="AC35" s="10" t="inlineStr"/>
      <c r="AD35" s="10" t="inlineStr"/>
      <c r="AE35" s="10" t="inlineStr">
        <is>
          <t>07343567</t>
        </is>
      </c>
      <c r="AF35" s="10" t="inlineStr"/>
      <c r="AG35" s="10" t="inlineStr">
        <is>
          <t>CRAM VAPE LTD</t>
        </is>
      </c>
      <c r="AH35" s="10" t="inlineStr"/>
      <c r="AI35" s="10" t="inlineStr"/>
      <c r="AJ35" s="10" t="inlineStr"/>
      <c r="AK35" s="10" t="inlineStr">
        <is>
          <t>vape hardware; e-liquids; disposables</t>
        </is>
      </c>
      <c r="AL35" s="10" t="inlineStr"/>
      <c r="AM35" s="10" t="inlineStr">
        <is>
          <t>Vape Shop</t>
        </is>
      </c>
      <c r="AN35" s="10" t="inlineStr"/>
      <c r="AO35" s="10" t="inlineStr">
        <is>
          <t>Multi-site independent with stores in Scunthorpe (190 Ashby Road, DN16 2AR) and Gainsborough. Companies House 07343567 (CRAM VAPE LTD); related entity Cram Vape Gainsborough Ltd 13177415. Website has contact-us page; no email published in search results.</t>
        </is>
      </c>
      <c r="AP35" s="10" t="inlineStr">
        <is>
          <t>High</t>
        </is>
      </c>
      <c r="AQ35" s="10" t="inlineStr">
        <is>
          <t>Multi-site retailer; Independent retailer; Core relevant category; Active website</t>
        </is>
      </c>
      <c r="AR35" s="10" t="inlineStr">
        <is>
          <t>https://www.cramvape.co.uk/pages/contact-us</t>
        </is>
      </c>
      <c r="AS35" s="10" t="inlineStr">
        <is>
          <t>https://find-and-update.company-information.service.gov.uk/company/07343567</t>
        </is>
      </c>
      <c r="AT35" s="10" t="inlineStr">
        <is>
          <t>3</t>
        </is>
      </c>
      <c r="AU35" s="10" t="inlineStr">
        <is>
          <t>Yes</t>
        </is>
      </c>
      <c r="AV35" s="10" t="inlineStr">
        <is>
          <t>No</t>
        </is>
      </c>
      <c r="AW35" s="10" t="inlineStr">
        <is>
          <t>No</t>
        </is>
      </c>
      <c r="AX35" s="10" t="inlineStr">
        <is>
          <t>Yes</t>
        </is>
      </c>
      <c r="AY35" s="10" t="inlineStr">
        <is>
          <t>Verified directory</t>
        </is>
      </c>
      <c r="AZ35" s="10" t="inlineStr">
        <is>
          <t>Not Found</t>
        </is>
      </c>
      <c r="BA35" s="10" t="inlineStr">
        <is>
          <t>2026-09-17</t>
        </is>
      </c>
      <c r="BB35" s="10" t="inlineStr">
        <is>
          <t>Verified (website + Companies House)</t>
        </is>
      </c>
      <c r="BC35" s="10" t="inlineStr">
        <is>
          <t>Medium</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2026-09-17</t>
        </is>
      </c>
      <c r="BL35" s="10" t="inlineStr"/>
      <c r="BM35" s="10" t="inlineStr"/>
      <c r="BN35" s="10" t="inlineStr"/>
      <c r="BO35" s="10" t="inlineStr"/>
      <c r="BP35" s="10" t="inlineStr"/>
      <c r="BQ35" s="10" t="inlineStr"/>
    </row>
    <row r="36">
      <c r="A36" s="5" t="inlineStr">
        <is>
          <t>UK-000704</t>
        </is>
      </c>
      <c r="B36" s="5" t="inlineStr">
        <is>
          <t>CAMPBELLSP-01</t>
        </is>
      </c>
      <c r="C36" s="5" t="inlineStr">
        <is>
          <t>Campbells Prime Meat</t>
        </is>
      </c>
      <c r="D36" s="5" t="inlineStr">
        <is>
          <t>Campbells Cash &amp; Carry</t>
        </is>
      </c>
      <c r="E36" s="5" t="inlineStr">
        <is>
          <t>Campbells</t>
        </is>
      </c>
      <c r="F36" s="5" t="inlineStr">
        <is>
          <t>Campbells Prime Meat Ltd</t>
        </is>
      </c>
      <c r="G36" s="5" t="inlineStr">
        <is>
          <t>Cash &amp; Carry</t>
        </is>
      </c>
      <c r="H36" s="5" t="inlineStr">
        <is>
          <t>Meat &amp; foodservice cash &amp; carry / wholesale</t>
        </is>
      </c>
      <c r="I36" s="5" t="inlineStr">
        <is>
          <t>Regional Chain</t>
        </is>
      </c>
      <c r="J36" s="5" t="inlineStr">
        <is>
          <t>1</t>
        </is>
      </c>
      <c r="K36" s="5" t="inlineStr">
        <is>
          <t>https://www.campbellsmeat.com</t>
        </is>
      </c>
      <c r="L36" s="5" t="inlineStr"/>
      <c r="M36" s="5" t="inlineStr"/>
      <c r="N36" s="5" t="inlineStr"/>
      <c r="O36" s="5" t="inlineStr">
        <is>
          <t>Sighthill Industrial Estate</t>
        </is>
      </c>
      <c r="P36" s="5" t="inlineStr"/>
      <c r="Q36" s="5" t="inlineStr">
        <is>
          <t>Edinburgh</t>
        </is>
      </c>
      <c r="R36" s="5" t="inlineStr">
        <is>
          <t>City of Edinburgh</t>
        </is>
      </c>
      <c r="S36" s="5" t="inlineStr">
        <is>
          <t>EH11 4BP</t>
        </is>
      </c>
      <c r="T36" s="5" t="inlineStr">
        <is>
          <t>Scotland</t>
        </is>
      </c>
      <c r="U36" s="5" t="inlineStr">
        <is>
          <t>Scotland</t>
        </is>
      </c>
      <c r="V36" s="5" t="inlineStr">
        <is>
          <t>0131 442 4999</t>
        </is>
      </c>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meat; foodservice; wholesale groceries</t>
        </is>
      </c>
      <c r="AL36" s="5" t="inlineStr"/>
      <c r="AM36" s="5" t="inlineStr">
        <is>
          <t>Cash &amp; Carry</t>
        </is>
      </c>
      <c r="AN36" s="5" t="inlineStr"/>
      <c r="AO36" s="5" t="inlineStr">
        <is>
          <t>Scottish regional meat/foodservice wholesaler and cash &amp; carry (Campbells Prime Meat, campbellsmeat.com), Sighthill Edinburgh site. Website exists; WebFetch blocked so email not confirmed. Details from Cylex/192 snippet.</t>
        </is>
      </c>
      <c r="AP36" s="5" t="inlineStr">
        <is>
          <t>Medium</t>
        </is>
      </c>
      <c r="AQ36" s="5" t="inlineStr">
        <is>
          <t>Multi-site retailer; Core relevant category; Active website</t>
        </is>
      </c>
      <c r="AR36" s="5" t="inlineStr">
        <is>
          <t>https://edinburgh.cylex-uk.co.uk/company/campbells-cash---carry-17079450.html</t>
        </is>
      </c>
      <c r="AS36" s="5" t="inlineStr">
        <is>
          <t>https://www.192.com/atoz/business/edinburgh-eh11/cash-and-carry-wholesalers/campbells-chinese-cash-carry-ltd/024767584027305db0b8ebcef0ef2a37f1a5f32c/ml/</t>
        </is>
      </c>
      <c r="AT36" s="5" t="inlineStr">
        <is>
          <t>2</t>
        </is>
      </c>
      <c r="AU36" s="5" t="inlineStr">
        <is>
          <t>No</t>
        </is>
      </c>
      <c r="AV36" s="5" t="inlineStr">
        <is>
          <t>No</t>
        </is>
      </c>
      <c r="AW36" s="5" t="inlineStr">
        <is>
          <t>No</t>
        </is>
      </c>
      <c r="AX36" s="5" t="inlineStr">
        <is>
          <t>No</t>
        </is>
      </c>
      <c r="AY36" s="5" t="inlineStr">
        <is>
          <t>Verified directory</t>
        </is>
      </c>
      <c r="AZ36" s="5" t="inlineStr">
        <is>
          <t>Website Found</t>
        </is>
      </c>
      <c r="BA36" s="5" t="inlineStr">
        <is>
          <t>2026-09-17</t>
        </is>
      </c>
      <c r="BB36" s="5" t="inlineStr">
        <is>
          <t>Requires Verification</t>
        </is>
      </c>
      <c r="BC36" s="5" t="inlineStr">
        <is>
          <t>Medium</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WY-0011</t>
        </is>
      </c>
      <c r="B37" s="10" t="inlineStr">
        <is>
          <t>CHEAPASMOK-01</t>
        </is>
      </c>
      <c r="C37" s="10" t="inlineStr">
        <is>
          <t>Cheapasmokes</t>
        </is>
      </c>
      <c r="D37" s="10" t="inlineStr">
        <is>
          <t>Cheapasmokes</t>
        </is>
      </c>
      <c r="E37" s="10" t="inlineStr">
        <is>
          <t>Cheapasmokes Halifax</t>
        </is>
      </c>
      <c r="F37" s="10" t="inlineStr"/>
      <c r="G37" s="10" t="inlineStr">
        <is>
          <t>Tobacco Specialist</t>
        </is>
      </c>
      <c r="H37" s="10" t="inlineStr">
        <is>
          <t>Cut-price cigarette, tobacco and cigar specialist</t>
        </is>
      </c>
      <c r="I37" s="10" t="inlineStr">
        <is>
          <t>Regional Chain</t>
        </is>
      </c>
      <c r="J37" s="10" t="inlineStr"/>
      <c r="K37" s="10" t="inlineStr">
        <is>
          <t>https://www.cheapasmokes.com/pages/cheapasmokes-halifax</t>
        </is>
      </c>
      <c r="L37" s="10" t="inlineStr"/>
      <c r="M37" s="10" t="inlineStr"/>
      <c r="N37" s="10" t="inlineStr"/>
      <c r="O37" s="10" t="inlineStr">
        <is>
          <t>Unit 24, Borough Market</t>
        </is>
      </c>
      <c r="P37" s="10" t="inlineStr"/>
      <c r="Q37" s="10" t="inlineStr">
        <is>
          <t>Halifax</t>
        </is>
      </c>
      <c r="R37" s="10" t="inlineStr">
        <is>
          <t>West Yorkshire</t>
        </is>
      </c>
      <c r="S37" s="10" t="inlineStr">
        <is>
          <t>HX1 1DZ</t>
        </is>
      </c>
      <c r="T37" s="10" t="inlineStr">
        <is>
          <t>Yorkshire &amp; Humber</t>
        </is>
      </c>
      <c r="U37" s="10" t="inlineStr">
        <is>
          <t>England</t>
        </is>
      </c>
      <c r="V37" s="10" t="inlineStr">
        <is>
          <t>01422 355554</t>
        </is>
      </c>
      <c r="W37" s="10" t="inlineStr"/>
      <c r="X37" s="10" t="inlineStr"/>
      <c r="Y37" s="10" t="inlineStr"/>
      <c r="Z37" s="10" t="inlineStr">
        <is>
          <t>sales@cheapasmokes.com</t>
        </is>
      </c>
      <c r="AA37" s="10" t="inlineStr"/>
      <c r="AB37" s="10" t="inlineStr"/>
      <c r="AC37" s="10" t="inlineStr"/>
      <c r="AD37" s="10" t="inlineStr"/>
      <c r="AE37" s="10" t="inlineStr"/>
      <c r="AF37" s="10" t="inlineStr"/>
      <c r="AG37" s="10" t="inlineStr"/>
      <c r="AH37" s="10" t="inlineStr"/>
      <c r="AI37" s="10" t="inlineStr"/>
      <c r="AJ37" s="10" t="inlineStr"/>
      <c r="AK37" s="10" t="inlineStr">
        <is>
          <t>cigarettes; tobacco; cigars; vapes</t>
        </is>
      </c>
      <c r="AL37" s="10" t="inlineStr"/>
      <c r="AM37" s="10" t="inlineStr">
        <is>
          <t>Tobacco Specialist</t>
        </is>
      </c>
      <c r="AN37" s="10" t="inlineStr">
        <is>
          <t>Hunters &amp; Frankau stockist (cigars.co.uk location listing)</t>
        </is>
      </c>
      <c r="AO37" s="10" t="inlineStr">
        <is>
          <t>Physical shop inside Halifax Borough Market; part of the Cheapasmokes group which runs several shops plus a national online tobacconist (cheapasmokes.com).</t>
        </is>
      </c>
      <c r="AP37" s="10" t="inlineStr">
        <is>
          <t>High</t>
        </is>
      </c>
      <c r="AQ37" s="10" t="inlineStr">
        <is>
          <t>Multi-site retailer; Core relevant category; Public trade/sales contact; Active website</t>
        </is>
      </c>
      <c r="AR37" s="10" t="inlineStr">
        <is>
          <t>https://www.cheapasmokes.com/pages/cheapasmokes-halifax</t>
        </is>
      </c>
      <c r="AS37" s="10" t="inlineStr">
        <is>
          <t>https://www.cheapasmokes.com/pages/contact-us</t>
        </is>
      </c>
      <c r="AT37" s="10" t="inlineStr">
        <is>
          <t>4</t>
        </is>
      </c>
      <c r="AU37" s="10" t="inlineStr">
        <is>
          <t>No</t>
        </is>
      </c>
      <c r="AV37" s="10" t="inlineStr">
        <is>
          <t>No</t>
        </is>
      </c>
      <c r="AW37" s="10" t="inlineStr">
        <is>
          <t>Yes</t>
        </is>
      </c>
      <c r="AX37" s="10" t="inlineStr">
        <is>
          <t>No</t>
        </is>
      </c>
      <c r="AY37" s="10" t="inlineStr">
        <is>
          <t>Verified directory</t>
        </is>
      </c>
      <c r="AZ37" s="10" t="inlineStr">
        <is>
          <t>Website Found</t>
        </is>
      </c>
      <c r="BA37" s="10" t="inlineStr">
        <is>
          <t>2026-09-17</t>
        </is>
      </c>
      <c r="BB37" s="10" t="inlineStr">
        <is>
          <t>Partially Verified</t>
        </is>
      </c>
      <c r="BC37" s="10" t="inlineStr">
        <is>
          <t>Medium</t>
        </is>
      </c>
      <c r="BD37" s="10" t="inlineStr"/>
      <c r="BE37" s="10" t="inlineStr">
        <is>
          <t>Business (B2B)</t>
        </is>
      </c>
      <c r="BF37" s="10" t="inlineStr">
        <is>
          <t>Legitimate interest (B2B) - assess per campaign; PECR: corporate subscribers</t>
        </is>
      </c>
      <c r="BG37" s="10" t="inlineStr"/>
      <c r="BH37" s="10" t="inlineStr">
        <is>
          <t>No</t>
        </is>
      </c>
      <c r="BI37" s="10" t="inlineStr">
        <is>
          <t>2026-09-16</t>
        </is>
      </c>
      <c r="BJ37" s="10" t="inlineStr">
        <is>
          <t>New</t>
        </is>
      </c>
      <c r="BK37" s="10" t="inlineStr">
        <is>
          <t>2026-09-17</t>
        </is>
      </c>
      <c r="BL37" s="10" t="inlineStr"/>
      <c r="BM37" s="10" t="inlineStr"/>
      <c r="BN37" s="10" t="inlineStr"/>
      <c r="BO37" s="10" t="inlineStr"/>
      <c r="BP37" s="10" t="inlineStr"/>
      <c r="BQ37" s="10" t="inlineStr"/>
    </row>
    <row r="38">
      <c r="A38" s="5" t="inlineStr">
        <is>
          <t>UK-000551</t>
        </is>
      </c>
      <c r="B38" s="5" t="inlineStr">
        <is>
          <t>CITYOFLOND-01</t>
        </is>
      </c>
      <c r="C38" s="5" t="inlineStr">
        <is>
          <t>City of London Cigars</t>
        </is>
      </c>
      <c r="D38" s="5" t="inlineStr">
        <is>
          <t>City of London Cigars - Victoria</t>
        </is>
      </c>
      <c r="E38" s="5" t="inlineStr">
        <is>
          <t>City of London Cigars</t>
        </is>
      </c>
      <c r="F38" s="5" t="inlineStr">
        <is>
          <t>Victoria Cigars Limited</t>
        </is>
      </c>
      <c r="G38" s="5" t="inlineStr">
        <is>
          <t>Tobacco Specialist</t>
        </is>
      </c>
      <c r="H38" s="5" t="inlineStr">
        <is>
          <t>Cigar merchant &amp; spirits</t>
        </is>
      </c>
      <c r="I38" s="5" t="inlineStr">
        <is>
          <t>Multi-Site Independent</t>
        </is>
      </c>
      <c r="J38" s="5" t="inlineStr">
        <is>
          <t>1</t>
        </is>
      </c>
      <c r="K38" s="5" t="inlineStr">
        <is>
          <t>https://cityoflondoncigars.com/</t>
        </is>
      </c>
      <c r="L38" s="5" t="inlineStr">
        <is>
          <t>https://www.facebook.com/people/City-of-London-Cigars/61563679750215/</t>
        </is>
      </c>
      <c r="M38" s="5" t="inlineStr"/>
      <c r="N38" s="5" t="inlineStr"/>
      <c r="O38" s="5" t="inlineStr">
        <is>
          <t>97 Buckingham Palace Road</t>
        </is>
      </c>
      <c r="P38" s="5" t="inlineStr">
        <is>
          <t>Victoria</t>
        </is>
      </c>
      <c r="Q38" s="5" t="inlineStr">
        <is>
          <t>London</t>
        </is>
      </c>
      <c r="R38" s="5" t="inlineStr">
        <is>
          <t>Greater London</t>
        </is>
      </c>
      <c r="S38" s="5" t="inlineStr">
        <is>
          <t>SW1W 0RP</t>
        </is>
      </c>
      <c r="T38" s="5" t="inlineStr">
        <is>
          <t>London</t>
        </is>
      </c>
      <c r="U38" s="5" t="inlineStr">
        <is>
          <t>England</t>
        </is>
      </c>
      <c r="V38" s="5" t="inlineStr"/>
      <c r="W38" s="5" t="inlineStr"/>
      <c r="X38" s="5" t="inlineStr"/>
      <c r="Y38" s="5" t="inlineStr"/>
      <c r="Z38" s="5" t="inlineStr"/>
      <c r="AA38" s="5" t="inlineStr"/>
      <c r="AB38" s="5" t="inlineStr"/>
      <c r="AC38" s="5" t="inlineStr"/>
      <c r="AD38" s="5" t="inlineStr"/>
      <c r="AE38" s="5" t="inlineStr">
        <is>
          <t>15478996</t>
        </is>
      </c>
      <c r="AF38" s="5" t="inlineStr"/>
      <c r="AG38" s="5" t="inlineStr">
        <is>
          <t>VICTORIA CIGARS LIMITED</t>
        </is>
      </c>
      <c r="AH38" s="5" t="inlineStr"/>
      <c r="AI38" s="5" t="inlineStr"/>
      <c r="AJ38" s="5" t="inlineStr"/>
      <c r="AK38" s="5" t="inlineStr">
        <is>
          <t>cigars; spirits; accessories</t>
        </is>
      </c>
      <c r="AL38" s="5" t="inlineStr"/>
      <c r="AM38" s="5" t="inlineStr">
        <is>
          <t>Tobacco Specialist</t>
        </is>
      </c>
      <c r="AN38" s="5" t="inlineStr"/>
      <c r="AO38" s="5" t="inlineStr">
        <is>
          <t>Victoria store of City of London Cigars, a small London specialist group (brand states four stores). Address/postcode from S.T. Dupont store page &amp; Yell snippet; Companies House number for 'Victoria Cigars Limited' from search snippet. Phone not captured.</t>
        </is>
      </c>
      <c r="AP38" s="5" t="inlineStr">
        <is>
          <t>High</t>
        </is>
      </c>
      <c r="AQ38" s="5" t="inlineStr">
        <is>
          <t>Multi-site retailer; Independent retailer; Core relevant category; Active website; Social presence</t>
        </is>
      </c>
      <c r="AR38" s="5" t="inlineStr">
        <is>
          <t>https://find-and-update.company-information.service.gov.uk/company/15478996</t>
        </is>
      </c>
      <c r="AS38" s="5" t="inlineStr">
        <is>
          <t>https://www.yell.com/biz/city-of-london-cigars-victoria-london-10926701/</t>
        </is>
      </c>
      <c r="AT38" s="5" t="inlineStr">
        <is>
          <t>2</t>
        </is>
      </c>
      <c r="AU38" s="5" t="inlineStr">
        <is>
          <t>No</t>
        </is>
      </c>
      <c r="AV38" s="5" t="inlineStr">
        <is>
          <t>No</t>
        </is>
      </c>
      <c r="AW38" s="5" t="inlineStr">
        <is>
          <t>No</t>
        </is>
      </c>
      <c r="AX38" s="5" t="inlineStr">
        <is>
          <t>No</t>
        </is>
      </c>
      <c r="AY38" s="5" t="inlineStr">
        <is>
          <t>Not Found</t>
        </is>
      </c>
      <c r="AZ38" s="5" t="inlineStr">
        <is>
          <t>Website Found</t>
        </is>
      </c>
      <c r="BA38" s="5" t="inlineStr">
        <is>
          <t>2026-09-17</t>
        </is>
      </c>
      <c r="BB38" s="5" t="inlineStr">
        <is>
          <t>Requires Verification</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UK-000300</t>
        </is>
      </c>
      <c r="B39" s="10" t="inlineStr">
        <is>
          <t>CLOUDSTIX-01</t>
        </is>
      </c>
      <c r="C39" s="10" t="inlineStr">
        <is>
          <t>Cloudstix</t>
        </is>
      </c>
      <c r="D39" s="10" t="inlineStr">
        <is>
          <t>Cloudstix Ashton-in-Makerfield</t>
        </is>
      </c>
      <c r="E39" s="10" t="inlineStr">
        <is>
          <t>Cloudstix</t>
        </is>
      </c>
      <c r="F39" s="10" t="inlineStr"/>
      <c r="G39" s="10" t="inlineStr">
        <is>
          <t>Vape Shop</t>
        </is>
      </c>
      <c r="H39" s="10" t="inlineStr">
        <is>
          <t>E-cigarette and e-liquid shop</t>
        </is>
      </c>
      <c r="I39" s="10" t="inlineStr">
        <is>
          <t>Regional Chain</t>
        </is>
      </c>
      <c r="J39" s="10" t="inlineStr">
        <is>
          <t>1</t>
        </is>
      </c>
      <c r="K39" s="10" t="inlineStr">
        <is>
          <t>https://www.cloudstix.com/</t>
        </is>
      </c>
      <c r="L39" s="10" t="inlineStr"/>
      <c r="M39" s="10" t="inlineStr"/>
      <c r="N39" s="10" t="inlineStr"/>
      <c r="O39" s="10" t="inlineStr">
        <is>
          <t>61a Gerard Street</t>
        </is>
      </c>
      <c r="P39" s="10" t="inlineStr">
        <is>
          <t>Ashton-in-Makerfield</t>
        </is>
      </c>
      <c r="Q39" s="10" t="inlineStr">
        <is>
          <t>Wigan</t>
        </is>
      </c>
      <c r="R39" s="10" t="inlineStr">
        <is>
          <t>Greater Manchester</t>
        </is>
      </c>
      <c r="S39" s="10" t="inlineStr">
        <is>
          <t>WN4 9AG</t>
        </is>
      </c>
      <c r="T39" s="10" t="inlineStr">
        <is>
          <t>North West</t>
        </is>
      </c>
      <c r="U39" s="10" t="inlineStr">
        <is>
          <t>England</t>
        </is>
      </c>
      <c r="V39" s="10" t="inlineStr">
        <is>
          <t>01942 718289</t>
        </is>
      </c>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vape hardware; e-liquids</t>
        </is>
      </c>
      <c r="AL39" s="10" t="inlineStr"/>
      <c r="AM39" s="10" t="inlineStr">
        <is>
          <t>Vape Shop</t>
        </is>
      </c>
      <c r="AN39" s="10" t="inlineStr"/>
      <c r="AO39" s="10" t="inlineStr">
        <is>
          <t>Cloudstix store in Ashton-in-Makerfield. Cloudstix is a North-West vape retailer/chain with its own e-commerce site and multiple shops; this record is the confirmed Ashton branch.</t>
        </is>
      </c>
      <c r="AP39" s="10" t="inlineStr">
        <is>
          <t>High</t>
        </is>
      </c>
      <c r="AQ39" s="10" t="inlineStr">
        <is>
          <t>Multi-site retailer; Core relevant category; Active website; Phone verified on official website</t>
        </is>
      </c>
      <c r="AR39" s="10" t="inlineStr">
        <is>
          <t>https://www.cloudstix.com/pages/vape-shop-ashton-in-makerfield</t>
        </is>
      </c>
      <c r="AS39" s="10" t="inlineStr">
        <is>
          <t>https://ecigdirectory.co.uk/vape-shop/listing/cloudstix-ashton-in-makerfield</t>
        </is>
      </c>
      <c r="AT39" s="10" t="inlineStr">
        <is>
          <t>2</t>
        </is>
      </c>
      <c r="AU39" s="10" t="inlineStr">
        <is>
          <t>No</t>
        </is>
      </c>
      <c r="AV39" s="10" t="inlineStr">
        <is>
          <t>No</t>
        </is>
      </c>
      <c r="AW39" s="10" t="inlineStr">
        <is>
          <t>No</t>
        </is>
      </c>
      <c r="AX39" s="10" t="inlineStr">
        <is>
          <t>No</t>
        </is>
      </c>
      <c r="AY39" s="10" t="inlineStr">
        <is>
          <t>Verified on official website</t>
        </is>
      </c>
      <c r="AZ39" s="10" t="inlineStr">
        <is>
          <t>Website Found</t>
        </is>
      </c>
      <c r="BA39" s="10" t="inlineStr">
        <is>
          <t>2026-09-17</t>
        </is>
      </c>
      <c r="BB39" s="10" t="inlineStr">
        <is>
          <t>Requires Verification</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UK-000195</t>
        </is>
      </c>
      <c r="B40" s="5" t="inlineStr">
        <is>
          <t>COSTCUTTER-01</t>
        </is>
      </c>
      <c r="C40" s="5" t="inlineStr">
        <is>
          <t>Costcutter</t>
        </is>
      </c>
      <c r="D40" s="5" t="inlineStr">
        <is>
          <t>Costcutter Tadcaster</t>
        </is>
      </c>
      <c r="E40" s="5" t="inlineStr">
        <is>
          <t>Costcutter</t>
        </is>
      </c>
      <c r="F40" s="5" t="inlineStr"/>
      <c r="G40" s="5" t="inlineStr">
        <is>
          <t>Convenience Store</t>
        </is>
      </c>
      <c r="H40" s="5" t="inlineStr">
        <is>
          <t>Symbol-group convenience store</t>
        </is>
      </c>
      <c r="I40" s="5" t="inlineStr">
        <is>
          <t>Franchise / Symbol Group</t>
        </is>
      </c>
      <c r="J40" s="5" t="inlineStr">
        <is>
          <t>1</t>
        </is>
      </c>
      <c r="K40" s="5" t="inlineStr"/>
      <c r="L40" s="5" t="inlineStr"/>
      <c r="M40" s="5" t="inlineStr"/>
      <c r="N40" s="5" t="inlineStr"/>
      <c r="O40" s="5" t="inlineStr"/>
      <c r="P40" s="5" t="inlineStr"/>
      <c r="Q40" s="5" t="inlineStr">
        <is>
          <t>Tadcaster</t>
        </is>
      </c>
      <c r="R40" s="5" t="inlineStr">
        <is>
          <t>North Yorkshire</t>
        </is>
      </c>
      <c r="S40" s="5" t="inlineStr"/>
      <c r="T40" s="5" t="inlineStr">
        <is>
          <t>Yorkshire &amp; Humber</t>
        </is>
      </c>
      <c r="U40" s="5" t="inlineStr">
        <is>
          <t>England</t>
        </is>
      </c>
      <c r="V40" s="5" t="inlineStr"/>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convenience groceries; off-licence; confectionery; soft drinks</t>
        </is>
      </c>
      <c r="AL40" s="5" t="inlineStr"/>
      <c r="AM40" s="5" t="inlineStr">
        <is>
          <t>Convenience Store</t>
        </is>
      </c>
      <c r="AN40" s="5" t="inlineStr">
        <is>
          <t>Costcutter symbol group</t>
        </is>
      </c>
      <c r="AO40" s="5" t="inlineStr">
        <is>
          <t>Independently-owned corner shop trading under the Costcutter symbol fascia in Tadcaster (LS24). Listed on Yorkshire.com corner-shops directory; exact street address, postcode and phone not surfaced in search snippets, so left blank pending verification.</t>
        </is>
      </c>
      <c r="AP40" s="5" t="inlineStr">
        <is>
          <t>Medium</t>
        </is>
      </c>
      <c r="AQ40" s="5" t="inlineStr">
        <is>
          <t>Multi-site retailer; Independent retailer; Relevant category</t>
        </is>
      </c>
      <c r="AR40" s="5" t="inlineStr">
        <is>
          <t>https://www.yorkshire.com/tadcaster/shopping/corner-shops/costcutter-16</t>
        </is>
      </c>
      <c r="AS40" s="5" t="inlineStr"/>
      <c r="AT40" s="5" t="inlineStr">
        <is>
          <t>1</t>
        </is>
      </c>
      <c r="AU40" s="5" t="inlineStr">
        <is>
          <t>No</t>
        </is>
      </c>
      <c r="AV40" s="5" t="inlineStr">
        <is>
          <t>No</t>
        </is>
      </c>
      <c r="AW40" s="5" t="inlineStr">
        <is>
          <t>No</t>
        </is>
      </c>
      <c r="AX40" s="5" t="inlineStr">
        <is>
          <t>No</t>
        </is>
      </c>
      <c r="AY40" s="5" t="inlineStr">
        <is>
          <t>Not Found</t>
        </is>
      </c>
      <c r="AZ40" s="5" t="inlineStr">
        <is>
          <t>Not Found</t>
        </is>
      </c>
      <c r="BA40" s="5" t="inlineStr">
        <is>
          <t>2026-09-17</t>
        </is>
      </c>
      <c r="BB40" s="5" t="inlineStr">
        <is>
          <t>Requires Verification</t>
        </is>
      </c>
      <c r="BC40" s="5" t="inlineStr">
        <is>
          <t>Low</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2026-09-17</t>
        </is>
      </c>
      <c r="BL40" s="5" t="inlineStr"/>
      <c r="BM40" s="5" t="inlineStr"/>
      <c r="BN40" s="5" t="inlineStr"/>
      <c r="BO40" s="5" t="inlineStr"/>
      <c r="BP40" s="5" t="inlineStr"/>
      <c r="BQ40" s="5" t="inlineStr"/>
    </row>
    <row r="41">
      <c r="A41" s="10" t="inlineStr">
        <is>
          <t>UK-000423</t>
        </is>
      </c>
      <c r="B41" s="10" t="inlineStr">
        <is>
          <t>COSTCUTTER-02</t>
        </is>
      </c>
      <c r="C41" s="10" t="inlineStr">
        <is>
          <t>Costcutter</t>
        </is>
      </c>
      <c r="D41" s="10" t="inlineStr">
        <is>
          <t>Costcutter Yardley Wood</t>
        </is>
      </c>
      <c r="E41" s="10" t="inlineStr">
        <is>
          <t>Costcutter</t>
        </is>
      </c>
      <c r="F41" s="10" t="inlineStr"/>
      <c r="G41" s="10" t="inlineStr">
        <is>
          <t>Convenience Store</t>
        </is>
      </c>
      <c r="H41" s="10" t="inlineStr">
        <is>
          <t>Symbol-group convenience store</t>
        </is>
      </c>
      <c r="I41" s="10" t="inlineStr">
        <is>
          <t>Franchise / Symbol Group</t>
        </is>
      </c>
      <c r="J41" s="10" t="inlineStr">
        <is>
          <t>1</t>
        </is>
      </c>
      <c r="K41" s="10" t="inlineStr"/>
      <c r="L41" s="10" t="inlineStr"/>
      <c r="M41" s="10" t="inlineStr"/>
      <c r="N41" s="10" t="inlineStr"/>
      <c r="O41" s="10" t="inlineStr">
        <is>
          <t>195 School Road</t>
        </is>
      </c>
      <c r="P41" s="10" t="inlineStr">
        <is>
          <t>Yardley Wood</t>
        </is>
      </c>
      <c r="Q41" s="10" t="inlineStr">
        <is>
          <t>Birmingham</t>
        </is>
      </c>
      <c r="R41" s="10" t="inlineStr">
        <is>
          <t>West Midlands</t>
        </is>
      </c>
      <c r="S41" s="10" t="inlineStr">
        <is>
          <t>B14 4ER</t>
        </is>
      </c>
      <c r="T41" s="10" t="inlineStr">
        <is>
          <t>West Midlands</t>
        </is>
      </c>
      <c r="U41" s="10" t="inlineStr">
        <is>
          <t>England</t>
        </is>
      </c>
      <c r="V41" s="10" t="inlineStr">
        <is>
          <t>0121 436 7621</t>
        </is>
      </c>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convenience grocery; off-licence</t>
        </is>
      </c>
      <c r="AL41" s="10" t="inlineStr"/>
      <c r="AM41" s="10" t="inlineStr">
        <is>
          <t>Convenience Store</t>
        </is>
      </c>
      <c r="AN41" s="10" t="inlineStr">
        <is>
          <t>Costcutter symbol group</t>
        </is>
      </c>
      <c r="AO41" s="10" t="inlineStr">
        <is>
          <t>Costcutter-fascia symbol-group convenience store, School Road, Yardley Wood.</t>
        </is>
      </c>
      <c r="AP41" s="10" t="inlineStr">
        <is>
          <t>Medium</t>
        </is>
      </c>
      <c r="AQ41" s="10" t="inlineStr">
        <is>
          <t>Multi-site retailer; Independent retailer; Relevant category</t>
        </is>
      </c>
      <c r="AR41" s="10" t="inlineStr">
        <is>
          <t>https://www.yelp.com/search?cflt=convenience&amp;find_loc=Yardley%2C+Birmingham%2C+West+Midlands</t>
        </is>
      </c>
      <c r="AS41" s="10" t="inlineStr"/>
      <c r="AT41" s="10" t="inlineStr">
        <is>
          <t>1</t>
        </is>
      </c>
      <c r="AU41" s="10" t="inlineStr">
        <is>
          <t>No</t>
        </is>
      </c>
      <c r="AV41" s="10" t="inlineStr">
        <is>
          <t>No</t>
        </is>
      </c>
      <c r="AW41" s="10" t="inlineStr">
        <is>
          <t>No</t>
        </is>
      </c>
      <c r="AX41" s="10" t="inlineStr">
        <is>
          <t>No</t>
        </is>
      </c>
      <c r="AY41" s="10" t="inlineStr">
        <is>
          <t>Verified directory</t>
        </is>
      </c>
      <c r="AZ41" s="10" t="inlineStr">
        <is>
          <t>Not Found</t>
        </is>
      </c>
      <c r="BA41" s="10" t="inlineStr">
        <is>
          <t>2026-09-17</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UK-000301</t>
        </is>
      </c>
      <c r="B42" s="5" t="inlineStr">
        <is>
          <t>COSTCUTTER-01</t>
        </is>
      </c>
      <c r="C42" s="5" t="inlineStr">
        <is>
          <t>Costcutter (Bestway Retail)</t>
        </is>
      </c>
      <c r="D42" s="5" t="inlineStr">
        <is>
          <t>Costcutter Shevington</t>
        </is>
      </c>
      <c r="E42" s="5" t="inlineStr">
        <is>
          <t>Costcutter</t>
        </is>
      </c>
      <c r="F42" s="5" t="inlineStr"/>
      <c r="G42" s="5" t="inlineStr">
        <is>
          <t>Convenience Store</t>
        </is>
      </c>
      <c r="H42" s="5" t="inlineStr">
        <is>
          <t>Symbol-group convenience store</t>
        </is>
      </c>
      <c r="I42" s="5" t="inlineStr">
        <is>
          <t>Franchise / Symbol Group</t>
        </is>
      </c>
      <c r="J42" s="5" t="inlineStr">
        <is>
          <t>1</t>
        </is>
      </c>
      <c r="K42" s="5" t="inlineStr"/>
      <c r="L42" s="5" t="inlineStr"/>
      <c r="M42" s="5" t="inlineStr"/>
      <c r="N42" s="5" t="inlineStr"/>
      <c r="O42" s="5" t="inlineStr">
        <is>
          <t>126 Wigan Lower Road</t>
        </is>
      </c>
      <c r="P42" s="5" t="inlineStr">
        <is>
          <t>Shevington</t>
        </is>
      </c>
      <c r="Q42" s="5" t="inlineStr">
        <is>
          <t>Wigan</t>
        </is>
      </c>
      <c r="R42" s="5" t="inlineStr">
        <is>
          <t>Greater Manchester</t>
        </is>
      </c>
      <c r="S42" s="5" t="inlineStr">
        <is>
          <t>WN6 8JP</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convenience groceries; tobacco; soft drinks; news</t>
        </is>
      </c>
      <c r="AL42" s="5" t="inlineStr"/>
      <c r="AM42" s="5" t="inlineStr">
        <is>
          <t>Convenience Store</t>
        </is>
      </c>
      <c r="AN42" s="5" t="inlineStr">
        <is>
          <t>Costcutter symbol group (Bestway)</t>
        </is>
      </c>
      <c r="AO42" s="5" t="inlineStr">
        <is>
          <t>Costcutter symbol-group store, Wigan Lower Road, Shevington, Wigan (WN6 8JP).</t>
        </is>
      </c>
      <c r="AP42" s="5" t="inlineStr">
        <is>
          <t>Medium</t>
        </is>
      </c>
      <c r="AQ42" s="5" t="inlineStr">
        <is>
          <t>Multi-site retailer; Independent retailer; Relevant category</t>
        </is>
      </c>
      <c r="AR42" s="5" t="inlineStr">
        <is>
          <t>https://www.bigreddirectory.com/costcutter-shevington-wigan</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UK-000302</t>
        </is>
      </c>
      <c r="B43" s="10" t="inlineStr">
        <is>
          <t>COSTSAVER-01</t>
        </is>
      </c>
      <c r="C43" s="10" t="inlineStr">
        <is>
          <t>Costsaver</t>
        </is>
      </c>
      <c r="D43" s="10" t="inlineStr">
        <is>
          <t>Costsaver Convenience Store Whitefield</t>
        </is>
      </c>
      <c r="E43" s="10" t="inlineStr">
        <is>
          <t>Costsaver</t>
        </is>
      </c>
      <c r="F43" s="10" t="inlineStr"/>
      <c r="G43" s="10" t="inlineStr">
        <is>
          <t>Convenience Store</t>
        </is>
      </c>
      <c r="H43" s="10" t="inlineStr"/>
      <c r="I43" s="10" t="inlineStr">
        <is>
          <t>Franchise / Symbol Group</t>
        </is>
      </c>
      <c r="J43" s="10" t="inlineStr">
        <is>
          <t>1</t>
        </is>
      </c>
      <c r="K43" s="10" t="inlineStr"/>
      <c r="L43" s="10" t="inlineStr"/>
      <c r="M43" s="10" t="inlineStr"/>
      <c r="N43" s="10" t="inlineStr"/>
      <c r="O43" s="10" t="inlineStr">
        <is>
          <t>1 Radcliffe New Road</t>
        </is>
      </c>
      <c r="P43" s="10" t="inlineStr">
        <is>
          <t>Whitefield</t>
        </is>
      </c>
      <c r="Q43" s="10" t="inlineStr">
        <is>
          <t>Whitefield</t>
        </is>
      </c>
      <c r="R43" s="10" t="inlineStr">
        <is>
          <t>Greater Manchester</t>
        </is>
      </c>
      <c r="S43" s="10" t="inlineStr">
        <is>
          <t>M45 7QX</t>
        </is>
      </c>
      <c r="T43" s="10" t="inlineStr">
        <is>
          <t>North West</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convenience groceries; off-licence; tobacco; news</t>
        </is>
      </c>
      <c r="AL43" s="10" t="inlineStr"/>
      <c r="AM43" s="10" t="inlineStr">
        <is>
          <t>Convenience Store</t>
        </is>
      </c>
      <c r="AN43" s="10" t="inlineStr">
        <is>
          <t>Costsaver symbol group</t>
        </is>
      </c>
      <c r="AO43" s="10" t="inlineStr">
        <is>
          <t>Costsaver convenience store with off-licence, Radcliffe New Road, Whitefield (M45 7QX). Listed on Bury Council premises licence register.</t>
        </is>
      </c>
      <c r="AP43" s="10" t="inlineStr">
        <is>
          <t>Medium</t>
        </is>
      </c>
      <c r="AQ43" s="10" t="inlineStr">
        <is>
          <t>Multi-site retailer; Independent retailer; Relevant category</t>
        </is>
      </c>
      <c r="AR43" s="10" t="inlineStr">
        <is>
          <t>https://licensing.bury.gov.uk/PAforLalpacLIVE/1/LicensingActPremises/Search/1614</t>
        </is>
      </c>
      <c r="AS43" s="10" t="inlineStr"/>
      <c r="AT43" s="10" t="inlineStr">
        <is>
          <t>1</t>
        </is>
      </c>
      <c r="AU43" s="10" t="inlineStr">
        <is>
          <t>No</t>
        </is>
      </c>
      <c r="AV43" s="10" t="inlineStr">
        <is>
          <t>No</t>
        </is>
      </c>
      <c r="AW43" s="10" t="inlineStr">
        <is>
          <t>No</t>
        </is>
      </c>
      <c r="AX43" s="10" t="inlineStr">
        <is>
          <t>No</t>
        </is>
      </c>
      <c r="AY43" s="10" t="inlineStr">
        <is>
          <t>Not Found</t>
        </is>
      </c>
      <c r="AZ43" s="10" t="inlineStr">
        <is>
          <t>Not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UK-000552</t>
        </is>
      </c>
      <c r="B44" s="5" t="inlineStr">
        <is>
          <t>DHAMECHAFO-01</t>
        </is>
      </c>
      <c r="C44" s="5" t="inlineStr">
        <is>
          <t>Dhamecha Foods</t>
        </is>
      </c>
      <c r="D44" s="5" t="inlineStr">
        <is>
          <t>Dhamecha Cash &amp; Carry (Wembley)</t>
        </is>
      </c>
      <c r="E44" s="5" t="inlineStr">
        <is>
          <t>Dhamecha</t>
        </is>
      </c>
      <c r="F44" s="5" t="inlineStr"/>
      <c r="G44" s="5" t="inlineStr">
        <is>
          <t>Cash &amp; Carry</t>
        </is>
      </c>
      <c r="H44" s="5" t="inlineStr"/>
      <c r="I44" s="5" t="inlineStr">
        <is>
          <t>Regional Chain</t>
        </is>
      </c>
      <c r="J44" s="5" t="inlineStr">
        <is>
          <t>1</t>
        </is>
      </c>
      <c r="K44" s="5" t="inlineStr"/>
      <c r="L44" s="5" t="inlineStr"/>
      <c r="M44" s="5" t="inlineStr"/>
      <c r="N44" s="5" t="inlineStr"/>
      <c r="O44" s="5" t="inlineStr">
        <is>
          <t>First Way</t>
        </is>
      </c>
      <c r="P44" s="5" t="inlineStr"/>
      <c r="Q44" s="5" t="inlineStr">
        <is>
          <t>Wembley</t>
        </is>
      </c>
      <c r="R44" s="5" t="inlineStr">
        <is>
          <t>Greater London</t>
        </is>
      </c>
      <c r="S44" s="5" t="inlineStr">
        <is>
          <t>HA9 0TU</t>
        </is>
      </c>
      <c r="T44" s="5" t="inlineStr">
        <is>
          <t>London</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grocery wholesale; drinks; tobacco; confectionery; foodservice</t>
        </is>
      </c>
      <c r="AL44" s="5" t="inlineStr"/>
      <c r="AM44" s="5" t="inlineStr">
        <is>
          <t>Cash &amp; Carry</t>
        </is>
      </c>
      <c r="AN44" s="5" t="inlineStr"/>
      <c r="AO44" s="5" t="inlineStr">
        <is>
          <t>Wembley depot of Dhamecha, a large London/Home Counties cash &amp; carry group (multiple depots). One record per confirmed location.</t>
        </is>
      </c>
      <c r="AP44" s="5" t="inlineStr">
        <is>
          <t>Medium</t>
        </is>
      </c>
      <c r="AQ44" s="5" t="inlineStr">
        <is>
          <t>Multi-site retailer; Core relevant category</t>
        </is>
      </c>
      <c r="AR44" s="5" t="inlineStr">
        <is>
          <t>https://www.yell.com/biz/dhamecha-cash-and-carry-wembley-3748600/</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Medium</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WY-0012</t>
        </is>
      </c>
      <c r="B45" s="10" t="inlineStr">
        <is>
          <t>DOMINIQUEL-01</t>
        </is>
      </c>
      <c r="C45" s="10" t="inlineStr">
        <is>
          <t>Dominique London Group / C.Gars Ltd</t>
        </is>
      </c>
      <c r="D45" s="10" t="inlineStr">
        <is>
          <t>C.Gars Leeds (Dominique London)</t>
        </is>
      </c>
      <c r="E45" s="10" t="inlineStr">
        <is>
          <t>C.Gars Leeds</t>
        </is>
      </c>
      <c r="F45" s="10" t="inlineStr"/>
      <c r="G45" s="10" t="inlineStr">
        <is>
          <t>Tobacco Specialist</t>
        </is>
      </c>
      <c r="H45" s="10" t="inlineStr">
        <is>
          <t>Havana cigar specialist - cigars, whisky, accessories</t>
        </is>
      </c>
      <c r="I45" s="10" t="inlineStr">
        <is>
          <t>National Chain</t>
        </is>
      </c>
      <c r="J45" s="10" t="inlineStr"/>
      <c r="K45" s="10" t="inlineStr">
        <is>
          <t>https://www.cgarsltd.co.uk/</t>
        </is>
      </c>
      <c r="L45" s="10" t="inlineStr">
        <is>
          <t>https://www.facebook.com/DominiqueLDN/</t>
        </is>
      </c>
      <c r="M45" s="10" t="inlineStr"/>
      <c r="N45" s="10" t="inlineStr"/>
      <c r="O45" s="10" t="inlineStr">
        <is>
          <t>22 Thornton's Arcade</t>
        </is>
      </c>
      <c r="P45" s="10" t="inlineStr">
        <is>
          <t>City Centre</t>
        </is>
      </c>
      <c r="Q45" s="10" t="inlineStr">
        <is>
          <t>Leeds</t>
        </is>
      </c>
      <c r="R45" s="10" t="inlineStr">
        <is>
          <t>West Yorkshire</t>
        </is>
      </c>
      <c r="S45" s="10" t="inlineStr">
        <is>
          <t>LS1 6LQ</t>
        </is>
      </c>
      <c r="T45" s="10" t="inlineStr">
        <is>
          <t>Yorkshire &amp; Humber</t>
        </is>
      </c>
      <c r="U45" s="10" t="inlineStr">
        <is>
          <t>England</t>
        </is>
      </c>
      <c r="V45" s="10" t="inlineStr">
        <is>
          <t>0113 244 5556</t>
        </is>
      </c>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Cuban cigars; New World cigars; single malt whisky; humidors; accessories</t>
        </is>
      </c>
      <c r="AL45" s="10" t="inlineStr"/>
      <c r="AM45" s="10" t="inlineStr">
        <is>
          <t>Tobacco Specialist</t>
        </is>
      </c>
      <c r="AN45" s="10" t="inlineStr">
        <is>
          <t>Hunters &amp; Frankau (Havana cigar UK distributor) announced the opening</t>
        </is>
      </c>
      <c r="AO45" s="10" t="inlineStr">
        <is>
          <t>Havana Cigar Specialist boutique in Thornton's Arcade with sampling lounge and client lockers; part of the Dominique London / C.Gars group of cigar boutiques (UK-wide chain, so head office is not local).</t>
        </is>
      </c>
      <c r="AP45" s="10" t="inlineStr">
        <is>
          <t>High</t>
        </is>
      </c>
      <c r="AQ45" s="10" t="inlineStr">
        <is>
          <t>Multi-site retailer; Core relevant category; Active website; Social presence</t>
        </is>
      </c>
      <c r="AR45" s="10" t="inlineStr">
        <is>
          <t>https://www.cgarsltd.co.uk/new-cgars-ltd-store-leeds-a-521.html</t>
        </is>
      </c>
      <c r="AS45" s="10" t="inlineStr">
        <is>
          <t>https://www.cgarsltd.co.uk/cigar-shops/CGars_Leeds_1.html</t>
        </is>
      </c>
      <c r="AT45" s="10" t="inlineStr">
        <is>
          <t>3</t>
        </is>
      </c>
      <c r="AU45" s="10" t="inlineStr">
        <is>
          <t>No</t>
        </is>
      </c>
      <c r="AV45" s="10" t="inlineStr">
        <is>
          <t>No</t>
        </is>
      </c>
      <c r="AW45" s="10" t="inlineStr">
        <is>
          <t>No</t>
        </is>
      </c>
      <c r="AX45" s="10" t="inlineStr">
        <is>
          <t>No</t>
        </is>
      </c>
      <c r="AY45" s="10" t="inlineStr">
        <is>
          <t>Verified directory</t>
        </is>
      </c>
      <c r="AZ45" s="10" t="inlineStr">
        <is>
          <t>Website Found</t>
        </is>
      </c>
      <c r="BA45" s="10" t="inlineStr">
        <is>
          <t>2026-09-17</t>
        </is>
      </c>
      <c r="BB45" s="10" t="inlineStr">
        <is>
          <t>Requires Verification</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2026-09-16</t>
        </is>
      </c>
      <c r="BJ45" s="10" t="inlineStr">
        <is>
          <t>New</t>
        </is>
      </c>
      <c r="BK45" s="10" t="inlineStr">
        <is>
          <t>2026-09-17</t>
        </is>
      </c>
      <c r="BL45" s="10" t="inlineStr"/>
      <c r="BM45" s="10" t="inlineStr"/>
      <c r="BN45" s="10" t="inlineStr"/>
      <c r="BO45" s="10" t="inlineStr"/>
      <c r="BP45" s="10" t="inlineStr"/>
      <c r="BQ45" s="10" t="inlineStr"/>
    </row>
    <row r="46">
      <c r="A46" s="5" t="inlineStr">
        <is>
          <t>UK-000705</t>
        </is>
      </c>
      <c r="B46" s="5" t="inlineStr">
        <is>
          <t>DRVAPOR-01</t>
        </is>
      </c>
      <c r="C46" s="5" t="inlineStr">
        <is>
          <t>Dr Vapor</t>
        </is>
      </c>
      <c r="D46" s="5" t="inlineStr">
        <is>
          <t>Dr Vapor Edinburgh (Dalry)</t>
        </is>
      </c>
      <c r="E46" s="5" t="inlineStr">
        <is>
          <t>Dr Vapor</t>
        </is>
      </c>
      <c r="F46" s="5" t="inlineStr"/>
      <c r="G46" s="5" t="inlineStr">
        <is>
          <t>Vape Shop</t>
        </is>
      </c>
      <c r="H46" s="5" t="inlineStr">
        <is>
          <t>Electronic cigarettes &amp; e-liquids</t>
        </is>
      </c>
      <c r="I46" s="5" t="inlineStr">
        <is>
          <t>Multi-Site Independent</t>
        </is>
      </c>
      <c r="J46" s="5" t="inlineStr">
        <is>
          <t>2</t>
        </is>
      </c>
      <c r="K46" s="5" t="inlineStr"/>
      <c r="L46" s="5" t="inlineStr"/>
      <c r="M46" s="5" t="inlineStr"/>
      <c r="N46" s="5" t="inlineStr"/>
      <c r="O46" s="5" t="inlineStr">
        <is>
          <t>64 Dalry Road</t>
        </is>
      </c>
      <c r="P46" s="5" t="inlineStr"/>
      <c r="Q46" s="5" t="inlineStr">
        <is>
          <t>Edinburgh</t>
        </is>
      </c>
      <c r="R46" s="5" t="inlineStr">
        <is>
          <t>City of Edinburgh</t>
        </is>
      </c>
      <c r="S46" s="5" t="inlineStr">
        <is>
          <t>EH11 2AY</t>
        </is>
      </c>
      <c r="T46" s="5" t="inlineStr">
        <is>
          <t>Scotland</t>
        </is>
      </c>
      <c r="U46" s="5" t="inlineStr">
        <is>
          <t>Scotland</t>
        </is>
      </c>
      <c r="V46" s="5" t="inlineStr">
        <is>
          <t>0131 347 1581</t>
        </is>
      </c>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vape hardware; e-liquids</t>
        </is>
      </c>
      <c r="AL46" s="5" t="inlineStr"/>
      <c r="AM46" s="5" t="inlineStr">
        <is>
          <t>Vape Shop</t>
        </is>
      </c>
      <c r="AN46" s="5" t="inlineStr"/>
      <c r="AO46" s="5" t="inlineStr">
        <is>
          <t>Dalry Road branch of Dr Vapor, an independent Edinburgh vape retailer with a second store at Parsons Green Terrace. Shared parent Dr Vapor. Details from Yell/Cylex snippet.</t>
        </is>
      </c>
      <c r="AP46" s="5" t="inlineStr">
        <is>
          <t>Medium</t>
        </is>
      </c>
      <c r="AQ46" s="5" t="inlineStr">
        <is>
          <t>Multi-site retailer; Independent retailer; Core relevant category</t>
        </is>
      </c>
      <c r="AR46" s="5" t="inlineStr">
        <is>
          <t>https://www.yell.com/s/vape+shops-edinburgh.html</t>
        </is>
      </c>
      <c r="AS46" s="5" t="inlineStr"/>
      <c r="AT46" s="5" t="inlineStr">
        <is>
          <t>1</t>
        </is>
      </c>
      <c r="AU46" s="5" t="inlineStr">
        <is>
          <t>No</t>
        </is>
      </c>
      <c r="AV46" s="5" t="inlineStr">
        <is>
          <t>No</t>
        </is>
      </c>
      <c r="AW46" s="5" t="inlineStr">
        <is>
          <t>No</t>
        </is>
      </c>
      <c r="AX46" s="5" t="inlineStr">
        <is>
          <t>No</t>
        </is>
      </c>
      <c r="AY46" s="5" t="inlineStr">
        <is>
          <t>Verified directory</t>
        </is>
      </c>
      <c r="AZ46" s="5" t="inlineStr">
        <is>
          <t>Not Found</t>
        </is>
      </c>
      <c r="BA46" s="5" t="inlineStr">
        <is>
          <t>2026-09-17</t>
        </is>
      </c>
      <c r="BB46" s="5" t="inlineStr">
        <is>
          <t>Requires Verification</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UK-000706</t>
        </is>
      </c>
      <c r="B47" s="10" t="inlineStr">
        <is>
          <t>DRVAPOR-02</t>
        </is>
      </c>
      <c r="C47" s="10" t="inlineStr">
        <is>
          <t>Dr Vapor</t>
        </is>
      </c>
      <c r="D47" s="10" t="inlineStr">
        <is>
          <t>Dr Vapor Edinburgh (Parsons Green)</t>
        </is>
      </c>
      <c r="E47" s="10" t="inlineStr">
        <is>
          <t>Dr Vapor</t>
        </is>
      </c>
      <c r="F47" s="10" t="inlineStr"/>
      <c r="G47" s="10" t="inlineStr">
        <is>
          <t>Vape Shop</t>
        </is>
      </c>
      <c r="H47" s="10" t="inlineStr">
        <is>
          <t>Electronic cigarettes &amp; e-liquids</t>
        </is>
      </c>
      <c r="I47" s="10" t="inlineStr">
        <is>
          <t>Multi-Site Independent</t>
        </is>
      </c>
      <c r="J47" s="10" t="inlineStr">
        <is>
          <t>2</t>
        </is>
      </c>
      <c r="K47" s="10" t="inlineStr"/>
      <c r="L47" s="10" t="inlineStr"/>
      <c r="M47" s="10" t="inlineStr"/>
      <c r="N47" s="10" t="inlineStr"/>
      <c r="O47" s="10" t="inlineStr">
        <is>
          <t>37 Parsons Green Terrace</t>
        </is>
      </c>
      <c r="P47" s="10" t="inlineStr"/>
      <c r="Q47" s="10" t="inlineStr">
        <is>
          <t>Edinburgh</t>
        </is>
      </c>
      <c r="R47" s="10" t="inlineStr">
        <is>
          <t>City of Edinburgh</t>
        </is>
      </c>
      <c r="S47" s="10" t="inlineStr">
        <is>
          <t>EH8 7AF</t>
        </is>
      </c>
      <c r="T47" s="10" t="inlineStr">
        <is>
          <t>Scotland</t>
        </is>
      </c>
      <c r="U47" s="10" t="inlineStr">
        <is>
          <t>Scotland</t>
        </is>
      </c>
      <c r="V47" s="10" t="inlineStr">
        <is>
          <t>0131 281 2385</t>
        </is>
      </c>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vape hardware; e-liquids</t>
        </is>
      </c>
      <c r="AL47" s="10" t="inlineStr"/>
      <c r="AM47" s="10" t="inlineStr">
        <is>
          <t>Vape Shop</t>
        </is>
      </c>
      <c r="AN47" s="10" t="inlineStr"/>
      <c r="AO47" s="10" t="inlineStr">
        <is>
          <t>Parsons Green (near Meadowbank) branch of Dr Vapor, shared parent Dr Vapor with the Dalry Road store. Details from directory snippet.</t>
        </is>
      </c>
      <c r="AP47" s="10" t="inlineStr">
        <is>
          <t>Medium</t>
        </is>
      </c>
      <c r="AQ47" s="10" t="inlineStr">
        <is>
          <t>Multi-site retailer; Independent retailer; Core relevant category</t>
        </is>
      </c>
      <c r="AR47" s="10" t="inlineStr">
        <is>
          <t>https://www.yell.com/s/vape+shops-edinburgh.html</t>
        </is>
      </c>
      <c r="AS47" s="10" t="inlineStr"/>
      <c r="AT47" s="10" t="inlineStr">
        <is>
          <t>1</t>
        </is>
      </c>
      <c r="AU47" s="10" t="inlineStr">
        <is>
          <t>No</t>
        </is>
      </c>
      <c r="AV47" s="10" t="inlineStr">
        <is>
          <t>No</t>
        </is>
      </c>
      <c r="AW47" s="10" t="inlineStr">
        <is>
          <t>No</t>
        </is>
      </c>
      <c r="AX47" s="10" t="inlineStr">
        <is>
          <t>No</t>
        </is>
      </c>
      <c r="AY47" s="10" t="inlineStr">
        <is>
          <t>Verified directory</t>
        </is>
      </c>
      <c r="AZ47" s="10" t="inlineStr">
        <is>
          <t>Not Found</t>
        </is>
      </c>
      <c r="BA47" s="10" t="inlineStr">
        <is>
          <t>2026-09-17</t>
        </is>
      </c>
      <c r="BB47" s="10" t="inlineStr">
        <is>
          <t>Requires Verification</t>
        </is>
      </c>
      <c r="BC47" s="10" t="inlineStr">
        <is>
          <t>Medium</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UK-000424</t>
        </is>
      </c>
      <c r="B48" s="5" t="inlineStr">
        <is>
          <t>EASTENDFOO-01</t>
        </is>
      </c>
      <c r="C48" s="5" t="inlineStr">
        <is>
          <t>East End Foods PLC</t>
        </is>
      </c>
      <c r="D48" s="5" t="inlineStr">
        <is>
          <t>East End Foods (West Bromwich)</t>
        </is>
      </c>
      <c r="E48" s="5" t="inlineStr">
        <is>
          <t>East End Foods</t>
        </is>
      </c>
      <c r="F48" s="5" t="inlineStr"/>
      <c r="G48" s="5" t="inlineStr">
        <is>
          <t>Cash &amp; Carry</t>
        </is>
      </c>
      <c r="H48" s="5" t="inlineStr">
        <is>
          <t>Cash &amp; carry / world food wholesaler</t>
        </is>
      </c>
      <c r="I48" s="5" t="inlineStr">
        <is>
          <t>Regional Chain</t>
        </is>
      </c>
      <c r="J48" s="5" t="inlineStr">
        <is>
          <t>1</t>
        </is>
      </c>
      <c r="K48" s="5" t="inlineStr"/>
      <c r="L48" s="5" t="inlineStr"/>
      <c r="M48" s="5" t="inlineStr"/>
      <c r="N48" s="5" t="inlineStr"/>
      <c r="O48" s="5" t="inlineStr"/>
      <c r="P48" s="5" t="inlineStr"/>
      <c r="Q48" s="5" t="inlineStr">
        <is>
          <t>West Bromwich</t>
        </is>
      </c>
      <c r="R48" s="5" t="inlineStr">
        <is>
          <t>West Midlands</t>
        </is>
      </c>
      <c r="S48" s="5" t="inlineStr">
        <is>
          <t>B71 4EA</t>
        </is>
      </c>
      <c r="T48" s="5" t="inlineStr">
        <is>
          <t>West Midlands</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world food wholesale; cash &amp; carry; grocery; spices</t>
        </is>
      </c>
      <c r="AL48" s="5" t="inlineStr"/>
      <c r="AM48" s="5" t="inlineStr">
        <is>
          <t>Cash &amp; Carry</t>
        </is>
      </c>
      <c r="AN48" s="5" t="inlineStr">
        <is>
          <t>East End Foods PLC (major Midlands wholesaler with multiple cash &amp; carry sites)</t>
        </is>
      </c>
      <c r="AO48" s="5" t="inlineStr">
        <is>
          <t>East End Foods cash &amp; carry in West Bromwich (B71 4EA). East End Foods PLC is a major Midlands world-food wholesaler operating several cash &amp; carry depots. Listed on 192.com; full street address not captured in snippet.</t>
        </is>
      </c>
      <c r="AP48" s="5" t="inlineStr">
        <is>
          <t>Medium</t>
        </is>
      </c>
      <c r="AQ48" s="5" t="inlineStr">
        <is>
          <t>Multi-site retailer; Core relevant category</t>
        </is>
      </c>
      <c r="AR48" s="5" t="inlineStr">
        <is>
          <t>https://www.192.com/atoz/business/west-bromwich-b71/cash-and-carry-wholesalers/east-end-foods/0f373c9585cc38569ca90e77514ccba5124f5435/ml/</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2026-09-17</t>
        </is>
      </c>
      <c r="BB48" s="5" t="inlineStr">
        <is>
          <t>Requires Verification</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WY-0013</t>
        </is>
      </c>
      <c r="B49" s="10" t="inlineStr">
        <is>
          <t>ECIGNVAPE-01</t>
        </is>
      </c>
      <c r="C49" s="10" t="inlineStr">
        <is>
          <t>Ecig N Vape</t>
        </is>
      </c>
      <c r="D49" s="10" t="inlineStr">
        <is>
          <t>Ecig N Vape South Elmsall</t>
        </is>
      </c>
      <c r="E49" s="10" t="inlineStr">
        <is>
          <t>Ecig N Vape</t>
        </is>
      </c>
      <c r="F49" s="10" t="inlineStr">
        <is>
          <t>Ecig N Vape South Elmsall Ltd</t>
        </is>
      </c>
      <c r="G49" s="10" t="inlineStr">
        <is>
          <t>Vape Shop</t>
        </is>
      </c>
      <c r="H49" s="10" t="inlineStr">
        <is>
          <t>Vape retailer</t>
        </is>
      </c>
      <c r="I49" s="10" t="inlineStr">
        <is>
          <t>Multi-Site Independent</t>
        </is>
      </c>
      <c r="J49" s="10" t="inlineStr">
        <is>
          <t>2</t>
        </is>
      </c>
      <c r="K49" s="10" t="inlineStr"/>
      <c r="L49" s="10" t="inlineStr">
        <is>
          <t>https://www.facebook.com/Ecignvapesouthelmsall/</t>
        </is>
      </c>
      <c r="M49" s="10" t="inlineStr"/>
      <c r="N49" s="10" t="inlineStr"/>
      <c r="O49" s="10" t="inlineStr">
        <is>
          <t>13 Barnsley Road</t>
        </is>
      </c>
      <c r="P49" s="10" t="inlineStr"/>
      <c r="Q49" s="10" t="inlineStr">
        <is>
          <t>South Elmsall</t>
        </is>
      </c>
      <c r="R49" s="10" t="inlineStr">
        <is>
          <t>West Yorkshire</t>
        </is>
      </c>
      <c r="S49" s="10" t="inlineStr">
        <is>
          <t>WF9 2RJ</t>
        </is>
      </c>
      <c r="T49" s="10" t="inlineStr">
        <is>
          <t>Yorkshire &amp; Humber</t>
        </is>
      </c>
      <c r="U49" s="10" t="inlineStr">
        <is>
          <t>England</t>
        </is>
      </c>
      <c r="V49" s="10" t="inlineStr">
        <is>
          <t>01977 647267</t>
        </is>
      </c>
      <c r="W49" s="10" t="inlineStr"/>
      <c r="X49" s="10" t="inlineStr"/>
      <c r="Y49" s="10" t="inlineStr"/>
      <c r="Z49" s="10" t="inlineStr"/>
      <c r="AA49" s="10" t="inlineStr"/>
      <c r="AB49" s="10" t="inlineStr"/>
      <c r="AC49" s="10" t="inlineStr"/>
      <c r="AD49" s="10" t="inlineStr"/>
      <c r="AE49" s="10" t="inlineStr">
        <is>
          <t>12772350</t>
        </is>
      </c>
      <c r="AF49" s="10" t="inlineStr"/>
      <c r="AG49" s="10" t="inlineStr">
        <is>
          <t>ECIG N VAPE SOUTH ELMSALL LTD</t>
        </is>
      </c>
      <c r="AH49" s="10" t="inlineStr"/>
      <c r="AI49" s="10" t="inlineStr"/>
      <c r="AJ49" s="10" t="inlineStr"/>
      <c r="AK49" s="10" t="inlineStr">
        <is>
          <t>vape hardware; e-liquids; disposables</t>
        </is>
      </c>
      <c r="AL49" s="10" t="inlineStr"/>
      <c r="AM49" s="10" t="inlineStr">
        <is>
          <t>Vape Shop</t>
        </is>
      </c>
      <c r="AN49" s="10" t="inlineStr"/>
      <c r="AO49" s="10" t="inlineStr">
        <is>
          <t>Facebook posts announce a second 'Woodlands' shop at 256 Great North Road (Woodlands is over the Doncaster border - outside this batch's district). Companies House number found via search; full CH record (status/incorporation) not yet retrieved.</t>
        </is>
      </c>
      <c r="AP49" s="10" t="inlineStr">
        <is>
          <t>High</t>
        </is>
      </c>
      <c r="AQ49" s="10" t="inlineStr">
        <is>
          <t>Multi-site retailer; Independent retailer; Core relevant category; Social presence</t>
        </is>
      </c>
      <c r="AR49" s="10" t="inlineStr">
        <is>
          <t>https://find-and-update.company-information.service.gov.uk/company/12772350</t>
        </is>
      </c>
      <c r="AS49" s="10" t="inlineStr">
        <is>
          <t>https://www.facebook.com/Ecignvapesouthelmsall/</t>
        </is>
      </c>
      <c r="AT49" s="10" t="inlineStr">
        <is>
          <t>3</t>
        </is>
      </c>
      <c r="AU49" s="10" t="inlineStr">
        <is>
          <t>No</t>
        </is>
      </c>
      <c r="AV49" s="10" t="inlineStr">
        <is>
          <t>No</t>
        </is>
      </c>
      <c r="AW49" s="10" t="inlineStr">
        <is>
          <t>No</t>
        </is>
      </c>
      <c r="AX49" s="10" t="inlineStr">
        <is>
          <t>No</t>
        </is>
      </c>
      <c r="AY49" s="10" t="inlineStr">
        <is>
          <t>Verified directory</t>
        </is>
      </c>
      <c r="AZ49" s="10" t="inlineStr">
        <is>
          <t>Not Found</t>
        </is>
      </c>
      <c r="BA49" s="10" t="inlineStr">
        <is>
          <t>2026-09-17</t>
        </is>
      </c>
      <c r="BB49" s="10" t="inlineStr">
        <is>
          <t>Requires Verification</t>
        </is>
      </c>
      <c r="BC49" s="10" t="inlineStr">
        <is>
          <t>Medium</t>
        </is>
      </c>
      <c r="BD49" s="10" t="inlineStr"/>
      <c r="BE49" s="10" t="inlineStr">
        <is>
          <t>Business (B2B)</t>
        </is>
      </c>
      <c r="BF49" s="10" t="inlineStr">
        <is>
          <t>Legitimate interest (B2B) - assess per campaign; PECR: corporate subscribers</t>
        </is>
      </c>
      <c r="BG49" s="10" t="inlineStr"/>
      <c r="BH49" s="10" t="inlineStr">
        <is>
          <t>No</t>
        </is>
      </c>
      <c r="BI49" s="10" t="inlineStr">
        <is>
          <t>2026-09-16</t>
        </is>
      </c>
      <c r="BJ49" s="10" t="inlineStr">
        <is>
          <t>New</t>
        </is>
      </c>
      <c r="BK49" s="10" t="inlineStr">
        <is>
          <t>2026-09-17</t>
        </is>
      </c>
      <c r="BL49" s="10" t="inlineStr"/>
      <c r="BM49" s="10" t="inlineStr"/>
      <c r="BN49" s="10" t="inlineStr"/>
      <c r="BO49" s="10" t="inlineStr"/>
      <c r="BP49" s="10" t="inlineStr"/>
      <c r="BQ49" s="10" t="inlineStr"/>
    </row>
    <row r="50">
      <c r="A50" s="5" t="inlineStr">
        <is>
          <t>UK-000196</t>
        </is>
      </c>
      <c r="B50" s="5" t="inlineStr">
        <is>
          <t>ELECTRICVA-01</t>
        </is>
      </c>
      <c r="C50" s="5" t="inlineStr">
        <is>
          <t>Electric Vape</t>
        </is>
      </c>
      <c r="D50" s="5" t="inlineStr">
        <is>
          <t>Electric Vape Rotherham</t>
        </is>
      </c>
      <c r="E50" s="5" t="inlineStr">
        <is>
          <t>Electric Vape</t>
        </is>
      </c>
      <c r="F50" s="5" t="inlineStr"/>
      <c r="G50" s="5" t="inlineStr">
        <is>
          <t>Vape Shop</t>
        </is>
      </c>
      <c r="H50" s="5" t="inlineStr">
        <is>
          <t>Market-stall vape shop</t>
        </is>
      </c>
      <c r="I50" s="5" t="inlineStr">
        <is>
          <t>Multi-Site Independent</t>
        </is>
      </c>
      <c r="J50" s="5" t="inlineStr">
        <is>
          <t>1</t>
        </is>
      </c>
      <c r="K50" s="5" t="inlineStr">
        <is>
          <t>https://www.electricvape.co.uk/rotherham-shop</t>
        </is>
      </c>
      <c r="L50" s="5" t="inlineStr"/>
      <c r="M50" s="5" t="inlineStr"/>
      <c r="N50" s="5" t="inlineStr"/>
      <c r="O50" s="5" t="inlineStr">
        <is>
          <t>Units 53 and 55, Rotherham Centenary Indoor Market (Ground Floor)</t>
        </is>
      </c>
      <c r="P50" s="5" t="inlineStr">
        <is>
          <t>Howard Street</t>
        </is>
      </c>
      <c r="Q50" s="5" t="inlineStr">
        <is>
          <t>Rotherham</t>
        </is>
      </c>
      <c r="R50" s="5" t="inlineStr">
        <is>
          <t>South Yorkshire</t>
        </is>
      </c>
      <c r="S50" s="5" t="inlineStr">
        <is>
          <t>S65 1EL</t>
        </is>
      </c>
      <c r="T50" s="5" t="inlineStr">
        <is>
          <t>Yorkshire &amp; Humber</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vape hardware; e-liquids; disposables</t>
        </is>
      </c>
      <c r="AL50" s="5" t="inlineStr"/>
      <c r="AM50" s="5" t="inlineStr">
        <is>
          <t>Vape Shop</t>
        </is>
      </c>
      <c r="AN50" s="5" t="inlineStr"/>
      <c r="AO50" s="5" t="inlineStr">
        <is>
          <t>Electric Vape Ltd stall in Rotherham Centenary Indoor Market; open Mon-Sat 08:30-15:30. Related 'Electric Vaper' branch appears in Barnsley (separate record).</t>
        </is>
      </c>
      <c r="AP50" s="5" t="inlineStr">
        <is>
          <t>High</t>
        </is>
      </c>
      <c r="AQ50" s="5" t="inlineStr">
        <is>
          <t>Multi-site retailer; Independent retailer; Core relevant category; Active website</t>
        </is>
      </c>
      <c r="AR50" s="5" t="inlineStr">
        <is>
          <t>https://www.electricvape.co.uk/rotherham-shop</t>
        </is>
      </c>
      <c r="AS50" s="5" t="inlineStr"/>
      <c r="AT50" s="5" t="inlineStr">
        <is>
          <t>1</t>
        </is>
      </c>
      <c r="AU50" s="5" t="inlineStr">
        <is>
          <t>No</t>
        </is>
      </c>
      <c r="AV50" s="5" t="inlineStr">
        <is>
          <t>No</t>
        </is>
      </c>
      <c r="AW50" s="5" t="inlineStr">
        <is>
          <t>No</t>
        </is>
      </c>
      <c r="AX50" s="5" t="inlineStr">
        <is>
          <t>No</t>
        </is>
      </c>
      <c r="AY50" s="5" t="inlineStr">
        <is>
          <t>Not Found</t>
        </is>
      </c>
      <c r="AZ50" s="5" t="inlineStr">
        <is>
          <t>Website Found</t>
        </is>
      </c>
      <c r="BA50" s="5" t="inlineStr">
        <is>
          <t>2026-09-17</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2026-09-16</t>
        </is>
      </c>
      <c r="BJ50" s="5" t="inlineStr">
        <is>
          <t>New</t>
        </is>
      </c>
      <c r="BK50" s="5" t="inlineStr">
        <is>
          <t>2026-09-17</t>
        </is>
      </c>
      <c r="BL50" s="5" t="inlineStr"/>
      <c r="BM50" s="5" t="inlineStr"/>
      <c r="BN50" s="5" t="inlineStr"/>
      <c r="BO50" s="5" t="inlineStr"/>
      <c r="BP50" s="5" t="inlineStr"/>
      <c r="BQ50" s="5" t="inlineStr"/>
    </row>
    <row r="51">
      <c r="A51" s="10" t="inlineStr">
        <is>
          <t>UK-000197</t>
        </is>
      </c>
      <c r="B51" s="10" t="inlineStr">
        <is>
          <t>ELECTRICVA-02</t>
        </is>
      </c>
      <c r="C51" s="10" t="inlineStr">
        <is>
          <t>Electric Vape</t>
        </is>
      </c>
      <c r="D51" s="10" t="inlineStr">
        <is>
          <t>Electric Vaper Barnsley</t>
        </is>
      </c>
      <c r="E51" s="10" t="inlineStr">
        <is>
          <t>Electric Vaper</t>
        </is>
      </c>
      <c r="F51" s="10" t="inlineStr"/>
      <c r="G51" s="10" t="inlineStr">
        <is>
          <t>Vape Shop</t>
        </is>
      </c>
      <c r="H51" s="10" t="inlineStr">
        <is>
          <t>Vape shop</t>
        </is>
      </c>
      <c r="I51" s="10" t="inlineStr">
        <is>
          <t>Multi-Site Independent</t>
        </is>
      </c>
      <c r="J51" s="10" t="inlineStr">
        <is>
          <t>1</t>
        </is>
      </c>
      <c r="K51" s="10" t="inlineStr"/>
      <c r="L51" s="10" t="inlineStr"/>
      <c r="M51" s="10" t="inlineStr"/>
      <c r="N51" s="10" t="inlineStr"/>
      <c r="O51" s="10" t="inlineStr">
        <is>
          <t>11 May Day Green Arcade</t>
        </is>
      </c>
      <c r="P51" s="10" t="inlineStr"/>
      <c r="Q51" s="10" t="inlineStr">
        <is>
          <t>Barnsley</t>
        </is>
      </c>
      <c r="R51" s="10" t="inlineStr">
        <is>
          <t>South Yorkshire</t>
        </is>
      </c>
      <c r="S51" s="10" t="inlineStr"/>
      <c r="T51" s="10" t="inlineStr">
        <is>
          <t>Yorkshire &amp; Humber</t>
        </is>
      </c>
      <c r="U51" s="10" t="inlineStr">
        <is>
          <t>England</t>
        </is>
      </c>
      <c r="V51" s="10" t="inlineStr"/>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vape hardware; e-liquids; disposables</t>
        </is>
      </c>
      <c r="AL51" s="10" t="inlineStr"/>
      <c r="AM51" s="10" t="inlineStr">
        <is>
          <t>Vape Shop</t>
        </is>
      </c>
      <c r="AN51" s="10" t="inlineStr"/>
      <c r="AO51" s="10" t="inlineStr">
        <is>
          <t>Vape shop at 11 May Day Green Arcade, Barnsley (eCig Directory listing 'electric-vaper-barnsley'); likely linked to Electric Vape Rotherham. Postcode not captured.</t>
        </is>
      </c>
      <c r="AP51" s="10" t="inlineStr">
        <is>
          <t>Medium</t>
        </is>
      </c>
      <c r="AQ51" s="10" t="inlineStr">
        <is>
          <t>Multi-site retailer; Independent retailer; Core relevant category</t>
        </is>
      </c>
      <c r="AR51" s="10" t="inlineStr">
        <is>
          <t>https://ecigdirectory.co.uk/vape-shop/listing/electric-vaper-barnsley</t>
        </is>
      </c>
      <c r="AS51" s="10" t="inlineStr"/>
      <c r="AT51" s="10" t="inlineStr">
        <is>
          <t>1</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Low</t>
        </is>
      </c>
      <c r="BD51" s="10" t="inlineStr"/>
      <c r="BE51" s="10" t="inlineStr">
        <is>
          <t>Business (B2B)</t>
        </is>
      </c>
      <c r="BF51" s="10" t="inlineStr">
        <is>
          <t>Legitimate interest (B2B) - assess per campaign; PECR: corporate subscribers</t>
        </is>
      </c>
      <c r="BG51" s="10" t="inlineStr"/>
      <c r="BH51" s="10" t="inlineStr">
        <is>
          <t>No</t>
        </is>
      </c>
      <c r="BI51" s="10" t="inlineStr">
        <is>
          <t>2026-09-16</t>
        </is>
      </c>
      <c r="BJ51" s="10" t="inlineStr">
        <is>
          <t>New</t>
        </is>
      </c>
      <c r="BK51" s="10" t="inlineStr">
        <is>
          <t>2026-09-17</t>
        </is>
      </c>
      <c r="BL51" s="10" t="inlineStr"/>
      <c r="BM51" s="10" t="inlineStr"/>
      <c r="BN51" s="10" t="inlineStr"/>
      <c r="BO51" s="10" t="inlineStr"/>
      <c r="BP51" s="10" t="inlineStr"/>
      <c r="BQ51" s="10" t="inlineStr"/>
    </row>
    <row r="52">
      <c r="A52" s="5" t="inlineStr">
        <is>
          <t>UK-000425</t>
        </is>
      </c>
      <c r="B52" s="5" t="inlineStr">
        <is>
          <t>ELECTROMIS-01</t>
        </is>
      </c>
      <c r="C52" s="5" t="inlineStr">
        <is>
          <t>Electromist</t>
        </is>
      </c>
      <c r="D52" s="5" t="inlineStr">
        <is>
          <t>Electromist Halesowen</t>
        </is>
      </c>
      <c r="E52" s="5" t="inlineStr">
        <is>
          <t>Electromist</t>
        </is>
      </c>
      <c r="F52" s="5" t="inlineStr"/>
      <c r="G52" s="5" t="inlineStr">
        <is>
          <t>Vape Shop</t>
        </is>
      </c>
      <c r="H52" s="5" t="inlineStr">
        <is>
          <t>Vape kits, e-liquids &amp; accessories</t>
        </is>
      </c>
      <c r="I52" s="5" t="inlineStr">
        <is>
          <t>Multi-Site Independent</t>
        </is>
      </c>
      <c r="J52" s="5" t="inlineStr">
        <is>
          <t>2</t>
        </is>
      </c>
      <c r="K52" s="5" t="inlineStr">
        <is>
          <t>https://electromist.co.uk/</t>
        </is>
      </c>
      <c r="L52" s="5" t="inlineStr"/>
      <c r="M52" s="5" t="inlineStr"/>
      <c r="N52" s="5" t="inlineStr"/>
      <c r="O52" s="5" t="inlineStr">
        <is>
          <t>4-5 Great Cornbow</t>
        </is>
      </c>
      <c r="P52" s="5" t="inlineStr"/>
      <c r="Q52" s="5" t="inlineStr">
        <is>
          <t>Halesowen</t>
        </is>
      </c>
      <c r="R52" s="5" t="inlineStr">
        <is>
          <t>West Midlands</t>
        </is>
      </c>
      <c r="S52" s="5" t="inlineStr">
        <is>
          <t>B63 3AB</t>
        </is>
      </c>
      <c r="T52" s="5" t="inlineStr">
        <is>
          <t>West Midlands</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vape hardware; e-liquids; accessories</t>
        </is>
      </c>
      <c r="AL52" s="5" t="inlineStr"/>
      <c r="AM52" s="5" t="inlineStr">
        <is>
          <t>Vape Shop</t>
        </is>
      </c>
      <c r="AN52" s="5" t="inlineStr"/>
      <c r="AO52" s="5" t="inlineStr">
        <is>
          <t>Electromist vape chain branch at 4-5 Great Cornbow, Halesowen. Electromist operates multiple Black Country stores (Halesowen plus Merry Hill/Brierley Hill). Address from eCig Directory; brand site electromist.co.uk confirmed in results.</t>
        </is>
      </c>
      <c r="AP52" s="5" t="inlineStr">
        <is>
          <t>High</t>
        </is>
      </c>
      <c r="AQ52" s="5" t="inlineStr">
        <is>
          <t>Multi-site retailer; Independent retailer; Core relevant category; Active website</t>
        </is>
      </c>
      <c r="AR52" s="5" t="inlineStr">
        <is>
          <t>https://electromist.co.uk/</t>
        </is>
      </c>
      <c r="AS52" s="5" t="inlineStr">
        <is>
          <t>https://ecigdirectory.co.uk/vape-shop/listing/mistuk-halesowen</t>
        </is>
      </c>
      <c r="AT52" s="5" t="inlineStr">
        <is>
          <t>2</t>
        </is>
      </c>
      <c r="AU52" s="5" t="inlineStr">
        <is>
          <t>No</t>
        </is>
      </c>
      <c r="AV52" s="5" t="inlineStr">
        <is>
          <t>No</t>
        </is>
      </c>
      <c r="AW52" s="5" t="inlineStr">
        <is>
          <t>No</t>
        </is>
      </c>
      <c r="AX52" s="5" t="inlineStr">
        <is>
          <t>No</t>
        </is>
      </c>
      <c r="AY52" s="5" t="inlineStr">
        <is>
          <t>Not Found</t>
        </is>
      </c>
      <c r="AZ52" s="5" t="inlineStr">
        <is>
          <t>Website Found</t>
        </is>
      </c>
      <c r="BA52" s="5" t="inlineStr">
        <is>
          <t>2026-09-17</t>
        </is>
      </c>
      <c r="BB52" s="5" t="inlineStr">
        <is>
          <t>Requires Verification</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UK-000426</t>
        </is>
      </c>
      <c r="B53" s="10" t="inlineStr">
        <is>
          <t>ELECTROMIS-02</t>
        </is>
      </c>
      <c r="C53" s="10" t="inlineStr">
        <is>
          <t>Electromist</t>
        </is>
      </c>
      <c r="D53" s="10" t="inlineStr">
        <is>
          <t>Electromist Merry Hill</t>
        </is>
      </c>
      <c r="E53" s="10" t="inlineStr">
        <is>
          <t>Electromist</t>
        </is>
      </c>
      <c r="F53" s="10" t="inlineStr"/>
      <c r="G53" s="10" t="inlineStr">
        <is>
          <t>Vape Shop</t>
        </is>
      </c>
      <c r="H53" s="10" t="inlineStr">
        <is>
          <t>Vape kits, e-liquids &amp; accessories</t>
        </is>
      </c>
      <c r="I53" s="10" t="inlineStr">
        <is>
          <t>Multi-Site Independent</t>
        </is>
      </c>
      <c r="J53" s="10" t="inlineStr">
        <is>
          <t>2</t>
        </is>
      </c>
      <c r="K53" s="10" t="inlineStr">
        <is>
          <t>https://electromist.co.uk/</t>
        </is>
      </c>
      <c r="L53" s="10" t="inlineStr"/>
      <c r="M53" s="10" t="inlineStr"/>
      <c r="N53" s="10" t="inlineStr"/>
      <c r="O53" s="10" t="inlineStr">
        <is>
          <t>Merry Hill Shopping Centre</t>
        </is>
      </c>
      <c r="P53" s="10" t="inlineStr"/>
      <c r="Q53" s="10" t="inlineStr">
        <is>
          <t>Brierley Hill</t>
        </is>
      </c>
      <c r="R53" s="10" t="inlineStr">
        <is>
          <t>West Midlands</t>
        </is>
      </c>
      <c r="S53" s="10" t="inlineStr">
        <is>
          <t>DY5 1QX</t>
        </is>
      </c>
      <c r="T53" s="10" t="inlineStr">
        <is>
          <t>West Midlands</t>
        </is>
      </c>
      <c r="U53" s="10" t="inlineStr">
        <is>
          <t>England</t>
        </is>
      </c>
      <c r="V53" s="10" t="inlineStr">
        <is>
          <t>01384 751333</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vape hardware; e-liquids; accessories</t>
        </is>
      </c>
      <c r="AL53" s="10" t="inlineStr"/>
      <c r="AM53" s="10" t="inlineStr">
        <is>
          <t>Vape Shop</t>
        </is>
      </c>
      <c r="AN53" s="10" t="inlineStr"/>
      <c r="AO53" s="10" t="inlineStr">
        <is>
          <t>Electromist vape chain store at Merry Hill Shopping Centre, Brierley Hill. Phone and address from Electromist official store-locator page snippet.</t>
        </is>
      </c>
      <c r="AP53" s="10" t="inlineStr">
        <is>
          <t>High</t>
        </is>
      </c>
      <c r="AQ53" s="10" t="inlineStr">
        <is>
          <t>Multi-site retailer; Independent retailer; Core relevant category; Active website; Phone verified on official website</t>
        </is>
      </c>
      <c r="AR53" s="10" t="inlineStr">
        <is>
          <t>https://electromist.co.uk/pages/merry-hill-store</t>
        </is>
      </c>
      <c r="AS53" s="10" t="inlineStr"/>
      <c r="AT53" s="10" t="inlineStr">
        <is>
          <t>1</t>
        </is>
      </c>
      <c r="AU53" s="10" t="inlineStr">
        <is>
          <t>No</t>
        </is>
      </c>
      <c r="AV53" s="10" t="inlineStr">
        <is>
          <t>No</t>
        </is>
      </c>
      <c r="AW53" s="10" t="inlineStr">
        <is>
          <t>No</t>
        </is>
      </c>
      <c r="AX53" s="10" t="inlineStr">
        <is>
          <t>No</t>
        </is>
      </c>
      <c r="AY53" s="10" t="inlineStr">
        <is>
          <t>Verified on official website</t>
        </is>
      </c>
      <c r="AZ53" s="10" t="inlineStr">
        <is>
          <t>Website Found</t>
        </is>
      </c>
      <c r="BA53" s="10" t="inlineStr">
        <is>
          <t>2026-09-17</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UK-000553</t>
        </is>
      </c>
      <c r="B54" s="5" t="inlineStr">
        <is>
          <t>EVAPO-01</t>
        </is>
      </c>
      <c r="C54" s="5" t="inlineStr">
        <is>
          <t>Evapo</t>
        </is>
      </c>
      <c r="D54" s="5" t="inlineStr">
        <is>
          <t>Evapo - Hammersmith Broadway</t>
        </is>
      </c>
      <c r="E54" s="5" t="inlineStr">
        <is>
          <t>Evapo</t>
        </is>
      </c>
      <c r="F54" s="5" t="inlineStr"/>
      <c r="G54" s="5" t="inlineStr">
        <is>
          <t>Vape Shop</t>
        </is>
      </c>
      <c r="H54" s="5" t="inlineStr">
        <is>
          <t>Vape hardware, e-liquids &amp; disposables</t>
        </is>
      </c>
      <c r="I54" s="5" t="inlineStr">
        <is>
          <t>Regional Chain</t>
        </is>
      </c>
      <c r="J54" s="5" t="inlineStr">
        <is>
          <t>1</t>
        </is>
      </c>
      <c r="K54" s="5" t="inlineStr"/>
      <c r="L54" s="5" t="inlineStr"/>
      <c r="M54" s="5" t="inlineStr"/>
      <c r="N54" s="5" t="inlineStr"/>
      <c r="O54" s="5" t="inlineStr">
        <is>
          <t>Unit 24b, Hammersmith Broadway Shopping Centre</t>
        </is>
      </c>
      <c r="P54" s="5" t="inlineStr"/>
      <c r="Q54" s="5" t="inlineStr">
        <is>
          <t>London</t>
        </is>
      </c>
      <c r="R54" s="5" t="inlineStr">
        <is>
          <t>Greater London</t>
        </is>
      </c>
      <c r="S54" s="5" t="inlineStr">
        <is>
          <t>W6 9YE</t>
        </is>
      </c>
      <c r="T54" s="5" t="inlineStr">
        <is>
          <t>London</t>
        </is>
      </c>
      <c r="U54" s="5" t="inlineStr">
        <is>
          <t>England</t>
        </is>
      </c>
      <c r="V54" s="5" t="inlineStr"/>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vape hardware; e-liquids; disposables</t>
        </is>
      </c>
      <c r="AL54" s="5" t="inlineStr"/>
      <c r="AM54" s="5" t="inlineStr">
        <is>
          <t>Vape Shop</t>
        </is>
      </c>
      <c r="AN54" s="5" t="inlineStr"/>
      <c r="AO54" s="5" t="inlineStr">
        <is>
          <t>Hammersmith Broadway shopping centre branch of the Evapo vape chain. Address/postcode from Yell listing snippet; phone not published in accessible snippet.</t>
        </is>
      </c>
      <c r="AP54" s="5" t="inlineStr">
        <is>
          <t>Medium</t>
        </is>
      </c>
      <c r="AQ54" s="5" t="inlineStr">
        <is>
          <t>Multi-site retailer; Core relevant category</t>
        </is>
      </c>
      <c r="AR54" s="5" t="inlineStr">
        <is>
          <t>https://www.yell.com/biz/evapo-hammersmith-london-9576528/</t>
        </is>
      </c>
      <c r="AS54" s="5" t="inlineStr"/>
      <c r="AT54" s="5" t="inlineStr">
        <is>
          <t>1</t>
        </is>
      </c>
      <c r="AU54" s="5" t="inlineStr">
        <is>
          <t>No</t>
        </is>
      </c>
      <c r="AV54" s="5" t="inlineStr">
        <is>
          <t>No</t>
        </is>
      </c>
      <c r="AW54" s="5" t="inlineStr">
        <is>
          <t>No</t>
        </is>
      </c>
      <c r="AX54" s="5" t="inlineStr">
        <is>
          <t>No</t>
        </is>
      </c>
      <c r="AY54" s="5" t="inlineStr">
        <is>
          <t>Not Found</t>
        </is>
      </c>
      <c r="AZ54" s="5" t="inlineStr">
        <is>
          <t>Not Found</t>
        </is>
      </c>
      <c r="BA54" s="5" t="inlineStr">
        <is>
          <t>2026-09-17</t>
        </is>
      </c>
      <c r="BB54" s="5" t="inlineStr">
        <is>
          <t>Requires Verification</t>
        </is>
      </c>
      <c r="BC54" s="5" t="inlineStr">
        <is>
          <t>Low</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UK-000554</t>
        </is>
      </c>
      <c r="B55" s="10" t="inlineStr">
        <is>
          <t>EVAPO-02</t>
        </is>
      </c>
      <c r="C55" s="10" t="inlineStr">
        <is>
          <t>Evapo</t>
        </is>
      </c>
      <c r="D55" s="10" t="inlineStr">
        <is>
          <t>Evapo - Soho (Denman Street)</t>
        </is>
      </c>
      <c r="E55" s="10" t="inlineStr">
        <is>
          <t>Evapo</t>
        </is>
      </c>
      <c r="F55" s="10" t="inlineStr"/>
      <c r="G55" s="10" t="inlineStr">
        <is>
          <t>Vape Shop</t>
        </is>
      </c>
      <c r="H55" s="10" t="inlineStr">
        <is>
          <t>Vape hardware, e-liquids &amp; disposables</t>
        </is>
      </c>
      <c r="I55" s="10" t="inlineStr">
        <is>
          <t>Regional Chain</t>
        </is>
      </c>
      <c r="J55" s="10" t="inlineStr">
        <is>
          <t>1</t>
        </is>
      </c>
      <c r="K55" s="10" t="inlineStr">
        <is>
          <t>https://evapo.co.uk/vape-shops/denman-st</t>
        </is>
      </c>
      <c r="L55" s="10" t="inlineStr"/>
      <c r="M55" s="10" t="inlineStr"/>
      <c r="N55" s="10" t="inlineStr"/>
      <c r="O55" s="10" t="inlineStr">
        <is>
          <t>6 Denman Street</t>
        </is>
      </c>
      <c r="P55" s="10" t="inlineStr"/>
      <c r="Q55" s="10" t="inlineStr">
        <is>
          <t>London</t>
        </is>
      </c>
      <c r="R55" s="10" t="inlineStr">
        <is>
          <t>Greater London</t>
        </is>
      </c>
      <c r="S55" s="10" t="inlineStr">
        <is>
          <t>W1D 7HD</t>
        </is>
      </c>
      <c r="T55" s="10" t="inlineStr">
        <is>
          <t>London</t>
        </is>
      </c>
      <c r="U55" s="10" t="inlineStr">
        <is>
          <t>England</t>
        </is>
      </c>
      <c r="V55" s="10" t="inlineStr">
        <is>
          <t>07388 995052</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vape hardware; e-liquids; disposables</t>
        </is>
      </c>
      <c r="AL55" s="10" t="inlineStr"/>
      <c r="AM55" s="10" t="inlineStr">
        <is>
          <t>Vape Shop</t>
        </is>
      </c>
      <c r="AN55" s="10" t="inlineStr"/>
      <c r="AO55" s="10" t="inlineStr">
        <is>
          <t>Soho branch of the Evapo regional vape chain, near Piccadilly Circus. Address/postcode/phone from Yelp and Evapo store page shown in search snippets; direct site fetch blocked by network policy.</t>
        </is>
      </c>
      <c r="AP55" s="10" t="inlineStr">
        <is>
          <t>Medium</t>
        </is>
      </c>
      <c r="AQ55" s="10" t="inlineStr">
        <is>
          <t>Multi-site retailer; Core relevant category; Active website</t>
        </is>
      </c>
      <c r="AR55" s="10" t="inlineStr">
        <is>
          <t>https://evapo.co.uk/vape-shops/denman-st</t>
        </is>
      </c>
      <c r="AS55" s="10" t="inlineStr">
        <is>
          <t>https://www.yelp.co.uk/biz/evapo-vape-shop-denman-street-london-3</t>
        </is>
      </c>
      <c r="AT55" s="10" t="inlineStr">
        <is>
          <t>2</t>
        </is>
      </c>
      <c r="AU55" s="10" t="inlineStr">
        <is>
          <t>No</t>
        </is>
      </c>
      <c r="AV55" s="10" t="inlineStr">
        <is>
          <t>No</t>
        </is>
      </c>
      <c r="AW55" s="10" t="inlineStr">
        <is>
          <t>No</t>
        </is>
      </c>
      <c r="AX55" s="10" t="inlineStr">
        <is>
          <t>No</t>
        </is>
      </c>
      <c r="AY55" s="10" t="inlineStr">
        <is>
          <t>Verified directory</t>
        </is>
      </c>
      <c r="AZ55" s="10" t="inlineStr">
        <is>
          <t>Not Found</t>
        </is>
      </c>
      <c r="BA55" s="10" t="inlineStr">
        <is>
          <t>2026-09-17</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2026-09-17</t>
        </is>
      </c>
      <c r="BJ55" s="10" t="inlineStr">
        <is>
          <t>New</t>
        </is>
      </c>
      <c r="BK55" s="10" t="inlineStr">
        <is>
          <t>2026-09-17</t>
        </is>
      </c>
      <c r="BL55" s="10" t="inlineStr"/>
      <c r="BM55" s="10" t="inlineStr"/>
      <c r="BN55" s="10" t="inlineStr"/>
      <c r="BO55" s="10" t="inlineStr"/>
      <c r="BP55" s="10" t="inlineStr"/>
      <c r="BQ55" s="10" t="inlineStr"/>
    </row>
    <row r="56">
      <c r="A56" s="5" t="inlineStr">
        <is>
          <t>UK-000198</t>
        </is>
      </c>
      <c r="B56" s="5" t="inlineStr">
        <is>
          <t>EZIVAPE-01</t>
        </is>
      </c>
      <c r="C56" s="5" t="inlineStr">
        <is>
          <t>Ezi Vape</t>
        </is>
      </c>
      <c r="D56" s="5" t="inlineStr">
        <is>
          <t>Ezi Vape Skipton</t>
        </is>
      </c>
      <c r="E56" s="5" t="inlineStr">
        <is>
          <t>Ezi Vape</t>
        </is>
      </c>
      <c r="F56" s="5" t="inlineStr"/>
      <c r="G56" s="5" t="inlineStr">
        <is>
          <t>Vape Shop</t>
        </is>
      </c>
      <c r="H56" s="5" t="inlineStr">
        <is>
          <t>Vape kits, e-liquids &amp; disposables</t>
        </is>
      </c>
      <c r="I56" s="5" t="inlineStr">
        <is>
          <t>Multi-Site Independent</t>
        </is>
      </c>
      <c r="J56" s="5" t="inlineStr">
        <is>
          <t>3</t>
        </is>
      </c>
      <c r="K56" s="5" t="inlineStr">
        <is>
          <t>https://www.ezi-vape.co.uk/</t>
        </is>
      </c>
      <c r="L56" s="5" t="inlineStr">
        <is>
          <t>https://www.facebook.com/EziVapour/</t>
        </is>
      </c>
      <c r="M56" s="5" t="inlineStr"/>
      <c r="N56" s="5" t="inlineStr"/>
      <c r="O56" s="5" t="inlineStr">
        <is>
          <t>25 High Street</t>
        </is>
      </c>
      <c r="P56" s="5" t="inlineStr"/>
      <c r="Q56" s="5" t="inlineStr">
        <is>
          <t>Skipton</t>
        </is>
      </c>
      <c r="R56" s="5" t="inlineStr">
        <is>
          <t>North Yorkshire</t>
        </is>
      </c>
      <c r="S56" s="5" t="inlineStr"/>
      <c r="T56" s="5" t="inlineStr">
        <is>
          <t>Yorkshire &amp; Humber</t>
        </is>
      </c>
      <c r="U56" s="5" t="inlineStr">
        <is>
          <t>England</t>
        </is>
      </c>
      <c r="V56" s="5" t="inlineStr">
        <is>
          <t>07967 075860</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vape kits; e-liquids; disposables; coils</t>
        </is>
      </c>
      <c r="AL56" s="5" t="inlineStr"/>
      <c r="AM56" s="5" t="inlineStr">
        <is>
          <t>Vape Shop</t>
        </is>
      </c>
      <c r="AN56" s="5" t="inlineStr"/>
      <c r="AO56" s="5" t="inlineStr">
        <is>
          <t>Small independent vape chain (ezi-vape.co.uk) with the main branch at 25 High Street, Skipton (BD23) plus shops in Barnoldswick and Ilkley. Full Skipton postcode not confirmed in snippets so left blank. Address/phone from Yell/Facebook/Mapcarta listings.</t>
        </is>
      </c>
      <c r="AP56" s="5" t="inlineStr">
        <is>
          <t>High</t>
        </is>
      </c>
      <c r="AQ56" s="5" t="inlineStr">
        <is>
          <t>Multi-site retailer; Independent retailer; Core relevant category; Active website; Social presence</t>
        </is>
      </c>
      <c r="AR56" s="5" t="inlineStr">
        <is>
          <t>https://www.ezi-vape.co.uk/</t>
        </is>
      </c>
      <c r="AS56" s="5" t="inlineStr">
        <is>
          <t>https://www.yell.com/s/vape+shops-skipton.html</t>
        </is>
      </c>
      <c r="AT56" s="5" t="inlineStr">
        <is>
          <t>2</t>
        </is>
      </c>
      <c r="AU56" s="5" t="inlineStr">
        <is>
          <t>No</t>
        </is>
      </c>
      <c r="AV56" s="5" t="inlineStr">
        <is>
          <t>No</t>
        </is>
      </c>
      <c r="AW56" s="5" t="inlineStr">
        <is>
          <t>No</t>
        </is>
      </c>
      <c r="AX56" s="5" t="inlineStr">
        <is>
          <t>No</t>
        </is>
      </c>
      <c r="AY56" s="5" t="inlineStr">
        <is>
          <t>Verified directory</t>
        </is>
      </c>
      <c r="AZ56" s="5" t="inlineStr">
        <is>
          <t>Website Found</t>
        </is>
      </c>
      <c r="BA56" s="5" t="inlineStr">
        <is>
          <t>2026-09-17</t>
        </is>
      </c>
      <c r="BB56" s="5" t="inlineStr">
        <is>
          <t>Requires Verification</t>
        </is>
      </c>
      <c r="BC56" s="5" t="inlineStr">
        <is>
          <t>Low</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2026-09-17</t>
        </is>
      </c>
      <c r="BL56" s="5" t="inlineStr"/>
      <c r="BM56" s="5" t="inlineStr"/>
      <c r="BN56" s="5" t="inlineStr"/>
      <c r="BO56" s="5" t="inlineStr"/>
      <c r="BP56" s="5" t="inlineStr"/>
      <c r="BQ56" s="5" t="inlineStr"/>
    </row>
    <row r="57">
      <c r="A57" s="10" t="inlineStr">
        <is>
          <t>UK-000427</t>
        </is>
      </c>
      <c r="B57" s="10" t="inlineStr">
        <is>
          <t>FLAVOURVAP-01</t>
        </is>
      </c>
      <c r="C57" s="10" t="inlineStr">
        <is>
          <t>Flavour Vapour</t>
        </is>
      </c>
      <c r="D57" s="10" t="inlineStr">
        <is>
          <t>Flavour Vapour Birmingham</t>
        </is>
      </c>
      <c r="E57" s="10" t="inlineStr">
        <is>
          <t>Flavour Vapour</t>
        </is>
      </c>
      <c r="F57" s="10" t="inlineStr"/>
      <c r="G57" s="10" t="inlineStr">
        <is>
          <t>Vape Shop</t>
        </is>
      </c>
      <c r="H57" s="10" t="inlineStr">
        <is>
          <t>Vape hardware and e-liquid retailer</t>
        </is>
      </c>
      <c r="I57" s="10" t="inlineStr">
        <is>
          <t>Regional Chain</t>
        </is>
      </c>
      <c r="J57" s="10" t="inlineStr">
        <is>
          <t>1</t>
        </is>
      </c>
      <c r="K57" s="10" t="inlineStr">
        <is>
          <t>https://www.flavourvapour.co.uk/</t>
        </is>
      </c>
      <c r="L57" s="10" t="inlineStr"/>
      <c r="M57" s="10" t="inlineStr"/>
      <c r="N57" s="10" t="inlineStr"/>
      <c r="O57" s="10" t="inlineStr">
        <is>
          <t>636 Bristol Road</t>
        </is>
      </c>
      <c r="P57" s="10" t="inlineStr">
        <is>
          <t>Selly Oak</t>
        </is>
      </c>
      <c r="Q57" s="10" t="inlineStr">
        <is>
          <t>Birmingham</t>
        </is>
      </c>
      <c r="R57" s="10" t="inlineStr">
        <is>
          <t>West Midlands</t>
        </is>
      </c>
      <c r="S57" s="10" t="inlineStr">
        <is>
          <t>B29 6BJ</t>
        </is>
      </c>
      <c r="T57" s="10" t="inlineStr">
        <is>
          <t>West Midlands</t>
        </is>
      </c>
      <c r="U57" s="10" t="inlineStr">
        <is>
          <t>England</t>
        </is>
      </c>
      <c r="V57" s="10" t="inlineStr">
        <is>
          <t>0121 472 0130</t>
        </is>
      </c>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vape hardware; e-liquids</t>
        </is>
      </c>
      <c r="AL57" s="10" t="inlineStr"/>
      <c r="AM57" s="10" t="inlineStr">
        <is>
          <t>Vape Shop</t>
        </is>
      </c>
      <c r="AN57" s="10" t="inlineStr"/>
      <c r="AO57" s="10" t="inlineStr">
        <is>
          <t>Selly Oak branch of the Flavour Vapour multi-site chain (stores page lists multiple locations). First dedicated vape shop in Selly Oak (est. 2016).</t>
        </is>
      </c>
      <c r="AP57" s="10" t="inlineStr">
        <is>
          <t>Medium</t>
        </is>
      </c>
      <c r="AQ57" s="10" t="inlineStr">
        <is>
          <t>Multi-site retailer; Core relevant category; Active website</t>
        </is>
      </c>
      <c r="AR57" s="10" t="inlineStr">
        <is>
          <t>https://www.flavourvapour.co.uk/stores</t>
        </is>
      </c>
      <c r="AS57" s="10" t="inlineStr">
        <is>
          <t>https://www.yelp.co.uk/biz/flavour-vapour-birmingham-birmingham</t>
        </is>
      </c>
      <c r="AT57" s="10" t="inlineStr">
        <is>
          <t>2</t>
        </is>
      </c>
      <c r="AU57" s="10" t="inlineStr">
        <is>
          <t>No</t>
        </is>
      </c>
      <c r="AV57" s="10" t="inlineStr">
        <is>
          <t>No</t>
        </is>
      </c>
      <c r="AW57" s="10" t="inlineStr">
        <is>
          <t>No</t>
        </is>
      </c>
      <c r="AX57" s="10" t="inlineStr">
        <is>
          <t>No</t>
        </is>
      </c>
      <c r="AY57" s="10" t="inlineStr">
        <is>
          <t>Verified directory</t>
        </is>
      </c>
      <c r="AZ57" s="10" t="inlineStr">
        <is>
          <t>Website Found</t>
        </is>
      </c>
      <c r="BA57" s="10" t="inlineStr">
        <is>
          <t>2026-09-17</t>
        </is>
      </c>
      <c r="BB57" s="10" t="inlineStr">
        <is>
          <t>Requires Verification</t>
        </is>
      </c>
      <c r="BC57" s="10" t="inlineStr">
        <is>
          <t>Medium</t>
        </is>
      </c>
      <c r="BD57" s="10" t="inlineStr"/>
      <c r="BE57" s="10" t="inlineStr">
        <is>
          <t>Business (B2B)</t>
        </is>
      </c>
      <c r="BF57" s="10" t="inlineStr">
        <is>
          <t>Legitimate interest (B2B) - assess per campaign; PECR: corporate subscribers</t>
        </is>
      </c>
      <c r="BG57" s="10" t="inlineStr"/>
      <c r="BH57" s="10" t="inlineStr">
        <is>
          <t>No</t>
        </is>
      </c>
      <c r="BI57" s="10" t="inlineStr">
        <is>
          <t>2026-09-17</t>
        </is>
      </c>
      <c r="BJ57" s="10" t="inlineStr">
        <is>
          <t>New</t>
        </is>
      </c>
      <c r="BK57" s="10" t="inlineStr">
        <is>
          <t>2026-09-17</t>
        </is>
      </c>
      <c r="BL57" s="10" t="inlineStr"/>
      <c r="BM57" s="10" t="inlineStr"/>
      <c r="BN57" s="10" t="inlineStr"/>
      <c r="BO57" s="10" t="inlineStr"/>
      <c r="BP57" s="10" t="inlineStr"/>
      <c r="BQ57" s="10" t="inlineStr"/>
    </row>
    <row r="58">
      <c r="A58" s="5" t="inlineStr">
        <is>
          <t>UK-000707</t>
        </is>
      </c>
      <c r="B58" s="5" t="inlineStr">
        <is>
          <t>FOODPLUS-01</t>
        </is>
      </c>
      <c r="C58" s="5" t="inlineStr">
        <is>
          <t>Food Plus</t>
        </is>
      </c>
      <c r="D58" s="5" t="inlineStr">
        <is>
          <t>Food Plus (Polski Sklep Wawel)</t>
        </is>
      </c>
      <c r="E58" s="5" t="inlineStr">
        <is>
          <t>Food Plus Birkenhead</t>
        </is>
      </c>
      <c r="F58" s="5" t="inlineStr"/>
      <c r="G58" s="5" t="inlineStr">
        <is>
          <t>Independent Supermarket</t>
        </is>
      </c>
      <c r="H58" s="5" t="inlineStr">
        <is>
          <t>Polish / international grocery</t>
        </is>
      </c>
      <c r="I58" s="5" t="inlineStr">
        <is>
          <t>Franchise / Symbol Group</t>
        </is>
      </c>
      <c r="J58" s="5" t="inlineStr">
        <is>
          <t>1</t>
        </is>
      </c>
      <c r="K58" s="5" t="inlineStr">
        <is>
          <t>https://www.foodplus.eu/</t>
        </is>
      </c>
      <c r="L58" s="5" t="inlineStr"/>
      <c r="M58" s="5" t="inlineStr"/>
      <c r="N58" s="5" t="inlineStr"/>
      <c r="O58" s="5" t="inlineStr"/>
      <c r="P58" s="5" t="inlineStr"/>
      <c r="Q58" s="5" t="inlineStr">
        <is>
          <t>Birkenhead</t>
        </is>
      </c>
      <c r="R58" s="5" t="inlineStr">
        <is>
          <t>Merseyside</t>
        </is>
      </c>
      <c r="S58" s="5" t="inlineStr">
        <is>
          <t>CH41 2QQ</t>
        </is>
      </c>
      <c r="T58" s="5" t="inlineStr">
        <is>
          <t>North West</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groceries; Polish / international food</t>
        </is>
      </c>
      <c r="AL58" s="5" t="inlineStr"/>
      <c r="AM58" s="5" t="inlineStr">
        <is>
          <t>Independent Supermarket</t>
        </is>
      </c>
      <c r="AN58" s="5" t="inlineStr"/>
      <c r="AO58" s="5" t="inlineStr">
        <is>
          <t>Polish/international grocery in Birkenhead (CH41 2QQ), part of the Food Plus symbol franchise network. Also listed locally as International Food Store. Street address line not confirmed in snippets; postcode confirmed.</t>
        </is>
      </c>
      <c r="AP58" s="5" t="inlineStr">
        <is>
          <t>Medium</t>
        </is>
      </c>
      <c r="AQ58" s="5" t="inlineStr">
        <is>
          <t>Multi-site retailer; Independent retailer; Relevant category; Active website</t>
        </is>
      </c>
      <c r="AR58" s="5" t="inlineStr">
        <is>
          <t>https://www.foodplus.eu/en/products/food-plus-polski-sklep-wawel-ch41-2qq-birkenhead</t>
        </is>
      </c>
      <c r="AS58" s="5" t="inlineStr">
        <is>
          <t>https://www.misterwhat.co.uk/company/2855833-international-food-store-birkenhead</t>
        </is>
      </c>
      <c r="AT58" s="5" t="inlineStr">
        <is>
          <t>2</t>
        </is>
      </c>
      <c r="AU58" s="5" t="inlineStr">
        <is>
          <t>No</t>
        </is>
      </c>
      <c r="AV58" s="5" t="inlineStr">
        <is>
          <t>No</t>
        </is>
      </c>
      <c r="AW58" s="5" t="inlineStr">
        <is>
          <t>No</t>
        </is>
      </c>
      <c r="AX58" s="5" t="inlineStr">
        <is>
          <t>No</t>
        </is>
      </c>
      <c r="AY58" s="5" t="inlineStr">
        <is>
          <t>Not Found</t>
        </is>
      </c>
      <c r="AZ58" s="5" t="inlineStr">
        <is>
          <t>Website Found</t>
        </is>
      </c>
      <c r="BA58" s="5" t="inlineStr">
        <is>
          <t>2026-09-17</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UK-000199</t>
        </is>
      </c>
      <c r="B59" s="10" t="inlineStr">
        <is>
          <t>FOODPLUS-02</t>
        </is>
      </c>
      <c r="C59" s="10" t="inlineStr">
        <is>
          <t>Food Plus</t>
        </is>
      </c>
      <c r="D59" s="10" t="inlineStr">
        <is>
          <t>Food Plus Hexthorpe (Polski Sklep)</t>
        </is>
      </c>
      <c r="E59" s="10" t="inlineStr">
        <is>
          <t>Food Plus</t>
        </is>
      </c>
      <c r="F59" s="10" t="inlineStr"/>
      <c r="G59" s="10" t="inlineStr">
        <is>
          <t>Independent Supermarket</t>
        </is>
      </c>
      <c r="H59" s="10" t="inlineStr">
        <is>
          <t>Polish / European grocery store</t>
        </is>
      </c>
      <c r="I59" s="10" t="inlineStr">
        <is>
          <t>Franchise / Symbol Group</t>
        </is>
      </c>
      <c r="J59" s="10" t="inlineStr">
        <is>
          <t>1</t>
        </is>
      </c>
      <c r="K59" s="10" t="inlineStr">
        <is>
          <t>https://www.foodplus.eu/</t>
        </is>
      </c>
      <c r="L59" s="10" t="inlineStr"/>
      <c r="M59" s="10" t="inlineStr"/>
      <c r="N59" s="10" t="inlineStr"/>
      <c r="O59" s="10" t="inlineStr"/>
      <c r="P59" s="10" t="inlineStr">
        <is>
          <t>Hexthorpe</t>
        </is>
      </c>
      <c r="Q59" s="10" t="inlineStr">
        <is>
          <t>Doncaster</t>
        </is>
      </c>
      <c r="R59" s="10" t="inlineStr">
        <is>
          <t>South Yorkshire</t>
        </is>
      </c>
      <c r="S59" s="10" t="inlineStr">
        <is>
          <t>DN4 0BD</t>
        </is>
      </c>
      <c r="T59" s="10" t="inlineStr">
        <is>
          <t>Yorkshire &amp; Humber</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Polish groceries; deli; frozen foods; European foods</t>
        </is>
      </c>
      <c r="AL59" s="10" t="inlineStr"/>
      <c r="AM59" s="10" t="inlineStr">
        <is>
          <t>Independent Supermarket</t>
        </is>
      </c>
      <c r="AN59" s="10" t="inlineStr">
        <is>
          <t>Food Plus franchise network</t>
        </is>
      </c>
      <c r="AO59" s="10" t="inlineStr">
        <is>
          <t>Polish/European grocery store in Hexthorpe, Doncaster, part of the Food Plus franchise network (stores across UK/EU). Postcode DN4 0BD from Food Plus store listing; exact street not captured.</t>
        </is>
      </c>
      <c r="AP59" s="10" t="inlineStr">
        <is>
          <t>Medium</t>
        </is>
      </c>
      <c r="AQ59" s="10" t="inlineStr">
        <is>
          <t>Multi-site retailer; Independent retailer; Relevant category; Active website</t>
        </is>
      </c>
      <c r="AR59" s="10" t="inlineStr">
        <is>
          <t>https://www.foodplus.eu/en/map/food-plus-polski-sklep-hexthorpe-dn4-0bd-doncaster</t>
        </is>
      </c>
      <c r="AS59" s="10" t="inlineStr"/>
      <c r="AT59" s="10" t="inlineStr">
        <is>
          <t>1</t>
        </is>
      </c>
      <c r="AU59" s="10" t="inlineStr">
        <is>
          <t>No</t>
        </is>
      </c>
      <c r="AV59" s="10" t="inlineStr">
        <is>
          <t>No</t>
        </is>
      </c>
      <c r="AW59" s="10" t="inlineStr">
        <is>
          <t>No</t>
        </is>
      </c>
      <c r="AX59" s="10" t="inlineStr">
        <is>
          <t>No</t>
        </is>
      </c>
      <c r="AY59" s="10" t="inlineStr">
        <is>
          <t>Not Found</t>
        </is>
      </c>
      <c r="AZ59" s="10" t="inlineStr">
        <is>
          <t>Website Found</t>
        </is>
      </c>
      <c r="BA59" s="10" t="inlineStr">
        <is>
          <t>2026-09-17</t>
        </is>
      </c>
      <c r="BB59" s="10" t="inlineStr">
        <is>
          <t>Requires Verification</t>
        </is>
      </c>
      <c r="BC59" s="10" t="inlineStr">
        <is>
          <t>Low</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2026-09-17</t>
        </is>
      </c>
      <c r="BL59" s="10" t="inlineStr"/>
      <c r="BM59" s="10" t="inlineStr"/>
      <c r="BN59" s="10" t="inlineStr"/>
      <c r="BO59" s="10" t="inlineStr"/>
      <c r="BP59" s="10" t="inlineStr"/>
      <c r="BQ59" s="10" t="inlineStr"/>
    </row>
    <row r="60">
      <c r="A60" s="5" t="inlineStr">
        <is>
          <t>UK-000200</t>
        </is>
      </c>
      <c r="B60" s="5" t="inlineStr">
        <is>
          <t>FOODPLUS-03</t>
        </is>
      </c>
      <c r="C60" s="5" t="inlineStr">
        <is>
          <t>Food Plus</t>
        </is>
      </c>
      <c r="D60" s="5" t="inlineStr">
        <is>
          <t>Food Plus Rotherham (Polski Sklep)</t>
        </is>
      </c>
      <c r="E60" s="5" t="inlineStr">
        <is>
          <t>Food Plus</t>
        </is>
      </c>
      <c r="F60" s="5" t="inlineStr"/>
      <c r="G60" s="5" t="inlineStr">
        <is>
          <t>Independent Supermarket</t>
        </is>
      </c>
      <c r="H60" s="5" t="inlineStr">
        <is>
          <t>Polish / European grocery store</t>
        </is>
      </c>
      <c r="I60" s="5" t="inlineStr">
        <is>
          <t>Franchise / Symbol Group</t>
        </is>
      </c>
      <c r="J60" s="5" t="inlineStr">
        <is>
          <t>1</t>
        </is>
      </c>
      <c r="K60" s="5" t="inlineStr">
        <is>
          <t>https://www.foodplus.eu/</t>
        </is>
      </c>
      <c r="L60" s="5" t="inlineStr"/>
      <c r="M60" s="5" t="inlineStr"/>
      <c r="N60" s="5" t="inlineStr"/>
      <c r="O60" s="5" t="inlineStr"/>
      <c r="P60" s="5" t="inlineStr"/>
      <c r="Q60" s="5" t="inlineStr">
        <is>
          <t>Rotherham</t>
        </is>
      </c>
      <c r="R60" s="5" t="inlineStr">
        <is>
          <t>South Yorkshire</t>
        </is>
      </c>
      <c r="S60" s="5" t="inlineStr"/>
      <c r="T60" s="5" t="inlineStr">
        <is>
          <t>Yorkshire &amp; Humber</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Polish groceries; fresh deli; bakery items</t>
        </is>
      </c>
      <c r="AL60" s="5" t="inlineStr"/>
      <c r="AM60" s="5" t="inlineStr">
        <is>
          <t>Independent Supermarket</t>
        </is>
      </c>
      <c r="AN60" s="5" t="inlineStr">
        <is>
          <t>Food Plus franchise network</t>
        </is>
      </c>
      <c r="AO60" s="5" t="inlineStr">
        <is>
          <t>Polish grocery store in Rotherham (Food Plus network), noted for Polish groceries, fresh deli and bakery. Referenced in Rotherham international-supermarket search; exact address/postcode not captured.</t>
        </is>
      </c>
      <c r="AP60" s="5" t="inlineStr">
        <is>
          <t>Medium</t>
        </is>
      </c>
      <c r="AQ60" s="5" t="inlineStr">
        <is>
          <t>Multi-site retailer; Independent retailer; Relevant category; Active website</t>
        </is>
      </c>
      <c r="AR60" s="5" t="inlineStr">
        <is>
          <t>https://www.yorkshire.com/rotherham/shopping/grocers</t>
        </is>
      </c>
      <c r="AS60" s="5" t="inlineStr"/>
      <c r="AT60" s="5" t="inlineStr">
        <is>
          <t>1</t>
        </is>
      </c>
      <c r="AU60" s="5" t="inlineStr">
        <is>
          <t>No</t>
        </is>
      </c>
      <c r="AV60" s="5" t="inlineStr">
        <is>
          <t>No</t>
        </is>
      </c>
      <c r="AW60" s="5" t="inlineStr">
        <is>
          <t>No</t>
        </is>
      </c>
      <c r="AX60" s="5" t="inlineStr">
        <is>
          <t>No</t>
        </is>
      </c>
      <c r="AY60" s="5" t="inlineStr">
        <is>
          <t>Not Found</t>
        </is>
      </c>
      <c r="AZ60" s="5" t="inlineStr">
        <is>
          <t>Website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2026-09-17</t>
        </is>
      </c>
      <c r="BL60" s="5" t="inlineStr"/>
      <c r="BM60" s="5" t="inlineStr"/>
      <c r="BN60" s="5" t="inlineStr"/>
      <c r="BO60" s="5" t="inlineStr"/>
      <c r="BP60" s="5" t="inlineStr"/>
      <c r="BQ60" s="5" t="inlineStr"/>
    </row>
    <row r="61">
      <c r="A61" s="10" t="inlineStr">
        <is>
          <t>UK-000303</t>
        </is>
      </c>
      <c r="B61" s="10" t="inlineStr">
        <is>
          <t>FRESHMISTU-01</t>
        </is>
      </c>
      <c r="C61" s="10" t="inlineStr">
        <is>
          <t>Freshmist UK Ltd</t>
        </is>
      </c>
      <c r="D61" s="10" t="inlineStr">
        <is>
          <t>Freshmist Bury Road</t>
        </is>
      </c>
      <c r="E61" s="10" t="inlineStr">
        <is>
          <t>Freshmist</t>
        </is>
      </c>
      <c r="F61" s="10" t="inlineStr">
        <is>
          <t>Freshmist UK Ltd</t>
        </is>
      </c>
      <c r="G61" s="10" t="inlineStr">
        <is>
          <t>Vape Shop</t>
        </is>
      </c>
      <c r="H61" s="10" t="inlineStr">
        <is>
          <t>E-liquid manufacturer and vape store (head office)</t>
        </is>
      </c>
      <c r="I61" s="10" t="inlineStr">
        <is>
          <t>Regional Chain</t>
        </is>
      </c>
      <c r="J61" s="10" t="inlineStr">
        <is>
          <t>4</t>
        </is>
      </c>
      <c r="K61" s="10" t="inlineStr">
        <is>
          <t>https://www.freshmist.co.uk/</t>
        </is>
      </c>
      <c r="L61" s="10" t="inlineStr">
        <is>
          <t>https://www.facebook.com/freshmist.buryrd/</t>
        </is>
      </c>
      <c r="M61" s="10" t="inlineStr"/>
      <c r="N61" s="10" t="inlineStr"/>
      <c r="O61" s="10" t="inlineStr">
        <is>
          <t>816 Bury Road</t>
        </is>
      </c>
      <c r="P61" s="10" t="inlineStr"/>
      <c r="Q61" s="10" t="inlineStr">
        <is>
          <t>Bolton</t>
        </is>
      </c>
      <c r="R61" s="10" t="inlineStr">
        <is>
          <t>Greater Manchester</t>
        </is>
      </c>
      <c r="S61" s="10" t="inlineStr">
        <is>
          <t>BL2 6PA</t>
        </is>
      </c>
      <c r="T61" s="10" t="inlineStr">
        <is>
          <t>North West</t>
        </is>
      </c>
      <c r="U61" s="10" t="inlineStr">
        <is>
          <t>England</t>
        </is>
      </c>
      <c r="V61" s="10" t="inlineStr">
        <is>
          <t>01204 288030</t>
        </is>
      </c>
      <c r="W61" s="10" t="inlineStr"/>
      <c r="X61" s="10" t="inlineStr"/>
      <c r="Y61" s="10" t="inlineStr">
        <is>
          <t>orders@freshmist.co.uk</t>
        </is>
      </c>
      <c r="Z61" s="10" t="inlineStr"/>
      <c r="AA61" s="10" t="inlineStr">
        <is>
          <t>orders@freshmist.co.uk</t>
        </is>
      </c>
      <c r="AB61" s="10" t="inlineStr"/>
      <c r="AC61" s="10" t="inlineStr"/>
      <c r="AD61" s="10" t="inlineStr"/>
      <c r="AE61" s="10" t="inlineStr"/>
      <c r="AF61" s="10" t="inlineStr"/>
      <c r="AG61" s="10" t="inlineStr"/>
      <c r="AH61" s="10" t="inlineStr"/>
      <c r="AI61" s="10" t="inlineStr"/>
      <c r="AJ61" s="10" t="inlineStr">
        <is>
          <t>Freshmist (own brand e-liquids)</t>
        </is>
      </c>
      <c r="AK61" s="10" t="inlineStr">
        <is>
          <t>e-liquids; vape hardware</t>
        </is>
      </c>
      <c r="AL61" s="10" t="inlineStr"/>
      <c r="AM61" s="10" t="inlineStr">
        <is>
          <t>Vape Shop</t>
        </is>
      </c>
      <c r="AN61" s="10" t="inlineStr">
        <is>
          <t>Own-brand e-liquid manufacturer/wholesaler</t>
        </is>
      </c>
      <c r="AO61" s="10" t="inlineStr">
        <is>
          <t>Freshmist head office / Bury Road store (BL2 6PA). Regional North-West chain and own-brand e-liquid maker; orders@freshmist.co.uk and 01204 288030 are the published central order line. At least 4 North-West stores (Bury Road, Chorley Old Road, Farnworth, Horwich).</t>
        </is>
      </c>
      <c r="AP61" s="10" t="inlineStr">
        <is>
          <t>High</t>
        </is>
      </c>
      <c r="AQ61" s="10" t="inlineStr">
        <is>
          <t>Multi-site retailer; Core relevant category; Public trade/sales contact; Active website; Social presence; Phone verified on official website</t>
        </is>
      </c>
      <c r="AR61" s="10" t="inlineStr">
        <is>
          <t>https://www.freshmist.co.uk/contact/</t>
        </is>
      </c>
      <c r="AS61" s="10" t="inlineStr">
        <is>
          <t>https://www.freshmist.co.uk/our-stores/</t>
        </is>
      </c>
      <c r="AT61" s="10" t="inlineStr">
        <is>
          <t>3</t>
        </is>
      </c>
      <c r="AU61" s="10" t="inlineStr">
        <is>
          <t>No</t>
        </is>
      </c>
      <c r="AV61" s="10" t="inlineStr">
        <is>
          <t>No</t>
        </is>
      </c>
      <c r="AW61" s="10" t="inlineStr">
        <is>
          <t>No</t>
        </is>
      </c>
      <c r="AX61" s="10" t="inlineStr">
        <is>
          <t>No</t>
        </is>
      </c>
      <c r="AY61" s="10" t="inlineStr">
        <is>
          <t>Verified on official website</t>
        </is>
      </c>
      <c r="AZ61" s="10" t="inlineStr">
        <is>
          <t>Publicly Listed</t>
        </is>
      </c>
      <c r="BA61" s="10" t="inlineStr">
        <is>
          <t>2026-09-17</t>
        </is>
      </c>
      <c r="BB61" s="10" t="inlineStr">
        <is>
          <t>Requires Verification</t>
        </is>
      </c>
      <c r="BC61" s="10" t="inlineStr">
        <is>
          <t>Medium</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UK-000304</t>
        </is>
      </c>
      <c r="B62" s="5" t="inlineStr">
        <is>
          <t>FRESHMISTU-02</t>
        </is>
      </c>
      <c r="C62" s="5" t="inlineStr">
        <is>
          <t>Freshmist UK Ltd</t>
        </is>
      </c>
      <c r="D62" s="5" t="inlineStr">
        <is>
          <t>Freshmist Chorley Old Road</t>
        </is>
      </c>
      <c r="E62" s="5" t="inlineStr">
        <is>
          <t>Freshmist</t>
        </is>
      </c>
      <c r="F62" s="5" t="inlineStr">
        <is>
          <t>Freshmist UK Ltd</t>
        </is>
      </c>
      <c r="G62" s="5" t="inlineStr">
        <is>
          <t>Vape Shop</t>
        </is>
      </c>
      <c r="H62" s="5" t="inlineStr">
        <is>
          <t>Vape store</t>
        </is>
      </c>
      <c r="I62" s="5" t="inlineStr">
        <is>
          <t>Regional Chain</t>
        </is>
      </c>
      <c r="J62" s="5" t="inlineStr">
        <is>
          <t>4</t>
        </is>
      </c>
      <c r="K62" s="5" t="inlineStr">
        <is>
          <t>https://www.freshmist.co.uk/</t>
        </is>
      </c>
      <c r="L62" s="5" t="inlineStr">
        <is>
          <t>https://www.facebook.com/freshmistvapestore/</t>
        </is>
      </c>
      <c r="M62" s="5" t="inlineStr"/>
      <c r="N62" s="5" t="inlineStr"/>
      <c r="O62" s="5" t="inlineStr">
        <is>
          <t>177 Chorley Old Road</t>
        </is>
      </c>
      <c r="P62" s="5" t="inlineStr"/>
      <c r="Q62" s="5" t="inlineStr">
        <is>
          <t>Bolton</t>
        </is>
      </c>
      <c r="R62" s="5" t="inlineStr">
        <is>
          <t>Greater Manchester</t>
        </is>
      </c>
      <c r="S62" s="5" t="inlineStr">
        <is>
          <t>BL1 3BE</t>
        </is>
      </c>
      <c r="T62" s="5" t="inlineStr">
        <is>
          <t>North West</t>
        </is>
      </c>
      <c r="U62" s="5" t="inlineStr">
        <is>
          <t>England</t>
        </is>
      </c>
      <c r="V62" s="5" t="inlineStr">
        <is>
          <t>01204 288030</t>
        </is>
      </c>
      <c r="W62" s="5" t="inlineStr"/>
      <c r="X62" s="5" t="inlineStr"/>
      <c r="Y62" s="5" t="inlineStr">
        <is>
          <t>orders@freshmist.co.uk</t>
        </is>
      </c>
      <c r="Z62" s="5" t="inlineStr"/>
      <c r="AA62" s="5" t="inlineStr">
        <is>
          <t>orders@freshmist.co.uk</t>
        </is>
      </c>
      <c r="AB62" s="5" t="inlineStr"/>
      <c r="AC62" s="5" t="inlineStr"/>
      <c r="AD62" s="5" t="inlineStr"/>
      <c r="AE62" s="5" t="inlineStr"/>
      <c r="AF62" s="5" t="inlineStr"/>
      <c r="AG62" s="5" t="inlineStr"/>
      <c r="AH62" s="5" t="inlineStr"/>
      <c r="AI62" s="5" t="inlineStr"/>
      <c r="AJ62" s="5" t="inlineStr">
        <is>
          <t>Freshmist (own brand e-liquids)</t>
        </is>
      </c>
      <c r="AK62" s="5" t="inlineStr">
        <is>
          <t>e-liquids; vape hardware</t>
        </is>
      </c>
      <c r="AL62" s="5" t="inlineStr"/>
      <c r="AM62" s="5" t="inlineStr">
        <is>
          <t>Vape Shop</t>
        </is>
      </c>
      <c r="AN62" s="5" t="inlineStr">
        <is>
          <t>Part of Freshmist UK Ltd North-West chain</t>
        </is>
      </c>
      <c r="AO62" s="5" t="inlineStr">
        <is>
          <t>Freshmist Chorley Old Road store, Bolton (BL1 3BE). Phone shown is the shared Freshmist central line, not confirmed store-specific.</t>
        </is>
      </c>
      <c r="AP62" s="5" t="inlineStr">
        <is>
          <t>High</t>
        </is>
      </c>
      <c r="AQ62" s="5" t="inlineStr">
        <is>
          <t>Multi-site retailer; Core relevant category; Public trade/sales contact; Active website; Social presence</t>
        </is>
      </c>
      <c r="AR62" s="5" t="inlineStr">
        <is>
          <t>https://www.freshmist.co.uk/our-stores/</t>
        </is>
      </c>
      <c r="AS62" s="5" t="inlineStr">
        <is>
          <t>https://www.facebook.com/freshmistvapestore/</t>
        </is>
      </c>
      <c r="AT62" s="5" t="inlineStr">
        <is>
          <t>2</t>
        </is>
      </c>
      <c r="AU62" s="5" t="inlineStr">
        <is>
          <t>No</t>
        </is>
      </c>
      <c r="AV62" s="5" t="inlineStr">
        <is>
          <t>No</t>
        </is>
      </c>
      <c r="AW62" s="5" t="inlineStr">
        <is>
          <t>No</t>
        </is>
      </c>
      <c r="AX62" s="5" t="inlineStr">
        <is>
          <t>No</t>
        </is>
      </c>
      <c r="AY62" s="5" t="inlineStr">
        <is>
          <t>Unverified</t>
        </is>
      </c>
      <c r="AZ62" s="5" t="inlineStr">
        <is>
          <t>Publicly Listed</t>
        </is>
      </c>
      <c r="BA62" s="5" t="inlineStr">
        <is>
          <t>2026-09-17</t>
        </is>
      </c>
      <c r="BB62" s="5" t="inlineStr">
        <is>
          <t>Requires Verification</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UK-000305</t>
        </is>
      </c>
      <c r="B63" s="10" t="inlineStr">
        <is>
          <t>FRESHMISTU-03</t>
        </is>
      </c>
      <c r="C63" s="10" t="inlineStr">
        <is>
          <t>Freshmist UK Ltd</t>
        </is>
      </c>
      <c r="D63" s="10" t="inlineStr">
        <is>
          <t>Freshmist Farnworth</t>
        </is>
      </c>
      <c r="E63" s="10" t="inlineStr">
        <is>
          <t>Freshmist</t>
        </is>
      </c>
      <c r="F63" s="10" t="inlineStr">
        <is>
          <t>Freshmist UK Ltd</t>
        </is>
      </c>
      <c r="G63" s="10" t="inlineStr">
        <is>
          <t>Vape Shop</t>
        </is>
      </c>
      <c r="H63" s="10" t="inlineStr">
        <is>
          <t>Vape store</t>
        </is>
      </c>
      <c r="I63" s="10" t="inlineStr">
        <is>
          <t>Regional Chain</t>
        </is>
      </c>
      <c r="J63" s="10" t="inlineStr">
        <is>
          <t>4</t>
        </is>
      </c>
      <c r="K63" s="10" t="inlineStr">
        <is>
          <t>https://www.freshmist.co.uk/</t>
        </is>
      </c>
      <c r="L63" s="10" t="inlineStr"/>
      <c r="M63" s="10" t="inlineStr"/>
      <c r="N63" s="10" t="inlineStr"/>
      <c r="O63" s="10" t="inlineStr">
        <is>
          <t>134 Market Street</t>
        </is>
      </c>
      <c r="P63" s="10" t="inlineStr">
        <is>
          <t>Farnworth</t>
        </is>
      </c>
      <c r="Q63" s="10" t="inlineStr">
        <is>
          <t>Bolton</t>
        </is>
      </c>
      <c r="R63" s="10" t="inlineStr">
        <is>
          <t>Greater Manchester</t>
        </is>
      </c>
      <c r="S63" s="10" t="inlineStr">
        <is>
          <t>BL4 9AE</t>
        </is>
      </c>
      <c r="T63" s="10" t="inlineStr">
        <is>
          <t>North West</t>
        </is>
      </c>
      <c r="U63" s="10" t="inlineStr">
        <is>
          <t>England</t>
        </is>
      </c>
      <c r="V63" s="10" t="inlineStr">
        <is>
          <t>01204 288030</t>
        </is>
      </c>
      <c r="W63" s="10" t="inlineStr"/>
      <c r="X63" s="10" t="inlineStr"/>
      <c r="Y63" s="10" t="inlineStr">
        <is>
          <t>orders@freshmist.co.uk</t>
        </is>
      </c>
      <c r="Z63" s="10" t="inlineStr"/>
      <c r="AA63" s="10" t="inlineStr">
        <is>
          <t>orders@freshmist.co.uk</t>
        </is>
      </c>
      <c r="AB63" s="10" t="inlineStr"/>
      <c r="AC63" s="10" t="inlineStr"/>
      <c r="AD63" s="10" t="inlineStr"/>
      <c r="AE63" s="10" t="inlineStr"/>
      <c r="AF63" s="10" t="inlineStr"/>
      <c r="AG63" s="10" t="inlineStr"/>
      <c r="AH63" s="10" t="inlineStr"/>
      <c r="AI63" s="10" t="inlineStr"/>
      <c r="AJ63" s="10" t="inlineStr">
        <is>
          <t>Freshmist (own brand e-liquids)</t>
        </is>
      </c>
      <c r="AK63" s="10" t="inlineStr">
        <is>
          <t>e-liquids; vape hardware</t>
        </is>
      </c>
      <c r="AL63" s="10" t="inlineStr"/>
      <c r="AM63" s="10" t="inlineStr">
        <is>
          <t>Vape Shop</t>
        </is>
      </c>
      <c r="AN63" s="10" t="inlineStr">
        <is>
          <t>Part of Freshmist UK Ltd North-West chain</t>
        </is>
      </c>
      <c r="AO63" s="10" t="inlineStr">
        <is>
          <t>Freshmist Farnworth store on Market Street (BL4 9AE). Phone shown is the shared Freshmist central line, not confirmed store-specific.</t>
        </is>
      </c>
      <c r="AP63" s="10" t="inlineStr">
        <is>
          <t>High</t>
        </is>
      </c>
      <c r="AQ63" s="10" t="inlineStr">
        <is>
          <t>Multi-site retailer; Core relevant category; Public trade/sales contact; Active website</t>
        </is>
      </c>
      <c r="AR63" s="10" t="inlineStr">
        <is>
          <t>https://www.freshmist.co.uk/our-stores/</t>
        </is>
      </c>
      <c r="AS63" s="10" t="inlineStr"/>
      <c r="AT63" s="10" t="inlineStr">
        <is>
          <t>1</t>
        </is>
      </c>
      <c r="AU63" s="10" t="inlineStr">
        <is>
          <t>No</t>
        </is>
      </c>
      <c r="AV63" s="10" t="inlineStr">
        <is>
          <t>No</t>
        </is>
      </c>
      <c r="AW63" s="10" t="inlineStr">
        <is>
          <t>No</t>
        </is>
      </c>
      <c r="AX63" s="10" t="inlineStr">
        <is>
          <t>No</t>
        </is>
      </c>
      <c r="AY63" s="10" t="inlineStr">
        <is>
          <t>Unverified</t>
        </is>
      </c>
      <c r="AZ63" s="10" t="inlineStr">
        <is>
          <t>Publicly Listed</t>
        </is>
      </c>
      <c r="BA63" s="10" t="inlineStr">
        <is>
          <t>2026-09-17</t>
        </is>
      </c>
      <c r="BB63" s="10" t="inlineStr">
        <is>
          <t>Requires Verification</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UK-000306</t>
        </is>
      </c>
      <c r="B64" s="5" t="inlineStr">
        <is>
          <t>FRESHMISTU-04</t>
        </is>
      </c>
      <c r="C64" s="5" t="inlineStr">
        <is>
          <t>Freshmist UK Ltd</t>
        </is>
      </c>
      <c r="D64" s="5" t="inlineStr">
        <is>
          <t>Freshmist Horwich</t>
        </is>
      </c>
      <c r="E64" s="5" t="inlineStr">
        <is>
          <t>Freshmist</t>
        </is>
      </c>
      <c r="F64" s="5" t="inlineStr">
        <is>
          <t>Freshmist UK Ltd</t>
        </is>
      </c>
      <c r="G64" s="5" t="inlineStr">
        <is>
          <t>Vape Shop</t>
        </is>
      </c>
      <c r="H64" s="5" t="inlineStr">
        <is>
          <t>Vape store</t>
        </is>
      </c>
      <c r="I64" s="5" t="inlineStr">
        <is>
          <t>Regional Chain</t>
        </is>
      </c>
      <c r="J64" s="5" t="inlineStr">
        <is>
          <t>4</t>
        </is>
      </c>
      <c r="K64" s="5" t="inlineStr">
        <is>
          <t>https://www.freshmist.co.uk/</t>
        </is>
      </c>
      <c r="L64" s="5" t="inlineStr"/>
      <c r="M64" s="5" t="inlineStr"/>
      <c r="N64" s="5" t="inlineStr"/>
      <c r="O64" s="5" t="inlineStr">
        <is>
          <t>11 Winter Hey Lane</t>
        </is>
      </c>
      <c r="P64" s="5" t="inlineStr">
        <is>
          <t>Horwich</t>
        </is>
      </c>
      <c r="Q64" s="5" t="inlineStr">
        <is>
          <t>Bolton</t>
        </is>
      </c>
      <c r="R64" s="5" t="inlineStr">
        <is>
          <t>Greater Manchester</t>
        </is>
      </c>
      <c r="S64" s="5" t="inlineStr">
        <is>
          <t>BL6 7AD</t>
        </is>
      </c>
      <c r="T64" s="5" t="inlineStr">
        <is>
          <t>North West</t>
        </is>
      </c>
      <c r="U64" s="5" t="inlineStr">
        <is>
          <t>England</t>
        </is>
      </c>
      <c r="V64" s="5" t="inlineStr">
        <is>
          <t>01204 288030</t>
        </is>
      </c>
      <c r="W64" s="5" t="inlineStr"/>
      <c r="X64" s="5" t="inlineStr"/>
      <c r="Y64" s="5" t="inlineStr">
        <is>
          <t>orders@freshmist.co.uk</t>
        </is>
      </c>
      <c r="Z64" s="5" t="inlineStr"/>
      <c r="AA64" s="5" t="inlineStr">
        <is>
          <t>orders@freshmist.co.uk</t>
        </is>
      </c>
      <c r="AB64" s="5" t="inlineStr"/>
      <c r="AC64" s="5" t="inlineStr"/>
      <c r="AD64" s="5" t="inlineStr"/>
      <c r="AE64" s="5" t="inlineStr"/>
      <c r="AF64" s="5" t="inlineStr"/>
      <c r="AG64" s="5" t="inlineStr"/>
      <c r="AH64" s="5" t="inlineStr"/>
      <c r="AI64" s="5" t="inlineStr"/>
      <c r="AJ64" s="5" t="inlineStr">
        <is>
          <t>Freshmist (own brand e-liquids)</t>
        </is>
      </c>
      <c r="AK64" s="5" t="inlineStr">
        <is>
          <t>e-liquids; vape hardware</t>
        </is>
      </c>
      <c r="AL64" s="5" t="inlineStr"/>
      <c r="AM64" s="5" t="inlineStr">
        <is>
          <t>Vape Shop</t>
        </is>
      </c>
      <c r="AN64" s="5" t="inlineStr">
        <is>
          <t>Part of Freshmist UK Ltd North-West chain</t>
        </is>
      </c>
      <c r="AO64" s="5" t="inlineStr">
        <is>
          <t>Freshmist Horwich store on Winter Hey Lane (BL6 7AD). Phone shown is the shared Freshmist central line, not confirmed store-specific.</t>
        </is>
      </c>
      <c r="AP64" s="5" t="inlineStr">
        <is>
          <t>High</t>
        </is>
      </c>
      <c r="AQ64" s="5" t="inlineStr">
        <is>
          <t>Multi-site retailer; Core relevant category; Public trade/sales contact; Active website</t>
        </is>
      </c>
      <c r="AR64" s="5" t="inlineStr">
        <is>
          <t>https://www.freshmist.co.uk/our-stores/</t>
        </is>
      </c>
      <c r="AS64" s="5" t="inlineStr">
        <is>
          <t>https://horwich.cylex-uk.co.uk/company/freshmist-horwich-27903083.html</t>
        </is>
      </c>
      <c r="AT64" s="5" t="inlineStr">
        <is>
          <t>2</t>
        </is>
      </c>
      <c r="AU64" s="5" t="inlineStr">
        <is>
          <t>No</t>
        </is>
      </c>
      <c r="AV64" s="5" t="inlineStr">
        <is>
          <t>No</t>
        </is>
      </c>
      <c r="AW64" s="5" t="inlineStr">
        <is>
          <t>No</t>
        </is>
      </c>
      <c r="AX64" s="5" t="inlineStr">
        <is>
          <t>No</t>
        </is>
      </c>
      <c r="AY64" s="5" t="inlineStr">
        <is>
          <t>Unverified</t>
        </is>
      </c>
      <c r="AZ64" s="5" t="inlineStr">
        <is>
          <t>Publicly Listed</t>
        </is>
      </c>
      <c r="BA64" s="5" t="inlineStr">
        <is>
          <t>2026-09-17</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WY-0014</t>
        </is>
      </c>
      <c r="B65" s="10" t="inlineStr">
        <is>
          <t>GTNEWS-01</t>
        </is>
      </c>
      <c r="C65" s="10" t="inlineStr">
        <is>
          <t>GT News</t>
        </is>
      </c>
      <c r="D65" s="10" t="inlineStr">
        <is>
          <t>GT News (White Rose Shopping Centre)</t>
        </is>
      </c>
      <c r="E65" s="10" t="inlineStr">
        <is>
          <t>GT News</t>
        </is>
      </c>
      <c r="F65" s="10" t="inlineStr"/>
      <c r="G65" s="10" t="inlineStr">
        <is>
          <t>Newsagent</t>
        </is>
      </c>
      <c r="H65" s="10" t="inlineStr">
        <is>
          <t>Shopping-centre newsagent and convenience kiosk</t>
        </is>
      </c>
      <c r="I65" s="10" t="inlineStr">
        <is>
          <t>Multi-Site Independent</t>
        </is>
      </c>
      <c r="J65" s="10" t="inlineStr">
        <is>
          <t>2</t>
        </is>
      </c>
      <c r="K65" s="10" t="inlineStr">
        <is>
          <t>http://www.gtnews.co.uk/</t>
        </is>
      </c>
      <c r="L65" s="10" t="inlineStr"/>
      <c r="M65" s="10" t="inlineStr"/>
      <c r="N65" s="10" t="inlineStr"/>
      <c r="O65" s="10" t="inlineStr">
        <is>
          <t>Unit 28E Lower Level, White Rose Shopping Centre</t>
        </is>
      </c>
      <c r="P65" s="10" t="inlineStr">
        <is>
          <t>Dewsbury Road</t>
        </is>
      </c>
      <c r="Q65" s="10" t="inlineStr">
        <is>
          <t>Leeds</t>
        </is>
      </c>
      <c r="R65" s="10" t="inlineStr">
        <is>
          <t>West Yorkshire</t>
        </is>
      </c>
      <c r="S65" s="10" t="inlineStr">
        <is>
          <t>LS11 8LU</t>
        </is>
      </c>
      <c r="T65" s="10" t="inlineStr">
        <is>
          <t>Yorkshire &amp; Humber</t>
        </is>
      </c>
      <c r="U65" s="10" t="inlineStr">
        <is>
          <t>England</t>
        </is>
      </c>
      <c r="V65" s="10" t="inlineStr">
        <is>
          <t>0113 228 6446</t>
        </is>
      </c>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newspapers; magazines; lottery; mobile top-ups; tobacco; sweets; drinks</t>
        </is>
      </c>
      <c r="AL65" s="10" t="inlineStr"/>
      <c r="AM65" s="10" t="inlineStr">
        <is>
          <t>Newsagent</t>
        </is>
      </c>
      <c r="AN65" s="10" t="inlineStr"/>
      <c r="AO65" s="10" t="inlineStr">
        <is>
          <t>Operates at least two units in the White Rose Shopping Centre (28E Lower Level and U102 Upper Level); multi-site newsagent operator.</t>
        </is>
      </c>
      <c r="AP65" s="10" t="inlineStr">
        <is>
          <t>Medium</t>
        </is>
      </c>
      <c r="AQ65" s="10" t="inlineStr">
        <is>
          <t>Multi-site retailer; Independent retailer; Relevant category; Active website</t>
        </is>
      </c>
      <c r="AR65" s="10" t="inlineStr">
        <is>
          <t>https://www.leedsonline.co.uk/info/17974/</t>
        </is>
      </c>
      <c r="AS65" s="10" t="inlineStr">
        <is>
          <t>https://www.misterwhat.co.uk/company/2740902-gt-news-leeds</t>
        </is>
      </c>
      <c r="AT65" s="10" t="inlineStr">
        <is>
          <t>2</t>
        </is>
      </c>
      <c r="AU65" s="10" t="inlineStr">
        <is>
          <t>No</t>
        </is>
      </c>
      <c r="AV65" s="10" t="inlineStr">
        <is>
          <t>No</t>
        </is>
      </c>
      <c r="AW65" s="10" t="inlineStr">
        <is>
          <t>No</t>
        </is>
      </c>
      <c r="AX65" s="10" t="inlineStr">
        <is>
          <t>No</t>
        </is>
      </c>
      <c r="AY65" s="10" t="inlineStr">
        <is>
          <t>Verified directory</t>
        </is>
      </c>
      <c r="AZ65" s="10" t="inlineStr">
        <is>
          <t>Website Found</t>
        </is>
      </c>
      <c r="BA65" s="10" t="inlineStr">
        <is>
          <t>2026-09-17</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2026-09-17</t>
        </is>
      </c>
      <c r="BL65" s="10" t="inlineStr"/>
      <c r="BM65" s="10" t="inlineStr"/>
      <c r="BN65" s="10" t="inlineStr"/>
      <c r="BO65" s="10" t="inlineStr"/>
      <c r="BP65" s="10" t="inlineStr"/>
      <c r="BQ65" s="10" t="inlineStr"/>
    </row>
    <row r="66">
      <c r="A66" s="5" t="inlineStr">
        <is>
          <t>UK-000307</t>
        </is>
      </c>
      <c r="B66" s="5" t="inlineStr">
        <is>
          <t>GOLOCALPAR-01</t>
        </is>
      </c>
      <c r="C66" s="5" t="inlineStr">
        <is>
          <t>Go Local (Parfetts)</t>
        </is>
      </c>
      <c r="D66" s="5" t="inlineStr">
        <is>
          <t>Go Local - Hyde Convenience Store</t>
        </is>
      </c>
      <c r="E66" s="5" t="inlineStr">
        <is>
          <t>Go Local Hyde</t>
        </is>
      </c>
      <c r="F66" s="5" t="inlineStr"/>
      <c r="G66" s="5" t="inlineStr">
        <is>
          <t>Convenience Store</t>
        </is>
      </c>
      <c r="H66" s="5" t="inlineStr">
        <is>
          <t>Symbol group convenience</t>
        </is>
      </c>
      <c r="I66" s="5" t="inlineStr">
        <is>
          <t>Franchise / Symbol Group</t>
        </is>
      </c>
      <c r="J66" s="5" t="inlineStr">
        <is>
          <t>1</t>
        </is>
      </c>
      <c r="K66" s="5" t="inlineStr"/>
      <c r="L66" s="5" t="inlineStr"/>
      <c r="M66" s="5" t="inlineStr"/>
      <c r="N66" s="5" t="inlineStr"/>
      <c r="O66" s="5" t="inlineStr">
        <is>
          <t>119 Bennett Street</t>
        </is>
      </c>
      <c r="P66" s="5" t="inlineStr"/>
      <c r="Q66" s="5" t="inlineStr">
        <is>
          <t>Hyde</t>
        </is>
      </c>
      <c r="R66" s="5" t="inlineStr">
        <is>
          <t>Greater Manchester</t>
        </is>
      </c>
      <c r="S66" s="5" t="inlineStr">
        <is>
          <t>SK14 4SS</t>
        </is>
      </c>
      <c r="T66" s="5" t="inlineStr">
        <is>
          <t>North West</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convenience; groceries; alcohol</t>
        </is>
      </c>
      <c r="AL66" s="5" t="inlineStr"/>
      <c r="AM66" s="5" t="inlineStr">
        <is>
          <t>Convenience Store</t>
        </is>
      </c>
      <c r="AN66" s="5" t="inlineStr"/>
      <c r="AO66" s="5" t="inlineStr">
        <is>
          <t>Independent convenience store trading under Go Local (Parfetts) symbol group, Bennett Street, Hyde.</t>
        </is>
      </c>
      <c r="AP66" s="5" t="inlineStr">
        <is>
          <t>Medium</t>
        </is>
      </c>
      <c r="AQ66" s="5" t="inlineStr">
        <is>
          <t>Multi-site retailer; Independent retailer; Relevant category</t>
        </is>
      </c>
      <c r="AR66" s="5" t="inlineStr">
        <is>
          <t>https://ratings.food.gov.uk/business/444647</t>
        </is>
      </c>
      <c r="AS66" s="5" t="inlineStr"/>
      <c r="AT66" s="5" t="inlineStr">
        <is>
          <t>1</t>
        </is>
      </c>
      <c r="AU66" s="5" t="inlineStr">
        <is>
          <t>No</t>
        </is>
      </c>
      <c r="AV66" s="5" t="inlineStr">
        <is>
          <t>No</t>
        </is>
      </c>
      <c r="AW66" s="5" t="inlineStr">
        <is>
          <t>No</t>
        </is>
      </c>
      <c r="AX66" s="5" t="inlineStr">
        <is>
          <t>No</t>
        </is>
      </c>
      <c r="AY66" s="5" t="inlineStr">
        <is>
          <t>Not Found</t>
        </is>
      </c>
      <c r="AZ66" s="5" t="inlineStr">
        <is>
          <t>Not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2026-09-17</t>
        </is>
      </c>
      <c r="BJ66" s="5" t="inlineStr">
        <is>
          <t>New</t>
        </is>
      </c>
      <c r="BK66" s="5" t="inlineStr">
        <is>
          <t>2026-09-17</t>
        </is>
      </c>
      <c r="BL66" s="5" t="inlineStr"/>
      <c r="BM66" s="5" t="inlineStr"/>
      <c r="BN66" s="5" t="inlineStr"/>
      <c r="BO66" s="5" t="inlineStr"/>
      <c r="BP66" s="5" t="inlineStr"/>
      <c r="BQ66" s="5" t="inlineStr"/>
    </row>
    <row r="67">
      <c r="A67" s="10" t="inlineStr">
        <is>
          <t>UK-000308</t>
        </is>
      </c>
      <c r="B67" s="10" t="inlineStr">
        <is>
          <t>GOLOCALPAR-02</t>
        </is>
      </c>
      <c r="C67" s="10" t="inlineStr">
        <is>
          <t>Go Local (Parfetts)</t>
        </is>
      </c>
      <c r="D67" s="10" t="inlineStr">
        <is>
          <t>Go Local Extra (Hannah's Convenience)</t>
        </is>
      </c>
      <c r="E67" s="10" t="inlineStr">
        <is>
          <t>Go Local Extra</t>
        </is>
      </c>
      <c r="F67" s="10" t="inlineStr"/>
      <c r="G67" s="10" t="inlineStr">
        <is>
          <t>Convenience Store</t>
        </is>
      </c>
      <c r="H67" s="10" t="inlineStr">
        <is>
          <t>Symbol group convenience</t>
        </is>
      </c>
      <c r="I67" s="10" t="inlineStr">
        <is>
          <t>Franchise / Symbol Group</t>
        </is>
      </c>
      <c r="J67" s="10" t="inlineStr">
        <is>
          <t>1</t>
        </is>
      </c>
      <c r="K67" s="10" t="inlineStr"/>
      <c r="L67" s="10" t="inlineStr"/>
      <c r="M67" s="10" t="inlineStr"/>
      <c r="N67" s="10" t="inlineStr"/>
      <c r="O67" s="10" t="inlineStr">
        <is>
          <t>290 Grimshaw Lane</t>
        </is>
      </c>
      <c r="P67" s="10" t="inlineStr"/>
      <c r="Q67" s="10" t="inlineStr">
        <is>
          <t>Middleton</t>
        </is>
      </c>
      <c r="R67" s="10" t="inlineStr">
        <is>
          <t>Greater Manchester</t>
        </is>
      </c>
      <c r="S67" s="10" t="inlineStr">
        <is>
          <t>M24 2XL</t>
        </is>
      </c>
      <c r="T67" s="10" t="inlineStr">
        <is>
          <t>North West</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convenience; groceries; alcohol</t>
        </is>
      </c>
      <c r="AL67" s="10" t="inlineStr"/>
      <c r="AM67" s="10" t="inlineStr">
        <is>
          <t>Convenience Store</t>
        </is>
      </c>
      <c r="AN67" s="10" t="inlineStr"/>
      <c r="AO67" s="10" t="inlineStr">
        <is>
          <t>Independent convenience store trading under Go Local (Parfetts) symbol group, Grimshaw Lane, Middleton.</t>
        </is>
      </c>
      <c r="AP67" s="10" t="inlineStr">
        <is>
          <t>Medium</t>
        </is>
      </c>
      <c r="AQ67" s="10" t="inlineStr">
        <is>
          <t>Multi-site retailer; Independent retailer; Relevant category</t>
        </is>
      </c>
      <c r="AR67" s="10" t="inlineStr">
        <is>
          <t>https://www.yelp.com/search?find_desc=Off+Licence&amp;find_loc=Middleton,+Greater+Manchester</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UK-000428</t>
        </is>
      </c>
      <c r="B68" s="5" t="inlineStr">
        <is>
          <t>GOLOCALPAR-03</t>
        </is>
      </c>
      <c r="C68" s="5" t="inlineStr">
        <is>
          <t>Go Local (Parfetts)</t>
        </is>
      </c>
      <c r="D68" s="5" t="inlineStr">
        <is>
          <t>Go Local Tibbi Convenience Store</t>
        </is>
      </c>
      <c r="E68" s="5" t="inlineStr">
        <is>
          <t>Go Local Tibbi</t>
        </is>
      </c>
      <c r="F68" s="5" t="inlineStr"/>
      <c r="G68" s="5" t="inlineStr">
        <is>
          <t>Convenience Store</t>
        </is>
      </c>
      <c r="H68" s="5" t="inlineStr">
        <is>
          <t>Symbol-group convenience store</t>
        </is>
      </c>
      <c r="I68" s="5" t="inlineStr">
        <is>
          <t>Franchise / Symbol Group</t>
        </is>
      </c>
      <c r="J68" s="5" t="inlineStr">
        <is>
          <t>1</t>
        </is>
      </c>
      <c r="K68" s="5" t="inlineStr"/>
      <c r="L68" s="5" t="inlineStr"/>
      <c r="M68" s="5" t="inlineStr"/>
      <c r="N68" s="5" t="inlineStr"/>
      <c r="O68" s="5" t="inlineStr"/>
      <c r="P68" s="5" t="inlineStr">
        <is>
          <t>Tibbington</t>
        </is>
      </c>
      <c r="Q68" s="5" t="inlineStr">
        <is>
          <t>Tipton</t>
        </is>
      </c>
      <c r="R68" s="5" t="inlineStr">
        <is>
          <t>West Midlands</t>
        </is>
      </c>
      <c r="S68" s="5" t="inlineStr"/>
      <c r="T68" s="5" t="inlineStr">
        <is>
          <t>West Midlands</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groceries; convenience; beers; wines; spirits</t>
        </is>
      </c>
      <c r="AL68" s="5" t="inlineStr"/>
      <c r="AM68" s="5" t="inlineStr">
        <is>
          <t>Convenience Store</t>
        </is>
      </c>
      <c r="AN68" s="5" t="inlineStr">
        <is>
          <t>Go Local symbol group (Parfetts)</t>
        </is>
      </c>
      <c r="AO68" s="5" t="inlineStr">
        <is>
          <t>Independent convenience store operating under the Go Local symbol fascia (Parfetts) in the Tibbington area of Tipton. Listed on Cylex Tipton; exact street address not in snippet.</t>
        </is>
      </c>
      <c r="AP68" s="5" t="inlineStr">
        <is>
          <t>Medium</t>
        </is>
      </c>
      <c r="AQ68" s="5" t="inlineStr">
        <is>
          <t>Multi-site retailer; Independent retailer; Relevant category</t>
        </is>
      </c>
      <c r="AR68" s="5" t="inlineStr">
        <is>
          <t>https://tipton.cylex-uk.co.uk/company/go-local-tibbi-convenience-store-26088834.html</t>
        </is>
      </c>
      <c r="AS68" s="5" t="inlineStr"/>
      <c r="AT68" s="5" t="inlineStr">
        <is>
          <t>1</t>
        </is>
      </c>
      <c r="AU68" s="5" t="inlineStr">
        <is>
          <t>No</t>
        </is>
      </c>
      <c r="AV68" s="5" t="inlineStr">
        <is>
          <t>No</t>
        </is>
      </c>
      <c r="AW68" s="5" t="inlineStr">
        <is>
          <t>No</t>
        </is>
      </c>
      <c r="AX68" s="5" t="inlineStr">
        <is>
          <t>No</t>
        </is>
      </c>
      <c r="AY68" s="5" t="inlineStr">
        <is>
          <t>Not Found</t>
        </is>
      </c>
      <c r="AZ68" s="5" t="inlineStr">
        <is>
          <t>Not Found</t>
        </is>
      </c>
      <c r="BA68" s="5" t="inlineStr">
        <is>
          <t>2026-09-17</t>
        </is>
      </c>
      <c r="BB68" s="5" t="inlineStr">
        <is>
          <t>Requires Verification</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UK-000429</t>
        </is>
      </c>
      <c r="B69" s="10" t="inlineStr">
        <is>
          <t>GREYHAZE-01</t>
        </is>
      </c>
      <c r="C69" s="10" t="inlineStr">
        <is>
          <t>Grey Haze</t>
        </is>
      </c>
      <c r="D69" s="10" t="inlineStr">
        <is>
          <t>Grey Haze Vape &amp; Cafe Lounge - Kings Heath</t>
        </is>
      </c>
      <c r="E69" s="10" t="inlineStr">
        <is>
          <t>Grey Haze</t>
        </is>
      </c>
      <c r="F69" s="10" t="inlineStr"/>
      <c r="G69" s="10" t="inlineStr">
        <is>
          <t>Vape Shop</t>
        </is>
      </c>
      <c r="H69" s="10" t="inlineStr">
        <is>
          <t>Vape shop and cafe lounge</t>
        </is>
      </c>
      <c r="I69" s="10" t="inlineStr">
        <is>
          <t>Regional Chain</t>
        </is>
      </c>
      <c r="J69" s="10" t="inlineStr">
        <is>
          <t>1</t>
        </is>
      </c>
      <c r="K69" s="10" t="inlineStr">
        <is>
          <t>https://greyhaze.co.uk/</t>
        </is>
      </c>
      <c r="L69" s="10" t="inlineStr"/>
      <c r="M69" s="10" t="inlineStr"/>
      <c r="N69" s="10" t="inlineStr"/>
      <c r="O69" s="10" t="inlineStr">
        <is>
          <t>73 High Street</t>
        </is>
      </c>
      <c r="P69" s="10" t="inlineStr">
        <is>
          <t>Kings Heath</t>
        </is>
      </c>
      <c r="Q69" s="10" t="inlineStr">
        <is>
          <t>Birmingham</t>
        </is>
      </c>
      <c r="R69" s="10" t="inlineStr">
        <is>
          <t>West Midlands</t>
        </is>
      </c>
      <c r="S69" s="10" t="inlineStr">
        <is>
          <t>B14 7BH</t>
        </is>
      </c>
      <c r="T69" s="10" t="inlineStr">
        <is>
          <t>West Midlands</t>
        </is>
      </c>
      <c r="U69" s="10" t="inlineStr">
        <is>
          <t>England</t>
        </is>
      </c>
      <c r="V69" s="10" t="inlineStr">
        <is>
          <t>0345 021 9294</t>
        </is>
      </c>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vape hardware; e-liquids</t>
        </is>
      </c>
      <c r="AL69" s="10" t="inlineStr"/>
      <c r="AM69" s="10" t="inlineStr">
        <is>
          <t>Vape Shop</t>
        </is>
      </c>
      <c r="AN69" s="10" t="inlineStr"/>
      <c r="AO69" s="10" t="inlineStr">
        <is>
          <t>Grey Haze is a multi-site West Midlands vape/cafe-lounge chain; this is the Kings Heath branch. Shared phone/website across sites. Postcode B14 7BH per Grey Haze locator; Yelp lists nearby B14 7JZ.</t>
        </is>
      </c>
      <c r="AP69" s="10" t="inlineStr">
        <is>
          <t>Medium</t>
        </is>
      </c>
      <c r="AQ69" s="10" t="inlineStr">
        <is>
          <t>Multi-site retailer; Core relevant category; Active website</t>
        </is>
      </c>
      <c r="AR69" s="10" t="inlineStr">
        <is>
          <t>https://greyhaze.co.uk/pages/shop-locator</t>
        </is>
      </c>
      <c r="AS69" s="10" t="inlineStr">
        <is>
          <t>https://www.yelp.co.uk/biz/grey-haze-vape-and-cafe-lounge-birmingham</t>
        </is>
      </c>
      <c r="AT69" s="10" t="inlineStr">
        <is>
          <t>2</t>
        </is>
      </c>
      <c r="AU69" s="10" t="inlineStr">
        <is>
          <t>No</t>
        </is>
      </c>
      <c r="AV69" s="10" t="inlineStr">
        <is>
          <t>No</t>
        </is>
      </c>
      <c r="AW69" s="10" t="inlineStr">
        <is>
          <t>No</t>
        </is>
      </c>
      <c r="AX69" s="10" t="inlineStr">
        <is>
          <t>No</t>
        </is>
      </c>
      <c r="AY69" s="10" t="inlineStr">
        <is>
          <t>Verified directory</t>
        </is>
      </c>
      <c r="AZ69" s="10" t="inlineStr">
        <is>
          <t>Website Found</t>
        </is>
      </c>
      <c r="BA69" s="10" t="inlineStr">
        <is>
          <t>2026-09-17</t>
        </is>
      </c>
      <c r="BB69" s="10" t="inlineStr">
        <is>
          <t>Requires Verification</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2026-09-17</t>
        </is>
      </c>
      <c r="BJ69" s="10" t="inlineStr">
        <is>
          <t>New</t>
        </is>
      </c>
      <c r="BK69" s="10" t="inlineStr">
        <is>
          <t>2026-09-17</t>
        </is>
      </c>
      <c r="BL69" s="10" t="inlineStr"/>
      <c r="BM69" s="10" t="inlineStr"/>
      <c r="BN69" s="10" t="inlineStr"/>
      <c r="BO69" s="10" t="inlineStr"/>
      <c r="BP69" s="10" t="inlineStr"/>
      <c r="BQ69" s="10" t="inlineStr"/>
    </row>
    <row r="70">
      <c r="A70" s="5" t="inlineStr">
        <is>
          <t>UK-000555</t>
        </is>
      </c>
      <c r="B70" s="5" t="inlineStr">
        <is>
          <t>HOUSEOFVAP-01</t>
        </is>
      </c>
      <c r="C70" s="5" t="inlineStr">
        <is>
          <t>House of Vapes London</t>
        </is>
      </c>
      <c r="D70" s="5" t="inlineStr">
        <is>
          <t>House of Vapes London - Notting Hill</t>
        </is>
      </c>
      <c r="E70" s="5" t="inlineStr">
        <is>
          <t>House of Vapes London</t>
        </is>
      </c>
      <c r="F70" s="5" t="inlineStr">
        <is>
          <t>Vapes of London Ltd</t>
        </is>
      </c>
      <c r="G70" s="5" t="inlineStr">
        <is>
          <t>Vape Shop</t>
        </is>
      </c>
      <c r="H70" s="5" t="inlineStr">
        <is>
          <t>Vape hardware, e-liquids &amp; disposables</t>
        </is>
      </c>
      <c r="I70" s="5" t="inlineStr">
        <is>
          <t>Regional Chain</t>
        </is>
      </c>
      <c r="J70" s="5" t="inlineStr">
        <is>
          <t>1</t>
        </is>
      </c>
      <c r="K70" s="5" t="inlineStr">
        <is>
          <t>https://www.houseofvapeslondon.co.uk/</t>
        </is>
      </c>
      <c r="L70" s="5" t="inlineStr">
        <is>
          <t>https://www.facebook.com/houseofvapes.london/</t>
        </is>
      </c>
      <c r="M70" s="5" t="inlineStr"/>
      <c r="N70" s="5" t="inlineStr"/>
      <c r="O70" s="5" t="inlineStr">
        <is>
          <t>195 Portobello Road</t>
        </is>
      </c>
      <c r="P70" s="5" t="inlineStr">
        <is>
          <t>Notting Hill</t>
        </is>
      </c>
      <c r="Q70" s="5" t="inlineStr">
        <is>
          <t>London</t>
        </is>
      </c>
      <c r="R70" s="5" t="inlineStr">
        <is>
          <t>Greater London</t>
        </is>
      </c>
      <c r="S70" s="5" t="inlineStr">
        <is>
          <t>W11 2ED</t>
        </is>
      </c>
      <c r="T70" s="5" t="inlineStr">
        <is>
          <t>London</t>
        </is>
      </c>
      <c r="U70" s="5" t="inlineStr">
        <is>
          <t>England</t>
        </is>
      </c>
      <c r="V70" s="5" t="inlineStr"/>
      <c r="W70" s="5" t="inlineStr"/>
      <c r="X70" s="5" t="inlineStr"/>
      <c r="Y70" s="5" t="inlineStr"/>
      <c r="Z70" s="5" t="inlineStr"/>
      <c r="AA70" s="5" t="inlineStr"/>
      <c r="AB70" s="5" t="inlineStr"/>
      <c r="AC70" s="5" t="inlineStr"/>
      <c r="AD70" s="5" t="inlineStr"/>
      <c r="AE70" s="5" t="inlineStr">
        <is>
          <t>14483837</t>
        </is>
      </c>
      <c r="AF70" s="5" t="inlineStr"/>
      <c r="AG70" s="5" t="inlineStr">
        <is>
          <t>VAPES OF LONDON LTD</t>
        </is>
      </c>
      <c r="AH70" s="5" t="inlineStr"/>
      <c r="AI70" s="5" t="inlineStr"/>
      <c r="AJ70" s="5" t="inlineStr"/>
      <c r="AK70" s="5" t="inlineStr">
        <is>
          <t>vape hardware; e-liquids; disposables</t>
        </is>
      </c>
      <c r="AL70" s="5" t="inlineStr"/>
      <c r="AM70" s="5" t="inlineStr">
        <is>
          <t>Vape Shop</t>
        </is>
      </c>
      <c r="AN70" s="5" t="inlineStr"/>
      <c r="AO70" s="5" t="inlineStr">
        <is>
          <t>Notting Hill (Portobello Road) branch of House of Vapes London, a small London vape chain (also Fulham etc.). Address/postcode from Yelp/eCig Directory snippets; Companies House number for 'Vapes of London Ltd' from search snippet - link not yet cross-checked.</t>
        </is>
      </c>
      <c r="AP70" s="5" t="inlineStr">
        <is>
          <t>High</t>
        </is>
      </c>
      <c r="AQ70" s="5" t="inlineStr">
        <is>
          <t>Multi-site retailer; Core relevant category; Active website; Social presence</t>
        </is>
      </c>
      <c r="AR70" s="5" t="inlineStr">
        <is>
          <t>https://find-and-update.company-information.service.gov.uk/company/14483837</t>
        </is>
      </c>
      <c r="AS70" s="5" t="inlineStr">
        <is>
          <t>https://www.yelp.co.uk/biz/house-of-vapes-london-4</t>
        </is>
      </c>
      <c r="AT70" s="5" t="inlineStr">
        <is>
          <t>2</t>
        </is>
      </c>
      <c r="AU70" s="5" t="inlineStr">
        <is>
          <t>No</t>
        </is>
      </c>
      <c r="AV70" s="5" t="inlineStr">
        <is>
          <t>No</t>
        </is>
      </c>
      <c r="AW70" s="5" t="inlineStr">
        <is>
          <t>No</t>
        </is>
      </c>
      <c r="AX70" s="5" t="inlineStr">
        <is>
          <t>No</t>
        </is>
      </c>
      <c r="AY70" s="5" t="inlineStr">
        <is>
          <t>Not Found</t>
        </is>
      </c>
      <c r="AZ70" s="5" t="inlineStr">
        <is>
          <t>Not Found</t>
        </is>
      </c>
      <c r="BA70" s="5" t="inlineStr">
        <is>
          <t>2026-09-17</t>
        </is>
      </c>
      <c r="BB70" s="5" t="inlineStr">
        <is>
          <t>Requires Verification</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UK-000430</t>
        </is>
      </c>
      <c r="B71" s="10" t="inlineStr">
        <is>
          <t>HYPERAMAPL-01</t>
        </is>
      </c>
      <c r="C71" s="10" t="inlineStr">
        <is>
          <t>Hyperama PLC</t>
        </is>
      </c>
      <c r="D71" s="10" t="inlineStr">
        <is>
          <t>Hyperama Wholesale West Bromwich</t>
        </is>
      </c>
      <c r="E71" s="10" t="inlineStr">
        <is>
          <t>Hyperama</t>
        </is>
      </c>
      <c r="F71" s="10" t="inlineStr"/>
      <c r="G71" s="10" t="inlineStr">
        <is>
          <t>Cash &amp; Carry</t>
        </is>
      </c>
      <c r="H71" s="10" t="inlineStr">
        <is>
          <t>Cash &amp; carry wholesaler</t>
        </is>
      </c>
      <c r="I71" s="10" t="inlineStr">
        <is>
          <t>Regional Chain</t>
        </is>
      </c>
      <c r="J71" s="10" t="inlineStr">
        <is>
          <t>1</t>
        </is>
      </c>
      <c r="K71" s="10" t="inlineStr"/>
      <c r="L71" s="10" t="inlineStr"/>
      <c r="M71" s="10" t="inlineStr"/>
      <c r="N71" s="10" t="inlineStr"/>
      <c r="O71" s="10" t="inlineStr"/>
      <c r="P71" s="10" t="inlineStr"/>
      <c r="Q71" s="10" t="inlineStr">
        <is>
          <t>West Bromwich</t>
        </is>
      </c>
      <c r="R71" s="10" t="inlineStr">
        <is>
          <t>West Midlands</t>
        </is>
      </c>
      <c r="S71" s="10" t="inlineStr">
        <is>
          <t>B70</t>
        </is>
      </c>
      <c r="T71" s="10" t="inlineStr">
        <is>
          <t>West Midlands</t>
        </is>
      </c>
      <c r="U71" s="10" t="inlineStr">
        <is>
          <t>England</t>
        </is>
      </c>
      <c r="V71" s="10" t="inlineStr"/>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grocery wholesale; catering; food service; drinks</t>
        </is>
      </c>
      <c r="AL71" s="10" t="inlineStr"/>
      <c r="AM71" s="10" t="inlineStr">
        <is>
          <t>Cash &amp; Carry</t>
        </is>
      </c>
      <c r="AN71" s="10" t="inlineStr">
        <is>
          <t>Hyperama cash &amp; carry group (multiple Midlands depots)</t>
        </is>
      </c>
      <c r="AO71" s="10" t="inlineStr">
        <is>
          <t>Hyperama cash &amp; carry depot in West Bromwich (B70). Hyperama PLC operates several Midlands cash &amp; carry branches; this is the West Bromwich site. Listed on Yell; full street address not captured in snippet.</t>
        </is>
      </c>
      <c r="AP71" s="10" t="inlineStr">
        <is>
          <t>Medium</t>
        </is>
      </c>
      <c r="AQ71" s="10" t="inlineStr">
        <is>
          <t>Multi-site retailer; Core relevant category</t>
        </is>
      </c>
      <c r="AR71" s="10" t="inlineStr">
        <is>
          <t>https://www.yell.com/biz/hyperama-wholesale-west-bromwich-1694009/</t>
        </is>
      </c>
      <c r="AS71" s="10" t="inlineStr"/>
      <c r="AT71" s="10" t="inlineStr">
        <is>
          <t>1</t>
        </is>
      </c>
      <c r="AU71" s="10" t="inlineStr">
        <is>
          <t>No</t>
        </is>
      </c>
      <c r="AV71" s="10" t="inlineStr">
        <is>
          <t>No</t>
        </is>
      </c>
      <c r="AW71" s="10" t="inlineStr">
        <is>
          <t>No</t>
        </is>
      </c>
      <c r="AX71" s="10" t="inlineStr">
        <is>
          <t>No</t>
        </is>
      </c>
      <c r="AY71" s="10" t="inlineStr">
        <is>
          <t>Not Found</t>
        </is>
      </c>
      <c r="AZ71" s="10" t="inlineStr">
        <is>
          <t>Not Found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UK-000708</t>
        </is>
      </c>
      <c r="B72" s="5" t="inlineStr">
        <is>
          <t>JWFILSHILL-01</t>
        </is>
      </c>
      <c r="C72" s="5" t="inlineStr">
        <is>
          <t>J.W. Filshill Ltd</t>
        </is>
      </c>
      <c r="D72" s="5" t="inlineStr">
        <is>
          <t>J.W. Filshill Ltd</t>
        </is>
      </c>
      <c r="E72" s="5" t="inlineStr">
        <is>
          <t>Filshill</t>
        </is>
      </c>
      <c r="F72" s="5" t="inlineStr">
        <is>
          <t>J.W. Filshill Limited</t>
        </is>
      </c>
      <c r="G72" s="5" t="inlineStr">
        <is>
          <t>Cash &amp; Carry</t>
        </is>
      </c>
      <c r="H72" s="5" t="inlineStr">
        <is>
          <t>Wholesale distributor and cash &amp; carry (KeyStore symbol group)</t>
        </is>
      </c>
      <c r="I72" s="5" t="inlineStr">
        <is>
          <t>Regional Chain</t>
        </is>
      </c>
      <c r="J72" s="5" t="inlineStr">
        <is>
          <t>1</t>
        </is>
      </c>
      <c r="K72" s="5" t="inlineStr">
        <is>
          <t>https://www.filshill.co.uk/</t>
        </is>
      </c>
      <c r="L72" s="5" t="inlineStr">
        <is>
          <t>https://www.facebook.com/filshill/</t>
        </is>
      </c>
      <c r="M72" s="5" t="inlineStr"/>
      <c r="N72" s="5" t="inlineStr"/>
      <c r="O72" s="5" t="inlineStr">
        <is>
          <t>201 Ainslie Avenue</t>
        </is>
      </c>
      <c r="P72" s="5" t="inlineStr">
        <is>
          <t>Hillington Park</t>
        </is>
      </c>
      <c r="Q72" s="5" t="inlineStr">
        <is>
          <t>Glasgow</t>
        </is>
      </c>
      <c r="R72" s="5" t="inlineStr">
        <is>
          <t>Glasgow City</t>
        </is>
      </c>
      <c r="S72" s="5" t="inlineStr">
        <is>
          <t>G52 4HE</t>
        </is>
      </c>
      <c r="T72" s="5" t="inlineStr">
        <is>
          <t>Scotland</t>
        </is>
      </c>
      <c r="U72" s="5" t="inlineStr">
        <is>
          <t>Scotland</t>
        </is>
      </c>
      <c r="V72" s="5" t="inlineStr">
        <is>
          <t>0141 883 7071</t>
        </is>
      </c>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grocery; confectionery; tobacco; soft drinks; chilled; frozen; wholesale supply to convenience retailers</t>
        </is>
      </c>
      <c r="AL72" s="5" t="inlineStr"/>
      <c r="AM72" s="5" t="inlineStr">
        <is>
          <t>Cash &amp; Carry</t>
        </is>
      </c>
      <c r="AN72" s="5" t="inlineStr">
        <is>
          <t>Fifth-generation Glasgow wholesaler supplying c.8,000 products to c.1,400 businesses across Scotland and North of England; operates the KeyStore convenience symbol group</t>
        </is>
      </c>
      <c r="AO72" s="5" t="inlineStr">
        <is>
          <t>Major Glasgow-based wholesaler / cash &amp; carry and KeyStore symbol group operator. Note: press reports indicate a move from the Ainslie Avenue/Hillington premises to a Westway (Renfrew) site around 2023 - verify current trading address on contact.</t>
        </is>
      </c>
      <c r="AP72" s="5" t="inlineStr">
        <is>
          <t>High</t>
        </is>
      </c>
      <c r="AQ72" s="5" t="inlineStr">
        <is>
          <t>Multi-site retailer; Core relevant category; Active website; Social presence</t>
        </is>
      </c>
      <c r="AR72" s="5" t="inlineStr">
        <is>
          <t>https://www.filshill.co.uk/about/</t>
        </is>
      </c>
      <c r="AS72" s="5" t="inlineStr">
        <is>
          <t>https://vinsights.co.uk/Business/60401</t>
        </is>
      </c>
      <c r="AT72" s="5" t="inlineStr">
        <is>
          <t>3</t>
        </is>
      </c>
      <c r="AU72" s="5" t="inlineStr">
        <is>
          <t>No</t>
        </is>
      </c>
      <c r="AV72" s="5" t="inlineStr">
        <is>
          <t>No</t>
        </is>
      </c>
      <c r="AW72" s="5" t="inlineStr">
        <is>
          <t>No</t>
        </is>
      </c>
      <c r="AX72" s="5" t="inlineStr">
        <is>
          <t>No</t>
        </is>
      </c>
      <c r="AY72" s="5" t="inlineStr">
        <is>
          <t>Verified directory</t>
        </is>
      </c>
      <c r="AZ72" s="5" t="inlineStr">
        <is>
          <t>Website Found</t>
        </is>
      </c>
      <c r="BA72" s="5" t="inlineStr">
        <is>
          <t>2026-09-17</t>
        </is>
      </c>
      <c r="BB72" s="5" t="inlineStr">
        <is>
          <t>Requires Verification</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2026-09-17</t>
        </is>
      </c>
      <c r="BJ72" s="5" t="inlineStr">
        <is>
          <t>New</t>
        </is>
      </c>
      <c r="BK72" s="5" t="inlineStr">
        <is>
          <t>2026-09-17</t>
        </is>
      </c>
      <c r="BL72" s="5" t="inlineStr"/>
      <c r="BM72" s="5" t="inlineStr"/>
      <c r="BN72" s="5" t="inlineStr"/>
      <c r="BO72" s="5" t="inlineStr"/>
      <c r="BP72" s="5" t="inlineStr"/>
      <c r="BQ72" s="5" t="inlineStr"/>
    </row>
    <row r="73">
      <c r="A73" s="10" t="inlineStr">
        <is>
          <t>UK-000556</t>
        </is>
      </c>
      <c r="B73" s="10" t="inlineStr">
        <is>
          <t>JAMESJFOX-01</t>
        </is>
      </c>
      <c r="C73" s="10" t="inlineStr">
        <is>
          <t>James J. Fox</t>
        </is>
      </c>
      <c r="D73" s="10" t="inlineStr">
        <is>
          <t>James J Fox - St James's</t>
        </is>
      </c>
      <c r="E73" s="10" t="inlineStr">
        <is>
          <t>James J. Fox</t>
        </is>
      </c>
      <c r="F73" s="10" t="inlineStr"/>
      <c r="G73" s="10" t="inlineStr">
        <is>
          <t>Tobacco Specialist</t>
        </is>
      </c>
      <c r="H73" s="10" t="inlineStr">
        <is>
          <t>Cigar merchant, museum &amp; sampling lounge</t>
        </is>
      </c>
      <c r="I73" s="10" t="inlineStr">
        <is>
          <t>Multi-Site Independent</t>
        </is>
      </c>
      <c r="J73" s="10" t="inlineStr">
        <is>
          <t>1</t>
        </is>
      </c>
      <c r="K73" s="10" t="inlineStr">
        <is>
          <t>https://www.jjfox.co.uk/</t>
        </is>
      </c>
      <c r="L73" s="10" t="inlineStr"/>
      <c r="M73" s="10" t="inlineStr"/>
      <c r="N73" s="10" t="inlineStr"/>
      <c r="O73" s="10" t="inlineStr">
        <is>
          <t>19 St James's Street</t>
        </is>
      </c>
      <c r="P73" s="10" t="inlineStr">
        <is>
          <t>St James's</t>
        </is>
      </c>
      <c r="Q73" s="10" t="inlineStr">
        <is>
          <t>London</t>
        </is>
      </c>
      <c r="R73" s="10" t="inlineStr">
        <is>
          <t>Greater London</t>
        </is>
      </c>
      <c r="S73" s="10" t="inlineStr">
        <is>
          <t>SW1A 1ES</t>
        </is>
      </c>
      <c r="T73" s="10" t="inlineStr">
        <is>
          <t>London</t>
        </is>
      </c>
      <c r="U73" s="10" t="inlineStr">
        <is>
          <t>England</t>
        </is>
      </c>
      <c r="V73" s="10" t="inlineStr">
        <is>
          <t>020 7930 3787</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cigars; pipe tobacco; accessories</t>
        </is>
      </c>
      <c r="AL73" s="10" t="inlineStr"/>
      <c r="AM73" s="10" t="inlineStr">
        <is>
          <t>Tobacco Specialist</t>
        </is>
      </c>
      <c r="AN73" s="10" t="inlineStr"/>
      <c r="AO73" s="10" t="inlineStr">
        <is>
          <t>Flagship St James's cigar merchant (established 1787), with humidor, museum and sampling lounge. Address/postcode/phone/website from Yelp and jjfox.co.uk snippets. Premier Tobacco Specialist prospect.</t>
        </is>
      </c>
      <c r="AP73" s="10" t="inlineStr">
        <is>
          <t>High</t>
        </is>
      </c>
      <c r="AQ73" s="10" t="inlineStr">
        <is>
          <t>Multi-site retailer; Independent retailer; Core relevant category; Active website; Phone verified on official website</t>
        </is>
      </c>
      <c r="AR73" s="10" t="inlineStr">
        <is>
          <t>https://www.jjfox.co.uk/opening-hours</t>
        </is>
      </c>
      <c r="AS73" s="10" t="inlineStr">
        <is>
          <t>https://www.yell.com/biz/james-j-fox-ltd-london-488182/</t>
        </is>
      </c>
      <c r="AT73" s="10" t="inlineStr">
        <is>
          <t>2</t>
        </is>
      </c>
      <c r="AU73" s="10" t="inlineStr">
        <is>
          <t>No</t>
        </is>
      </c>
      <c r="AV73" s="10" t="inlineStr">
        <is>
          <t>No</t>
        </is>
      </c>
      <c r="AW73" s="10" t="inlineStr">
        <is>
          <t>No</t>
        </is>
      </c>
      <c r="AX73" s="10" t="inlineStr">
        <is>
          <t>No</t>
        </is>
      </c>
      <c r="AY73" s="10" t="inlineStr">
        <is>
          <t>Verified on official website</t>
        </is>
      </c>
      <c r="AZ73" s="10" t="inlineStr">
        <is>
          <t>Website Found</t>
        </is>
      </c>
      <c r="BA73" s="10" t="inlineStr">
        <is>
          <t>2026-09-17</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2026-09-17</t>
        </is>
      </c>
      <c r="BJ73" s="10" t="inlineStr">
        <is>
          <t>New</t>
        </is>
      </c>
      <c r="BK73" s="10" t="inlineStr">
        <is>
          <t>2026-09-17</t>
        </is>
      </c>
      <c r="BL73" s="10" t="inlineStr"/>
      <c r="BM73" s="10" t="inlineStr"/>
      <c r="BN73" s="10" t="inlineStr"/>
      <c r="BO73" s="10" t="inlineStr"/>
      <c r="BP73" s="10" t="inlineStr"/>
      <c r="BQ73" s="10" t="inlineStr"/>
    </row>
    <row r="74">
      <c r="A74" s="5" t="inlineStr">
        <is>
          <t>WY-0015</t>
        </is>
      </c>
      <c r="B74" s="5" t="inlineStr">
        <is>
          <t>KPMVAPES-01</t>
        </is>
      </c>
      <c r="C74" s="5" t="inlineStr">
        <is>
          <t>KPM Vapes</t>
        </is>
      </c>
      <c r="D74" s="5" t="inlineStr">
        <is>
          <t>KPM Vapes</t>
        </is>
      </c>
      <c r="E74" s="5" t="inlineStr">
        <is>
          <t>KPM Vapes</t>
        </is>
      </c>
      <c r="F74" s="5" t="inlineStr"/>
      <c r="G74" s="5" t="inlineStr">
        <is>
          <t>Vape Shop</t>
        </is>
      </c>
      <c r="H74" s="5" t="inlineStr">
        <is>
          <t>Vape retail and wholesale</t>
        </is>
      </c>
      <c r="I74" s="5" t="inlineStr">
        <is>
          <t>Multi-Site Independent</t>
        </is>
      </c>
      <c r="J74" s="5" t="inlineStr">
        <is>
          <t>2</t>
        </is>
      </c>
      <c r="K74" s="5" t="inlineStr"/>
      <c r="L74" s="5" t="inlineStr">
        <is>
          <t>https://www.facebook.com/people/KPM-Vapes/61556161391449/</t>
        </is>
      </c>
      <c r="M74" s="5" t="inlineStr">
        <is>
          <t>https://www.instagram.com/kpmvapes/</t>
        </is>
      </c>
      <c r="N74" s="5" t="inlineStr"/>
      <c r="O74" s="5" t="inlineStr">
        <is>
          <t>87/89 Wakefield Road</t>
        </is>
      </c>
      <c r="P74" s="5" t="inlineStr">
        <is>
          <t>Moldgreen</t>
        </is>
      </c>
      <c r="Q74" s="5" t="inlineStr">
        <is>
          <t>Huddersfield</t>
        </is>
      </c>
      <c r="R74" s="5" t="inlineStr">
        <is>
          <t>West Yorkshire</t>
        </is>
      </c>
      <c r="S74" s="5" t="inlineStr">
        <is>
          <t>HD5 9AB</t>
        </is>
      </c>
      <c r="T74" s="5" t="inlineStr">
        <is>
          <t>Yorkshire &amp; Humber</t>
        </is>
      </c>
      <c r="U74" s="5" t="inlineStr">
        <is>
          <t>England</t>
        </is>
      </c>
      <c r="V74" s="5" t="inlineStr">
        <is>
          <t>07463 530406</t>
        </is>
      </c>
      <c r="W74" s="5" t="inlineStr"/>
      <c r="X74" s="5" t="inlineStr"/>
      <c r="Y74" s="5" t="inlineStr">
        <is>
          <t>kpmvapes@outlook.com</t>
        </is>
      </c>
      <c r="Z74" s="5" t="inlineStr"/>
      <c r="AA74" s="5" t="inlineStr"/>
      <c r="AB74" s="5" t="inlineStr"/>
      <c r="AC74" s="5" t="inlineStr"/>
      <c r="AD74" s="5" t="inlineStr"/>
      <c r="AE74" s="5" t="inlineStr"/>
      <c r="AF74" s="5" t="inlineStr"/>
      <c r="AG74" s="5" t="inlineStr"/>
      <c r="AH74" s="5" t="inlineStr"/>
      <c r="AI74" s="5" t="inlineStr"/>
      <c r="AJ74" s="5" t="inlineStr"/>
      <c r="AK74" s="5" t="inlineStr">
        <is>
          <t>vape hardware; e-liquids; disposable vapes; wholesale vape supplies</t>
        </is>
      </c>
      <c r="AL74" s="5" t="inlineStr"/>
      <c r="AM74" s="5" t="inlineStr">
        <is>
          <t>Vape Shop</t>
        </is>
      </c>
      <c r="AN74" s="5" t="inlineStr">
        <is>
          <t>Offers wholesale as well as retail</t>
        </is>
      </c>
      <c r="AO74" s="5" t="inlineStr">
        <is>
          <t>Second branch at 289 Tong Street, Bradford BD4 9QS (outside Kirklees). Email seen in Yellowtom directory listing, not on an owned page, so marked Unverified. Alternative phone 07774 002629 also listed.</t>
        </is>
      </c>
      <c r="AP74" s="5" t="inlineStr">
        <is>
          <t>High</t>
        </is>
      </c>
      <c r="AQ74" s="5" t="inlineStr">
        <is>
          <t>Multi-site retailer; Independent retailer; Core relevant category; Public email available; Social presence</t>
        </is>
      </c>
      <c r="AR74" s="5" t="inlineStr">
        <is>
          <t>https://www.facebook.com/people/KPM-Vapes/61556161391449/</t>
        </is>
      </c>
      <c r="AS74" s="5" t="inlineStr">
        <is>
          <t>https://www.instagram.com/kpmvapes/</t>
        </is>
      </c>
      <c r="AT74" s="5" t="inlineStr">
        <is>
          <t>3</t>
        </is>
      </c>
      <c r="AU74" s="5" t="inlineStr">
        <is>
          <t>No</t>
        </is>
      </c>
      <c r="AV74" s="5" t="inlineStr">
        <is>
          <t>No</t>
        </is>
      </c>
      <c r="AW74" s="5" t="inlineStr">
        <is>
          <t>No</t>
        </is>
      </c>
      <c r="AX74" s="5" t="inlineStr">
        <is>
          <t>No</t>
        </is>
      </c>
      <c r="AY74" s="5" t="inlineStr">
        <is>
          <t>Verified directory</t>
        </is>
      </c>
      <c r="AZ74" s="5" t="inlineStr">
        <is>
          <t>Unverified</t>
        </is>
      </c>
      <c r="BA74" s="5" t="inlineStr">
        <is>
          <t>2026-09-17</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2026-09-17</t>
        </is>
      </c>
      <c r="BL74" s="5" t="inlineStr"/>
      <c r="BM74" s="5" t="inlineStr"/>
      <c r="BN74" s="5" t="inlineStr"/>
      <c r="BO74" s="5" t="inlineStr"/>
      <c r="BP74" s="5" t="inlineStr"/>
      <c r="BQ74" s="5" t="inlineStr"/>
    </row>
    <row r="75">
      <c r="A75" s="10" t="inlineStr">
        <is>
          <t>WY-0016</t>
        </is>
      </c>
      <c r="B75" s="10" t="inlineStr">
        <is>
          <t>KARANRETAI-01</t>
        </is>
      </c>
      <c r="C75" s="10" t="inlineStr">
        <is>
          <t>Karan Retail Ltd</t>
        </is>
      </c>
      <c r="D75" s="10" t="inlineStr">
        <is>
          <t>Chidswell Service Station (Karan Retail)</t>
        </is>
      </c>
      <c r="E75" s="10" t="inlineStr">
        <is>
          <t>Chidswell Service Station</t>
        </is>
      </c>
      <c r="F75" s="10" t="inlineStr">
        <is>
          <t>Karan Retail Ltd</t>
        </is>
      </c>
      <c r="G75" s="10" t="inlineStr">
        <is>
          <t>Petrol Station / Forecourt</t>
        </is>
      </c>
      <c r="H75" s="10" t="inlineStr">
        <is>
          <t>Forecourt with convenience store</t>
        </is>
      </c>
      <c r="I75" s="10" t="inlineStr">
        <is>
          <t>Multi-Site Independent</t>
        </is>
      </c>
      <c r="J75" s="10" t="inlineStr"/>
      <c r="K75" s="10" t="inlineStr"/>
      <c r="L75" s="10" t="inlineStr"/>
      <c r="M75" s="10" t="inlineStr"/>
      <c r="N75" s="10" t="inlineStr"/>
      <c r="O75" s="10" t="inlineStr">
        <is>
          <t>Off A653 (Chidswell)</t>
        </is>
      </c>
      <c r="P75" s="10" t="inlineStr"/>
      <c r="Q75" s="10" t="inlineStr">
        <is>
          <t>Dewsbury</t>
        </is>
      </c>
      <c r="R75" s="10" t="inlineStr">
        <is>
          <t>West Yorkshire</t>
        </is>
      </c>
      <c r="S75" s="10" t="inlineStr"/>
      <c r="T75" s="10" t="inlineStr">
        <is>
          <t>Yorkshire &amp; Humber</t>
        </is>
      </c>
      <c r="U75" s="10" t="inlineStr">
        <is>
          <t>England</t>
        </is>
      </c>
      <c r="V75" s="10" t="inlineStr"/>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fuel; convenience retail</t>
        </is>
      </c>
      <c r="AL75" s="10" t="inlineStr"/>
      <c r="AM75" s="10" t="inlineStr">
        <is>
          <t>Petrol Station / Forecourt</t>
        </is>
      </c>
      <c r="AN75" s="10" t="inlineStr"/>
      <c r="AO75"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75" s="10" t="inlineStr">
        <is>
          <t>Medium</t>
        </is>
      </c>
      <c r="AQ75" s="10" t="inlineStr">
        <is>
          <t>Multi-site retailer; Independent retailer; Relevant category</t>
        </is>
      </c>
      <c r="AR75" s="10" t="inlineStr">
        <is>
          <t>https://www.asiantrader.biz/karan-retail-chidswell-service-station-acquisition</t>
        </is>
      </c>
      <c r="AS75" s="10" t="inlineStr"/>
      <c r="AT75" s="10" t="inlineStr">
        <is>
          <t>1</t>
        </is>
      </c>
      <c r="AU75" s="10" t="inlineStr">
        <is>
          <t>No</t>
        </is>
      </c>
      <c r="AV75" s="10" t="inlineStr">
        <is>
          <t>No</t>
        </is>
      </c>
      <c r="AW75" s="10" t="inlineStr">
        <is>
          <t>No</t>
        </is>
      </c>
      <c r="AX75" s="10" t="inlineStr">
        <is>
          <t>No</t>
        </is>
      </c>
      <c r="AY75" s="10" t="inlineStr">
        <is>
          <t>Not Found</t>
        </is>
      </c>
      <c r="AZ75" s="10" t="inlineStr">
        <is>
          <t>Not Found</t>
        </is>
      </c>
      <c r="BA75" s="10" t="inlineStr">
        <is>
          <t>2026-09-17</t>
        </is>
      </c>
      <c r="BB75" s="10" t="inlineStr">
        <is>
          <t>Requires Verification</t>
        </is>
      </c>
      <c r="BC75" s="10" t="inlineStr">
        <is>
          <t>Low</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2026-09-17</t>
        </is>
      </c>
      <c r="BL75" s="10" t="inlineStr"/>
      <c r="BM75" s="10" t="inlineStr"/>
      <c r="BN75" s="10" t="inlineStr"/>
      <c r="BO75" s="10" t="inlineStr"/>
      <c r="BP75" s="10" t="inlineStr"/>
      <c r="BQ75" s="10" t="inlineStr"/>
    </row>
    <row r="76">
      <c r="A76" s="5" t="inlineStr">
        <is>
          <t>UK-000557</t>
        </is>
      </c>
      <c r="B76" s="5" t="inlineStr">
        <is>
          <t>LEASANDEMA-01</t>
        </is>
      </c>
      <c r="C76" s="5" t="inlineStr">
        <is>
          <t>Lea &amp; Sandeman</t>
        </is>
      </c>
      <c r="D76" s="5" t="inlineStr">
        <is>
          <t>Lea &amp; Sandeman - Fulham Road</t>
        </is>
      </c>
      <c r="E76" s="5" t="inlineStr">
        <is>
          <t>Lea &amp; Sandeman</t>
        </is>
      </c>
      <c r="F76" s="5" t="inlineStr"/>
      <c r="G76" s="5" t="inlineStr">
        <is>
          <t>Off-Licence</t>
        </is>
      </c>
      <c r="H76" s="5" t="inlineStr">
        <is>
          <t>Independent wine merchant</t>
        </is>
      </c>
      <c r="I76" s="5" t="inlineStr">
        <is>
          <t>Multi-Site Independent</t>
        </is>
      </c>
      <c r="J76" s="5" t="inlineStr">
        <is>
          <t>1</t>
        </is>
      </c>
      <c r="K76" s="5" t="inlineStr">
        <is>
          <t>https://www.leaandsandeman.co.uk/</t>
        </is>
      </c>
      <c r="L76" s="5" t="inlineStr"/>
      <c r="M76" s="5" t="inlineStr"/>
      <c r="N76" s="5" t="inlineStr"/>
      <c r="O76" s="5" t="inlineStr">
        <is>
          <t>170 Fulham Road</t>
        </is>
      </c>
      <c r="P76" s="5" t="inlineStr">
        <is>
          <t>Chelsea</t>
        </is>
      </c>
      <c r="Q76" s="5" t="inlineStr">
        <is>
          <t>London</t>
        </is>
      </c>
      <c r="R76" s="5" t="inlineStr">
        <is>
          <t>Greater London</t>
        </is>
      </c>
      <c r="S76" s="5" t="inlineStr">
        <is>
          <t>SW10 9PR</t>
        </is>
      </c>
      <c r="T76" s="5" t="inlineStr">
        <is>
          <t>London</t>
        </is>
      </c>
      <c r="U76" s="5" t="inlineStr">
        <is>
          <t>England</t>
        </is>
      </c>
      <c r="V76" s="5" t="inlineStr">
        <is>
          <t>020 7244 0522</t>
        </is>
      </c>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wine; spirits</t>
        </is>
      </c>
      <c r="AL76" s="5" t="inlineStr"/>
      <c r="AM76" s="5" t="inlineStr">
        <is>
          <t>Off-Licence</t>
        </is>
      </c>
      <c r="AN76" s="5" t="inlineStr"/>
      <c r="AO76" s="5" t="inlineStr">
        <is>
          <t>Fulham Road branch of Lea &amp; Sandeman, an established independent London wine merchant with several branches. Address/postcode/phone from Yell Fulham off-licences listing snippet.</t>
        </is>
      </c>
      <c r="AP76" s="5" t="inlineStr">
        <is>
          <t>Medium</t>
        </is>
      </c>
      <c r="AQ76" s="5" t="inlineStr">
        <is>
          <t>Multi-site retailer; Independent retailer; Relevant category; Active website</t>
        </is>
      </c>
      <c r="AR76" s="5" t="inlineStr">
        <is>
          <t>https://www.yell.com/s/off+licences-fulham-london.html</t>
        </is>
      </c>
      <c r="AS76" s="5" t="inlineStr"/>
      <c r="AT76" s="5" t="inlineStr">
        <is>
          <t>1</t>
        </is>
      </c>
      <c r="AU76" s="5" t="inlineStr">
        <is>
          <t>No</t>
        </is>
      </c>
      <c r="AV76" s="5" t="inlineStr">
        <is>
          <t>No</t>
        </is>
      </c>
      <c r="AW76" s="5" t="inlineStr">
        <is>
          <t>No</t>
        </is>
      </c>
      <c r="AX76" s="5" t="inlineStr">
        <is>
          <t>No</t>
        </is>
      </c>
      <c r="AY76" s="5" t="inlineStr">
        <is>
          <t>Verified directory</t>
        </is>
      </c>
      <c r="AZ76" s="5" t="inlineStr">
        <is>
          <t>Website Found</t>
        </is>
      </c>
      <c r="BA76" s="5" t="inlineStr">
        <is>
          <t>2026-09-17</t>
        </is>
      </c>
      <c r="BB76" s="5" t="inlineStr">
        <is>
          <t>Requires Verification</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UK-000709</t>
        </is>
      </c>
      <c r="B77" s="10" t="inlineStr">
        <is>
          <t>LOCAVORECI-01</t>
        </is>
      </c>
      <c r="C77" s="10" t="inlineStr">
        <is>
          <t>Locavore CIC</t>
        </is>
      </c>
      <c r="D77" s="10" t="inlineStr">
        <is>
          <t>Locavore (Govanhill)</t>
        </is>
      </c>
      <c r="E77" s="10" t="inlineStr">
        <is>
          <t>Locavore</t>
        </is>
      </c>
      <c r="F77" s="10" t="inlineStr"/>
      <c r="G77" s="10" t="inlineStr">
        <is>
          <t>Independent Supermarket</t>
        </is>
      </c>
      <c r="H77" s="10" t="inlineStr">
        <is>
          <t>Organic / local produce grocery (CIC)</t>
        </is>
      </c>
      <c r="I77" s="10" t="inlineStr">
        <is>
          <t>Multi-Site Independent</t>
        </is>
      </c>
      <c r="J77" s="10" t="inlineStr">
        <is>
          <t>2</t>
        </is>
      </c>
      <c r="K77" s="10" t="inlineStr">
        <is>
          <t>https://www.locavore.scot/</t>
        </is>
      </c>
      <c r="L77" s="10" t="inlineStr">
        <is>
          <t>https://www.facebook.com/LocavoreCIC/</t>
        </is>
      </c>
      <c r="M77" s="10" t="inlineStr"/>
      <c r="N77" s="10" t="inlineStr"/>
      <c r="O77" s="10" t="inlineStr">
        <is>
          <t>349 Victoria Road</t>
        </is>
      </c>
      <c r="P77" s="10" t="inlineStr">
        <is>
          <t>Govanhill</t>
        </is>
      </c>
      <c r="Q77" s="10" t="inlineStr">
        <is>
          <t>Glasgow</t>
        </is>
      </c>
      <c r="R77" s="10" t="inlineStr">
        <is>
          <t>Glasgow City</t>
        </is>
      </c>
      <c r="S77" s="10" t="inlineStr">
        <is>
          <t>G42 7SA</t>
        </is>
      </c>
      <c r="T77" s="10" t="inlineStr">
        <is>
          <t>Scotland</t>
        </is>
      </c>
      <c r="U77" s="10" t="inlineStr">
        <is>
          <t>Scotland</t>
        </is>
      </c>
      <c r="V77" s="10" t="inlineStr">
        <is>
          <t>0141 378 1680</t>
        </is>
      </c>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organic groceries; local produce; refill; household</t>
        </is>
      </c>
      <c r="AL77" s="10" t="inlineStr"/>
      <c r="AM77" s="10" t="inlineStr">
        <is>
          <t>Independent Supermarket</t>
        </is>
      </c>
      <c r="AN77" s="10" t="inlineStr">
        <is>
          <t>Social-enterprise (CIC) grocery with shops in Govanhill and Partick</t>
        </is>
      </c>
      <c r="AO77" s="10" t="inlineStr">
        <is>
          <t>Locavore CIC organic grocery, flagship Govanhill shop at 349 Victoria Road (also a Partick shop). Southside independent supermarket. Phone from Tripadvisor listing; website locavore.scot.</t>
        </is>
      </c>
      <c r="AP77" s="10" t="inlineStr">
        <is>
          <t>High</t>
        </is>
      </c>
      <c r="AQ77" s="10" t="inlineStr">
        <is>
          <t>Multi-site retailer; Independent retailer; Relevant category; Active website; Social presence</t>
        </is>
      </c>
      <c r="AR77" s="10" t="inlineStr">
        <is>
          <t>https://www.locavore.scot/farm-shop</t>
        </is>
      </c>
      <c r="AS77" s="10" t="inlineStr">
        <is>
          <t>https://www.tripadvisor.com/Restaurant_Review-g186534-d14047413-Reviews-Locavore_Govanhill-Glasgow_Scotland.html</t>
        </is>
      </c>
      <c r="AT77" s="10" t="inlineStr">
        <is>
          <t>2</t>
        </is>
      </c>
      <c r="AU77" s="10" t="inlineStr">
        <is>
          <t>No</t>
        </is>
      </c>
      <c r="AV77" s="10" t="inlineStr">
        <is>
          <t>No</t>
        </is>
      </c>
      <c r="AW77" s="10" t="inlineStr">
        <is>
          <t>No</t>
        </is>
      </c>
      <c r="AX77" s="10" t="inlineStr">
        <is>
          <t>No</t>
        </is>
      </c>
      <c r="AY77" s="10" t="inlineStr">
        <is>
          <t>Verified directory</t>
        </is>
      </c>
      <c r="AZ77" s="10" t="inlineStr">
        <is>
          <t>Website Found</t>
        </is>
      </c>
      <c r="BA77" s="10" t="inlineStr">
        <is>
          <t>2026-09-17</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UK-000558</t>
        </is>
      </c>
      <c r="B78" s="5" t="inlineStr">
        <is>
          <t>LONDIS-01</t>
        </is>
      </c>
      <c r="C78" s="5" t="inlineStr">
        <is>
          <t>Londis</t>
        </is>
      </c>
      <c r="D78" s="5" t="inlineStr">
        <is>
          <t>Londis (Fountayne Road)</t>
        </is>
      </c>
      <c r="E78" s="5" t="inlineStr">
        <is>
          <t>Londis</t>
        </is>
      </c>
      <c r="F78" s="5" t="inlineStr"/>
      <c r="G78" s="5" t="inlineStr">
        <is>
          <t>Convenience Store</t>
        </is>
      </c>
      <c r="H78" s="5" t="inlineStr">
        <is>
          <t>Symbol-group convenience store</t>
        </is>
      </c>
      <c r="I78" s="5" t="inlineStr">
        <is>
          <t>Franchise / Symbol Group</t>
        </is>
      </c>
      <c r="J78" s="5" t="inlineStr">
        <is>
          <t>1</t>
        </is>
      </c>
      <c r="K78" s="5" t="inlineStr"/>
      <c r="L78" s="5" t="inlineStr"/>
      <c r="M78" s="5" t="inlineStr"/>
      <c r="N78" s="5" t="inlineStr"/>
      <c r="O78" s="5" t="inlineStr">
        <is>
          <t>76 Fountayne Road</t>
        </is>
      </c>
      <c r="P78" s="5" t="inlineStr"/>
      <c r="Q78" s="5" t="inlineStr">
        <is>
          <t>Stoke Newington</t>
        </is>
      </c>
      <c r="R78" s="5" t="inlineStr">
        <is>
          <t>Greater London</t>
        </is>
      </c>
      <c r="S78" s="5" t="inlineStr">
        <is>
          <t>N16 7DT</t>
        </is>
      </c>
      <c r="T78" s="5" t="inlineStr">
        <is>
          <t>London</t>
        </is>
      </c>
      <c r="U78" s="5" t="inlineStr">
        <is>
          <t>England</t>
        </is>
      </c>
      <c r="V78" s="5" t="inlineStr">
        <is>
          <t>020 8806 5839</t>
        </is>
      </c>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groceries; alcohol; tobacco; confectionery</t>
        </is>
      </c>
      <c r="AL78" s="5" t="inlineStr"/>
      <c r="AM78" s="5" t="inlineStr">
        <is>
          <t>Convenience Store</t>
        </is>
      </c>
      <c r="AN78" s="5" t="inlineStr"/>
      <c r="AO78" s="5" t="inlineStr">
        <is>
          <t>Londis symbol-group convenience store, Fountayne Road, Stoke Newington. Address/postcode/phone from 192.com business listing.</t>
        </is>
      </c>
      <c r="AP78" s="5" t="inlineStr">
        <is>
          <t>Medium</t>
        </is>
      </c>
      <c r="AQ78" s="5" t="inlineStr">
        <is>
          <t>Multi-site retailer; Independent retailer; Relevant category</t>
        </is>
      </c>
      <c r="AR78" s="5" t="inlineStr">
        <is>
          <t>https://www.192.com/atoz/business/london-n16/convenience-stores/londis/cee0a1a4ef9c5dd1c59cca7f4e3d954bfd7e922e/ugc/</t>
        </is>
      </c>
      <c r="AS78" s="5" t="inlineStr"/>
      <c r="AT78" s="5" t="inlineStr">
        <is>
          <t>1</t>
        </is>
      </c>
      <c r="AU78" s="5" t="inlineStr">
        <is>
          <t>No</t>
        </is>
      </c>
      <c r="AV78" s="5" t="inlineStr">
        <is>
          <t>No</t>
        </is>
      </c>
      <c r="AW78" s="5" t="inlineStr">
        <is>
          <t>No</t>
        </is>
      </c>
      <c r="AX78" s="5" t="inlineStr">
        <is>
          <t>No</t>
        </is>
      </c>
      <c r="AY78" s="5" t="inlineStr">
        <is>
          <t>Verified directory</t>
        </is>
      </c>
      <c r="AZ78" s="5" t="inlineStr">
        <is>
          <t>Not Found</t>
        </is>
      </c>
      <c r="BA78" s="5" t="inlineStr">
        <is>
          <t>2026-09-17</t>
        </is>
      </c>
      <c r="BB78" s="5" t="inlineStr">
        <is>
          <t>Requires Verification</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UK-000309</t>
        </is>
      </c>
      <c r="B79" s="10" t="inlineStr">
        <is>
          <t>LONDIS-02</t>
        </is>
      </c>
      <c r="C79" s="10" t="inlineStr">
        <is>
          <t>Londis</t>
        </is>
      </c>
      <c r="D79" s="10" t="inlineStr">
        <is>
          <t>Shell Bramhall Service Station</t>
        </is>
      </c>
      <c r="E79" s="10" t="inlineStr">
        <is>
          <t>Shell Bramhall Service Station (Londis)</t>
        </is>
      </c>
      <c r="F79" s="10" t="inlineStr"/>
      <c r="G79" s="10" t="inlineStr">
        <is>
          <t>Petrol Station / Forecourt</t>
        </is>
      </c>
      <c r="H79" s="10" t="inlineStr">
        <is>
          <t>Forecourt convenience (symbol group)</t>
        </is>
      </c>
      <c r="I79" s="10" t="inlineStr">
        <is>
          <t>Franchise / Symbol Group</t>
        </is>
      </c>
      <c r="J79" s="10" t="inlineStr">
        <is>
          <t>1</t>
        </is>
      </c>
      <c r="K79" s="10" t="inlineStr">
        <is>
          <t>https://www.londis.co.uk/our-stores/shell-bramhall-service-station</t>
        </is>
      </c>
      <c r="L79" s="10" t="inlineStr"/>
      <c r="M79" s="10" t="inlineStr"/>
      <c r="N79" s="10" t="inlineStr"/>
      <c r="O79" s="10" t="inlineStr"/>
      <c r="P79" s="10" t="inlineStr"/>
      <c r="Q79" s="10" t="inlineStr">
        <is>
          <t>Bramhall</t>
        </is>
      </c>
      <c r="R79" s="10" t="inlineStr">
        <is>
          <t>Greater Manchester</t>
        </is>
      </c>
      <c r="S79" s="10" t="inlineStr"/>
      <c r="T79" s="10" t="inlineStr">
        <is>
          <t>North West</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fuel; forecourt convenience; groceries; food to go</t>
        </is>
      </c>
      <c r="AL79" s="10" t="inlineStr"/>
      <c r="AM79" s="10" t="inlineStr">
        <is>
          <t>Petrol Station / Forecourt</t>
        </is>
      </c>
      <c r="AN79" s="10" t="inlineStr"/>
      <c r="AO79" s="10" t="inlineStr">
        <is>
          <t>Forecourt convenience store on a Shell station in Bramhall, run under the Londis symbol group. Street address/postcode not captured from source.</t>
        </is>
      </c>
      <c r="AP79" s="10" t="inlineStr">
        <is>
          <t>Medium</t>
        </is>
      </c>
      <c r="AQ79" s="10" t="inlineStr">
        <is>
          <t>Multi-site retailer; Independent retailer; Relevant category; Active website</t>
        </is>
      </c>
      <c r="AR79" s="10" t="inlineStr">
        <is>
          <t>https://www.londis.co.uk/our-stores/shell-bramhall-service-station</t>
        </is>
      </c>
      <c r="AS79" s="10" t="inlineStr"/>
      <c r="AT79" s="10" t="inlineStr">
        <is>
          <t>1</t>
        </is>
      </c>
      <c r="AU79" s="10" t="inlineStr">
        <is>
          <t>No</t>
        </is>
      </c>
      <c r="AV79" s="10" t="inlineStr">
        <is>
          <t>No</t>
        </is>
      </c>
      <c r="AW79" s="10" t="inlineStr">
        <is>
          <t>No</t>
        </is>
      </c>
      <c r="AX79" s="10" t="inlineStr">
        <is>
          <t>No</t>
        </is>
      </c>
      <c r="AY79" s="10" t="inlineStr">
        <is>
          <t>Not Found</t>
        </is>
      </c>
      <c r="AZ79" s="10" t="inlineStr">
        <is>
          <t>Website Found</t>
        </is>
      </c>
      <c r="BA79" s="10" t="inlineStr">
        <is>
          <t>2026-09-17</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2026-09-17</t>
        </is>
      </c>
      <c r="BJ79" s="10" t="inlineStr">
        <is>
          <t>New</t>
        </is>
      </c>
      <c r="BK79" s="10" t="inlineStr">
        <is>
          <t>2026-09-17</t>
        </is>
      </c>
      <c r="BL79" s="10" t="inlineStr"/>
      <c r="BM79" s="10" t="inlineStr"/>
      <c r="BN79" s="10" t="inlineStr"/>
      <c r="BO79" s="10" t="inlineStr"/>
      <c r="BP79" s="10" t="inlineStr"/>
      <c r="BQ79" s="10" t="inlineStr"/>
    </row>
    <row r="80">
      <c r="A80" s="5" t="inlineStr">
        <is>
          <t>UK-000431</t>
        </is>
      </c>
      <c r="B80" s="5" t="inlineStr">
        <is>
          <t>LONDISBOOK-01</t>
        </is>
      </c>
      <c r="C80" s="5" t="inlineStr">
        <is>
          <t>Londis (Booker symbol group)</t>
        </is>
      </c>
      <c r="D80" s="5" t="inlineStr">
        <is>
          <t>Londis Hall Green</t>
        </is>
      </c>
      <c r="E80" s="5" t="inlineStr">
        <is>
          <t>Londis Hall Green</t>
        </is>
      </c>
      <c r="F80" s="5" t="inlineStr"/>
      <c r="G80" s="5" t="inlineStr">
        <is>
          <t>Convenience Store</t>
        </is>
      </c>
      <c r="H80" s="5" t="inlineStr">
        <is>
          <t>Symbol-group convenience store</t>
        </is>
      </c>
      <c r="I80" s="5" t="inlineStr">
        <is>
          <t>Franchise / Symbol Group</t>
        </is>
      </c>
      <c r="J80" s="5" t="inlineStr">
        <is>
          <t>1</t>
        </is>
      </c>
      <c r="K80" s="5" t="inlineStr">
        <is>
          <t>https://www.londis.co.uk/our-stores/londis-hall-green</t>
        </is>
      </c>
      <c r="L80" s="5" t="inlineStr"/>
      <c r="M80" s="5" t="inlineStr"/>
      <c r="N80" s="5" t="inlineStr"/>
      <c r="O80" s="5" t="inlineStr"/>
      <c r="P80" s="5" t="inlineStr">
        <is>
          <t>Hall Green</t>
        </is>
      </c>
      <c r="Q80" s="5" t="inlineStr">
        <is>
          <t>Birmingham</t>
        </is>
      </c>
      <c r="R80" s="5" t="inlineStr">
        <is>
          <t>West Midlands</t>
        </is>
      </c>
      <c r="S80" s="5" t="inlineStr"/>
      <c r="T80" s="5" t="inlineStr">
        <is>
          <t>West Midlands</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convenience grocery; off-licence</t>
        </is>
      </c>
      <c r="AL80" s="5" t="inlineStr"/>
      <c r="AM80" s="5" t="inlineStr">
        <is>
          <t>Convenience Store</t>
        </is>
      </c>
      <c r="AN80" s="5" t="inlineStr">
        <is>
          <t>Londis symbol group (Booker)</t>
        </is>
      </c>
      <c r="AO80" s="5" t="inlineStr">
        <is>
          <t>Londis-fascia symbol-group convenience store in Hall Green. Exact street address/postcode not captured from search snippet - needs confirmation.</t>
        </is>
      </c>
      <c r="AP80" s="5" t="inlineStr">
        <is>
          <t>Medium</t>
        </is>
      </c>
      <c r="AQ80" s="5" t="inlineStr">
        <is>
          <t>Multi-site retailer; Independent retailer; Relevant category; Active website</t>
        </is>
      </c>
      <c r="AR80" s="5" t="inlineStr">
        <is>
          <t>https://www.londis.co.uk/our-stores/londis-hall-green</t>
        </is>
      </c>
      <c r="AS80" s="5" t="inlineStr"/>
      <c r="AT80" s="5" t="inlineStr">
        <is>
          <t>1</t>
        </is>
      </c>
      <c r="AU80" s="5" t="inlineStr">
        <is>
          <t>No</t>
        </is>
      </c>
      <c r="AV80" s="5" t="inlineStr">
        <is>
          <t>No</t>
        </is>
      </c>
      <c r="AW80" s="5" t="inlineStr">
        <is>
          <t>No</t>
        </is>
      </c>
      <c r="AX80" s="5" t="inlineStr">
        <is>
          <t>No</t>
        </is>
      </c>
      <c r="AY80" s="5" t="inlineStr">
        <is>
          <t>Not Found</t>
        </is>
      </c>
      <c r="AZ80" s="5" t="inlineStr">
        <is>
          <t>Website Found</t>
        </is>
      </c>
      <c r="BA80" s="5" t="inlineStr">
        <is>
          <t>2026-09-17</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UK-000432</t>
        </is>
      </c>
      <c r="B81" s="10" t="inlineStr">
        <is>
          <t>LONDISBOOK-02</t>
        </is>
      </c>
      <c r="C81" s="10" t="inlineStr">
        <is>
          <t>Londis (Booker symbol group)</t>
        </is>
      </c>
      <c r="D81" s="10" t="inlineStr">
        <is>
          <t>Shell Yardley Wood Service Station</t>
        </is>
      </c>
      <c r="E81" s="10" t="inlineStr">
        <is>
          <t>Londis - Shell Yardley Wood Service Station</t>
        </is>
      </c>
      <c r="F81" s="10" t="inlineStr"/>
      <c r="G81" s="10" t="inlineStr">
        <is>
          <t>Petrol Station / Forecourt</t>
        </is>
      </c>
      <c r="H81" s="10" t="inlineStr">
        <is>
          <t>Forecourt with Londis convenience store</t>
        </is>
      </c>
      <c r="I81" s="10" t="inlineStr">
        <is>
          <t>Franchise / Symbol Group</t>
        </is>
      </c>
      <c r="J81" s="10" t="inlineStr">
        <is>
          <t>1</t>
        </is>
      </c>
      <c r="K81" s="10" t="inlineStr">
        <is>
          <t>https://www.londis.co.uk/our-stores/shell-yardley-wood-service-station</t>
        </is>
      </c>
      <c r="L81" s="10" t="inlineStr"/>
      <c r="M81" s="10" t="inlineStr"/>
      <c r="N81" s="10" t="inlineStr"/>
      <c r="O81" s="10" t="inlineStr">
        <is>
          <t>Yardley Wood Road</t>
        </is>
      </c>
      <c r="P81" s="10" t="inlineStr">
        <is>
          <t>Yardley Wood</t>
        </is>
      </c>
      <c r="Q81" s="10" t="inlineStr">
        <is>
          <t>Birmingham</t>
        </is>
      </c>
      <c r="R81" s="10" t="inlineStr">
        <is>
          <t>West Midlands</t>
        </is>
      </c>
      <c r="S81" s="10" t="inlineStr">
        <is>
          <t>B14 4QA</t>
        </is>
      </c>
      <c r="T81" s="10" t="inlineStr">
        <is>
          <t>West Midlands</t>
        </is>
      </c>
      <c r="U81" s="10" t="inlineStr">
        <is>
          <t>England</t>
        </is>
      </c>
      <c r="V81" s="10" t="inlineStr">
        <is>
          <t>0121 474 4928</t>
        </is>
      </c>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fuel; forecourt convenience; off-licence</t>
        </is>
      </c>
      <c r="AL81" s="10" t="inlineStr"/>
      <c r="AM81" s="10" t="inlineStr">
        <is>
          <t>Petrol Station / Forecourt</t>
        </is>
      </c>
      <c r="AN81" s="10" t="inlineStr">
        <is>
          <t>Londis symbol group (Booker)</t>
        </is>
      </c>
      <c r="AO81" s="10" t="inlineStr">
        <is>
          <t>Shell forecourt with a Londis-fascia convenience store (symbol group) on Yardley Wood Road.</t>
        </is>
      </c>
      <c r="AP81" s="10" t="inlineStr">
        <is>
          <t>Medium</t>
        </is>
      </c>
      <c r="AQ81" s="10" t="inlineStr">
        <is>
          <t>Multi-site retailer; Independent retailer; Relevant category; Active website</t>
        </is>
      </c>
      <c r="AR81" s="10" t="inlineStr">
        <is>
          <t>https://www.londis.co.uk/our-stores/shell-yardley-wood-service-station</t>
        </is>
      </c>
      <c r="AS81" s="10" t="inlineStr"/>
      <c r="AT81" s="10" t="inlineStr">
        <is>
          <t>1</t>
        </is>
      </c>
      <c r="AU81" s="10" t="inlineStr">
        <is>
          <t>No</t>
        </is>
      </c>
      <c r="AV81" s="10" t="inlineStr">
        <is>
          <t>No</t>
        </is>
      </c>
      <c r="AW81" s="10" t="inlineStr">
        <is>
          <t>No</t>
        </is>
      </c>
      <c r="AX81" s="10" t="inlineStr">
        <is>
          <t>No</t>
        </is>
      </c>
      <c r="AY81" s="10" t="inlineStr">
        <is>
          <t>Verified directory</t>
        </is>
      </c>
      <c r="AZ81" s="10" t="inlineStr">
        <is>
          <t>Website Found</t>
        </is>
      </c>
      <c r="BA81" s="10" t="inlineStr">
        <is>
          <t>2026-09-17</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UK-000710</t>
        </is>
      </c>
      <c r="B82" s="5" t="inlineStr">
        <is>
          <t>LONDISSYMB-01</t>
        </is>
      </c>
      <c r="C82" s="5" t="inlineStr">
        <is>
          <t>Londis (symbol group); BP (fuel brand)</t>
        </is>
      </c>
      <c r="D82" s="5" t="inlineStr">
        <is>
          <t>BP Cliftonhill (Cliftonhill Service Station) / Londis</t>
        </is>
      </c>
      <c r="E82" s="5" t="inlineStr">
        <is>
          <t>BP Cliftonhill Londis</t>
        </is>
      </c>
      <c r="F82" s="5" t="inlineStr"/>
      <c r="G82" s="5" t="inlineStr">
        <is>
          <t>Petrol Station / Forecourt</t>
        </is>
      </c>
      <c r="H82" s="5" t="inlineStr">
        <is>
          <t>Petrol forecourt with Londis convenience shop</t>
        </is>
      </c>
      <c r="I82" s="5" t="inlineStr">
        <is>
          <t>Franchise / Symbol Group</t>
        </is>
      </c>
      <c r="J82" s="5" t="inlineStr">
        <is>
          <t>1</t>
        </is>
      </c>
      <c r="K82" s="5" t="inlineStr"/>
      <c r="L82" s="5" t="inlineStr">
        <is>
          <t>https://www.facebook.com/BPCliftonhillLondis/</t>
        </is>
      </c>
      <c r="M82" s="5" t="inlineStr"/>
      <c r="N82" s="5" t="inlineStr"/>
      <c r="O82" s="5" t="inlineStr">
        <is>
          <t>231 Main Street</t>
        </is>
      </c>
      <c r="P82" s="5" t="inlineStr">
        <is>
          <t>Cliftonhill</t>
        </is>
      </c>
      <c r="Q82" s="5" t="inlineStr">
        <is>
          <t>Coatbridge</t>
        </is>
      </c>
      <c r="R82" s="5" t="inlineStr">
        <is>
          <t>North Lanarkshire</t>
        </is>
      </c>
      <c r="S82" s="5" t="inlineStr">
        <is>
          <t>ML5 3RA</t>
        </is>
      </c>
      <c r="T82" s="5" t="inlineStr">
        <is>
          <t>Scotland</t>
        </is>
      </c>
      <c r="U82" s="5" t="inlineStr">
        <is>
          <t>Scotland</t>
        </is>
      </c>
      <c r="V82" s="5" t="inlineStr">
        <is>
          <t>01236 433242</t>
        </is>
      </c>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fuel; convenience grocery; off-licence; tobacco; confectionery</t>
        </is>
      </c>
      <c r="AL82" s="5" t="inlineStr"/>
      <c r="AM82" s="5" t="inlineStr">
        <is>
          <t>Petrol Station / Forecourt</t>
        </is>
      </c>
      <c r="AN82" s="5" t="inlineStr">
        <is>
          <t>BP-branded forecourt with a Londis symbol-group convenience shop</t>
        </is>
      </c>
      <c r="AO82" s="5" t="inlineStr">
        <is>
          <t>Dealer-operated BP forecourt (Cliftonhill Service Station) with a Londis convenience shop on Main Street, Coatbridge; open 24/7. Address, postcode and phone from BP store map and directories.</t>
        </is>
      </c>
      <c r="AP82" s="5" t="inlineStr">
        <is>
          <t>Medium</t>
        </is>
      </c>
      <c r="AQ82" s="5" t="inlineStr">
        <is>
          <t>Multi-site retailer; Independent retailer; Relevant category; Social presence</t>
        </is>
      </c>
      <c r="AR82" s="5" t="inlineStr">
        <is>
          <t>https://map.bp.com/en-GB/GB/petrol-station/coatbridge/cliftonhill-service-station/17708</t>
        </is>
      </c>
      <c r="AS82" s="5" t="inlineStr">
        <is>
          <t>https://www.petrolprices.com/locations/coatbridge/main-street/7806</t>
        </is>
      </c>
      <c r="AT82" s="5" t="inlineStr">
        <is>
          <t>3</t>
        </is>
      </c>
      <c r="AU82" s="5" t="inlineStr">
        <is>
          <t>No</t>
        </is>
      </c>
      <c r="AV82" s="5" t="inlineStr">
        <is>
          <t>No</t>
        </is>
      </c>
      <c r="AW82" s="5" t="inlineStr">
        <is>
          <t>No</t>
        </is>
      </c>
      <c r="AX82" s="5" t="inlineStr">
        <is>
          <t>No</t>
        </is>
      </c>
      <c r="AY82" s="5" t="inlineStr">
        <is>
          <t>Verified directory</t>
        </is>
      </c>
      <c r="AZ82" s="5" t="inlineStr">
        <is>
          <t>Not Found</t>
        </is>
      </c>
      <c r="BA82" s="5" t="inlineStr">
        <is>
          <t>2026-09-17</t>
        </is>
      </c>
      <c r="BB82" s="5" t="inlineStr">
        <is>
          <t>Requires Verification</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UK-000310</t>
        </is>
      </c>
      <c r="B83" s="10" t="inlineStr">
        <is>
          <t>MANCHESTER-01</t>
        </is>
      </c>
      <c r="C83" s="10" t="inlineStr">
        <is>
          <t>Manchester Super Stores</t>
        </is>
      </c>
      <c r="D83" s="10" t="inlineStr">
        <is>
          <t>Manchester Super Stores (Longsight)</t>
        </is>
      </c>
      <c r="E83" s="10" t="inlineStr">
        <is>
          <t>Manchester Super Stores</t>
        </is>
      </c>
      <c r="F83" s="10" t="inlineStr"/>
      <c r="G83" s="10" t="inlineStr">
        <is>
          <t>Independent Supermarket</t>
        </is>
      </c>
      <c r="H83" s="10" t="inlineStr">
        <is>
          <t>Asian/ethnic food supermarket (halal)</t>
        </is>
      </c>
      <c r="I83" s="10" t="inlineStr">
        <is>
          <t>Multi-Site Independent</t>
        </is>
      </c>
      <c r="J83" s="10" t="inlineStr">
        <is>
          <t>3</t>
        </is>
      </c>
      <c r="K83" s="10" t="inlineStr">
        <is>
          <t>https://manchestersuperstores.co.uk/</t>
        </is>
      </c>
      <c r="L83" s="10" t="inlineStr">
        <is>
          <t>https://www.facebook.com/Manchestersuperstores/</t>
        </is>
      </c>
      <c r="M83" s="10" t="inlineStr"/>
      <c r="N83" s="10" t="inlineStr"/>
      <c r="O83" s="10" t="inlineStr">
        <is>
          <t>536-538 Stockport Road</t>
        </is>
      </c>
      <c r="P83" s="10" t="inlineStr">
        <is>
          <t>Longsight</t>
        </is>
      </c>
      <c r="Q83" s="10" t="inlineStr">
        <is>
          <t>Manchester</t>
        </is>
      </c>
      <c r="R83" s="10" t="inlineStr">
        <is>
          <t>Greater Manchester</t>
        </is>
      </c>
      <c r="S83" s="10" t="inlineStr">
        <is>
          <t>M12 4JJ</t>
        </is>
      </c>
      <c r="T83" s="10" t="inlineStr">
        <is>
          <t>North West</t>
        </is>
      </c>
      <c r="U83" s="10" t="inlineStr">
        <is>
          <t>England</t>
        </is>
      </c>
      <c r="V83" s="10" t="inlineStr">
        <is>
          <t>0161 721 4495</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halal meat; fish; spices; exotic fruit &amp; veg; toiletries; ethnic groceries</t>
        </is>
      </c>
      <c r="AL83" s="10" t="inlineStr"/>
      <c r="AM83" s="10" t="inlineStr">
        <is>
          <t>Independent Supermarket</t>
        </is>
      </c>
      <c r="AN83" s="10" t="inlineStr"/>
      <c r="AO83" s="10" t="inlineStr">
        <is>
          <t>Longsight branch of Manchester Super Stores multi-site group (shared parent_company). Address/phone from own store-locator page.</t>
        </is>
      </c>
      <c r="AP83" s="10" t="inlineStr">
        <is>
          <t>High</t>
        </is>
      </c>
      <c r="AQ83" s="10" t="inlineStr">
        <is>
          <t>Multi-site retailer; Independent retailer; Relevant category; Active website; Social presence</t>
        </is>
      </c>
      <c r="AR83" s="10" t="inlineStr">
        <is>
          <t>https://manchestersuperstores.co.uk/store-locations/manchester-super-stores-in-longsight/</t>
        </is>
      </c>
      <c r="AS83" s="10" t="inlineStr"/>
      <c r="AT83" s="10" t="inlineStr">
        <is>
          <t>1</t>
        </is>
      </c>
      <c r="AU83" s="10" t="inlineStr">
        <is>
          <t>No</t>
        </is>
      </c>
      <c r="AV83" s="10" t="inlineStr">
        <is>
          <t>No</t>
        </is>
      </c>
      <c r="AW83" s="10" t="inlineStr">
        <is>
          <t>No</t>
        </is>
      </c>
      <c r="AX83" s="10" t="inlineStr">
        <is>
          <t>No</t>
        </is>
      </c>
      <c r="AY83" s="10" t="inlineStr">
        <is>
          <t>Verified directory</t>
        </is>
      </c>
      <c r="AZ83" s="10" t="inlineStr">
        <is>
          <t>Website Found</t>
        </is>
      </c>
      <c r="BA83" s="10" t="inlineStr">
        <is>
          <t>2026-09-17</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UK-000311</t>
        </is>
      </c>
      <c r="B84" s="5" t="inlineStr">
        <is>
          <t>MANCHESTER-02</t>
        </is>
      </c>
      <c r="C84" s="5" t="inlineStr">
        <is>
          <t>Manchester Super Stores</t>
        </is>
      </c>
      <c r="D84" s="5" t="inlineStr">
        <is>
          <t>Manchester Super Stores (Rusholme)</t>
        </is>
      </c>
      <c r="E84" s="5" t="inlineStr">
        <is>
          <t>Manchester Super Stores</t>
        </is>
      </c>
      <c r="F84" s="5" t="inlineStr"/>
      <c r="G84" s="5" t="inlineStr">
        <is>
          <t>Independent Supermarket</t>
        </is>
      </c>
      <c r="H84" s="5" t="inlineStr">
        <is>
          <t>Asian/ethnic food supermarket (halal)</t>
        </is>
      </c>
      <c r="I84" s="5" t="inlineStr">
        <is>
          <t>Multi-Site Independent</t>
        </is>
      </c>
      <c r="J84" s="5" t="inlineStr">
        <is>
          <t>3</t>
        </is>
      </c>
      <c r="K84" s="5" t="inlineStr">
        <is>
          <t>https://manchestersuperstores.co.uk/</t>
        </is>
      </c>
      <c r="L84" s="5" t="inlineStr">
        <is>
          <t>https://www.facebook.com/Manchestersuperstores/</t>
        </is>
      </c>
      <c r="M84" s="5" t="inlineStr"/>
      <c r="N84" s="5" t="inlineStr"/>
      <c r="O84" s="5" t="inlineStr">
        <is>
          <t>132-142 Wilmslow Road</t>
        </is>
      </c>
      <c r="P84" s="5" t="inlineStr">
        <is>
          <t>Rusholme</t>
        </is>
      </c>
      <c r="Q84" s="5" t="inlineStr">
        <is>
          <t>Manchester</t>
        </is>
      </c>
      <c r="R84" s="5" t="inlineStr">
        <is>
          <t>Greater Manchester</t>
        </is>
      </c>
      <c r="S84" s="5" t="inlineStr">
        <is>
          <t>M14 5AH</t>
        </is>
      </c>
      <c r="T84" s="5" t="inlineStr">
        <is>
          <t>North West</t>
        </is>
      </c>
      <c r="U84" s="5" t="inlineStr">
        <is>
          <t>England</t>
        </is>
      </c>
      <c r="V84" s="5" t="inlineStr">
        <is>
          <t>0161 224 5899</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halal meat; fish; spices; exotic fruit &amp; veg; toiletries; ethnic groceries</t>
        </is>
      </c>
      <c r="AL84" s="5" t="inlineStr"/>
      <c r="AM84" s="5" t="inlineStr">
        <is>
          <t>Independent Supermarket</t>
        </is>
      </c>
      <c r="AN84" s="5" t="inlineStr"/>
      <c r="AO84" s="5" t="inlineStr">
        <is>
          <t>Multi-site Asian/ethnic supermarket group ('The Famous Manchester Super Store') with branches in Rusholme, Longsight and Bolton. Rusholme branch. Own website with store locator; no email published in snippet.</t>
        </is>
      </c>
      <c r="AP84" s="5" t="inlineStr">
        <is>
          <t>High</t>
        </is>
      </c>
      <c r="AQ84" s="5" t="inlineStr">
        <is>
          <t>Multi-site retailer; Independent retailer; Relevant category; Active website; Social presence</t>
        </is>
      </c>
      <c r="AR84" s="5" t="inlineStr">
        <is>
          <t>https://manchestersuperstores.co.uk/store-locations/manchester-super-stores-in-rusholme/</t>
        </is>
      </c>
      <c r="AS84" s="5" t="inlineStr">
        <is>
          <t>https://www.yelp.com/biz/manchester-superstore-manchester-5</t>
        </is>
      </c>
      <c r="AT84" s="5" t="inlineStr">
        <is>
          <t>2</t>
        </is>
      </c>
      <c r="AU84" s="5" t="inlineStr">
        <is>
          <t>No</t>
        </is>
      </c>
      <c r="AV84" s="5" t="inlineStr">
        <is>
          <t>No</t>
        </is>
      </c>
      <c r="AW84" s="5" t="inlineStr">
        <is>
          <t>No</t>
        </is>
      </c>
      <c r="AX84" s="5" t="inlineStr">
        <is>
          <t>No</t>
        </is>
      </c>
      <c r="AY84" s="5" t="inlineStr">
        <is>
          <t>Verified directory</t>
        </is>
      </c>
      <c r="AZ84" s="5" t="inlineStr">
        <is>
          <t>Website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WY-0017</t>
        </is>
      </c>
      <c r="B85" s="10" t="inlineStr">
        <is>
          <t>MANCHESTER-03</t>
        </is>
      </c>
      <c r="C85" s="10" t="inlineStr">
        <is>
          <t>Manchester Super Stores</t>
        </is>
      </c>
      <c r="D85" s="10" t="inlineStr">
        <is>
          <t>Manchester Superstore (Wakefield)</t>
        </is>
      </c>
      <c r="E85" s="10" t="inlineStr">
        <is>
          <t>Manchester Superstore</t>
        </is>
      </c>
      <c r="F85" s="10" t="inlineStr">
        <is>
          <t>Manchester Super Store (Wakefield) Ltd</t>
        </is>
      </c>
      <c r="G85" s="10" t="inlineStr">
        <is>
          <t>Independent Supermarket</t>
        </is>
      </c>
      <c r="H85" s="10" t="inlineStr">
        <is>
          <t>Ethnic / Asian supermarket with halal meat</t>
        </is>
      </c>
      <c r="I85" s="10" t="inlineStr">
        <is>
          <t>Regional Chain</t>
        </is>
      </c>
      <c r="J85" s="10" t="inlineStr"/>
      <c r="K85" s="10" t="inlineStr">
        <is>
          <t>https://manchestersuperstores.co.uk/store-locations/manchester-super-stores-in-wakefield/</t>
        </is>
      </c>
      <c r="L85" s="10" t="inlineStr">
        <is>
          <t>https://www.facebook.com/p/Manchester-superstore-100067793681757/</t>
        </is>
      </c>
      <c r="M85" s="10" t="inlineStr"/>
      <c r="N85" s="10" t="inlineStr"/>
      <c r="O85" s="10" t="inlineStr">
        <is>
          <t>38 Park Lodge Lane</t>
        </is>
      </c>
      <c r="P85" s="10" t="inlineStr"/>
      <c r="Q85" s="10" t="inlineStr">
        <is>
          <t>Wakefield</t>
        </is>
      </c>
      <c r="R85" s="10" t="inlineStr">
        <is>
          <t>West Yorkshire</t>
        </is>
      </c>
      <c r="S85" s="10" t="inlineStr">
        <is>
          <t>WF1 4NL</t>
        </is>
      </c>
      <c r="T85" s="10" t="inlineStr">
        <is>
          <t>Yorkshire &amp; Humber</t>
        </is>
      </c>
      <c r="U85" s="10" t="inlineStr">
        <is>
          <t>England</t>
        </is>
      </c>
      <c r="V85" s="10" t="inlineStr">
        <is>
          <t>01924 369105</t>
        </is>
      </c>
      <c r="W85" s="10" t="inlineStr"/>
      <c r="X85" s="10" t="inlineStr"/>
      <c r="Y85" s="10" t="inlineStr"/>
      <c r="Z85" s="10" t="inlineStr"/>
      <c r="AA85" s="10" t="inlineStr"/>
      <c r="AB85" s="10" t="inlineStr"/>
      <c r="AC85" s="10" t="inlineStr"/>
      <c r="AD85" s="10" t="inlineStr"/>
      <c r="AE85" s="10" t="inlineStr">
        <is>
          <t>08447369</t>
        </is>
      </c>
      <c r="AF85" s="10" t="inlineStr"/>
      <c r="AG85" s="10" t="inlineStr">
        <is>
          <t>MANCHESTER SUPER STORE (WAKEFIELD) LTD</t>
        </is>
      </c>
      <c r="AH85" s="10" t="inlineStr"/>
      <c r="AI85" s="10" t="inlineStr"/>
      <c r="AJ85" s="10" t="inlineStr"/>
      <c r="AK85" s="10" t="inlineStr">
        <is>
          <t>halal meat; fish; spices; exotic fruit and veg; ethnic grocery brands; toiletries</t>
        </is>
      </c>
      <c r="AL85" s="10" t="inlineStr"/>
      <c r="AM85" s="10" t="inlineStr">
        <is>
          <t>Independent Supermarket</t>
        </is>
      </c>
      <c r="AN85" s="10" t="inlineStr"/>
      <c r="AO85" s="10" t="inlineStr">
        <is>
          <t>Wakefield branch of the award-winning Manchester Super Stores group (BBC Food &amp; Farming Awards, Asian Food &amp; Restaurant Awards). Own dedicated store page on group website. Full Companies House record (status/incorporation) not yet retrieved.</t>
        </is>
      </c>
      <c r="AP85" s="10" t="inlineStr">
        <is>
          <t>Medium</t>
        </is>
      </c>
      <c r="AQ85" s="10" t="inlineStr">
        <is>
          <t>Multi-site retailer; Relevant category; Active website; Social presence</t>
        </is>
      </c>
      <c r="AR85" s="10" t="inlineStr">
        <is>
          <t>https://manchestersuperstores.co.uk/store-locations/manchester-super-stores-in-wakefield/</t>
        </is>
      </c>
      <c r="AS85" s="10" t="inlineStr">
        <is>
          <t>https://find-and-update.company-information.service.gov.uk/company/08447369</t>
        </is>
      </c>
      <c r="AT85" s="10" t="inlineStr">
        <is>
          <t>3</t>
        </is>
      </c>
      <c r="AU85" s="10" t="inlineStr">
        <is>
          <t>No</t>
        </is>
      </c>
      <c r="AV85" s="10" t="inlineStr">
        <is>
          <t>No</t>
        </is>
      </c>
      <c r="AW85" s="10" t="inlineStr">
        <is>
          <t>No</t>
        </is>
      </c>
      <c r="AX85" s="10" t="inlineStr">
        <is>
          <t>No</t>
        </is>
      </c>
      <c r="AY85" s="10" t="inlineStr">
        <is>
          <t>Verified directory</t>
        </is>
      </c>
      <c r="AZ85" s="10" t="inlineStr">
        <is>
          <t>Website Found</t>
        </is>
      </c>
      <c r="BA85" s="10" t="inlineStr">
        <is>
          <t>2026-09-17</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2026-09-17</t>
        </is>
      </c>
      <c r="BL85" s="10" t="inlineStr"/>
      <c r="BM85" s="10" t="inlineStr"/>
      <c r="BN85" s="10" t="inlineStr"/>
      <c r="BO85" s="10" t="inlineStr"/>
      <c r="BP85" s="10" t="inlineStr"/>
      <c r="BQ85" s="10" t="inlineStr"/>
    </row>
    <row r="86">
      <c r="A86" s="5" t="inlineStr">
        <is>
          <t>WY-0018</t>
        </is>
      </c>
      <c r="B86" s="5" t="inlineStr">
        <is>
          <t>MANCHESTER-04</t>
        </is>
      </c>
      <c r="C86" s="5" t="inlineStr">
        <is>
          <t>Manchester Super Stores</t>
        </is>
      </c>
      <c r="D86" s="5" t="inlineStr">
        <is>
          <t>Manchester Superstore Bradford</t>
        </is>
      </c>
      <c r="E86" s="5" t="inlineStr">
        <is>
          <t>Manchester Superstore</t>
        </is>
      </c>
      <c r="F86" s="5" t="inlineStr"/>
      <c r="G86" s="5" t="inlineStr">
        <is>
          <t>Independent Supermarket</t>
        </is>
      </c>
      <c r="H86" s="5" t="inlineStr">
        <is>
          <t>Asian / halal superstore</t>
        </is>
      </c>
      <c r="I86" s="5" t="inlineStr">
        <is>
          <t>Multi-Site Independent</t>
        </is>
      </c>
      <c r="J86" s="5" t="inlineStr"/>
      <c r="K86" s="5" t="inlineStr">
        <is>
          <t>https://manchestersuperstores.co.uk/store-locations/manchester-super-stores-in-bradford/</t>
        </is>
      </c>
      <c r="L86" s="5" t="inlineStr">
        <is>
          <t>https://www.facebook.com/p/Manchester-SuperStore-Bradford-100066139307711/</t>
        </is>
      </c>
      <c r="M86" s="5" t="inlineStr"/>
      <c r="N86" s="5" t="inlineStr"/>
      <c r="O86" s="5" t="inlineStr">
        <is>
          <t>Florence Street</t>
        </is>
      </c>
      <c r="P86" s="5" t="inlineStr">
        <is>
          <t>Off Leeds Road</t>
        </is>
      </c>
      <c r="Q86" s="5" t="inlineStr">
        <is>
          <t>Bradford</t>
        </is>
      </c>
      <c r="R86" s="5" t="inlineStr">
        <is>
          <t>West Yorkshire</t>
        </is>
      </c>
      <c r="S86" s="5" t="inlineStr">
        <is>
          <t>BD3 8EX</t>
        </is>
      </c>
      <c r="T86" s="5" t="inlineStr">
        <is>
          <t>Yorkshire &amp; Humber</t>
        </is>
      </c>
      <c r="U86" s="5" t="inlineStr">
        <is>
          <t>England</t>
        </is>
      </c>
      <c r="V86" s="5" t="inlineStr">
        <is>
          <t>01274 668800</t>
        </is>
      </c>
      <c r="W86" s="5" t="inlineStr"/>
      <c r="X86" s="5" t="inlineStr"/>
      <c r="Y86" s="5" t="inlineStr">
        <is>
          <t>mssbradford01@gmail.com</t>
        </is>
      </c>
      <c r="Z86" s="5" t="inlineStr"/>
      <c r="AA86" s="5" t="inlineStr"/>
      <c r="AB86" s="5" t="inlineStr"/>
      <c r="AC86" s="5" t="inlineStr"/>
      <c r="AD86" s="5" t="inlineStr"/>
      <c r="AE86" s="5" t="inlineStr"/>
      <c r="AF86" s="5" t="inlineStr"/>
      <c r="AG86" s="5" t="inlineStr"/>
      <c r="AH86" s="5" t="inlineStr"/>
      <c r="AI86" s="5" t="inlineStr"/>
      <c r="AJ86" s="5" t="inlineStr"/>
      <c r="AK86" s="5" t="inlineStr">
        <is>
          <t>fresh halal meat; fish; spices; exotic fruit &amp; veg; toiletries; ethnic brands</t>
        </is>
      </c>
      <c r="AL86" s="5" t="inlineStr"/>
      <c r="AM86" s="5" t="inlineStr">
        <is>
          <t>Independent Supermarket</t>
        </is>
      </c>
      <c r="AN86" s="5" t="inlineStr"/>
      <c r="AO86" s="5" t="inlineStr">
        <is>
          <t>Bradford branch of the Manchester Super Stores group (multi-site, has store-locations page on its own website).</t>
        </is>
      </c>
      <c r="AP86" s="5" t="inlineStr">
        <is>
          <t>High</t>
        </is>
      </c>
      <c r="AQ86" s="5" t="inlineStr">
        <is>
          <t>Multi-site retailer; Independent retailer; Relevant category; Public email available; Active website; Social presence</t>
        </is>
      </c>
      <c r="AR86" s="5" t="inlineStr">
        <is>
          <t>https://manchestersuperstores.co.uk/store-locations/manchester-super-stores-in-bradford/</t>
        </is>
      </c>
      <c r="AS86" s="5" t="inlineStr">
        <is>
          <t>https://www.facebook.com/p/Manchester-SuperStore-Bradford-100066139307711/</t>
        </is>
      </c>
      <c r="AT86" s="5" t="inlineStr">
        <is>
          <t>3</t>
        </is>
      </c>
      <c r="AU86" s="5" t="inlineStr">
        <is>
          <t>No</t>
        </is>
      </c>
      <c r="AV86" s="5" t="inlineStr">
        <is>
          <t>No</t>
        </is>
      </c>
      <c r="AW86" s="5" t="inlineStr">
        <is>
          <t>Yes</t>
        </is>
      </c>
      <c r="AX86" s="5" t="inlineStr">
        <is>
          <t>No</t>
        </is>
      </c>
      <c r="AY86" s="5" t="inlineStr">
        <is>
          <t>Verified directory</t>
        </is>
      </c>
      <c r="AZ86" s="5" t="inlineStr">
        <is>
          <t>Website Found</t>
        </is>
      </c>
      <c r="BA86" s="5" t="inlineStr">
        <is>
          <t>2026-09-17</t>
        </is>
      </c>
      <c r="BB86" s="5" t="inlineStr">
        <is>
          <t>Partially Verified</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2026-09-17</t>
        </is>
      </c>
      <c r="BL86" s="5" t="inlineStr"/>
      <c r="BM86" s="5" t="inlineStr"/>
      <c r="BN86" s="5" t="inlineStr"/>
      <c r="BO86" s="5" t="inlineStr"/>
      <c r="BP86" s="5" t="inlineStr"/>
      <c r="BQ86" s="5" t="inlineStr"/>
    </row>
    <row r="87">
      <c r="A87" s="10" t="inlineStr">
        <is>
          <t>WY-0019</t>
        </is>
      </c>
      <c r="B87" s="10" t="inlineStr">
        <is>
          <t>MULLACO-01</t>
        </is>
      </c>
      <c r="C87" s="10" t="inlineStr">
        <is>
          <t>Mullaco</t>
        </is>
      </c>
      <c r="D87" s="10" t="inlineStr">
        <is>
          <t>Mullaco (Batley)</t>
        </is>
      </c>
      <c r="E87" s="10" t="inlineStr">
        <is>
          <t>Mullaco</t>
        </is>
      </c>
      <c r="F87" s="10" t="inlineStr"/>
      <c r="G87" s="10" t="inlineStr">
        <is>
          <t>Independent Supermarket</t>
        </is>
      </c>
      <c r="H87" s="10" t="inlineStr">
        <is>
          <t>Asian and continental world foods store</t>
        </is>
      </c>
      <c r="I87" s="10" t="inlineStr">
        <is>
          <t>Regional Chain</t>
        </is>
      </c>
      <c r="J87" s="10" t="inlineStr">
        <is>
          <t>3</t>
        </is>
      </c>
      <c r="K87" s="10" t="inlineStr">
        <is>
          <t>https://mullaco.co.uk/</t>
        </is>
      </c>
      <c r="L87" s="10" t="inlineStr">
        <is>
          <t>https://www.facebook.com/mullaco.supermarket/</t>
        </is>
      </c>
      <c r="M87" s="10" t="inlineStr">
        <is>
          <t>https://www.instagram.com/mullacosupermarket/</t>
        </is>
      </c>
      <c r="N87" s="10" t="inlineStr"/>
      <c r="O87" s="10" t="inlineStr">
        <is>
          <t>35 Oxford Street</t>
        </is>
      </c>
      <c r="P87" s="10" t="inlineStr"/>
      <c r="Q87" s="10" t="inlineStr">
        <is>
          <t>Batley</t>
        </is>
      </c>
      <c r="R87" s="10" t="inlineStr">
        <is>
          <t>West Yorkshire</t>
        </is>
      </c>
      <c r="S87" s="10" t="inlineStr">
        <is>
          <t>WF17 7PJ</t>
        </is>
      </c>
      <c r="T87" s="10" t="inlineStr">
        <is>
          <t>Yorkshire &amp; Humber</t>
        </is>
      </c>
      <c r="U87" s="10" t="inlineStr">
        <is>
          <t>England</t>
        </is>
      </c>
      <c r="V87" s="10" t="inlineStr">
        <is>
          <t>01924 939128</t>
        </is>
      </c>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world foods; halal meat and poultry; groceries</t>
        </is>
      </c>
      <c r="AL87" s="10" t="inlineStr"/>
      <c r="AM87" s="10" t="inlineStr">
        <is>
          <t>Independent Supermarket</t>
        </is>
      </c>
      <c r="AN87" s="10" t="inlineStr"/>
      <c r="AO87" s="10" t="inlineStr">
        <is>
          <t>Batley branch of the Mullaco world foods group (parent record: Mullaco Supermarket Dewsbury).</t>
        </is>
      </c>
      <c r="AP87" s="10" t="inlineStr">
        <is>
          <t>Medium</t>
        </is>
      </c>
      <c r="AQ87" s="10" t="inlineStr">
        <is>
          <t>Multi-site retailer; Relevant category; Active website; Social presence</t>
        </is>
      </c>
      <c r="AR87" s="10" t="inlineStr">
        <is>
          <t>https://mullaco.co.uk/contact-us/</t>
        </is>
      </c>
      <c r="AS87" s="10" t="inlineStr">
        <is>
          <t>https://www.zoominfo.com/c/mullaco-ltd/370332224</t>
        </is>
      </c>
      <c r="AT87" s="10" t="inlineStr">
        <is>
          <t>3</t>
        </is>
      </c>
      <c r="AU87" s="10" t="inlineStr">
        <is>
          <t>No</t>
        </is>
      </c>
      <c r="AV87" s="10" t="inlineStr">
        <is>
          <t>No</t>
        </is>
      </c>
      <c r="AW87" s="10" t="inlineStr">
        <is>
          <t>No</t>
        </is>
      </c>
      <c r="AX87" s="10" t="inlineStr">
        <is>
          <t>No</t>
        </is>
      </c>
      <c r="AY87" s="10" t="inlineStr">
        <is>
          <t>Verified directory</t>
        </is>
      </c>
      <c r="AZ87" s="10" t="inlineStr">
        <is>
          <t>Website Found</t>
        </is>
      </c>
      <c r="BA87" s="10" t="inlineStr">
        <is>
          <t>2026-09-17</t>
        </is>
      </c>
      <c r="BB87" s="10" t="inlineStr">
        <is>
          <t>Requires Verification</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2026-09-17</t>
        </is>
      </c>
      <c r="BL87" s="10" t="inlineStr"/>
      <c r="BM87" s="10" t="inlineStr"/>
      <c r="BN87" s="10" t="inlineStr"/>
      <c r="BO87" s="10" t="inlineStr"/>
      <c r="BP87" s="10" t="inlineStr"/>
      <c r="BQ87" s="10" t="inlineStr"/>
    </row>
    <row r="88">
      <c r="A88" s="5" t="inlineStr">
        <is>
          <t>WY-0020</t>
        </is>
      </c>
      <c r="B88" s="5" t="inlineStr">
        <is>
          <t>MULLACO-02</t>
        </is>
      </c>
      <c r="C88" s="5" t="inlineStr">
        <is>
          <t>Mullaco</t>
        </is>
      </c>
      <c r="D88" s="5" t="inlineStr">
        <is>
          <t>Mullaco Minimarket (Dewsbury)</t>
        </is>
      </c>
      <c r="E88" s="5" t="inlineStr">
        <is>
          <t>Mullaco Minimarket</t>
        </is>
      </c>
      <c r="F88" s="5" t="inlineStr"/>
      <c r="G88" s="5" t="inlineStr">
        <is>
          <t>Convenience Store</t>
        </is>
      </c>
      <c r="H88" s="5" t="inlineStr">
        <is>
          <t>World foods minimarket</t>
        </is>
      </c>
      <c r="I88" s="5" t="inlineStr">
        <is>
          <t>Regional Chain</t>
        </is>
      </c>
      <c r="J88" s="5" t="inlineStr">
        <is>
          <t>3</t>
        </is>
      </c>
      <c r="K88" s="5" t="inlineStr">
        <is>
          <t>https://mullaco.co.uk/</t>
        </is>
      </c>
      <c r="L88" s="5" t="inlineStr">
        <is>
          <t>https://www.facebook.com/mullaco.supermarket/</t>
        </is>
      </c>
      <c r="M88" s="5" t="inlineStr"/>
      <c r="N88" s="5" t="inlineStr"/>
      <c r="O88" s="5" t="inlineStr"/>
      <c r="P88" s="5" t="inlineStr"/>
      <c r="Q88" s="5" t="inlineStr">
        <is>
          <t>Dewsbury</t>
        </is>
      </c>
      <c r="R88" s="5" t="inlineStr">
        <is>
          <t>West Yorkshire</t>
        </is>
      </c>
      <c r="S88" s="5" t="inlineStr">
        <is>
          <t>WF12 9LX</t>
        </is>
      </c>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world foods; groceries; convenience goods</t>
        </is>
      </c>
      <c r="AL88" s="5" t="inlineStr"/>
      <c r="AM88" s="5" t="inlineStr">
        <is>
          <t>Convenience Store</t>
        </is>
      </c>
      <c r="AN88" s="5" t="inlineStr"/>
      <c r="AO88" s="5" t="inlineStr">
        <is>
          <t>Mullaco minimarket location in Dewsbury at postcode WF12 9LX per search results; street address not captured because mullaco.co.uk fetch was blocked.</t>
        </is>
      </c>
      <c r="AP88" s="5" t="inlineStr">
        <is>
          <t>Medium</t>
        </is>
      </c>
      <c r="AQ88" s="5" t="inlineStr">
        <is>
          <t>Multi-site retailer; Relevant category; Active website; Social presence</t>
        </is>
      </c>
      <c r="AR88" s="5" t="inlineStr">
        <is>
          <t>https://www.facebook.com/mullaco.supermarket/</t>
        </is>
      </c>
      <c r="AS88" s="5" t="inlineStr">
        <is>
          <t>https://www.zoominfo.com/c/mullaco-ltd/370332224</t>
        </is>
      </c>
      <c r="AT88" s="5" t="inlineStr">
        <is>
          <t>2</t>
        </is>
      </c>
      <c r="AU88" s="5" t="inlineStr">
        <is>
          <t>No</t>
        </is>
      </c>
      <c r="AV88" s="5" t="inlineStr">
        <is>
          <t>No</t>
        </is>
      </c>
      <c r="AW88" s="5" t="inlineStr">
        <is>
          <t>No</t>
        </is>
      </c>
      <c r="AX88" s="5" t="inlineStr">
        <is>
          <t>No</t>
        </is>
      </c>
      <c r="AY88" s="5" t="inlineStr">
        <is>
          <t>Not Found</t>
        </is>
      </c>
      <c r="AZ88" s="5" t="inlineStr">
        <is>
          <t>Website Found</t>
        </is>
      </c>
      <c r="BA88" s="5" t="inlineStr">
        <is>
          <t>2026-09-17</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2026-09-17</t>
        </is>
      </c>
      <c r="BL88" s="5" t="inlineStr"/>
      <c r="BM88" s="5" t="inlineStr"/>
      <c r="BN88" s="5" t="inlineStr"/>
      <c r="BO88" s="5" t="inlineStr"/>
      <c r="BP88" s="5" t="inlineStr"/>
      <c r="BQ88" s="5" t="inlineStr"/>
    </row>
    <row r="89">
      <c r="A89" s="10" t="inlineStr">
        <is>
          <t>WY-0021</t>
        </is>
      </c>
      <c r="B89" s="10" t="inlineStr">
        <is>
          <t>MULLACO-03</t>
        </is>
      </c>
      <c r="C89" s="10" t="inlineStr">
        <is>
          <t>Mullaco</t>
        </is>
      </c>
      <c r="D89" s="10" t="inlineStr">
        <is>
          <t>Mullaco Supermarket (Dewsbury)</t>
        </is>
      </c>
      <c r="E89" s="10" t="inlineStr">
        <is>
          <t>Mullaco Supermarket</t>
        </is>
      </c>
      <c r="F89" s="10" t="inlineStr">
        <is>
          <t>Mullaco (Dewsbury) Ltd</t>
        </is>
      </c>
      <c r="G89" s="10" t="inlineStr">
        <is>
          <t>Independent Supermarket</t>
        </is>
      </c>
      <c r="H89" s="10" t="inlineStr">
        <is>
          <t>Asian and continental world foods supermarket</t>
        </is>
      </c>
      <c r="I89" s="10" t="inlineStr">
        <is>
          <t>Regional Chain</t>
        </is>
      </c>
      <c r="J89" s="10" t="inlineStr">
        <is>
          <t>3</t>
        </is>
      </c>
      <c r="K89" s="10" t="inlineStr">
        <is>
          <t>https://mullaco.co.uk/</t>
        </is>
      </c>
      <c r="L89" s="10" t="inlineStr">
        <is>
          <t>https://www.facebook.com/mullaco.supermarket/</t>
        </is>
      </c>
      <c r="M89" s="10" t="inlineStr">
        <is>
          <t>https://www.instagram.com/mullacosupermarket/</t>
        </is>
      </c>
      <c r="N89" s="10" t="inlineStr"/>
      <c r="O89" s="10" t="inlineStr">
        <is>
          <t>Mullaco Retail Park, Slaithwaite Road</t>
        </is>
      </c>
      <c r="P89" s="10" t="inlineStr">
        <is>
          <t>Thornhill Lees</t>
        </is>
      </c>
      <c r="Q89" s="10" t="inlineStr">
        <is>
          <t>Dewsbury</t>
        </is>
      </c>
      <c r="R89" s="10" t="inlineStr">
        <is>
          <t>West Yorkshire</t>
        </is>
      </c>
      <c r="S89" s="10" t="inlineStr">
        <is>
          <t>WF12 0AA</t>
        </is>
      </c>
      <c r="T89" s="10" t="inlineStr">
        <is>
          <t>Yorkshire &amp; Humber</t>
        </is>
      </c>
      <c r="U89" s="10" t="inlineStr">
        <is>
          <t>England</t>
        </is>
      </c>
      <c r="V89" s="10" t="inlineStr">
        <is>
          <t>01924 465909</t>
        </is>
      </c>
      <c r="W89" s="10" t="inlineStr"/>
      <c r="X89" s="10" t="inlineStr"/>
      <c r="Y89" s="10" t="inlineStr"/>
      <c r="Z89" s="10" t="inlineStr"/>
      <c r="AA89" s="10" t="inlineStr"/>
      <c r="AB89" s="10" t="inlineStr"/>
      <c r="AC89" s="10" t="inlineStr"/>
      <c r="AD89" s="10" t="inlineStr"/>
      <c r="AE89" s="10" t="inlineStr">
        <is>
          <t>06629345</t>
        </is>
      </c>
      <c r="AF89" s="10" t="inlineStr"/>
      <c r="AG89" s="10" t="inlineStr">
        <is>
          <t>MULLACO (DEWSBURY) LTD</t>
        </is>
      </c>
      <c r="AH89" s="10" t="inlineStr"/>
      <c r="AI89" s="10" t="inlineStr"/>
      <c r="AJ89" s="10" t="inlineStr"/>
      <c r="AK89" s="10" t="inlineStr">
        <is>
          <t>world foods; halal meat and poultry; fresh fruit and vegetables; groceries</t>
        </is>
      </c>
      <c r="AL89" s="10" t="inlineStr"/>
      <c r="AM89" s="10" t="inlineStr">
        <is>
          <t>Independent Supermarket</t>
        </is>
      </c>
      <c r="AN89" s="10" t="inlineStr"/>
      <c r="AO89" s="10" t="inlineStr">
        <is>
          <t>Family-run world foods group with stores in Dewsbury, Batley and a Dewsbury minimarket; head office listed as 7 Wellington Street, Batley WF17 5BH (ZoomInfo). Own website mullaco.co.uk could not be fetched (proxy blocked).</t>
        </is>
      </c>
      <c r="AP89" s="10" t="inlineStr">
        <is>
          <t>Medium</t>
        </is>
      </c>
      <c r="AQ89" s="10" t="inlineStr">
        <is>
          <t>Multi-site retailer; Relevant category; Active website; Social presence</t>
        </is>
      </c>
      <c r="AR89" s="10" t="inlineStr">
        <is>
          <t>https://mullaco.co.uk/contact-us/</t>
        </is>
      </c>
      <c r="AS89" s="10" t="inlineStr">
        <is>
          <t>https://find-and-update.company-information.service.gov.uk/company/06629345</t>
        </is>
      </c>
      <c r="AT89" s="10" t="inlineStr">
        <is>
          <t>4</t>
        </is>
      </c>
      <c r="AU89" s="10" t="inlineStr">
        <is>
          <t>No</t>
        </is>
      </c>
      <c r="AV89" s="10" t="inlineStr">
        <is>
          <t>No</t>
        </is>
      </c>
      <c r="AW89" s="10" t="inlineStr">
        <is>
          <t>No</t>
        </is>
      </c>
      <c r="AX89" s="10" t="inlineStr">
        <is>
          <t>No</t>
        </is>
      </c>
      <c r="AY89" s="10" t="inlineStr">
        <is>
          <t>Verified directory</t>
        </is>
      </c>
      <c r="AZ89" s="10" t="inlineStr">
        <is>
          <t>Website Found</t>
        </is>
      </c>
      <c r="BA89" s="10" t="inlineStr">
        <is>
          <t>2026-09-17</t>
        </is>
      </c>
      <c r="BB89" s="10" t="inlineStr">
        <is>
          <t>Requires Verification</t>
        </is>
      </c>
      <c r="BC89" s="10" t="inlineStr">
        <is>
          <t>Medium</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2026-09-17</t>
        </is>
      </c>
      <c r="BL89" s="10" t="inlineStr"/>
      <c r="BM89" s="10" t="inlineStr"/>
      <c r="BN89" s="10" t="inlineStr"/>
      <c r="BO89" s="10" t="inlineStr"/>
      <c r="BP89" s="10" t="inlineStr"/>
      <c r="BQ89" s="10" t="inlineStr"/>
    </row>
    <row r="90">
      <c r="A90" s="5" t="inlineStr">
        <is>
          <t>UK-000433</t>
        </is>
      </c>
      <c r="B90" s="5" t="inlineStr">
        <is>
          <t>MWANAKAFRE-01</t>
        </is>
      </c>
      <c r="C90" s="5" t="inlineStr">
        <is>
          <t>Mwanaka Fresh Farm Foods</t>
        </is>
      </c>
      <c r="D90" s="5" t="inlineStr">
        <is>
          <t>Mwanaka Fresh Farm Foods</t>
        </is>
      </c>
      <c r="E90" s="5" t="inlineStr">
        <is>
          <t>Mwanaka Fresh Farm Foods</t>
        </is>
      </c>
      <c r="F90" s="5" t="inlineStr"/>
      <c r="G90" s="5" t="inlineStr">
        <is>
          <t>Independent Supermarket</t>
        </is>
      </c>
      <c r="H90" s="5" t="inlineStr">
        <is>
          <t>African / international grocery</t>
        </is>
      </c>
      <c r="I90" s="5" t="inlineStr">
        <is>
          <t>Multi-Site Independent</t>
        </is>
      </c>
      <c r="J90" s="5" t="inlineStr">
        <is>
          <t>2</t>
        </is>
      </c>
      <c r="K90" s="5" t="inlineStr">
        <is>
          <t>https://mwanakafreshfarmfoods.com/</t>
        </is>
      </c>
      <c r="L90" s="5" t="inlineStr"/>
      <c r="M90" s="5" t="inlineStr"/>
      <c r="N90" s="5" t="inlineStr"/>
      <c r="O90" s="5" t="inlineStr">
        <is>
          <t>Mwanaka Farm Supermarket, 19-20 Vicarage Place</t>
        </is>
      </c>
      <c r="P90" s="5" t="inlineStr"/>
      <c r="Q90" s="5" t="inlineStr">
        <is>
          <t>Walsall</t>
        </is>
      </c>
      <c r="R90" s="5" t="inlineStr">
        <is>
          <t>West Midlands</t>
        </is>
      </c>
      <c r="S90" s="5" t="inlineStr">
        <is>
          <t>WS1 3NA</t>
        </is>
      </c>
      <c r="T90" s="5" t="inlineStr">
        <is>
          <t>West Midlands</t>
        </is>
      </c>
      <c r="U90" s="5" t="inlineStr">
        <is>
          <t>England</t>
        </is>
      </c>
      <c r="V90" s="5" t="inlineStr">
        <is>
          <t>0808 502 2711</t>
        </is>
      </c>
      <c r="W90" s="5" t="inlineStr"/>
      <c r="X90" s="5" t="inlineStr"/>
      <c r="Y90" s="5" t="inlineStr">
        <is>
          <t>mail@mwanakafreshfarmfoods.com</t>
        </is>
      </c>
      <c r="Z90" s="5" t="inlineStr"/>
      <c r="AA90" s="5" t="inlineStr"/>
      <c r="AB90" s="5" t="inlineStr"/>
      <c r="AC90" s="5" t="inlineStr"/>
      <c r="AD90" s="5" t="inlineStr"/>
      <c r="AE90" s="5" t="inlineStr"/>
      <c r="AF90" s="5" t="inlineStr"/>
      <c r="AG90" s="5" t="inlineStr"/>
      <c r="AH90" s="5" t="inlineStr"/>
      <c r="AI90" s="5" t="inlineStr"/>
      <c r="AJ90" s="5" t="inlineStr"/>
      <c r="AK90" s="5" t="inlineStr">
        <is>
          <t>African &amp; international groceries; fresh produce; fresh meat; maize meal</t>
        </is>
      </c>
      <c r="AL90" s="5" t="inlineStr"/>
      <c r="AM90" s="5" t="inlineStr">
        <is>
          <t>Independent Supermarket</t>
        </is>
      </c>
      <c r="AN90" s="5" t="inlineStr">
        <is>
          <t>Own website with online/postal delivery; also a grower/importer of African produce.</t>
        </is>
      </c>
      <c r="AO90" s="5" t="inlineStr">
        <is>
          <t>African/international grocery superstore in central Walsall (Vicarage Place). Email published on own site. Also has an Enfield (London) store.</t>
        </is>
      </c>
      <c r="AP90" s="5" t="inlineStr">
        <is>
          <t>High</t>
        </is>
      </c>
      <c r="AQ90" s="5" t="inlineStr">
        <is>
          <t>Multi-site retailer; Independent retailer; Relevant category; Public email available; Active website; Phone verified on official website</t>
        </is>
      </c>
      <c r="AR90" s="5" t="inlineStr">
        <is>
          <t>https://mwanakafreshfarmfoods.com/pages/contact</t>
        </is>
      </c>
      <c r="AS90" s="5" t="inlineStr">
        <is>
          <t>https://find-open.co.uk/walsall/mwanaka-fresh-farm-foods-3812894</t>
        </is>
      </c>
      <c r="AT90" s="5" t="inlineStr">
        <is>
          <t>2</t>
        </is>
      </c>
      <c r="AU90" s="5" t="inlineStr">
        <is>
          <t>Yes</t>
        </is>
      </c>
      <c r="AV90" s="5" t="inlineStr">
        <is>
          <t>No</t>
        </is>
      </c>
      <c r="AW90" s="5" t="inlineStr">
        <is>
          <t>No</t>
        </is>
      </c>
      <c r="AX90" s="5" t="inlineStr">
        <is>
          <t>No</t>
        </is>
      </c>
      <c r="AY90" s="5" t="inlineStr">
        <is>
          <t>Verified on official website</t>
        </is>
      </c>
      <c r="AZ90" s="5" t="inlineStr">
        <is>
          <t>Publicly Listed</t>
        </is>
      </c>
      <c r="BA90" s="5" t="inlineStr">
        <is>
          <t>2026-09-17</t>
        </is>
      </c>
      <c r="BB90" s="5" t="inlineStr">
        <is>
          <t>Partially Verified</t>
        </is>
      </c>
      <c r="BC90" s="5" t="inlineStr">
        <is>
          <t>High</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UK-000312</t>
        </is>
      </c>
      <c r="B91" s="10" t="inlineStr">
        <is>
          <t>NXTGENVAPO-01</t>
        </is>
      </c>
      <c r="C91" s="10" t="inlineStr">
        <is>
          <t>NXT Gen Vapours</t>
        </is>
      </c>
      <c r="D91" s="10" t="inlineStr">
        <is>
          <t>NXT Gen Vapours Denton</t>
        </is>
      </c>
      <c r="E91" s="10" t="inlineStr">
        <is>
          <t>NXT Gen Vapours</t>
        </is>
      </c>
      <c r="F91" s="10" t="inlineStr"/>
      <c r="G91" s="10" t="inlineStr">
        <is>
          <t>Vape Shop</t>
        </is>
      </c>
      <c r="H91" s="10" t="inlineStr"/>
      <c r="I91" s="10" t="inlineStr">
        <is>
          <t>Multi-Site Independent</t>
        </is>
      </c>
      <c r="J91" s="10" t="inlineStr">
        <is>
          <t>2</t>
        </is>
      </c>
      <c r="K91" s="10" t="inlineStr">
        <is>
          <t>https://www.nxtgenvapours.co.uk/</t>
        </is>
      </c>
      <c r="L91" s="10" t="inlineStr"/>
      <c r="M91" s="10" t="inlineStr"/>
      <c r="N91" s="10" t="inlineStr"/>
      <c r="O91" s="10" t="inlineStr">
        <is>
          <t>78 Manchester Road</t>
        </is>
      </c>
      <c r="P91" s="10" t="inlineStr"/>
      <c r="Q91" s="10" t="inlineStr">
        <is>
          <t>Denton</t>
        </is>
      </c>
      <c r="R91" s="10" t="inlineStr">
        <is>
          <t>Greater Manchester</t>
        </is>
      </c>
      <c r="S91" s="10" t="inlineStr">
        <is>
          <t>M34 3PR</t>
        </is>
      </c>
      <c r="T91" s="10" t="inlineStr">
        <is>
          <t>North West</t>
        </is>
      </c>
      <c r="U91" s="10" t="inlineStr">
        <is>
          <t>England</t>
        </is>
      </c>
      <c r="V91" s="10" t="inlineStr">
        <is>
          <t>0161 320 8807</t>
        </is>
      </c>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e-liquids; vape hardware; disposables</t>
        </is>
      </c>
      <c r="AL91" s="10" t="inlineStr"/>
      <c r="AM91" s="10" t="inlineStr">
        <is>
          <t>Vape Shop</t>
        </is>
      </c>
      <c r="AN91" s="10" t="inlineStr"/>
      <c r="AO91" s="10" t="inlineStr">
        <is>
          <t>NXT Gen Vapours has branches in Denton and Ashton-under-Lyne.</t>
        </is>
      </c>
      <c r="AP91" s="10" t="inlineStr">
        <is>
          <t>High</t>
        </is>
      </c>
      <c r="AQ91" s="10" t="inlineStr">
        <is>
          <t>Multi-site retailer; Independent retailer; Core relevant category; Active website</t>
        </is>
      </c>
      <c r="AR91" s="10" t="inlineStr">
        <is>
          <t>https://denton-tameside.cylex-uk.co.uk/company/nxt-gen-vapours-denton-27261896.html</t>
        </is>
      </c>
      <c r="AS91" s="10" t="inlineStr"/>
      <c r="AT91" s="10" t="inlineStr">
        <is>
          <t>1</t>
        </is>
      </c>
      <c r="AU91" s="10" t="inlineStr">
        <is>
          <t>No</t>
        </is>
      </c>
      <c r="AV91" s="10" t="inlineStr">
        <is>
          <t>No</t>
        </is>
      </c>
      <c r="AW91" s="10" t="inlineStr">
        <is>
          <t>No</t>
        </is>
      </c>
      <c r="AX91" s="10" t="inlineStr">
        <is>
          <t>No</t>
        </is>
      </c>
      <c r="AY91" s="10" t="inlineStr">
        <is>
          <t>Verified directory</t>
        </is>
      </c>
      <c r="AZ91" s="10" t="inlineStr">
        <is>
          <t>Website Found</t>
        </is>
      </c>
      <c r="BA91" s="10" t="inlineStr">
        <is>
          <t>2026-09-17</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2026-09-17</t>
        </is>
      </c>
      <c r="BJ91" s="10" t="inlineStr">
        <is>
          <t>New</t>
        </is>
      </c>
      <c r="BK91" s="10" t="inlineStr">
        <is>
          <t>2026-09-17</t>
        </is>
      </c>
      <c r="BL91" s="10" t="inlineStr"/>
      <c r="BM91" s="10" t="inlineStr"/>
      <c r="BN91" s="10" t="inlineStr"/>
      <c r="BO91" s="10" t="inlineStr"/>
      <c r="BP91" s="10" t="inlineStr"/>
      <c r="BQ91" s="10" t="inlineStr"/>
    </row>
    <row r="92">
      <c r="A92" s="5" t="inlineStr">
        <is>
          <t>UK-000711</t>
        </is>
      </c>
      <c r="B92" s="5" t="inlineStr">
        <is>
          <t>NEWSPLUSGR-01</t>
        </is>
      </c>
      <c r="C92" s="5" t="inlineStr">
        <is>
          <t>News Plus Group</t>
        </is>
      </c>
      <c r="D92" s="5" t="inlineStr">
        <is>
          <t>News Plus (Bruntsfield)</t>
        </is>
      </c>
      <c r="E92" s="5" t="inlineStr">
        <is>
          <t>News Plus</t>
        </is>
      </c>
      <c r="F92" s="5" t="inlineStr">
        <is>
          <t>News Plus Group Ltd</t>
        </is>
      </c>
      <c r="G92" s="5" t="inlineStr">
        <is>
          <t>Newsagent</t>
        </is>
      </c>
      <c r="H92" s="5" t="inlineStr">
        <is>
          <t>Newsagent &amp; convenience</t>
        </is>
      </c>
      <c r="I92" s="5" t="inlineStr">
        <is>
          <t>Multi-Site Independent</t>
        </is>
      </c>
      <c r="J92" s="5" t="inlineStr">
        <is>
          <t>1</t>
        </is>
      </c>
      <c r="K92" s="5" t="inlineStr"/>
      <c r="L92" s="5" t="inlineStr"/>
      <c r="M92" s="5" t="inlineStr"/>
      <c r="N92" s="5" t="inlineStr"/>
      <c r="O92" s="5" t="inlineStr">
        <is>
          <t>196 Bruntsfield Place</t>
        </is>
      </c>
      <c r="P92" s="5" t="inlineStr"/>
      <c r="Q92" s="5" t="inlineStr">
        <is>
          <t>Edinburgh</t>
        </is>
      </c>
      <c r="R92" s="5" t="inlineStr">
        <is>
          <t>City of Edinburgh</t>
        </is>
      </c>
      <c r="S92" s="5" t="inlineStr">
        <is>
          <t>EH10 4DF</t>
        </is>
      </c>
      <c r="T92" s="5" t="inlineStr">
        <is>
          <t>Scotland</t>
        </is>
      </c>
      <c r="U92" s="5" t="inlineStr">
        <is>
          <t>Scotland</t>
        </is>
      </c>
      <c r="V92" s="5" t="inlineStr">
        <is>
          <t>0131 229 3415</t>
        </is>
      </c>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newspapers; confectionery; tobacco; convenience</t>
        </is>
      </c>
      <c r="AL92" s="5" t="inlineStr"/>
      <c r="AM92" s="5" t="inlineStr">
        <is>
          <t>Newsagent</t>
        </is>
      </c>
      <c r="AN92" s="5" t="inlineStr"/>
      <c r="AO92" s="5" t="inlineStr">
        <is>
          <t>News Plus Group Ltd newsagent on Bruntsfield Place. Legal name from Yell listing. Details from Yell/192 snippet.</t>
        </is>
      </c>
      <c r="AP92" s="5" t="inlineStr">
        <is>
          <t>Medium</t>
        </is>
      </c>
      <c r="AQ92" s="5" t="inlineStr">
        <is>
          <t>Multi-site retailer; Independent retailer; Relevant category</t>
        </is>
      </c>
      <c r="AR92" s="5" t="inlineStr">
        <is>
          <t>https://www.192.com/atoz/business/edinburgh-eh10/newsagents/news-plus-group-ltd/7f50c23c5b193d3d8eef1800b3fcd551fb6d36e4/ml/</t>
        </is>
      </c>
      <c r="AS92" s="5" t="inlineStr">
        <is>
          <t>https://edinburgh.cylex-uk.co.uk/company/news-plus-17104860.html</t>
        </is>
      </c>
      <c r="AT92" s="5" t="inlineStr">
        <is>
          <t>2</t>
        </is>
      </c>
      <c r="AU92" s="5" t="inlineStr">
        <is>
          <t>No</t>
        </is>
      </c>
      <c r="AV92" s="5" t="inlineStr">
        <is>
          <t>No</t>
        </is>
      </c>
      <c r="AW92" s="5" t="inlineStr">
        <is>
          <t>No</t>
        </is>
      </c>
      <c r="AX92" s="5" t="inlineStr">
        <is>
          <t>No</t>
        </is>
      </c>
      <c r="AY92" s="5" t="inlineStr">
        <is>
          <t>Verified directory</t>
        </is>
      </c>
      <c r="AZ92" s="5" t="inlineStr">
        <is>
          <t>Not Found</t>
        </is>
      </c>
      <c r="BA92" s="5" t="inlineStr">
        <is>
          <t>2026-09-17</t>
        </is>
      </c>
      <c r="BB92" s="5" t="inlineStr">
        <is>
          <t>Requires Verification</t>
        </is>
      </c>
      <c r="BC92" s="5" t="inlineStr">
        <is>
          <t>Medium</t>
        </is>
      </c>
      <c r="BD92" s="5" t="inlineStr"/>
      <c r="BE92" s="5" t="inlineStr">
        <is>
          <t>Business (B2B)</t>
        </is>
      </c>
      <c r="BF92" s="5" t="inlineStr">
        <is>
          <t>Legitimate interest (B2B) - assess per campaign; PECR: corporate subscribers</t>
        </is>
      </c>
      <c r="BG92" s="5" t="inlineStr"/>
      <c r="BH92" s="5" t="inlineStr">
        <is>
          <t>No</t>
        </is>
      </c>
      <c r="BI92" s="5" t="inlineStr">
        <is>
          <t>2026-09-17</t>
        </is>
      </c>
      <c r="BJ92" s="5" t="inlineStr">
        <is>
          <t>New</t>
        </is>
      </c>
      <c r="BK92" s="5" t="inlineStr">
        <is>
          <t>2026-09-17</t>
        </is>
      </c>
      <c r="BL92" s="5" t="inlineStr"/>
      <c r="BM92" s="5" t="inlineStr"/>
      <c r="BN92" s="5" t="inlineStr"/>
      <c r="BO92" s="5" t="inlineStr"/>
      <c r="BP92" s="5" t="inlineStr"/>
      <c r="BQ92" s="5" t="inlineStr"/>
    </row>
    <row r="93">
      <c r="A93" s="10" t="inlineStr">
        <is>
          <t>UK-000313</t>
        </is>
      </c>
      <c r="B93" s="10" t="inlineStr">
        <is>
          <t>NISA-01</t>
        </is>
      </c>
      <c r="C93" s="10" t="inlineStr">
        <is>
          <t>Nisa</t>
        </is>
      </c>
      <c r="D93" s="10" t="inlineStr">
        <is>
          <t>Multisaver Nisa Local Dukinfield</t>
        </is>
      </c>
      <c r="E93" s="10" t="inlineStr">
        <is>
          <t>Multisaver Nisa Local</t>
        </is>
      </c>
      <c r="F93" s="10" t="inlineStr"/>
      <c r="G93" s="10" t="inlineStr">
        <is>
          <t>Convenience Store</t>
        </is>
      </c>
      <c r="H93" s="10" t="inlineStr">
        <is>
          <t>Symbol group convenience</t>
        </is>
      </c>
      <c r="I93" s="10" t="inlineStr">
        <is>
          <t>Franchise / Symbol Group</t>
        </is>
      </c>
      <c r="J93" s="10" t="inlineStr">
        <is>
          <t>1</t>
        </is>
      </c>
      <c r="K93" s="10" t="inlineStr"/>
      <c r="L93" s="10" t="inlineStr"/>
      <c r="M93" s="10" t="inlineStr"/>
      <c r="N93" s="10" t="inlineStr"/>
      <c r="O93" s="10" t="inlineStr">
        <is>
          <t>105 Chapel Street</t>
        </is>
      </c>
      <c r="P93" s="10" t="inlineStr"/>
      <c r="Q93" s="10" t="inlineStr">
        <is>
          <t>Dukinfield</t>
        </is>
      </c>
      <c r="R93" s="10" t="inlineStr">
        <is>
          <t>Greater Manchester</t>
        </is>
      </c>
      <c r="S93" s="10" t="inlineStr">
        <is>
          <t>SK16 4QJ</t>
        </is>
      </c>
      <c r="T93" s="10" t="inlineStr">
        <is>
          <t>North West</t>
        </is>
      </c>
      <c r="U93" s="10" t="inlineStr">
        <is>
          <t>England</t>
        </is>
      </c>
      <c r="V93" s="10" t="inlineStr"/>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convenience; groceries; alcohol</t>
        </is>
      </c>
      <c r="AL93" s="10" t="inlineStr"/>
      <c r="AM93" s="10" t="inlineStr">
        <is>
          <t>Convenience Store</t>
        </is>
      </c>
      <c r="AN93" s="10" t="inlineStr"/>
      <c r="AO93" s="10" t="inlineStr">
        <is>
          <t>Independent convenience store trading under Nisa Local symbol group, Chapel Street, Dukinfield.</t>
        </is>
      </c>
      <c r="AP93" s="10" t="inlineStr">
        <is>
          <t>Medium</t>
        </is>
      </c>
      <c r="AQ93" s="10" t="inlineStr">
        <is>
          <t>Multi-site retailer; Independent retailer; Relevant category</t>
        </is>
      </c>
      <c r="AR93" s="10" t="inlineStr">
        <is>
          <t>https://ratings.food.gov.uk/business/200382/multisaver-nisa-local-dukinfield</t>
        </is>
      </c>
      <c r="AS93" s="10" t="inlineStr"/>
      <c r="AT93" s="10" t="inlineStr">
        <is>
          <t>1</t>
        </is>
      </c>
      <c r="AU93" s="10" t="inlineStr">
        <is>
          <t>No</t>
        </is>
      </c>
      <c r="AV93" s="10" t="inlineStr">
        <is>
          <t>No</t>
        </is>
      </c>
      <c r="AW93" s="10" t="inlineStr">
        <is>
          <t>No</t>
        </is>
      </c>
      <c r="AX93" s="10" t="inlineStr">
        <is>
          <t>No</t>
        </is>
      </c>
      <c r="AY93" s="10" t="inlineStr">
        <is>
          <t>Not Found</t>
        </is>
      </c>
      <c r="AZ93" s="10" t="inlineStr">
        <is>
          <t>Not Found</t>
        </is>
      </c>
      <c r="BA93" s="10" t="inlineStr">
        <is>
          <t>2026-09-17</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UK-000201</t>
        </is>
      </c>
      <c r="B94" s="5" t="inlineStr">
        <is>
          <t>NISA-02</t>
        </is>
      </c>
      <c r="C94" s="5" t="inlineStr">
        <is>
          <t>Nisa</t>
        </is>
      </c>
      <c r="D94" s="5" t="inlineStr">
        <is>
          <t>Nisa Express Grimsby (Victor Street)</t>
        </is>
      </c>
      <c r="E94" s="5" t="inlineStr">
        <is>
          <t>Nisa Express</t>
        </is>
      </c>
      <c r="F94" s="5" t="inlineStr"/>
      <c r="G94" s="5" t="inlineStr">
        <is>
          <t>Convenience Store</t>
        </is>
      </c>
      <c r="H94" s="5" t="inlineStr">
        <is>
          <t>Symbol-group convenience store</t>
        </is>
      </c>
      <c r="I94" s="5" t="inlineStr">
        <is>
          <t>Franchise / Symbol Group</t>
        </is>
      </c>
      <c r="J94" s="5" t="inlineStr">
        <is>
          <t>1</t>
        </is>
      </c>
      <c r="K94" s="5" t="inlineStr"/>
      <c r="L94" s="5" t="inlineStr"/>
      <c r="M94" s="5" t="inlineStr"/>
      <c r="N94" s="5" t="inlineStr"/>
      <c r="O94" s="5" t="inlineStr">
        <is>
          <t>129 Victor Street</t>
        </is>
      </c>
      <c r="P94" s="5" t="inlineStr"/>
      <c r="Q94" s="5" t="inlineStr">
        <is>
          <t>Grimsby</t>
        </is>
      </c>
      <c r="R94" s="5" t="inlineStr">
        <is>
          <t>Lincolnshire</t>
        </is>
      </c>
      <c r="S94" s="5" t="inlineStr"/>
      <c r="T94" s="5" t="inlineStr">
        <is>
          <t>Yorkshire &amp; Humber</t>
        </is>
      </c>
      <c r="U94" s="5" t="inlineStr">
        <is>
          <t>England</t>
        </is>
      </c>
      <c r="V94" s="5" t="inlineStr"/>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groceries; convenience; off-licence; news</t>
        </is>
      </c>
      <c r="AL94" s="5" t="inlineStr"/>
      <c r="AM94" s="5" t="inlineStr">
        <is>
          <t>Convenience Store</t>
        </is>
      </c>
      <c r="AN94" s="5" t="inlineStr"/>
      <c r="AO94" s="5" t="inlineStr">
        <is>
          <t>Nisa symbol-group convenience store, 129 Victor Street, Grimsby. No postcode/phone in search results.</t>
        </is>
      </c>
      <c r="AP94" s="5" t="inlineStr">
        <is>
          <t>Medium</t>
        </is>
      </c>
      <c r="AQ94" s="5" t="inlineStr">
        <is>
          <t>Multi-site retailer; Independent retailer; Relevant category</t>
        </is>
      </c>
      <c r="AR94" s="5" t="inlineStr">
        <is>
          <t>https://www.nisalocally.co.uk/stores/north-east-lincs/grimsby/129-victor-st</t>
        </is>
      </c>
      <c r="AS94" s="5" t="inlineStr"/>
      <c r="AT94" s="5" t="inlineStr">
        <is>
          <t>1</t>
        </is>
      </c>
      <c r="AU94" s="5" t="inlineStr">
        <is>
          <t>No</t>
        </is>
      </c>
      <c r="AV94" s="5" t="inlineStr">
        <is>
          <t>No</t>
        </is>
      </c>
      <c r="AW94" s="5" t="inlineStr">
        <is>
          <t>No</t>
        </is>
      </c>
      <c r="AX94" s="5" t="inlineStr">
        <is>
          <t>No</t>
        </is>
      </c>
      <c r="AY94" s="5" t="inlineStr">
        <is>
          <t>Not Found</t>
        </is>
      </c>
      <c r="AZ94" s="5" t="inlineStr">
        <is>
          <t>Not Found</t>
        </is>
      </c>
      <c r="BA94" s="5" t="inlineStr">
        <is>
          <t>2026-09-17</t>
        </is>
      </c>
      <c r="BB94" s="5" t="inlineStr">
        <is>
          <t>Requires Verification</t>
        </is>
      </c>
      <c r="BC94" s="5" t="inlineStr">
        <is>
          <t>Low</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2026-09-17</t>
        </is>
      </c>
      <c r="BL94" s="5" t="inlineStr"/>
      <c r="BM94" s="5" t="inlineStr"/>
      <c r="BN94" s="5" t="inlineStr"/>
      <c r="BO94" s="5" t="inlineStr"/>
      <c r="BP94" s="5" t="inlineStr"/>
      <c r="BQ94" s="5" t="inlineStr"/>
    </row>
    <row r="95">
      <c r="A95" s="10" t="inlineStr">
        <is>
          <t>UK-000202</t>
        </is>
      </c>
      <c r="B95" s="10" t="inlineStr">
        <is>
          <t>NISA-03</t>
        </is>
      </c>
      <c r="C95" s="10" t="inlineStr">
        <is>
          <t>Nisa</t>
        </is>
      </c>
      <c r="D95" s="10" t="inlineStr">
        <is>
          <t>Nisa Local Cleethorpes (Grimsby Road)</t>
        </is>
      </c>
      <c r="E95" s="10" t="inlineStr">
        <is>
          <t>Nisa Local</t>
        </is>
      </c>
      <c r="F95" s="10" t="inlineStr"/>
      <c r="G95" s="10" t="inlineStr">
        <is>
          <t>Convenience Store</t>
        </is>
      </c>
      <c r="H95" s="10" t="inlineStr">
        <is>
          <t>Symbol-group convenience store</t>
        </is>
      </c>
      <c r="I95" s="10" t="inlineStr">
        <is>
          <t>Franchise / Symbol Group</t>
        </is>
      </c>
      <c r="J95" s="10" t="inlineStr">
        <is>
          <t>1</t>
        </is>
      </c>
      <c r="K95" s="10" t="inlineStr"/>
      <c r="L95" s="10" t="inlineStr"/>
      <c r="M95" s="10" t="inlineStr"/>
      <c r="N95" s="10" t="inlineStr"/>
      <c r="O95" s="10" t="inlineStr">
        <is>
          <t>29-31 Grimsby Road</t>
        </is>
      </c>
      <c r="P95" s="10" t="inlineStr"/>
      <c r="Q95" s="10" t="inlineStr">
        <is>
          <t>Cleethorpes</t>
        </is>
      </c>
      <c r="R95" s="10" t="inlineStr">
        <is>
          <t>Lincolnshire</t>
        </is>
      </c>
      <c r="S95" s="10" t="inlineStr"/>
      <c r="T95" s="10" t="inlineStr">
        <is>
          <t>Yorkshire &amp; Humber</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groceries; convenience; off-licence; news</t>
        </is>
      </c>
      <c r="AL95" s="10" t="inlineStr"/>
      <c r="AM95" s="10" t="inlineStr">
        <is>
          <t>Convenience Store</t>
        </is>
      </c>
      <c r="AN95" s="10" t="inlineStr"/>
      <c r="AO95" s="10" t="inlineStr">
        <is>
          <t>Nisa Local symbol-group store, 29-31 Grimsby Road, Cleethorpes. No postcode/phone in search results.</t>
        </is>
      </c>
      <c r="AP95" s="10" t="inlineStr">
        <is>
          <t>Medium</t>
        </is>
      </c>
      <c r="AQ95" s="10" t="inlineStr">
        <is>
          <t>Multi-site retailer; Independent retailer; Relevant category</t>
        </is>
      </c>
      <c r="AR95" s="10" t="inlineStr">
        <is>
          <t>https://ratings.food.gov.uk/business/1631635/nisa-local-grimsby-local-store</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2026-09-17</t>
        </is>
      </c>
      <c r="BB95" s="10" t="inlineStr">
        <is>
          <t>Requires Verification</t>
        </is>
      </c>
      <c r="BC95" s="10" t="inlineStr">
        <is>
          <t>Low</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2026-09-17</t>
        </is>
      </c>
      <c r="BL95" s="10" t="inlineStr"/>
      <c r="BM95" s="10" t="inlineStr"/>
      <c r="BN95" s="10" t="inlineStr"/>
      <c r="BO95" s="10" t="inlineStr"/>
      <c r="BP95" s="10" t="inlineStr"/>
      <c r="BQ95" s="10" t="inlineStr"/>
    </row>
    <row r="96">
      <c r="A96" s="5" t="inlineStr">
        <is>
          <t>UK-000434</t>
        </is>
      </c>
      <c r="B96" s="5" t="inlineStr">
        <is>
          <t>NISACOOPSY-01</t>
        </is>
      </c>
      <c r="C96" s="5" t="inlineStr">
        <is>
          <t>Nisa (Co-op symbol group)</t>
        </is>
      </c>
      <c r="D96" s="5" t="inlineStr">
        <is>
          <t>Nisa Local - 555 Bloxwich Road</t>
        </is>
      </c>
      <c r="E96" s="5" t="inlineStr">
        <is>
          <t>Nisa Local</t>
        </is>
      </c>
      <c r="F96" s="5" t="inlineStr"/>
      <c r="G96" s="5" t="inlineStr">
        <is>
          <t>Convenience Store</t>
        </is>
      </c>
      <c r="H96" s="5" t="inlineStr">
        <is>
          <t>Convenience &amp; off-licence</t>
        </is>
      </c>
      <c r="I96" s="5" t="inlineStr">
        <is>
          <t>Franchise / Symbol Group</t>
        </is>
      </c>
      <c r="J96" s="5" t="inlineStr">
        <is>
          <t>1</t>
        </is>
      </c>
      <c r="K96" s="5" t="inlineStr"/>
      <c r="L96" s="5" t="inlineStr"/>
      <c r="M96" s="5" t="inlineStr"/>
      <c r="N96" s="5" t="inlineStr"/>
      <c r="O96" s="5" t="inlineStr">
        <is>
          <t>555 Bloxwich Road</t>
        </is>
      </c>
      <c r="P96" s="5" t="inlineStr"/>
      <c r="Q96" s="5" t="inlineStr">
        <is>
          <t>Walsall</t>
        </is>
      </c>
      <c r="R96" s="5" t="inlineStr">
        <is>
          <t>West Midlands</t>
        </is>
      </c>
      <c r="S96" s="5" t="inlineStr">
        <is>
          <t>WS3 2XD</t>
        </is>
      </c>
      <c r="T96" s="5" t="inlineStr">
        <is>
          <t>West Midlands</t>
        </is>
      </c>
      <c r="U96" s="5" t="inlineStr">
        <is>
          <t>England</t>
        </is>
      </c>
      <c r="V96" s="5" t="inlineStr"/>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convenience groceries; off-licence</t>
        </is>
      </c>
      <c r="AL96" s="5" t="inlineStr"/>
      <c r="AM96" s="5" t="inlineStr">
        <is>
          <t>Convenience Store</t>
        </is>
      </c>
      <c r="AN96" s="5" t="inlineStr">
        <is>
          <t>Nisa symbol group (supplied by Nisa/Co-op).</t>
        </is>
      </c>
      <c r="AO96" s="5" t="inlineStr">
        <is>
          <t>Nisa Local symbol-group convenience store, Bloxwich Road, Walsall.</t>
        </is>
      </c>
      <c r="AP96" s="5" t="inlineStr">
        <is>
          <t>Medium</t>
        </is>
      </c>
      <c r="AQ96" s="5" t="inlineStr">
        <is>
          <t>Multi-site retailer; Independent retailer; Relevant category</t>
        </is>
      </c>
      <c r="AR96" s="5" t="inlineStr">
        <is>
          <t>https://www.mylocalservices.co.uk/Nisa+Local-Walsall-3137056.html</t>
        </is>
      </c>
      <c r="AS96" s="5" t="inlineStr"/>
      <c r="AT96" s="5" t="inlineStr">
        <is>
          <t>1</t>
        </is>
      </c>
      <c r="AU96" s="5" t="inlineStr">
        <is>
          <t>No</t>
        </is>
      </c>
      <c r="AV96" s="5" t="inlineStr">
        <is>
          <t>No</t>
        </is>
      </c>
      <c r="AW96" s="5" t="inlineStr">
        <is>
          <t>No</t>
        </is>
      </c>
      <c r="AX96" s="5" t="inlineStr">
        <is>
          <t>No</t>
        </is>
      </c>
      <c r="AY96" s="5" t="inlineStr">
        <is>
          <t>Not Found</t>
        </is>
      </c>
      <c r="AZ96" s="5" t="inlineStr">
        <is>
          <t>Not Found</t>
        </is>
      </c>
      <c r="BA96" s="5" t="inlineStr">
        <is>
          <t>2026-09-17</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UK-000435</t>
        </is>
      </c>
      <c r="B97" s="10" t="inlineStr">
        <is>
          <t>NISACOOPSY-02</t>
        </is>
      </c>
      <c r="C97" s="10" t="inlineStr">
        <is>
          <t>Nisa (Co-op symbol group)</t>
        </is>
      </c>
      <c r="D97" s="10" t="inlineStr">
        <is>
          <t>Nisa Local - Sneyd Hall Road</t>
        </is>
      </c>
      <c r="E97" s="10" t="inlineStr">
        <is>
          <t>Nisa Local</t>
        </is>
      </c>
      <c r="F97" s="10" t="inlineStr"/>
      <c r="G97" s="10" t="inlineStr">
        <is>
          <t>Convenience Store</t>
        </is>
      </c>
      <c r="H97" s="10" t="inlineStr">
        <is>
          <t>Convenience &amp; off-licence</t>
        </is>
      </c>
      <c r="I97" s="10" t="inlineStr">
        <is>
          <t>Franchise / Symbol Group</t>
        </is>
      </c>
      <c r="J97" s="10" t="inlineStr">
        <is>
          <t>1</t>
        </is>
      </c>
      <c r="K97" s="10" t="inlineStr"/>
      <c r="L97" s="10" t="inlineStr"/>
      <c r="M97" s="10" t="inlineStr"/>
      <c r="N97" s="10" t="inlineStr"/>
      <c r="O97" s="10" t="inlineStr">
        <is>
          <t>2 Sneyd Hall Road</t>
        </is>
      </c>
      <c r="P97" s="10" t="inlineStr">
        <is>
          <t>Bloxwich</t>
        </is>
      </c>
      <c r="Q97" s="10" t="inlineStr">
        <is>
          <t>Walsall</t>
        </is>
      </c>
      <c r="R97" s="10" t="inlineStr">
        <is>
          <t>West Midlands</t>
        </is>
      </c>
      <c r="S97" s="10" t="inlineStr">
        <is>
          <t>WS3 2NP</t>
        </is>
      </c>
      <c r="T97" s="10" t="inlineStr">
        <is>
          <t>West Midlands</t>
        </is>
      </c>
      <c r="U97" s="10" t="inlineStr">
        <is>
          <t>England</t>
        </is>
      </c>
      <c r="V97" s="10" t="inlineStr"/>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convenience groceries; off-licence</t>
        </is>
      </c>
      <c r="AL97" s="10" t="inlineStr"/>
      <c r="AM97" s="10" t="inlineStr">
        <is>
          <t>Convenience Store</t>
        </is>
      </c>
      <c r="AN97" s="10" t="inlineStr">
        <is>
          <t>Nisa symbol group (supplied by Nisa/Co-op).</t>
        </is>
      </c>
      <c r="AO97" s="10" t="inlineStr">
        <is>
          <t>Nisa Local symbol-group convenience store, Sneyd Hall Road, Bloxwich.</t>
        </is>
      </c>
      <c r="AP97" s="10" t="inlineStr">
        <is>
          <t>Medium</t>
        </is>
      </c>
      <c r="AQ97" s="10" t="inlineStr">
        <is>
          <t>Multi-site retailer; Independent retailer; Relevant category</t>
        </is>
      </c>
      <c r="AR97" s="10" t="inlineStr">
        <is>
          <t>https://citikey.uk/display/nisa-local-XXJDK</t>
        </is>
      </c>
      <c r="AS97" s="10" t="inlineStr"/>
      <c r="AT97" s="10" t="inlineStr">
        <is>
          <t>1</t>
        </is>
      </c>
      <c r="AU97" s="10" t="inlineStr">
        <is>
          <t>No</t>
        </is>
      </c>
      <c r="AV97" s="10" t="inlineStr">
        <is>
          <t>No</t>
        </is>
      </c>
      <c r="AW97" s="10" t="inlineStr">
        <is>
          <t>No</t>
        </is>
      </c>
      <c r="AX97" s="10" t="inlineStr">
        <is>
          <t>No</t>
        </is>
      </c>
      <c r="AY97" s="10" t="inlineStr">
        <is>
          <t>Not Found</t>
        </is>
      </c>
      <c r="AZ97" s="10" t="inlineStr">
        <is>
          <t>Not Found</t>
        </is>
      </c>
      <c r="BA97" s="10" t="inlineStr">
        <is>
          <t>2026-09-17</t>
        </is>
      </c>
      <c r="BB97" s="10" t="inlineStr">
        <is>
          <t>Requires Verification</t>
        </is>
      </c>
      <c r="BC97" s="10" t="inlineStr">
        <is>
          <t>Low</t>
        </is>
      </c>
      <c r="BD97" s="10" t="inlineStr"/>
      <c r="BE97" s="10" t="inlineStr">
        <is>
          <t>Business (B2B)</t>
        </is>
      </c>
      <c r="BF97" s="10" t="inlineStr">
        <is>
          <t>Legitimate interest (B2B) - assess per campaign; PECR: corporate subscribers</t>
        </is>
      </c>
      <c r="BG97" s="10" t="inlineStr"/>
      <c r="BH97" s="10" t="inlineStr">
        <is>
          <t>No</t>
        </is>
      </c>
      <c r="BI97" s="10" t="inlineStr">
        <is>
          <t>2026-09-17</t>
        </is>
      </c>
      <c r="BJ97" s="10" t="inlineStr">
        <is>
          <t>New</t>
        </is>
      </c>
      <c r="BK97" s="10" t="inlineStr">
        <is>
          <t>2026-09-17</t>
        </is>
      </c>
      <c r="BL97" s="10" t="inlineStr"/>
      <c r="BM97" s="10" t="inlineStr"/>
      <c r="BN97" s="10" t="inlineStr"/>
      <c r="BO97" s="10" t="inlineStr"/>
      <c r="BP97" s="10" t="inlineStr"/>
      <c r="BQ97" s="10" t="inlineStr"/>
    </row>
    <row r="98">
      <c r="A98" s="5" t="inlineStr">
        <is>
          <t>UK-000436</t>
        </is>
      </c>
      <c r="B98" s="5" t="inlineStr">
        <is>
          <t>NISACOOPSY-03</t>
        </is>
      </c>
      <c r="C98" s="5" t="inlineStr">
        <is>
          <t>Nisa (Co-op symbol group)</t>
        </is>
      </c>
      <c r="D98" s="5" t="inlineStr">
        <is>
          <t>Nisa Today's - 619 Bloxwich Road</t>
        </is>
      </c>
      <c r="E98" s="5" t="inlineStr">
        <is>
          <t>Nisa Today's</t>
        </is>
      </c>
      <c r="F98" s="5" t="inlineStr"/>
      <c r="G98" s="5" t="inlineStr">
        <is>
          <t>Convenience Store</t>
        </is>
      </c>
      <c r="H98" s="5" t="inlineStr">
        <is>
          <t>Convenience &amp; off-licence</t>
        </is>
      </c>
      <c r="I98" s="5" t="inlineStr">
        <is>
          <t>Franchise / Symbol Group</t>
        </is>
      </c>
      <c r="J98" s="5" t="inlineStr">
        <is>
          <t>1</t>
        </is>
      </c>
      <c r="K98" s="5" t="inlineStr"/>
      <c r="L98" s="5" t="inlineStr"/>
      <c r="M98" s="5" t="inlineStr"/>
      <c r="N98" s="5" t="inlineStr"/>
      <c r="O98" s="5" t="inlineStr">
        <is>
          <t>619 Bloxwich Road</t>
        </is>
      </c>
      <c r="P98" s="5" t="inlineStr"/>
      <c r="Q98" s="5" t="inlineStr">
        <is>
          <t>Walsall</t>
        </is>
      </c>
      <c r="R98" s="5" t="inlineStr">
        <is>
          <t>West Midlands</t>
        </is>
      </c>
      <c r="S98" s="5" t="inlineStr"/>
      <c r="T98" s="5" t="inlineStr">
        <is>
          <t>West Midlands</t>
        </is>
      </c>
      <c r="U98" s="5" t="inlineStr">
        <is>
          <t>England</t>
        </is>
      </c>
      <c r="V98" s="5" t="inlineStr"/>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convenience groceries; off-licence</t>
        </is>
      </c>
      <c r="AL98" s="5" t="inlineStr"/>
      <c r="AM98" s="5" t="inlineStr">
        <is>
          <t>Convenience Store</t>
        </is>
      </c>
      <c r="AN98" s="5" t="inlineStr">
        <is>
          <t>Nisa symbol group.</t>
        </is>
      </c>
      <c r="AO98" s="5" t="inlineStr">
        <is>
          <t>Nisa Today's symbol-group convenience store, 619 Bloxwich Road, Walsall. Full postcode not confirmed.</t>
        </is>
      </c>
      <c r="AP98" s="5" t="inlineStr">
        <is>
          <t>Medium</t>
        </is>
      </c>
      <c r="AQ98" s="5" t="inlineStr">
        <is>
          <t>Multi-site retailer; Independent retailer; Relevant category</t>
        </is>
      </c>
      <c r="AR98" s="5" t="inlineStr">
        <is>
          <t>https://www.localstore.co.uk/store/353534/nisa-todays/walsall/</t>
        </is>
      </c>
      <c r="AS98" s="5" t="inlineStr"/>
      <c r="AT98" s="5" t="inlineStr">
        <is>
          <t>1</t>
        </is>
      </c>
      <c r="AU98" s="5" t="inlineStr">
        <is>
          <t>No</t>
        </is>
      </c>
      <c r="AV98" s="5" t="inlineStr">
        <is>
          <t>No</t>
        </is>
      </c>
      <c r="AW98" s="5" t="inlineStr">
        <is>
          <t>No</t>
        </is>
      </c>
      <c r="AX98" s="5" t="inlineStr">
        <is>
          <t>No</t>
        </is>
      </c>
      <c r="AY98" s="5" t="inlineStr">
        <is>
          <t>Not Found</t>
        </is>
      </c>
      <c r="AZ98" s="5" t="inlineStr">
        <is>
          <t>Not Found</t>
        </is>
      </c>
      <c r="BA98" s="5" t="inlineStr">
        <is>
          <t>2026-09-17</t>
        </is>
      </c>
      <c r="BB98" s="5" t="inlineStr">
        <is>
          <t>Requires Verification</t>
        </is>
      </c>
      <c r="BC98" s="5" t="inlineStr">
        <is>
          <t>Low</t>
        </is>
      </c>
      <c r="BD98" s="5" t="inlineStr"/>
      <c r="BE98" s="5" t="inlineStr">
        <is>
          <t>Business (B2B)</t>
        </is>
      </c>
      <c r="BF98" s="5" t="inlineStr">
        <is>
          <t>Legitimate interest (B2B) - assess per campaign; PECR: corporate subscribers</t>
        </is>
      </c>
      <c r="BG98" s="5" t="inlineStr"/>
      <c r="BH98" s="5" t="inlineStr">
        <is>
          <t>No</t>
        </is>
      </c>
      <c r="BI98" s="5" t="inlineStr">
        <is>
          <t>2026-09-17</t>
        </is>
      </c>
      <c r="BJ98" s="5" t="inlineStr">
        <is>
          <t>New</t>
        </is>
      </c>
      <c r="BK98" s="5" t="inlineStr">
        <is>
          <t>2026-09-17</t>
        </is>
      </c>
      <c r="BL98" s="5" t="inlineStr"/>
      <c r="BM98" s="5" t="inlineStr"/>
      <c r="BN98" s="5" t="inlineStr"/>
      <c r="BO98" s="5" t="inlineStr"/>
      <c r="BP98" s="5" t="inlineStr"/>
      <c r="BQ98" s="5" t="inlineStr"/>
    </row>
    <row r="99">
      <c r="A99" s="10" t="inlineStr">
        <is>
          <t>UK-000314</t>
        </is>
      </c>
      <c r="B99" s="10" t="inlineStr">
        <is>
          <t>NISACOOP-01</t>
        </is>
      </c>
      <c r="C99" s="10" t="inlineStr">
        <is>
          <t>Nisa (Co-op)</t>
        </is>
      </c>
      <c r="D99" s="10" t="inlineStr">
        <is>
          <t>Nisa Local Marsh Green</t>
        </is>
      </c>
      <c r="E99" s="10" t="inlineStr">
        <is>
          <t>Nisa Local</t>
        </is>
      </c>
      <c r="F99" s="10" t="inlineStr"/>
      <c r="G99" s="10" t="inlineStr">
        <is>
          <t>Convenience Store</t>
        </is>
      </c>
      <c r="H99" s="10" t="inlineStr">
        <is>
          <t>Symbol-group convenience store</t>
        </is>
      </c>
      <c r="I99" s="10" t="inlineStr">
        <is>
          <t>Franchise / Symbol Group</t>
        </is>
      </c>
      <c r="J99" s="10" t="inlineStr">
        <is>
          <t>1</t>
        </is>
      </c>
      <c r="K99" s="10" t="inlineStr">
        <is>
          <t>https://www.nisalocally.co.uk/</t>
        </is>
      </c>
      <c r="L99" s="10" t="inlineStr"/>
      <c r="M99" s="10" t="inlineStr"/>
      <c r="N99" s="10" t="inlineStr"/>
      <c r="O99" s="10" t="inlineStr">
        <is>
          <t>101-103 Kitt Green Road</t>
        </is>
      </c>
      <c r="P99" s="10" t="inlineStr">
        <is>
          <t>Marsh Green</t>
        </is>
      </c>
      <c r="Q99" s="10" t="inlineStr">
        <is>
          <t>Wigan</t>
        </is>
      </c>
      <c r="R99" s="10" t="inlineStr">
        <is>
          <t>Greater Manchester</t>
        </is>
      </c>
      <c r="S99" s="10" t="inlineStr">
        <is>
          <t>WN5 0EE</t>
        </is>
      </c>
      <c r="T99" s="10" t="inlineStr">
        <is>
          <t>North West</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convenience groceries; tobacco; soft drinks; news</t>
        </is>
      </c>
      <c r="AL99" s="10" t="inlineStr"/>
      <c r="AM99" s="10" t="inlineStr">
        <is>
          <t>Convenience Store</t>
        </is>
      </c>
      <c r="AN99" s="10" t="inlineStr">
        <is>
          <t>Nisa symbol group</t>
        </is>
      </c>
      <c r="AO99" s="10" t="inlineStr">
        <is>
          <t>Independently owned Nisa Local, Kitt Green Road, Marsh Green, Wigan (WN5 0EE).</t>
        </is>
      </c>
      <c r="AP99" s="10" t="inlineStr">
        <is>
          <t>Medium</t>
        </is>
      </c>
      <c r="AQ99" s="10" t="inlineStr">
        <is>
          <t>Multi-site retailer; Independent retailer; Relevant category; Active website</t>
        </is>
      </c>
      <c r="AR99" s="10" t="inlineStr">
        <is>
          <t>https://www.nisalocally.co.uk/stores/greater-manchester/wigan</t>
        </is>
      </c>
      <c r="AS99" s="10" t="inlineStr"/>
      <c r="AT99" s="10" t="inlineStr">
        <is>
          <t>1</t>
        </is>
      </c>
      <c r="AU99" s="10" t="inlineStr">
        <is>
          <t>No</t>
        </is>
      </c>
      <c r="AV99" s="10" t="inlineStr">
        <is>
          <t>No</t>
        </is>
      </c>
      <c r="AW99" s="10" t="inlineStr">
        <is>
          <t>No</t>
        </is>
      </c>
      <c r="AX99" s="10" t="inlineStr">
        <is>
          <t>No</t>
        </is>
      </c>
      <c r="AY99" s="10" t="inlineStr">
        <is>
          <t>Not Found</t>
        </is>
      </c>
      <c r="AZ99" s="10" t="inlineStr">
        <is>
          <t>Not Found</t>
        </is>
      </c>
      <c r="BA99" s="10" t="inlineStr">
        <is>
          <t>2026-09-17</t>
        </is>
      </c>
      <c r="BB99" s="10" t="inlineStr">
        <is>
          <t>Requires Verification</t>
        </is>
      </c>
      <c r="BC99" s="10" t="inlineStr">
        <is>
          <t>Low</t>
        </is>
      </c>
      <c r="BD99" s="10" t="inlineStr"/>
      <c r="BE99" s="10" t="inlineStr">
        <is>
          <t>Business (B2B)</t>
        </is>
      </c>
      <c r="BF99" s="10" t="inlineStr">
        <is>
          <t>Legitimate interest (B2B) - assess per campaign; PECR: corporate subscribers</t>
        </is>
      </c>
      <c r="BG99" s="10" t="inlineStr"/>
      <c r="BH99" s="10" t="inlineStr">
        <is>
          <t>No</t>
        </is>
      </c>
      <c r="BI99" s="10" t="inlineStr">
        <is>
          <t>2026-09-17</t>
        </is>
      </c>
      <c r="BJ99" s="10" t="inlineStr">
        <is>
          <t>New</t>
        </is>
      </c>
      <c r="BK99" s="10" t="inlineStr">
        <is>
          <t>2026-09-17</t>
        </is>
      </c>
      <c r="BL99" s="10" t="inlineStr"/>
      <c r="BM99" s="10" t="inlineStr"/>
      <c r="BN99" s="10" t="inlineStr"/>
      <c r="BO99" s="10" t="inlineStr"/>
      <c r="BP99" s="10" t="inlineStr"/>
      <c r="BQ99" s="10" t="inlineStr"/>
    </row>
    <row r="100">
      <c r="A100" s="5" t="inlineStr">
        <is>
          <t>UK-000712</t>
        </is>
      </c>
      <c r="B100" s="5" t="inlineStr">
        <is>
          <t>NISACOOPSY-01</t>
        </is>
      </c>
      <c r="C100" s="5" t="inlineStr">
        <is>
          <t>Nisa (Co-op) symbol group</t>
        </is>
      </c>
      <c r="D100" s="5" t="inlineStr">
        <is>
          <t>Nisa Local / Premier Clydebank (Glasgow Road)</t>
        </is>
      </c>
      <c r="E100" s="5" t="inlineStr">
        <is>
          <t>Nisa Local Clydebank</t>
        </is>
      </c>
      <c r="F100" s="5" t="inlineStr"/>
      <c r="G100" s="5" t="inlineStr">
        <is>
          <t>Convenience Store</t>
        </is>
      </c>
      <c r="H100" s="5" t="inlineStr">
        <is>
          <t>Symbol-group convenience store</t>
        </is>
      </c>
      <c r="I100" s="5" t="inlineStr">
        <is>
          <t>Franchise / Symbol Group</t>
        </is>
      </c>
      <c r="J100" s="5" t="inlineStr">
        <is>
          <t>1</t>
        </is>
      </c>
      <c r="K100" s="5" t="inlineStr">
        <is>
          <t>https://www.nisalocally.co.uk/stores/west-dunbart/clydebank/485b-glasgow-rd</t>
        </is>
      </c>
      <c r="L100" s="5" t="inlineStr">
        <is>
          <t>https://www.facebook.com/nisa.clydebank/</t>
        </is>
      </c>
      <c r="M100" s="5" t="inlineStr"/>
      <c r="N100" s="5" t="inlineStr"/>
      <c r="O100" s="5" t="inlineStr">
        <is>
          <t>485B Glasgow Road</t>
        </is>
      </c>
      <c r="P100" s="5" t="inlineStr"/>
      <c r="Q100" s="5" t="inlineStr">
        <is>
          <t>Clydebank</t>
        </is>
      </c>
      <c r="R100" s="5" t="inlineStr">
        <is>
          <t>West Dunbartonshire</t>
        </is>
      </c>
      <c r="S100" s="5" t="inlineStr">
        <is>
          <t>G81 1JP</t>
        </is>
      </c>
      <c r="T100" s="5" t="inlineStr">
        <is>
          <t>Scotland</t>
        </is>
      </c>
      <c r="U100" s="5" t="inlineStr">
        <is>
          <t>Scotland</t>
        </is>
      </c>
      <c r="V100" s="5" t="inlineStr">
        <is>
          <t>0141 951 1669</t>
        </is>
      </c>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convenience grocery; off-licence; tobacco; confectionery</t>
        </is>
      </c>
      <c r="AL100" s="5" t="inlineStr"/>
      <c r="AM100" s="5" t="inlineStr">
        <is>
          <t>Convenience Store</t>
        </is>
      </c>
      <c r="AN100" s="5" t="inlineStr">
        <is>
          <t>Nisa (Co-op) symbol-group fascia</t>
        </is>
      </c>
      <c r="AO100" s="5" t="inlineStr">
        <is>
          <t>Independent Clydebank convenience store on Glasgow Road, listed as Nisa Local (and Premier in some directories - verify fascia on contact). Address, postcode and phone from Nisa store locator and 192.com.</t>
        </is>
      </c>
      <c r="AP100" s="5" t="inlineStr">
        <is>
          <t>High</t>
        </is>
      </c>
      <c r="AQ100" s="5" t="inlineStr">
        <is>
          <t>Multi-site retailer; Independent retailer; Relevant category; Active website; Social presence</t>
        </is>
      </c>
      <c r="AR100" s="5" t="inlineStr">
        <is>
          <t>https://www.nisalocally.co.uk/stores/west-dunbart/clydebank/485b-glasgow-rd</t>
        </is>
      </c>
      <c r="AS100" s="5" t="inlineStr">
        <is>
          <t>https://www.192.com/atoz/business/clydebank-g81/convenience-stores/premier---clydebank-store/becfc4baa10f91326bb14c9ee6745fd1d9a12297/ml/</t>
        </is>
      </c>
      <c r="AT100" s="5" t="inlineStr">
        <is>
          <t>2</t>
        </is>
      </c>
      <c r="AU100" s="5" t="inlineStr">
        <is>
          <t>No</t>
        </is>
      </c>
      <c r="AV100" s="5" t="inlineStr">
        <is>
          <t>No</t>
        </is>
      </c>
      <c r="AW100" s="5" t="inlineStr">
        <is>
          <t>No</t>
        </is>
      </c>
      <c r="AX100" s="5" t="inlineStr">
        <is>
          <t>No</t>
        </is>
      </c>
      <c r="AY100" s="5" t="inlineStr">
        <is>
          <t>Verified directory</t>
        </is>
      </c>
      <c r="AZ100" s="5" t="inlineStr">
        <is>
          <t>Not Found</t>
        </is>
      </c>
      <c r="BA100" s="5" t="inlineStr">
        <is>
          <t>2026-09-17</t>
        </is>
      </c>
      <c r="BB100" s="5" t="inlineStr">
        <is>
          <t>Requires Verification</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UK-000315</t>
        </is>
      </c>
      <c r="B101" s="10" t="inlineStr">
        <is>
          <t>NISARETAIL-01</t>
        </is>
      </c>
      <c r="C101" s="10" t="inlineStr">
        <is>
          <t>Nisa Retail</t>
        </is>
      </c>
      <c r="D101" s="10" t="inlineStr">
        <is>
          <t>Nisa Local (Manor Avenue, Sale)</t>
        </is>
      </c>
      <c r="E101" s="10" t="inlineStr">
        <is>
          <t>Nisa Local</t>
        </is>
      </c>
      <c r="F101" s="10" t="inlineStr"/>
      <c r="G101" s="10" t="inlineStr">
        <is>
          <t>Convenience Store</t>
        </is>
      </c>
      <c r="H101" s="10" t="inlineStr">
        <is>
          <t>Convenience &amp; off-licence (symbol group)</t>
        </is>
      </c>
      <c r="I101" s="10" t="inlineStr">
        <is>
          <t>Franchise / Symbol Group</t>
        </is>
      </c>
      <c r="J101" s="10" t="inlineStr">
        <is>
          <t>1</t>
        </is>
      </c>
      <c r="K101" s="10" t="inlineStr">
        <is>
          <t>https://www.nisalocally.co.uk/stores/greater-manchester/sale/77-manor-ave-12779146</t>
        </is>
      </c>
      <c r="L101" s="10" t="inlineStr"/>
      <c r="M101" s="10" t="inlineStr"/>
      <c r="N101" s="10" t="inlineStr"/>
      <c r="O101" s="10" t="inlineStr">
        <is>
          <t>77 Manor Avenue</t>
        </is>
      </c>
      <c r="P101" s="10" t="inlineStr">
        <is>
          <t>Sale</t>
        </is>
      </c>
      <c r="Q101" s="10" t="inlineStr">
        <is>
          <t>Sale</t>
        </is>
      </c>
      <c r="R101" s="10" t="inlineStr">
        <is>
          <t>Greater Manchester</t>
        </is>
      </c>
      <c r="S101" s="10" t="inlineStr">
        <is>
          <t>M33 5JS</t>
        </is>
      </c>
      <c r="T101" s="10" t="inlineStr">
        <is>
          <t>North West</t>
        </is>
      </c>
      <c r="U101" s="10" t="inlineStr">
        <is>
          <t>England</t>
        </is>
      </c>
      <c r="V101" s="10" t="inlineStr">
        <is>
          <t>0161 929 5143</t>
        </is>
      </c>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groceries; off-licence; tobacco; confectionery; soft drinks; chilled/frozen</t>
        </is>
      </c>
      <c r="AL101" s="10" t="inlineStr"/>
      <c r="AM101" s="10" t="inlineStr">
        <is>
          <t>Convenience Store</t>
        </is>
      </c>
      <c r="AN101" s="10" t="inlineStr">
        <is>
          <t>Nisa symbol group</t>
        </is>
      </c>
      <c r="AO101" s="10" t="inlineStr">
        <is>
          <t>Independently owned Nisa Local symbol-group convenience store, Sale. Address/postcode/phone from Nisa Locally store page and Cylex/Yell listings.</t>
        </is>
      </c>
      <c r="AP101" s="10" t="inlineStr">
        <is>
          <t>Medium</t>
        </is>
      </c>
      <c r="AQ101" s="10" t="inlineStr">
        <is>
          <t>Multi-site retailer; Independent retailer; Relevant category; Active website</t>
        </is>
      </c>
      <c r="AR101" s="10" t="inlineStr">
        <is>
          <t>https://www.nisalocally.co.uk/stores/greater-manchester/sale/77-manor-ave-12779146</t>
        </is>
      </c>
      <c r="AS101" s="10" t="inlineStr">
        <is>
          <t>https://sale.cylex-uk.co.uk/company/nisa-local-26930181.html</t>
        </is>
      </c>
      <c r="AT101" s="10" t="inlineStr">
        <is>
          <t>2</t>
        </is>
      </c>
      <c r="AU101" s="10" t="inlineStr">
        <is>
          <t>No</t>
        </is>
      </c>
      <c r="AV101" s="10" t="inlineStr">
        <is>
          <t>No</t>
        </is>
      </c>
      <c r="AW101" s="10" t="inlineStr">
        <is>
          <t>No</t>
        </is>
      </c>
      <c r="AX101" s="10" t="inlineStr">
        <is>
          <t>No</t>
        </is>
      </c>
      <c r="AY101" s="10" t="inlineStr">
        <is>
          <t>Verified directory</t>
        </is>
      </c>
      <c r="AZ101" s="10" t="inlineStr">
        <is>
          <t>Not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UK-000713</t>
        </is>
      </c>
      <c r="B102" s="5" t="inlineStr">
        <is>
          <t>NORTHWESTE-01</t>
        </is>
      </c>
      <c r="C102" s="5" t="inlineStr">
        <is>
          <t>North West Ecigs</t>
        </is>
      </c>
      <c r="D102" s="5" t="inlineStr">
        <is>
          <t>No-Match Southport (North West Ecigs)</t>
        </is>
      </c>
      <c r="E102" s="5" t="inlineStr">
        <is>
          <t>No-Match Southport / North West Ecigs</t>
        </is>
      </c>
      <c r="F102" s="5" t="inlineStr"/>
      <c r="G102" s="5" t="inlineStr">
        <is>
          <t>Vape Shop</t>
        </is>
      </c>
      <c r="H102" s="5" t="inlineStr">
        <is>
          <t>E-cigarette and e-liquid shop</t>
        </is>
      </c>
      <c r="I102" s="5" t="inlineStr">
        <is>
          <t>Multi-Site Independent</t>
        </is>
      </c>
      <c r="J102" s="5" t="inlineStr">
        <is>
          <t>1</t>
        </is>
      </c>
      <c r="K102" s="5" t="inlineStr">
        <is>
          <t>https://www.northwestecigs.uk/</t>
        </is>
      </c>
      <c r="L102" s="5" t="inlineStr"/>
      <c r="M102" s="5" t="inlineStr"/>
      <c r="N102" s="5" t="inlineStr"/>
      <c r="O102" s="5" t="inlineStr">
        <is>
          <t>8A Chapel Street</t>
        </is>
      </c>
      <c r="P102" s="5" t="inlineStr"/>
      <c r="Q102" s="5" t="inlineStr">
        <is>
          <t>Southport</t>
        </is>
      </c>
      <c r="R102" s="5" t="inlineStr">
        <is>
          <t>Merseyside</t>
        </is>
      </c>
      <c r="S102" s="5" t="inlineStr">
        <is>
          <t>PR8 1AF</t>
        </is>
      </c>
      <c r="T102" s="5" t="inlineStr">
        <is>
          <t>North West</t>
        </is>
      </c>
      <c r="U102" s="5" t="inlineStr">
        <is>
          <t>England</t>
        </is>
      </c>
      <c r="V102" s="5" t="inlineStr">
        <is>
          <t>01704 807280</t>
        </is>
      </c>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is>
          <t>Elf Bar; Geek Bar; IVG</t>
        </is>
      </c>
      <c r="AK102" s="5" t="inlineStr">
        <is>
          <t>e-cigarettes; e-liquids; disposables</t>
        </is>
      </c>
      <c r="AL102" s="5" t="inlineStr"/>
      <c r="AM102" s="5" t="inlineStr">
        <is>
          <t>Vape Shop</t>
        </is>
      </c>
      <c r="AN102" s="5" t="inlineStr"/>
      <c r="AO102" s="5" t="inlineStr">
        <is>
          <t>Southport vape shop on Chapel Street, established 2011; also trades as North West Ecigs (own website). Historically part of the No-Match store network. Address/phone from Firmania/Yell listings.</t>
        </is>
      </c>
      <c r="AP102" s="5" t="inlineStr">
        <is>
          <t>High</t>
        </is>
      </c>
      <c r="AQ102" s="5" t="inlineStr">
        <is>
          <t>Multi-site retailer; Independent retailer; Core relevant category; Active website</t>
        </is>
      </c>
      <c r="AR102" s="5" t="inlineStr">
        <is>
          <t>https://www.northwestecigs.uk/</t>
        </is>
      </c>
      <c r="AS102" s="5" t="inlineStr">
        <is>
          <t>https://www.yell.com/biz/no-match-southport-southport-8089812/</t>
        </is>
      </c>
      <c r="AT102" s="5" t="inlineStr">
        <is>
          <t>3</t>
        </is>
      </c>
      <c r="AU102" s="5" t="inlineStr">
        <is>
          <t>No</t>
        </is>
      </c>
      <c r="AV102" s="5" t="inlineStr">
        <is>
          <t>No</t>
        </is>
      </c>
      <c r="AW102" s="5" t="inlineStr">
        <is>
          <t>No</t>
        </is>
      </c>
      <c r="AX102" s="5" t="inlineStr">
        <is>
          <t>No</t>
        </is>
      </c>
      <c r="AY102" s="5" t="inlineStr">
        <is>
          <t>Verified directory</t>
        </is>
      </c>
      <c r="AZ102" s="5" t="inlineStr">
        <is>
          <t>Website Found</t>
        </is>
      </c>
      <c r="BA102" s="5" t="inlineStr">
        <is>
          <t>2026-09-17</t>
        </is>
      </c>
      <c r="BB102" s="5" t="inlineStr">
        <is>
          <t>Requires Verification</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UK-000714</t>
        </is>
      </c>
      <c r="B103" s="10" t="inlineStr">
        <is>
          <t>ONESTOPSTO-01</t>
        </is>
      </c>
      <c r="C103" s="10" t="inlineStr">
        <is>
          <t>One Stop Stores Ltd</t>
        </is>
      </c>
      <c r="D103" s="10" t="inlineStr">
        <is>
          <t>One Stop Convenience Store - Glovers Brow</t>
        </is>
      </c>
      <c r="E103" s="10" t="inlineStr">
        <is>
          <t>One Stop</t>
        </is>
      </c>
      <c r="F103" s="10" t="inlineStr"/>
      <c r="G103" s="10" t="inlineStr">
        <is>
          <t>Convenience Store</t>
        </is>
      </c>
      <c r="H103" s="10" t="inlineStr">
        <is>
          <t>Convenience store (symbol group)</t>
        </is>
      </c>
      <c r="I103" s="10" t="inlineStr">
        <is>
          <t>Franchise / Symbol Group</t>
        </is>
      </c>
      <c r="J103" s="10" t="inlineStr">
        <is>
          <t>1</t>
        </is>
      </c>
      <c r="K103" s="10" t="inlineStr"/>
      <c r="L103" s="10" t="inlineStr"/>
      <c r="M103" s="10" t="inlineStr"/>
      <c r="N103" s="10" t="inlineStr"/>
      <c r="O103" s="10" t="inlineStr">
        <is>
          <t>9 Glovers Brow</t>
        </is>
      </c>
      <c r="P103" s="10" t="inlineStr">
        <is>
          <t>Kirkby</t>
        </is>
      </c>
      <c r="Q103" s="10" t="inlineStr">
        <is>
          <t>Liverpool</t>
        </is>
      </c>
      <c r="R103" s="10" t="inlineStr">
        <is>
          <t>Merseyside</t>
        </is>
      </c>
      <c r="S103" s="10" t="inlineStr">
        <is>
          <t>L32 2AE</t>
        </is>
      </c>
      <c r="T103" s="10" t="inlineStr">
        <is>
          <t>North West</t>
        </is>
      </c>
      <c r="U103" s="10" t="inlineStr">
        <is>
          <t>England</t>
        </is>
      </c>
      <c r="V103" s="10" t="inlineStr">
        <is>
          <t>0151 792 5986</t>
        </is>
      </c>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convenience groceries; tobacco; soft drinks</t>
        </is>
      </c>
      <c r="AL103" s="10" t="inlineStr"/>
      <c r="AM103" s="10" t="inlineStr">
        <is>
          <t>Convenience Store</t>
        </is>
      </c>
      <c r="AN103" s="10" t="inlineStr">
        <is>
          <t>One Stop symbol group</t>
        </is>
      </c>
      <c r="AO103" s="10" t="inlineStr">
        <is>
          <t>One Stop symbol-group convenience store on Glovers Brow, Kirkby (L32). May be a franchise store rather than a corporate branch.</t>
        </is>
      </c>
      <c r="AP103" s="10" t="inlineStr">
        <is>
          <t>Medium</t>
        </is>
      </c>
      <c r="AQ103" s="10" t="inlineStr">
        <is>
          <t>Multi-site retailer; Independent retailer; Relevant category</t>
        </is>
      </c>
      <c r="AR103" s="10" t="inlineStr">
        <is>
          <t>https://kirkby.cylex-uk.co.uk/company/one-stop-convenience-store-23659132.html</t>
        </is>
      </c>
      <c r="AS103" s="10" t="inlineStr"/>
      <c r="AT103" s="10" t="inlineStr">
        <is>
          <t>1</t>
        </is>
      </c>
      <c r="AU103" s="10" t="inlineStr">
        <is>
          <t>No</t>
        </is>
      </c>
      <c r="AV103" s="10" t="inlineStr">
        <is>
          <t>No</t>
        </is>
      </c>
      <c r="AW103" s="10" t="inlineStr">
        <is>
          <t>No</t>
        </is>
      </c>
      <c r="AX103" s="10" t="inlineStr">
        <is>
          <t>No</t>
        </is>
      </c>
      <c r="AY103" s="10" t="inlineStr">
        <is>
          <t>Verified directory</t>
        </is>
      </c>
      <c r="AZ103" s="10" t="inlineStr">
        <is>
          <t>Not Found</t>
        </is>
      </c>
      <c r="BA103" s="10" t="inlineStr">
        <is>
          <t>2026-09-17</t>
        </is>
      </c>
      <c r="BB103" s="10" t="inlineStr">
        <is>
          <t>Requires Verification</t>
        </is>
      </c>
      <c r="BC103" s="10" t="inlineStr">
        <is>
          <t>Low</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UK-000203</t>
        </is>
      </c>
      <c r="B104" s="5" t="inlineStr">
        <is>
          <t>PARFETTSTH-01</t>
        </is>
      </c>
      <c r="C104" s="5" t="inlineStr">
        <is>
          <t>Parfetts / The Local</t>
        </is>
      </c>
      <c r="D104" s="5" t="inlineStr">
        <is>
          <t>The Local (Marfleet Lane)</t>
        </is>
      </c>
      <c r="E104" s="5" t="inlineStr">
        <is>
          <t>The Local</t>
        </is>
      </c>
      <c r="F104" s="5" t="inlineStr"/>
      <c r="G104" s="5" t="inlineStr">
        <is>
          <t>Convenience Store</t>
        </is>
      </c>
      <c r="H104" s="5" t="inlineStr">
        <is>
          <t>Symbol-group convenience store</t>
        </is>
      </c>
      <c r="I104" s="5" t="inlineStr">
        <is>
          <t>Franchise / Symbol Group</t>
        </is>
      </c>
      <c r="J104" s="5" t="inlineStr">
        <is>
          <t>1</t>
        </is>
      </c>
      <c r="K104" s="5" t="inlineStr"/>
      <c r="L104" s="5" t="inlineStr"/>
      <c r="M104" s="5" t="inlineStr"/>
      <c r="N104" s="5" t="inlineStr"/>
      <c r="O104" s="5" t="inlineStr">
        <is>
          <t>Marfleet Lane</t>
        </is>
      </c>
      <c r="P104" s="5" t="inlineStr"/>
      <c r="Q104" s="5" t="inlineStr">
        <is>
          <t>Kingston upon Hull</t>
        </is>
      </c>
      <c r="R104" s="5" t="inlineStr">
        <is>
          <t>East Riding of Yorkshire</t>
        </is>
      </c>
      <c r="S104" s="5" t="inlineStr"/>
      <c r="T104" s="5" t="inlineStr">
        <is>
          <t>Yorkshire &amp; Humber</t>
        </is>
      </c>
      <c r="U104" s="5" t="inlineStr">
        <is>
          <t>England</t>
        </is>
      </c>
      <c r="V104" s="5" t="inlineStr"/>
      <c r="W104" s="5" t="inlineStr"/>
      <c r="X104" s="5" t="inlineStr"/>
      <c r="Y104" s="5" t="inlineStr"/>
      <c r="Z104" s="5" t="inlineStr"/>
      <c r="AA104" s="5" t="inlineStr"/>
      <c r="AB104" s="5" t="inlineStr">
        <is>
          <t>Prasath Balakrishnan</t>
        </is>
      </c>
      <c r="AC104" s="5" t="inlineStr">
        <is>
          <t>Owner</t>
        </is>
      </c>
      <c r="AD104" s="5" t="inlineStr">
        <is>
          <t>Talking Retail / Wholesale Manager trade press (Feb 2024)</t>
        </is>
      </c>
      <c r="AE104" s="5" t="inlineStr"/>
      <c r="AF104" s="5" t="inlineStr"/>
      <c r="AG104" s="5" t="inlineStr"/>
      <c r="AH104" s="5" t="inlineStr"/>
      <c r="AI104" s="5" t="inlineStr"/>
      <c r="AJ104" s="5" t="inlineStr"/>
      <c r="AK104" s="5" t="inlineStr">
        <is>
          <t>groceries; convenience; off-licence; news</t>
        </is>
      </c>
      <c r="AL104" s="5" t="inlineStr"/>
      <c r="AM104" s="5" t="inlineStr">
        <is>
          <t>Convenience Store</t>
        </is>
      </c>
      <c r="AN104" s="5" t="inlineStr"/>
      <c r="AO104" s="5" t="inlineStr">
        <is>
          <t>The Local (Parfetts symbol group) store on Marfleet Lane, Hull, acquired Feb 2024 by owner Prasath Balakrishnan (named in trade press). No postcode/phone in search results.</t>
        </is>
      </c>
      <c r="AP104" s="5" t="inlineStr">
        <is>
          <t>Medium</t>
        </is>
      </c>
      <c r="AQ104" s="5" t="inlineStr">
        <is>
          <t>Multi-site retailer; Independent retailer; Relevant category</t>
        </is>
      </c>
      <c r="AR104" s="5" t="inlineStr">
        <is>
          <t>https://wholesalemanager.co.uk/new-the-local-store-opens-in-hull/</t>
        </is>
      </c>
      <c r="AS104" s="5" t="inlineStr">
        <is>
          <t>https://www.talkingretail.com/stores/retailer-profiles/mini-profile-new-the-local-store-opens-in-hull-11-07-2024/</t>
        </is>
      </c>
      <c r="AT104" s="5" t="inlineStr">
        <is>
          <t>2</t>
        </is>
      </c>
      <c r="AU104" s="5" t="inlineStr">
        <is>
          <t>No</t>
        </is>
      </c>
      <c r="AV104" s="5" t="inlineStr">
        <is>
          <t>No</t>
        </is>
      </c>
      <c r="AW104" s="5" t="inlineStr">
        <is>
          <t>No</t>
        </is>
      </c>
      <c r="AX104" s="5" t="inlineStr">
        <is>
          <t>No</t>
        </is>
      </c>
      <c r="AY104" s="5" t="inlineStr">
        <is>
          <t>Not Found</t>
        </is>
      </c>
      <c r="AZ104" s="5" t="inlineStr">
        <is>
          <t>Not Found</t>
        </is>
      </c>
      <c r="BA104" s="5" t="inlineStr">
        <is>
          <t>2026-09-17</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2026-09-17</t>
        </is>
      </c>
      <c r="BL104" s="5" t="inlineStr"/>
      <c r="BM104" s="5" t="inlineStr"/>
      <c r="BN104" s="5" t="inlineStr"/>
      <c r="BO104" s="5" t="inlineStr"/>
      <c r="BP104" s="5" t="inlineStr"/>
      <c r="BQ104" s="5" t="inlineStr"/>
    </row>
    <row r="105">
      <c r="A105" s="10" t="inlineStr">
        <is>
          <t>UK-000316</t>
        </is>
      </c>
      <c r="B105" s="10" t="inlineStr">
        <is>
          <t>PREMIERBOO-01</t>
        </is>
      </c>
      <c r="C105" s="10" t="inlineStr">
        <is>
          <t>Premier (Booker Group)</t>
        </is>
      </c>
      <c r="D105" s="10" t="inlineStr">
        <is>
          <t>Premier Store Leigh (Kirkhall Lane)</t>
        </is>
      </c>
      <c r="E105" s="10" t="inlineStr">
        <is>
          <t>Premier</t>
        </is>
      </c>
      <c r="F105" s="10" t="inlineStr"/>
      <c r="G105" s="10" t="inlineStr">
        <is>
          <t>Convenience Store</t>
        </is>
      </c>
      <c r="H105" s="10" t="inlineStr">
        <is>
          <t>Symbol-group convenience store</t>
        </is>
      </c>
      <c r="I105" s="10" t="inlineStr">
        <is>
          <t>Franchise / Symbol Group</t>
        </is>
      </c>
      <c r="J105" s="10" t="inlineStr">
        <is>
          <t>1</t>
        </is>
      </c>
      <c r="K105" s="10" t="inlineStr">
        <is>
          <t>https://www.premier-stores.co.uk/</t>
        </is>
      </c>
      <c r="L105" s="10" t="inlineStr"/>
      <c r="M105" s="10" t="inlineStr"/>
      <c r="N105" s="10" t="inlineStr"/>
      <c r="O105" s="10" t="inlineStr">
        <is>
          <t>41 Kirkhall Lane</t>
        </is>
      </c>
      <c r="P105" s="10" t="inlineStr"/>
      <c r="Q105" s="10" t="inlineStr">
        <is>
          <t>Leigh</t>
        </is>
      </c>
      <c r="R105" s="10" t="inlineStr">
        <is>
          <t>Greater Manchester</t>
        </is>
      </c>
      <c r="S105" s="10" t="inlineStr">
        <is>
          <t>WN7 1SA</t>
        </is>
      </c>
      <c r="T105" s="10" t="inlineStr">
        <is>
          <t>North West</t>
        </is>
      </c>
      <c r="U105" s="10" t="inlineStr">
        <is>
          <t>England</t>
        </is>
      </c>
      <c r="V105" s="10" t="inlineStr"/>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convenience groceries; tobacco; soft drinks; news</t>
        </is>
      </c>
      <c r="AL105" s="10" t="inlineStr"/>
      <c r="AM105" s="10" t="inlineStr">
        <is>
          <t>Convenience Store</t>
        </is>
      </c>
      <c r="AN105" s="10" t="inlineStr">
        <is>
          <t>Premier symbol group (Booker)</t>
        </is>
      </c>
      <c r="AO105" s="10" t="inlineStr">
        <is>
          <t>Independently owned Premier symbol-group convenience store, Kirkhall Lane, Leigh (WN7 1SA).</t>
        </is>
      </c>
      <c r="AP105" s="10" t="inlineStr">
        <is>
          <t>Medium</t>
        </is>
      </c>
      <c r="AQ105" s="10" t="inlineStr">
        <is>
          <t>Multi-site retailer; Independent retailer; Relevant category; Active website</t>
        </is>
      </c>
      <c r="AR105" s="10" t="inlineStr">
        <is>
          <t>https://www.yell.com/biz/premier-leigh-4398851/</t>
        </is>
      </c>
      <c r="AS105" s="10" t="inlineStr">
        <is>
          <t>https://leigh-wigan.cylex-uk.co.uk/company/premier-19271409.html</t>
        </is>
      </c>
      <c r="AT105" s="10" t="inlineStr">
        <is>
          <t>2</t>
        </is>
      </c>
      <c r="AU105" s="10" t="inlineStr">
        <is>
          <t>No</t>
        </is>
      </c>
      <c r="AV105" s="10" t="inlineStr">
        <is>
          <t>No</t>
        </is>
      </c>
      <c r="AW105" s="10" t="inlineStr">
        <is>
          <t>No</t>
        </is>
      </c>
      <c r="AX105" s="10" t="inlineStr">
        <is>
          <t>No</t>
        </is>
      </c>
      <c r="AY105" s="10" t="inlineStr">
        <is>
          <t>Not Found</t>
        </is>
      </c>
      <c r="AZ105" s="10" t="inlineStr">
        <is>
          <t>Not Found</t>
        </is>
      </c>
      <c r="BA105" s="10" t="inlineStr">
        <is>
          <t>2026-09-17</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UK-000317</t>
        </is>
      </c>
      <c r="B106" s="5" t="inlineStr">
        <is>
          <t>PREMIERBOO-02</t>
        </is>
      </c>
      <c r="C106" s="5" t="inlineStr">
        <is>
          <t>Premier (Booker Group)</t>
        </is>
      </c>
      <c r="D106" s="5" t="inlineStr">
        <is>
          <t>Premier Store Wigan (Ormskirk Road)</t>
        </is>
      </c>
      <c r="E106" s="5" t="inlineStr">
        <is>
          <t>Premier</t>
        </is>
      </c>
      <c r="F106" s="5" t="inlineStr"/>
      <c r="G106" s="5" t="inlineStr">
        <is>
          <t>Convenience Store</t>
        </is>
      </c>
      <c r="H106" s="5" t="inlineStr">
        <is>
          <t>Symbol-group convenience store</t>
        </is>
      </c>
      <c r="I106" s="5" t="inlineStr">
        <is>
          <t>Franchise / Symbol Group</t>
        </is>
      </c>
      <c r="J106" s="5" t="inlineStr">
        <is>
          <t>1</t>
        </is>
      </c>
      <c r="K106" s="5" t="inlineStr">
        <is>
          <t>https://www.premier-stores.co.uk/</t>
        </is>
      </c>
      <c r="L106" s="5" t="inlineStr"/>
      <c r="M106" s="5" t="inlineStr"/>
      <c r="N106" s="5" t="inlineStr"/>
      <c r="O106" s="5" t="inlineStr">
        <is>
          <t>751 Ormskirk Road</t>
        </is>
      </c>
      <c r="P106" s="5" t="inlineStr"/>
      <c r="Q106" s="5" t="inlineStr">
        <is>
          <t>Wigan</t>
        </is>
      </c>
      <c r="R106" s="5" t="inlineStr">
        <is>
          <t>Greater Manchester</t>
        </is>
      </c>
      <c r="S106" s="5" t="inlineStr">
        <is>
          <t>WN5 8AT</t>
        </is>
      </c>
      <c r="T106" s="5" t="inlineStr">
        <is>
          <t>North West</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convenience groceries; tobacco; soft drinks; news</t>
        </is>
      </c>
      <c r="AL106" s="5" t="inlineStr"/>
      <c r="AM106" s="5" t="inlineStr">
        <is>
          <t>Convenience Store</t>
        </is>
      </c>
      <c r="AN106" s="5" t="inlineStr">
        <is>
          <t>Premier symbol group (Booker)</t>
        </is>
      </c>
      <c r="AO106" s="5" t="inlineStr">
        <is>
          <t>Premier symbol-group convenience store, 751 Ormskirk Road, Wigan (WN5 8AT). Only a central Premier phone line appeared in the snippet, so store phone left blank.</t>
        </is>
      </c>
      <c r="AP106" s="5" t="inlineStr">
        <is>
          <t>Medium</t>
        </is>
      </c>
      <c r="AQ106" s="5" t="inlineStr">
        <is>
          <t>Multi-site retailer; Independent retailer; Relevant category; Active website</t>
        </is>
      </c>
      <c r="AR106" s="5" t="inlineStr">
        <is>
          <t>https://wigan.cylex-uk.co.uk/company/premier-19271504.html</t>
        </is>
      </c>
      <c r="AS106" s="5" t="inlineStr"/>
      <c r="AT106" s="5" t="inlineStr">
        <is>
          <t>1</t>
        </is>
      </c>
      <c r="AU106" s="5" t="inlineStr">
        <is>
          <t>No</t>
        </is>
      </c>
      <c r="AV106" s="5" t="inlineStr">
        <is>
          <t>No</t>
        </is>
      </c>
      <c r="AW106" s="5" t="inlineStr">
        <is>
          <t>No</t>
        </is>
      </c>
      <c r="AX106" s="5" t="inlineStr">
        <is>
          <t>No</t>
        </is>
      </c>
      <c r="AY106" s="5" t="inlineStr">
        <is>
          <t>Not Found</t>
        </is>
      </c>
      <c r="AZ106" s="5" t="inlineStr">
        <is>
          <t>Not Found</t>
        </is>
      </c>
      <c r="BA106" s="5" t="inlineStr">
        <is>
          <t>2026-09-17</t>
        </is>
      </c>
      <c r="BB106" s="5" t="inlineStr">
        <is>
          <t>Requires Verification</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UK-000204</t>
        </is>
      </c>
      <c r="B107" s="10" t="inlineStr">
        <is>
          <t>PREMIERBOO-03</t>
        </is>
      </c>
      <c r="C107" s="10" t="inlineStr">
        <is>
          <t>Premier (Booker Group)</t>
        </is>
      </c>
      <c r="D107" s="10" t="inlineStr">
        <is>
          <t>Premier Stores Ripon</t>
        </is>
      </c>
      <c r="E107" s="10" t="inlineStr">
        <is>
          <t>Premier Stores</t>
        </is>
      </c>
      <c r="F107" s="10" t="inlineStr"/>
      <c r="G107" s="10" t="inlineStr">
        <is>
          <t>Convenience Store</t>
        </is>
      </c>
      <c r="H107" s="10" t="inlineStr">
        <is>
          <t>Symbol-group convenience store</t>
        </is>
      </c>
      <c r="I107" s="10" t="inlineStr">
        <is>
          <t>Franchise / Symbol Group</t>
        </is>
      </c>
      <c r="J107" s="10" t="inlineStr">
        <is>
          <t>1</t>
        </is>
      </c>
      <c r="K107" s="10" t="inlineStr"/>
      <c r="L107" s="10" t="inlineStr"/>
      <c r="M107" s="10" t="inlineStr"/>
      <c r="N107" s="10" t="inlineStr"/>
      <c r="O107" s="10" t="inlineStr">
        <is>
          <t>64 Bondgate</t>
        </is>
      </c>
      <c r="P107" s="10" t="inlineStr"/>
      <c r="Q107" s="10" t="inlineStr">
        <is>
          <t>Ripon</t>
        </is>
      </c>
      <c r="R107" s="10" t="inlineStr">
        <is>
          <t>North Yorkshire</t>
        </is>
      </c>
      <c r="S107" s="10" t="inlineStr"/>
      <c r="T107" s="10" t="inlineStr">
        <is>
          <t>Yorkshire &amp; Humber</t>
        </is>
      </c>
      <c r="U107" s="10" t="inlineStr">
        <is>
          <t>England</t>
        </is>
      </c>
      <c r="V107" s="10" t="inlineStr"/>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convenience groceries; confectionery; soft drinks; tobacco</t>
        </is>
      </c>
      <c r="AL107" s="10" t="inlineStr"/>
      <c r="AM107" s="10" t="inlineStr">
        <is>
          <t>Convenience Store</t>
        </is>
      </c>
      <c r="AN107" s="10" t="inlineStr">
        <is>
          <t>Premier symbol group (supplied by Booker)</t>
        </is>
      </c>
      <c r="AO107" s="10" t="inlineStr">
        <is>
          <t>Independently-owned convenience store trading under the Premier symbol fascia at 64 Bondgate, Ripon (HG4). Full postcode and phone not surfaced in search snippets. From LocalStore directory listing.</t>
        </is>
      </c>
      <c r="AP107" s="10" t="inlineStr">
        <is>
          <t>Medium</t>
        </is>
      </c>
      <c r="AQ107" s="10" t="inlineStr">
        <is>
          <t>Multi-site retailer; Independent retailer; Relevant category</t>
        </is>
      </c>
      <c r="AR107" s="10" t="inlineStr">
        <is>
          <t>https://www.localstore.co.uk/store/394275/premier-stores/ripon/</t>
        </is>
      </c>
      <c r="AS107" s="10" t="inlineStr"/>
      <c r="AT107" s="10" t="inlineStr">
        <is>
          <t>1</t>
        </is>
      </c>
      <c r="AU107" s="10" t="inlineStr">
        <is>
          <t>No</t>
        </is>
      </c>
      <c r="AV107" s="10" t="inlineStr">
        <is>
          <t>No</t>
        </is>
      </c>
      <c r="AW107" s="10" t="inlineStr">
        <is>
          <t>No</t>
        </is>
      </c>
      <c r="AX107" s="10" t="inlineStr">
        <is>
          <t>No</t>
        </is>
      </c>
      <c r="AY107" s="10" t="inlineStr">
        <is>
          <t>Not Found</t>
        </is>
      </c>
      <c r="AZ107" s="10" t="inlineStr">
        <is>
          <t>Not Found</t>
        </is>
      </c>
      <c r="BA107" s="10" t="inlineStr">
        <is>
          <t>2026-09-17</t>
        </is>
      </c>
      <c r="BB107" s="10" t="inlineStr">
        <is>
          <t>Requires Verification</t>
        </is>
      </c>
      <c r="BC107" s="10" t="inlineStr">
        <is>
          <t>Low</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2026-09-17</t>
        </is>
      </c>
      <c r="BL107" s="10" t="inlineStr"/>
      <c r="BM107" s="10" t="inlineStr"/>
      <c r="BN107" s="10" t="inlineStr"/>
      <c r="BO107" s="10" t="inlineStr"/>
      <c r="BP107" s="10" t="inlineStr"/>
      <c r="BQ107" s="10" t="inlineStr"/>
    </row>
    <row r="108">
      <c r="A108" s="5" t="inlineStr">
        <is>
          <t>UK-000437</t>
        </is>
      </c>
      <c r="B108" s="5" t="inlineStr">
        <is>
          <t>PREMIERBOO-01</t>
        </is>
      </c>
      <c r="C108" s="5" t="inlineStr">
        <is>
          <t>Premier (Booker symbol group)</t>
        </is>
      </c>
      <c r="D108" s="5" t="inlineStr">
        <is>
          <t>Dhillons Convenience Store</t>
        </is>
      </c>
      <c r="E108" s="5" t="inlineStr">
        <is>
          <t>Premier Dhillons Convenience Store</t>
        </is>
      </c>
      <c r="F108" s="5" t="inlineStr"/>
      <c r="G108" s="5" t="inlineStr">
        <is>
          <t>Convenience Store</t>
        </is>
      </c>
      <c r="H108" s="5" t="inlineStr">
        <is>
          <t>Symbol-group convenience store</t>
        </is>
      </c>
      <c r="I108" s="5" t="inlineStr">
        <is>
          <t>Franchise / Symbol Group</t>
        </is>
      </c>
      <c r="J108" s="5" t="inlineStr">
        <is>
          <t>1</t>
        </is>
      </c>
      <c r="K108" s="5" t="inlineStr">
        <is>
          <t>https://www.premier-stores.co.uk/our-stores/dhillons-convenience-store-0</t>
        </is>
      </c>
      <c r="L108" s="5" t="inlineStr"/>
      <c r="M108" s="5" t="inlineStr"/>
      <c r="N108" s="5" t="inlineStr"/>
      <c r="O108" s="5" t="inlineStr">
        <is>
          <t>252 Gravelly Lane</t>
        </is>
      </c>
      <c r="P108" s="5" t="inlineStr">
        <is>
          <t>Erdington</t>
        </is>
      </c>
      <c r="Q108" s="5" t="inlineStr">
        <is>
          <t>Birmingham</t>
        </is>
      </c>
      <c r="R108" s="5" t="inlineStr">
        <is>
          <t>West Midlands</t>
        </is>
      </c>
      <c r="S108" s="5" t="inlineStr">
        <is>
          <t>B23 5SB</t>
        </is>
      </c>
      <c r="T108" s="5" t="inlineStr">
        <is>
          <t>West Midlands</t>
        </is>
      </c>
      <c r="U108" s="5" t="inlineStr">
        <is>
          <t>England</t>
        </is>
      </c>
      <c r="V108" s="5" t="inlineStr">
        <is>
          <t>0121 350 8581</t>
        </is>
      </c>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convenience grocery; off-licence; confectionery</t>
        </is>
      </c>
      <c r="AL108" s="5" t="inlineStr"/>
      <c r="AM108" s="5" t="inlineStr">
        <is>
          <t>Convenience Store</t>
        </is>
      </c>
      <c r="AN108" s="5" t="inlineStr">
        <is>
          <t>Premier symbol group (Booker)</t>
        </is>
      </c>
      <c r="AO108" s="5" t="inlineStr">
        <is>
          <t>Premier-fascia convenience store on Gravelly Lane, Erdington. Independently owned symbol-group store.</t>
        </is>
      </c>
      <c r="AP108" s="5" t="inlineStr">
        <is>
          <t>Medium</t>
        </is>
      </c>
      <c r="AQ108" s="5" t="inlineStr">
        <is>
          <t>Multi-site retailer; Independent retailer; Relevant category; Active website</t>
        </is>
      </c>
      <c r="AR108" s="5" t="inlineStr">
        <is>
          <t>https://www.premier-stores.co.uk/our-stores/dhillons-convenience-store-0</t>
        </is>
      </c>
      <c r="AS108" s="5" t="inlineStr">
        <is>
          <t>https://ratings.food.gov.uk/business/1157031/premier-dhillons-convenience-store-birmingham</t>
        </is>
      </c>
      <c r="AT108" s="5" t="inlineStr">
        <is>
          <t>2</t>
        </is>
      </c>
      <c r="AU108" s="5" t="inlineStr">
        <is>
          <t>No</t>
        </is>
      </c>
      <c r="AV108" s="5" t="inlineStr">
        <is>
          <t>No</t>
        </is>
      </c>
      <c r="AW108" s="5" t="inlineStr">
        <is>
          <t>No</t>
        </is>
      </c>
      <c r="AX108" s="5" t="inlineStr">
        <is>
          <t>No</t>
        </is>
      </c>
      <c r="AY108" s="5" t="inlineStr">
        <is>
          <t>Verified directory</t>
        </is>
      </c>
      <c r="AZ108" s="5" t="inlineStr">
        <is>
          <t>Not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UK-000438</t>
        </is>
      </c>
      <c r="B109" s="10" t="inlineStr">
        <is>
          <t>PREMIERBOO-02</t>
        </is>
      </c>
      <c r="C109" s="10" t="inlineStr">
        <is>
          <t>Premier (Booker symbol group)</t>
        </is>
      </c>
      <c r="D109" s="10" t="inlineStr">
        <is>
          <t>Kwik Stop Convenience Store</t>
        </is>
      </c>
      <c r="E109" s="10" t="inlineStr">
        <is>
          <t>Kwik Stop Convenience Store</t>
        </is>
      </c>
      <c r="F109" s="10" t="inlineStr"/>
      <c r="G109" s="10" t="inlineStr">
        <is>
          <t>Convenience Store</t>
        </is>
      </c>
      <c r="H109" s="10" t="inlineStr">
        <is>
          <t>Symbol-group convenience store</t>
        </is>
      </c>
      <c r="I109" s="10" t="inlineStr">
        <is>
          <t>Franchise / Symbol Group</t>
        </is>
      </c>
      <c r="J109" s="10" t="inlineStr">
        <is>
          <t>1</t>
        </is>
      </c>
      <c r="K109" s="10" t="inlineStr">
        <is>
          <t>https://www.premier-stores.co.uk/our-stores/kwik-stop-convenience-store</t>
        </is>
      </c>
      <c r="L109" s="10" t="inlineStr"/>
      <c r="M109" s="10" t="inlineStr"/>
      <c r="N109" s="10" t="inlineStr"/>
      <c r="O109" s="10" t="inlineStr">
        <is>
          <t>16 Ribblesdale Road</t>
        </is>
      </c>
      <c r="P109" s="10" t="inlineStr">
        <is>
          <t>Stirchley</t>
        </is>
      </c>
      <c r="Q109" s="10" t="inlineStr">
        <is>
          <t>Birmingham</t>
        </is>
      </c>
      <c r="R109" s="10" t="inlineStr">
        <is>
          <t>West Midlands</t>
        </is>
      </c>
      <c r="S109" s="10" t="inlineStr">
        <is>
          <t>B30 2YP</t>
        </is>
      </c>
      <c r="T109" s="10" t="inlineStr">
        <is>
          <t>West Midlands</t>
        </is>
      </c>
      <c r="U109" s="10" t="inlineStr">
        <is>
          <t>England</t>
        </is>
      </c>
      <c r="V109" s="10" t="inlineStr">
        <is>
          <t>0121 472 8118</t>
        </is>
      </c>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convenience grocery; off-licence</t>
        </is>
      </c>
      <c r="AL109" s="10" t="inlineStr"/>
      <c r="AM109" s="10" t="inlineStr">
        <is>
          <t>Convenience Store</t>
        </is>
      </c>
      <c r="AN109" s="10" t="inlineStr">
        <is>
          <t>Premier symbol group (Booker)</t>
        </is>
      </c>
      <c r="AO109" s="10" t="inlineStr">
        <is>
          <t>Premier-fascia symbol-group convenience store, Ribblesdale Road, Stirchley.</t>
        </is>
      </c>
      <c r="AP109" s="10" t="inlineStr">
        <is>
          <t>Medium</t>
        </is>
      </c>
      <c r="AQ109" s="10" t="inlineStr">
        <is>
          <t>Multi-site retailer; Independent retailer; Relevant category; Active website</t>
        </is>
      </c>
      <c r="AR109" s="10" t="inlineStr">
        <is>
          <t>https://www.premier-stores.co.uk/our-stores/kwik-stop-convenience-store</t>
        </is>
      </c>
      <c r="AS109" s="10" t="inlineStr"/>
      <c r="AT109" s="10" t="inlineStr">
        <is>
          <t>1</t>
        </is>
      </c>
      <c r="AU109" s="10" t="inlineStr">
        <is>
          <t>No</t>
        </is>
      </c>
      <c r="AV109" s="10" t="inlineStr">
        <is>
          <t>No</t>
        </is>
      </c>
      <c r="AW109" s="10" t="inlineStr">
        <is>
          <t>No</t>
        </is>
      </c>
      <c r="AX109" s="10" t="inlineStr">
        <is>
          <t>No</t>
        </is>
      </c>
      <c r="AY109" s="10" t="inlineStr">
        <is>
          <t>Verified directory</t>
        </is>
      </c>
      <c r="AZ109" s="10" t="inlineStr">
        <is>
          <t>Not Found</t>
        </is>
      </c>
      <c r="BA109" s="10" t="inlineStr">
        <is>
          <t>2026-09-17</t>
        </is>
      </c>
      <c r="BB109" s="10" t="inlineStr">
        <is>
          <t>Requires Verification</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UK-000439</t>
        </is>
      </c>
      <c r="B110" s="5" t="inlineStr">
        <is>
          <t>PREMIERBOO-03</t>
        </is>
      </c>
      <c r="C110" s="5" t="inlineStr">
        <is>
          <t>Premier (Booker symbol group)</t>
        </is>
      </c>
      <c r="D110" s="5" t="inlineStr">
        <is>
          <t>Premier - 570 Bloxwich Road</t>
        </is>
      </c>
      <c r="E110" s="5" t="inlineStr">
        <is>
          <t>Premier</t>
        </is>
      </c>
      <c r="F110" s="5" t="inlineStr"/>
      <c r="G110" s="5" t="inlineStr">
        <is>
          <t>Convenience Store</t>
        </is>
      </c>
      <c r="H110" s="5" t="inlineStr">
        <is>
          <t>Convenience &amp; off-licence</t>
        </is>
      </c>
      <c r="I110" s="5" t="inlineStr">
        <is>
          <t>Franchise / Symbol Group</t>
        </is>
      </c>
      <c r="J110" s="5" t="inlineStr">
        <is>
          <t>1</t>
        </is>
      </c>
      <c r="K110" s="5" t="inlineStr"/>
      <c r="L110" s="5" t="inlineStr"/>
      <c r="M110" s="5" t="inlineStr"/>
      <c r="N110" s="5" t="inlineStr"/>
      <c r="O110" s="5" t="inlineStr">
        <is>
          <t>570 Bloxwich Road</t>
        </is>
      </c>
      <c r="P110" s="5" t="inlineStr"/>
      <c r="Q110" s="5" t="inlineStr">
        <is>
          <t>Walsall</t>
        </is>
      </c>
      <c r="R110" s="5" t="inlineStr">
        <is>
          <t>West Midlands</t>
        </is>
      </c>
      <c r="S110" s="5" t="inlineStr">
        <is>
          <t>WS3 2BB</t>
        </is>
      </c>
      <c r="T110" s="5" t="inlineStr">
        <is>
          <t>West Midlands</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convenience groceries; off-licence</t>
        </is>
      </c>
      <c r="AL110" s="5" t="inlineStr"/>
      <c r="AM110" s="5" t="inlineStr">
        <is>
          <t>Convenience Store</t>
        </is>
      </c>
      <c r="AN110" s="5" t="inlineStr">
        <is>
          <t>Premier symbol group (supplied by Booker).</t>
        </is>
      </c>
      <c r="AO110" s="5" t="inlineStr">
        <is>
          <t>Premier symbol-group convenience store, 570 Bloxwich Road, Walsall.</t>
        </is>
      </c>
      <c r="AP110" s="5" t="inlineStr">
        <is>
          <t>Medium</t>
        </is>
      </c>
      <c r="AQ110" s="5" t="inlineStr">
        <is>
          <t>Multi-site retailer; Independent retailer; Relevant category</t>
        </is>
      </c>
      <c r="AR110" s="5" t="inlineStr">
        <is>
          <t>https://walsall.cylex-uk.co.uk/company/premier---bloxwich-road-convenience-store-23827914.html</t>
        </is>
      </c>
      <c r="AS110" s="5" t="inlineStr"/>
      <c r="AT110" s="5" t="inlineStr">
        <is>
          <t>1</t>
        </is>
      </c>
      <c r="AU110" s="5" t="inlineStr">
        <is>
          <t>No</t>
        </is>
      </c>
      <c r="AV110" s="5" t="inlineStr">
        <is>
          <t>No</t>
        </is>
      </c>
      <c r="AW110" s="5" t="inlineStr">
        <is>
          <t>No</t>
        </is>
      </c>
      <c r="AX110" s="5" t="inlineStr">
        <is>
          <t>No</t>
        </is>
      </c>
      <c r="AY110" s="5" t="inlineStr">
        <is>
          <t>Not Found</t>
        </is>
      </c>
      <c r="AZ110" s="5" t="inlineStr">
        <is>
          <t>Not Found</t>
        </is>
      </c>
      <c r="BA110" s="5" t="inlineStr">
        <is>
          <t>2026-09-17</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UK-000440</t>
        </is>
      </c>
      <c r="B111" s="10" t="inlineStr">
        <is>
          <t>PREMIERBOO-04</t>
        </is>
      </c>
      <c r="C111" s="10" t="inlineStr">
        <is>
          <t>Premier (Booker symbol group)</t>
        </is>
      </c>
      <c r="D111" s="10" t="inlineStr">
        <is>
          <t>Premier - Bloxwich Road Convenience Store &amp; Post Office</t>
        </is>
      </c>
      <c r="E111" s="10" t="inlineStr">
        <is>
          <t>Bloxwich Road Convenience Store</t>
        </is>
      </c>
      <c r="F111" s="10" t="inlineStr"/>
      <c r="G111" s="10" t="inlineStr">
        <is>
          <t>Convenience Store</t>
        </is>
      </c>
      <c r="H111" s="10" t="inlineStr">
        <is>
          <t>Convenience &amp; post office</t>
        </is>
      </c>
      <c r="I111" s="10" t="inlineStr">
        <is>
          <t>Franchise / Symbol Group</t>
        </is>
      </c>
      <c r="J111" s="10" t="inlineStr">
        <is>
          <t>1</t>
        </is>
      </c>
      <c r="K111" s="10" t="inlineStr">
        <is>
          <t>https://www.premier-stores.co.uk/our-stores/bloxwich-road-convenience-store</t>
        </is>
      </c>
      <c r="L111" s="10" t="inlineStr">
        <is>
          <t>https://www.facebook.com/bloxwichroadconveniencestore/</t>
        </is>
      </c>
      <c r="M111" s="10" t="inlineStr"/>
      <c r="N111" s="10" t="inlineStr"/>
      <c r="O111" s="10" t="inlineStr">
        <is>
          <t>133-135 Bloxwich Road</t>
        </is>
      </c>
      <c r="P111" s="10" t="inlineStr"/>
      <c r="Q111" s="10" t="inlineStr">
        <is>
          <t>Walsall</t>
        </is>
      </c>
      <c r="R111" s="10" t="inlineStr">
        <is>
          <t>West Midlands</t>
        </is>
      </c>
      <c r="S111" s="10" t="inlineStr">
        <is>
          <t>WS2 8BS</t>
        </is>
      </c>
      <c r="T111" s="10" t="inlineStr">
        <is>
          <t>West Midlands</t>
        </is>
      </c>
      <c r="U111" s="10" t="inlineStr">
        <is>
          <t>England</t>
        </is>
      </c>
      <c r="V111" s="10" t="inlineStr"/>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convenience groceries; off-licence; post office</t>
        </is>
      </c>
      <c r="AL111" s="10" t="inlineStr"/>
      <c r="AM111" s="10" t="inlineStr">
        <is>
          <t>Convenience Store</t>
        </is>
      </c>
      <c r="AN111" s="10" t="inlineStr">
        <is>
          <t>Premier symbol group (supplied by Booker).</t>
        </is>
      </c>
      <c r="AO111" s="10" t="inlineStr">
        <is>
          <t>Independently-owned Premier symbol-group store with post office, Bloxwich Road, Walsall.</t>
        </is>
      </c>
      <c r="AP111" s="10" t="inlineStr">
        <is>
          <t>High</t>
        </is>
      </c>
      <c r="AQ111" s="10" t="inlineStr">
        <is>
          <t>Multi-site retailer; Independent retailer; Relevant category; Active website; Social presence</t>
        </is>
      </c>
      <c r="AR111" s="10" t="inlineStr">
        <is>
          <t>https://www.premier-stores.co.uk/our-stores/bloxwich-road-convenience-store</t>
        </is>
      </c>
      <c r="AS111" s="10" t="inlineStr"/>
      <c r="AT111" s="10" t="inlineStr">
        <is>
          <t>1</t>
        </is>
      </c>
      <c r="AU111" s="10" t="inlineStr">
        <is>
          <t>Yes</t>
        </is>
      </c>
      <c r="AV111" s="10" t="inlineStr">
        <is>
          <t>No</t>
        </is>
      </c>
      <c r="AW111" s="10" t="inlineStr">
        <is>
          <t>No</t>
        </is>
      </c>
      <c r="AX111" s="10" t="inlineStr">
        <is>
          <t>No</t>
        </is>
      </c>
      <c r="AY111" s="10" t="inlineStr">
        <is>
          <t>Not Found</t>
        </is>
      </c>
      <c r="AZ111" s="10" t="inlineStr">
        <is>
          <t>Not Found</t>
        </is>
      </c>
      <c r="BA111" s="10" t="inlineStr">
        <is>
          <t>2026-09-17</t>
        </is>
      </c>
      <c r="BB111" s="10" t="inlineStr">
        <is>
          <t>Partially Verified</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2026-09-17</t>
        </is>
      </c>
      <c r="BJ111" s="10" t="inlineStr">
        <is>
          <t>New</t>
        </is>
      </c>
      <c r="BK111" s="10" t="inlineStr">
        <is>
          <t>2026-09-17</t>
        </is>
      </c>
      <c r="BL111" s="10" t="inlineStr"/>
      <c r="BM111" s="10" t="inlineStr"/>
      <c r="BN111" s="10" t="inlineStr"/>
      <c r="BO111" s="10" t="inlineStr"/>
      <c r="BP111" s="10" t="inlineStr"/>
      <c r="BQ111" s="10" t="inlineStr"/>
    </row>
    <row r="112">
      <c r="A112" s="5" t="inlineStr">
        <is>
          <t>UK-000715</t>
        </is>
      </c>
      <c r="B112" s="5" t="inlineStr">
        <is>
          <t>PREMIERBOO-01</t>
        </is>
      </c>
      <c r="C112" s="5" t="inlineStr">
        <is>
          <t>Premier (Booker)</t>
        </is>
      </c>
      <c r="D112" s="5" t="inlineStr">
        <is>
          <t>Dalry Premier Store</t>
        </is>
      </c>
      <c r="E112" s="5" t="inlineStr">
        <is>
          <t>Premier</t>
        </is>
      </c>
      <c r="F112" s="5" t="inlineStr"/>
      <c r="G112" s="5" t="inlineStr">
        <is>
          <t>Convenience Store</t>
        </is>
      </c>
      <c r="H112" s="5" t="inlineStr">
        <is>
          <t>Symbol-group convenience &amp; off-licence</t>
        </is>
      </c>
      <c r="I112" s="5" t="inlineStr">
        <is>
          <t>Franchise / Symbol Group</t>
        </is>
      </c>
      <c r="J112" s="5" t="inlineStr">
        <is>
          <t>1</t>
        </is>
      </c>
      <c r="K112" s="5" t="inlineStr"/>
      <c r="L112" s="5" t="inlineStr"/>
      <c r="M112" s="5" t="inlineStr"/>
      <c r="N112" s="5" t="inlineStr"/>
      <c r="O112" s="5" t="inlineStr">
        <is>
          <t>25 Dalry Road</t>
        </is>
      </c>
      <c r="P112" s="5" t="inlineStr"/>
      <c r="Q112" s="5" t="inlineStr">
        <is>
          <t>Edinburgh</t>
        </is>
      </c>
      <c r="R112" s="5" t="inlineStr">
        <is>
          <t>City of Edinburgh</t>
        </is>
      </c>
      <c r="S112" s="5" t="inlineStr">
        <is>
          <t>EH11 2BQ</t>
        </is>
      </c>
      <c r="T112" s="5" t="inlineStr">
        <is>
          <t>Scotland</t>
        </is>
      </c>
      <c r="U112" s="5" t="inlineStr">
        <is>
          <t>Scotland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groceries; alcohol; tobacco</t>
        </is>
      </c>
      <c r="AL112" s="5" t="inlineStr"/>
      <c r="AM112" s="5" t="inlineStr">
        <is>
          <t>Convenience Store</t>
        </is>
      </c>
      <c r="AN112" s="5" t="inlineStr">
        <is>
          <t>Premier symbol group (Booker)</t>
        </is>
      </c>
      <c r="AO112" s="5" t="inlineStr">
        <is>
          <t>Independently-run Premier symbol-group convenience store on Dalry Road. Address/postcode from Cylex Dalry convenience listing snippet; phone not published in snippet, left blank rather than guessed.</t>
        </is>
      </c>
      <c r="AP112" s="5" t="inlineStr">
        <is>
          <t>Medium</t>
        </is>
      </c>
      <c r="AQ112" s="5" t="inlineStr">
        <is>
          <t>Multi-site retailer; Independent retailer; Relevant category</t>
        </is>
      </c>
      <c r="AR112" s="5" t="inlineStr">
        <is>
          <t>https://edinburgh.cylex-uk.co.uk/convenience-stores/?dst=dalry</t>
        </is>
      </c>
      <c r="AS112" s="5" t="inlineStr"/>
      <c r="AT112" s="5" t="inlineStr">
        <is>
          <t>1</t>
        </is>
      </c>
      <c r="AU112" s="5" t="inlineStr">
        <is>
          <t>No</t>
        </is>
      </c>
      <c r="AV112" s="5" t="inlineStr">
        <is>
          <t>No</t>
        </is>
      </c>
      <c r="AW112" s="5" t="inlineStr">
        <is>
          <t>No</t>
        </is>
      </c>
      <c r="AX112" s="5" t="inlineStr">
        <is>
          <t>No</t>
        </is>
      </c>
      <c r="AY112" s="5" t="inlineStr">
        <is>
          <t>Not Found</t>
        </is>
      </c>
      <c r="AZ112" s="5" t="inlineStr">
        <is>
          <t>Not Found</t>
        </is>
      </c>
      <c r="BA112" s="5" t="inlineStr">
        <is>
          <t>2026-09-17</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UK-000205</t>
        </is>
      </c>
      <c r="B113" s="10" t="inlineStr">
        <is>
          <t>PREMIERBOO-02</t>
        </is>
      </c>
      <c r="C113" s="10" t="inlineStr">
        <is>
          <t>Premier (Booker)</t>
        </is>
      </c>
      <c r="D113" s="10" t="inlineStr">
        <is>
          <t>Firth Park Convenience Store</t>
        </is>
      </c>
      <c r="E113" s="10" t="inlineStr">
        <is>
          <t>Firth Park Convenience Store</t>
        </is>
      </c>
      <c r="F113" s="10" t="inlineStr"/>
      <c r="G113" s="10" t="inlineStr">
        <is>
          <t>Convenience Store</t>
        </is>
      </c>
      <c r="H113" s="10" t="inlineStr">
        <is>
          <t>Convenience store (symbol group)</t>
        </is>
      </c>
      <c r="I113" s="10" t="inlineStr">
        <is>
          <t>Franchise / Symbol Group</t>
        </is>
      </c>
      <c r="J113" s="10" t="inlineStr">
        <is>
          <t>1</t>
        </is>
      </c>
      <c r="K113" s="10" t="inlineStr">
        <is>
          <t>https://www.premier-stores.co.uk/our-stores/firth-park-convenience-store</t>
        </is>
      </c>
      <c r="L113" s="10" t="inlineStr"/>
      <c r="M113" s="10" t="inlineStr"/>
      <c r="N113" s="10" t="inlineStr"/>
      <c r="O113" s="10" t="inlineStr">
        <is>
          <t>11-13 Stubbin Lane</t>
        </is>
      </c>
      <c r="P113" s="10" t="inlineStr">
        <is>
          <t>Firth Park</t>
        </is>
      </c>
      <c r="Q113" s="10" t="inlineStr">
        <is>
          <t>Sheffield</t>
        </is>
      </c>
      <c r="R113" s="10" t="inlineStr">
        <is>
          <t>South Yorkshire</t>
        </is>
      </c>
      <c r="S113" s="10" t="inlineStr">
        <is>
          <t>S5 6QG</t>
        </is>
      </c>
      <c r="T113" s="10" t="inlineStr">
        <is>
          <t>Yorkshire &amp; Humber</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groceries; confectionery; soft drinks; alcohol; tobacco</t>
        </is>
      </c>
      <c r="AL113" s="10" t="inlineStr"/>
      <c r="AM113" s="10" t="inlineStr">
        <is>
          <t>Convenience Store</t>
        </is>
      </c>
      <c r="AN113" s="10" t="inlineStr">
        <is>
          <t>Premier symbol group (Booker)</t>
        </is>
      </c>
      <c r="AO113" s="10" t="inlineStr">
        <is>
          <t>Independently owned Premier symbol-group convenience store at 11-13 Stubbin Lane, Firth Park district of Sheffield. Address/postcode from Premier store locator.</t>
        </is>
      </c>
      <c r="AP113" s="10" t="inlineStr">
        <is>
          <t>Medium</t>
        </is>
      </c>
      <c r="AQ113" s="10" t="inlineStr">
        <is>
          <t>Multi-site retailer; Independent retailer; Relevant category; Active website</t>
        </is>
      </c>
      <c r="AR113" s="10" t="inlineStr">
        <is>
          <t>https://www.premier-stores.co.uk/our-stores/firth-park-convenience-store</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2026-09-17</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2026-09-17</t>
        </is>
      </c>
      <c r="BL113" s="10" t="inlineStr"/>
      <c r="BM113" s="10" t="inlineStr"/>
      <c r="BN113" s="10" t="inlineStr"/>
      <c r="BO113" s="10" t="inlineStr"/>
      <c r="BP113" s="10" t="inlineStr"/>
      <c r="BQ113" s="10" t="inlineStr"/>
    </row>
    <row r="114">
      <c r="A114" s="5" t="inlineStr">
        <is>
          <t>UK-000716</t>
        </is>
      </c>
      <c r="B114" s="5" t="inlineStr">
        <is>
          <t>PREMIERBOO-03</t>
        </is>
      </c>
      <c r="C114" s="5" t="inlineStr">
        <is>
          <t>Premier (Booker)</t>
        </is>
      </c>
      <c r="D114" s="5" t="inlineStr">
        <is>
          <t>Grange Road West Convenience Store</t>
        </is>
      </c>
      <c r="E114" s="5" t="inlineStr">
        <is>
          <t>Grange Road West Convenience Store</t>
        </is>
      </c>
      <c r="F114" s="5" t="inlineStr"/>
      <c r="G114" s="5" t="inlineStr">
        <is>
          <t>Convenience Store</t>
        </is>
      </c>
      <c r="H114" s="5" t="inlineStr">
        <is>
          <t>Premier symbol convenience store</t>
        </is>
      </c>
      <c r="I114" s="5" t="inlineStr">
        <is>
          <t>Franchise / Symbol Group</t>
        </is>
      </c>
      <c r="J114" s="5" t="inlineStr">
        <is>
          <t>1</t>
        </is>
      </c>
      <c r="K114" s="5" t="inlineStr">
        <is>
          <t>https://www.premier-stores.co.uk/our-stores/grange-road-west-convenience-store</t>
        </is>
      </c>
      <c r="L114" s="5" t="inlineStr"/>
      <c r="M114" s="5" t="inlineStr"/>
      <c r="N114" s="5" t="inlineStr"/>
      <c r="O114" s="5" t="inlineStr">
        <is>
          <t>82-84 Grange Road West</t>
        </is>
      </c>
      <c r="P114" s="5" t="inlineStr"/>
      <c r="Q114" s="5" t="inlineStr">
        <is>
          <t>Birkenhead</t>
        </is>
      </c>
      <c r="R114" s="5" t="inlineStr">
        <is>
          <t>Merseyside</t>
        </is>
      </c>
      <c r="S114" s="5" t="inlineStr">
        <is>
          <t>CH41 4DB</t>
        </is>
      </c>
      <c r="T114" s="5" t="inlineStr">
        <is>
          <t>North West</t>
        </is>
      </c>
      <c r="U114" s="5" t="inlineStr">
        <is>
          <t>England</t>
        </is>
      </c>
      <c r="V114" s="5" t="inlineStr"/>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groceries; newspapers; alcohol; tobacco</t>
        </is>
      </c>
      <c r="AL114" s="5" t="inlineStr"/>
      <c r="AM114" s="5" t="inlineStr">
        <is>
          <t>Convenience Store</t>
        </is>
      </c>
      <c r="AN114" s="5" t="inlineStr"/>
      <c r="AO114" s="5" t="inlineStr">
        <is>
          <t>Independently owned Premier symbol-group convenience store on Grange Road West, Birkenhead. Address/postcode from the Premier Stores store-locator page.</t>
        </is>
      </c>
      <c r="AP114" s="5" t="inlineStr">
        <is>
          <t>Medium</t>
        </is>
      </c>
      <c r="AQ114" s="5" t="inlineStr">
        <is>
          <t>Multi-site retailer; Independent retailer; Relevant category; Active website</t>
        </is>
      </c>
      <c r="AR114" s="5" t="inlineStr">
        <is>
          <t>https://www.premier-stores.co.uk/our-stores/grange-road-west-convenience-store</t>
        </is>
      </c>
      <c r="AS114" s="5" t="inlineStr"/>
      <c r="AT114" s="5" t="inlineStr">
        <is>
          <t>1</t>
        </is>
      </c>
      <c r="AU114" s="5" t="inlineStr">
        <is>
          <t>No</t>
        </is>
      </c>
      <c r="AV114" s="5" t="inlineStr">
        <is>
          <t>No</t>
        </is>
      </c>
      <c r="AW114" s="5" t="inlineStr">
        <is>
          <t>No</t>
        </is>
      </c>
      <c r="AX114" s="5" t="inlineStr">
        <is>
          <t>No</t>
        </is>
      </c>
      <c r="AY114" s="5" t="inlineStr">
        <is>
          <t>Not Found</t>
        </is>
      </c>
      <c r="AZ114" s="5" t="inlineStr">
        <is>
          <t>Website Found</t>
        </is>
      </c>
      <c r="BA114" s="5" t="inlineStr">
        <is>
          <t>2026-09-17</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2026-09-17</t>
        </is>
      </c>
      <c r="BJ114" s="5" t="inlineStr">
        <is>
          <t>New</t>
        </is>
      </c>
      <c r="BK114" s="5" t="inlineStr">
        <is>
          <t>2026-09-17</t>
        </is>
      </c>
      <c r="BL114" s="5" t="inlineStr"/>
      <c r="BM114" s="5" t="inlineStr"/>
      <c r="BN114" s="5" t="inlineStr"/>
      <c r="BO114" s="5" t="inlineStr"/>
      <c r="BP114" s="5" t="inlineStr"/>
      <c r="BQ114" s="5" t="inlineStr"/>
    </row>
    <row r="115">
      <c r="A115" s="10" t="inlineStr">
        <is>
          <t>UK-000206</t>
        </is>
      </c>
      <c r="B115" s="10" t="inlineStr">
        <is>
          <t>PREMIERBOO-04</t>
        </is>
      </c>
      <c r="C115" s="10" t="inlineStr">
        <is>
          <t>Premier (Booker)</t>
        </is>
      </c>
      <c r="D115" s="10" t="inlineStr">
        <is>
          <t>Premier (Grimsby Road, Cleethorpes)</t>
        </is>
      </c>
      <c r="E115" s="10" t="inlineStr">
        <is>
          <t>Premier</t>
        </is>
      </c>
      <c r="F115" s="10" t="inlineStr"/>
      <c r="G115" s="10" t="inlineStr">
        <is>
          <t>Convenience Store</t>
        </is>
      </c>
      <c r="H115" s="10" t="inlineStr">
        <is>
          <t>Symbol-group convenience store</t>
        </is>
      </c>
      <c r="I115" s="10" t="inlineStr">
        <is>
          <t>Franchise / Symbol Group</t>
        </is>
      </c>
      <c r="J115" s="10" t="inlineStr">
        <is>
          <t>1</t>
        </is>
      </c>
      <c r="K115" s="10" t="inlineStr"/>
      <c r="L115" s="10" t="inlineStr"/>
      <c r="M115" s="10" t="inlineStr"/>
      <c r="N115" s="10" t="inlineStr"/>
      <c r="O115" s="10" t="inlineStr">
        <is>
          <t>141-143 Grimsby Road</t>
        </is>
      </c>
      <c r="P115" s="10" t="inlineStr"/>
      <c r="Q115" s="10" t="inlineStr">
        <is>
          <t>Cleethorpes</t>
        </is>
      </c>
      <c r="R115" s="10" t="inlineStr">
        <is>
          <t>Lincolnshire</t>
        </is>
      </c>
      <c r="S115" s="10" t="inlineStr"/>
      <c r="T115" s="10" t="inlineStr">
        <is>
          <t>Yorkshire &amp; Humber</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groceries; convenience; off-licence; news</t>
        </is>
      </c>
      <c r="AL115" s="10" t="inlineStr"/>
      <c r="AM115" s="10" t="inlineStr">
        <is>
          <t>Convenience Store</t>
        </is>
      </c>
      <c r="AN115" s="10" t="inlineStr"/>
      <c r="AO115" s="10" t="inlineStr">
        <is>
          <t>Premier symbol-group convenience store, 141-143 Grimsby Road, Cleethorpes. No postcode/phone in search results.</t>
        </is>
      </c>
      <c r="AP115" s="10" t="inlineStr">
        <is>
          <t>Medium</t>
        </is>
      </c>
      <c r="AQ115" s="10" t="inlineStr">
        <is>
          <t>Multi-site retailer; Independent retailer; Relevant category</t>
        </is>
      </c>
      <c r="AR115" s="10" t="inlineStr">
        <is>
          <t>https://www.premier-stores.co.uk/our-stores/grimsby-road</t>
        </is>
      </c>
      <c r="AS115" s="10" t="inlineStr"/>
      <c r="AT115" s="10" t="inlineStr">
        <is>
          <t>1</t>
        </is>
      </c>
      <c r="AU115" s="10" t="inlineStr">
        <is>
          <t>No</t>
        </is>
      </c>
      <c r="AV115" s="10" t="inlineStr">
        <is>
          <t>No</t>
        </is>
      </c>
      <c r="AW115" s="10" t="inlineStr">
        <is>
          <t>No</t>
        </is>
      </c>
      <c r="AX115" s="10" t="inlineStr">
        <is>
          <t>No</t>
        </is>
      </c>
      <c r="AY115" s="10" t="inlineStr">
        <is>
          <t>Not Found</t>
        </is>
      </c>
      <c r="AZ115" s="10" t="inlineStr">
        <is>
          <t>Not Found</t>
        </is>
      </c>
      <c r="BA115" s="10" t="inlineStr">
        <is>
          <t>2026-09-17</t>
        </is>
      </c>
      <c r="BB115" s="10" t="inlineStr">
        <is>
          <t>Requires Verification</t>
        </is>
      </c>
      <c r="BC115" s="10" t="inlineStr">
        <is>
          <t>Low</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2026-09-17</t>
        </is>
      </c>
      <c r="BL115" s="10" t="inlineStr"/>
      <c r="BM115" s="10" t="inlineStr"/>
      <c r="BN115" s="10" t="inlineStr"/>
      <c r="BO115" s="10" t="inlineStr"/>
      <c r="BP115" s="10" t="inlineStr"/>
      <c r="BQ115" s="10" t="inlineStr"/>
    </row>
    <row r="116">
      <c r="A116" s="5" t="inlineStr">
        <is>
          <t>UK-000207</t>
        </is>
      </c>
      <c r="B116" s="5" t="inlineStr">
        <is>
          <t>PREMIERBOO-05</t>
        </is>
      </c>
      <c r="C116" s="5" t="inlineStr">
        <is>
          <t>Premier (Booker)</t>
        </is>
      </c>
      <c r="D116" s="5" t="inlineStr">
        <is>
          <t>Premier Mexborough Convenience Store</t>
        </is>
      </c>
      <c r="E116" s="5" t="inlineStr">
        <is>
          <t>Premier Mexborough Convenience</t>
        </is>
      </c>
      <c r="F116" s="5" t="inlineStr"/>
      <c r="G116" s="5" t="inlineStr">
        <is>
          <t>Convenience Store</t>
        </is>
      </c>
      <c r="H116" s="5" t="inlineStr">
        <is>
          <t>Convenience store (symbol group)</t>
        </is>
      </c>
      <c r="I116" s="5" t="inlineStr">
        <is>
          <t>Franchise / Symbol Group</t>
        </is>
      </c>
      <c r="J116" s="5" t="inlineStr">
        <is>
          <t>1</t>
        </is>
      </c>
      <c r="K116" s="5" t="inlineStr">
        <is>
          <t>https://www.premier-stores.co.uk/our-stores/mexborough-convenience-store</t>
        </is>
      </c>
      <c r="L116" s="5" t="inlineStr">
        <is>
          <t>https://www.facebook.com/p/Premier-Mexborough-Convenience-Store-100068015556730/</t>
        </is>
      </c>
      <c r="M116" s="5" t="inlineStr"/>
      <c r="N116" s="5" t="inlineStr"/>
      <c r="O116" s="5" t="inlineStr">
        <is>
          <t>41-43 Wath Road</t>
        </is>
      </c>
      <c r="P116" s="5" t="inlineStr"/>
      <c r="Q116" s="5" t="inlineStr">
        <is>
          <t>Mexborough</t>
        </is>
      </c>
      <c r="R116" s="5" t="inlineStr">
        <is>
          <t>South Yorkshire</t>
        </is>
      </c>
      <c r="S116" s="5" t="inlineStr">
        <is>
          <t>S64 9QZ</t>
        </is>
      </c>
      <c r="T116" s="5" t="inlineStr">
        <is>
          <t>Yorkshire &amp; Humber</t>
        </is>
      </c>
      <c r="U116" s="5" t="inlineStr">
        <is>
          <t>England</t>
        </is>
      </c>
      <c r="V116" s="5" t="inlineStr">
        <is>
          <t>01709 581369</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groceries; newspapers; PayPoint; lottery; alcohol; tobacco</t>
        </is>
      </c>
      <c r="AL116" s="5" t="inlineStr"/>
      <c r="AM116" s="5" t="inlineStr">
        <is>
          <t>Convenience Store</t>
        </is>
      </c>
      <c r="AN116" s="5" t="inlineStr">
        <is>
          <t>Premier symbol group (Booker)</t>
        </is>
      </c>
      <c r="AO116" s="5" t="inlineStr">
        <is>
          <t>Independently owned Premier symbol-group convenience store at 41-43 Wath Road, Mexborough. Offers PayPoint, lottery, newspapers, Evri parcel shop, Western Union. Address/postcode/phone from Premier store page and food hygiene listing.</t>
        </is>
      </c>
      <c r="AP116" s="5" t="inlineStr">
        <is>
          <t>High</t>
        </is>
      </c>
      <c r="AQ116" s="5" t="inlineStr">
        <is>
          <t>Multi-site retailer; Independent retailer; Relevant category; Active website; Social presence</t>
        </is>
      </c>
      <c r="AR116" s="5" t="inlineStr">
        <is>
          <t>https://www.premier-stores.co.uk/our-stores/mexborough-convenience-store</t>
        </is>
      </c>
      <c r="AS116" s="5" t="inlineStr">
        <is>
          <t>https://ratings.food.gov.uk/business/763850</t>
        </is>
      </c>
      <c r="AT116" s="5" t="inlineStr">
        <is>
          <t>2</t>
        </is>
      </c>
      <c r="AU116" s="5" t="inlineStr">
        <is>
          <t>No</t>
        </is>
      </c>
      <c r="AV116" s="5" t="inlineStr">
        <is>
          <t>No</t>
        </is>
      </c>
      <c r="AW116" s="5" t="inlineStr">
        <is>
          <t>No</t>
        </is>
      </c>
      <c r="AX116" s="5" t="inlineStr">
        <is>
          <t>No</t>
        </is>
      </c>
      <c r="AY116" s="5" t="inlineStr">
        <is>
          <t>Verified directory</t>
        </is>
      </c>
      <c r="AZ116" s="5" t="inlineStr">
        <is>
          <t>Not Found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2026-09-17</t>
        </is>
      </c>
      <c r="BL116" s="5" t="inlineStr"/>
      <c r="BM116" s="5" t="inlineStr"/>
      <c r="BN116" s="5" t="inlineStr"/>
      <c r="BO116" s="5" t="inlineStr"/>
      <c r="BP116" s="5" t="inlineStr"/>
      <c r="BQ116" s="5" t="inlineStr"/>
    </row>
    <row r="117">
      <c r="A117" s="10" t="inlineStr">
        <is>
          <t>UK-000208</t>
        </is>
      </c>
      <c r="B117" s="10" t="inlineStr">
        <is>
          <t>PREMIERBOO-06</t>
        </is>
      </c>
      <c r="C117" s="10" t="inlineStr">
        <is>
          <t>Premier (Booker)</t>
        </is>
      </c>
      <c r="D117" s="10" t="inlineStr">
        <is>
          <t>Premier Super Convenience Store Barnsley</t>
        </is>
      </c>
      <c r="E117" s="10" t="inlineStr">
        <is>
          <t>Premier Super Convenience Store</t>
        </is>
      </c>
      <c r="F117" s="10" t="inlineStr"/>
      <c r="G117" s="10" t="inlineStr">
        <is>
          <t>Convenience Store</t>
        </is>
      </c>
      <c r="H117" s="10" t="inlineStr">
        <is>
          <t>Convenience store (symbol group)</t>
        </is>
      </c>
      <c r="I117" s="10" t="inlineStr">
        <is>
          <t>Franchise / Symbol Group</t>
        </is>
      </c>
      <c r="J117" s="10" t="inlineStr">
        <is>
          <t>1</t>
        </is>
      </c>
      <c r="K117" s="10" t="inlineStr"/>
      <c r="L117" s="10" t="inlineStr">
        <is>
          <t>https://web.facebook.com/premier3840/</t>
        </is>
      </c>
      <c r="M117" s="10" t="inlineStr"/>
      <c r="N117" s="10" t="inlineStr"/>
      <c r="O117" s="10" t="inlineStr">
        <is>
          <t>38-40 Dodworth Road</t>
        </is>
      </c>
      <c r="P117" s="10" t="inlineStr"/>
      <c r="Q117" s="10" t="inlineStr">
        <is>
          <t>Barnsley</t>
        </is>
      </c>
      <c r="R117" s="10" t="inlineStr">
        <is>
          <t>South Yorkshire</t>
        </is>
      </c>
      <c r="S117" s="10" t="inlineStr"/>
      <c r="T117" s="10" t="inlineStr">
        <is>
          <t>Yorkshire &amp; Humber</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groceries; confectionery; soft drinks; alcohol; tobacco</t>
        </is>
      </c>
      <c r="AL117" s="10" t="inlineStr"/>
      <c r="AM117" s="10" t="inlineStr">
        <is>
          <t>Convenience Store</t>
        </is>
      </c>
      <c r="AN117" s="10" t="inlineStr">
        <is>
          <t>Premier symbol group (Booker)</t>
        </is>
      </c>
      <c r="AO117" s="10" t="inlineStr">
        <is>
          <t>Independently owned Premier symbol-group convenience store at 38-40 Dodworth Road, Barnsley. Facebook page found; postcode not captured.</t>
        </is>
      </c>
      <c r="AP117" s="10" t="inlineStr">
        <is>
          <t>Medium</t>
        </is>
      </c>
      <c r="AQ117" s="10" t="inlineStr">
        <is>
          <t>Multi-site retailer; Independent retailer; Relevant category; Social presence</t>
        </is>
      </c>
      <c r="AR117" s="10" t="inlineStr">
        <is>
          <t>https://web.facebook.com/premier3840/</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Not Found</t>
        </is>
      </c>
      <c r="BA117" s="10" t="inlineStr">
        <is>
          <t>2026-09-17</t>
        </is>
      </c>
      <c r="BB117" s="10" t="inlineStr">
        <is>
          <t>Requires Verification</t>
        </is>
      </c>
      <c r="BC117" s="10" t="inlineStr">
        <is>
          <t>Low</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2026-09-16</t>
        </is>
      </c>
      <c r="BJ117" s="10" t="inlineStr">
        <is>
          <t>New</t>
        </is>
      </c>
      <c r="BK117" s="10" t="inlineStr">
        <is>
          <t>2026-09-17</t>
        </is>
      </c>
      <c r="BL117" s="10" t="inlineStr"/>
      <c r="BM117" s="10" t="inlineStr"/>
      <c r="BN117" s="10" t="inlineStr"/>
      <c r="BO117" s="10" t="inlineStr"/>
      <c r="BP117" s="10" t="inlineStr"/>
      <c r="BQ117" s="10" t="inlineStr"/>
    </row>
    <row r="118">
      <c r="A118" s="5" t="inlineStr">
        <is>
          <t>UK-000209</t>
        </is>
      </c>
      <c r="B118" s="5" t="inlineStr">
        <is>
          <t>PREMIERBOO-07</t>
        </is>
      </c>
      <c r="C118" s="5" t="inlineStr">
        <is>
          <t>Premier (Booker)</t>
        </is>
      </c>
      <c r="D118" s="5" t="inlineStr">
        <is>
          <t>Premier Wombwell Convenience Store</t>
        </is>
      </c>
      <c r="E118" s="5" t="inlineStr">
        <is>
          <t>Premier Wombwell Convenience</t>
        </is>
      </c>
      <c r="F118" s="5" t="inlineStr"/>
      <c r="G118" s="5" t="inlineStr">
        <is>
          <t>Convenience Store</t>
        </is>
      </c>
      <c r="H118" s="5" t="inlineStr">
        <is>
          <t>Convenience store (symbol group)</t>
        </is>
      </c>
      <c r="I118" s="5" t="inlineStr">
        <is>
          <t>Franchise / Symbol Group</t>
        </is>
      </c>
      <c r="J118" s="5" t="inlineStr">
        <is>
          <t>1</t>
        </is>
      </c>
      <c r="K118" s="5" t="inlineStr">
        <is>
          <t>https://www.premier-stores.co.uk/our-stores/wombwell-convenience-store</t>
        </is>
      </c>
      <c r="L118" s="5" t="inlineStr"/>
      <c r="M118" s="5" t="inlineStr"/>
      <c r="N118" s="5" t="inlineStr"/>
      <c r="O118" s="5" t="inlineStr">
        <is>
          <t>2 Pearson Crescent</t>
        </is>
      </c>
      <c r="P118" s="5" t="inlineStr">
        <is>
          <t>Wombwell</t>
        </is>
      </c>
      <c r="Q118" s="5" t="inlineStr">
        <is>
          <t>Barnsley</t>
        </is>
      </c>
      <c r="R118" s="5" t="inlineStr">
        <is>
          <t>South Yorkshire</t>
        </is>
      </c>
      <c r="S118" s="5" t="inlineStr">
        <is>
          <t>S73 8SN</t>
        </is>
      </c>
      <c r="T118" s="5" t="inlineStr">
        <is>
          <t>Yorkshire &amp; Humber</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groceries; confectionery; soft drinks; alcohol; tobacco</t>
        </is>
      </c>
      <c r="AL118" s="5" t="inlineStr"/>
      <c r="AM118" s="5" t="inlineStr">
        <is>
          <t>Convenience Store</t>
        </is>
      </c>
      <c r="AN118" s="5" t="inlineStr">
        <is>
          <t>Premier symbol group (Booker)</t>
        </is>
      </c>
      <c r="AO118" s="5" t="inlineStr">
        <is>
          <t>Independently owned Premier symbol-group convenience store at 2 Pearson Crescent, Wombwell (Barnsley). Address/postcode from Premier store locator.</t>
        </is>
      </c>
      <c r="AP118" s="5" t="inlineStr">
        <is>
          <t>Medium</t>
        </is>
      </c>
      <c r="AQ118" s="5" t="inlineStr">
        <is>
          <t>Multi-site retailer; Independent retailer; Relevant category; Active website</t>
        </is>
      </c>
      <c r="AR118" s="5" t="inlineStr">
        <is>
          <t>https://www.premier-stores.co.uk/our-stores/wombwell-convenience-store</t>
        </is>
      </c>
      <c r="AS118" s="5" t="inlineStr"/>
      <c r="AT118" s="5" t="inlineStr">
        <is>
          <t>1</t>
        </is>
      </c>
      <c r="AU118" s="5" t="inlineStr">
        <is>
          <t>No</t>
        </is>
      </c>
      <c r="AV118" s="5" t="inlineStr">
        <is>
          <t>No</t>
        </is>
      </c>
      <c r="AW118" s="5" t="inlineStr">
        <is>
          <t>No</t>
        </is>
      </c>
      <c r="AX118" s="5" t="inlineStr">
        <is>
          <t>No</t>
        </is>
      </c>
      <c r="AY118" s="5" t="inlineStr">
        <is>
          <t>Not Found</t>
        </is>
      </c>
      <c r="AZ118" s="5" t="inlineStr">
        <is>
          <t>Not Found</t>
        </is>
      </c>
      <c r="BA118" s="5" t="inlineStr">
        <is>
          <t>2026-09-17</t>
        </is>
      </c>
      <c r="BB118" s="5" t="inlineStr">
        <is>
          <t>Requires Verification</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2026-09-17</t>
        </is>
      </c>
      <c r="BL118" s="5" t="inlineStr"/>
      <c r="BM118" s="5" t="inlineStr"/>
      <c r="BN118" s="5" t="inlineStr"/>
      <c r="BO118" s="5" t="inlineStr"/>
      <c r="BP118" s="5" t="inlineStr"/>
      <c r="BQ118" s="5" t="inlineStr"/>
    </row>
    <row r="119">
      <c r="A119" s="10" t="inlineStr">
        <is>
          <t>UK-000210</t>
        </is>
      </c>
      <c r="B119" s="10" t="inlineStr">
        <is>
          <t>PREMIERBOO-08</t>
        </is>
      </c>
      <c r="C119" s="10" t="inlineStr">
        <is>
          <t>Premier (Booker)</t>
        </is>
      </c>
      <c r="D119" s="10" t="inlineStr">
        <is>
          <t>Sheffield Road Premier Convenience Store</t>
        </is>
      </c>
      <c r="E119" s="10" t="inlineStr">
        <is>
          <t>Sheffield Road Premier Convenience Store</t>
        </is>
      </c>
      <c r="F119" s="10" t="inlineStr"/>
      <c r="G119" s="10" t="inlineStr">
        <is>
          <t>Convenience Store</t>
        </is>
      </c>
      <c r="H119" s="10" t="inlineStr">
        <is>
          <t>Convenience store (symbol group)</t>
        </is>
      </c>
      <c r="I119" s="10" t="inlineStr">
        <is>
          <t>Franchise / Symbol Group</t>
        </is>
      </c>
      <c r="J119" s="10" t="inlineStr">
        <is>
          <t>1</t>
        </is>
      </c>
      <c r="K119" s="10" t="inlineStr"/>
      <c r="L119" s="10" t="inlineStr"/>
      <c r="M119" s="10" t="inlineStr"/>
      <c r="N119" s="10" t="inlineStr"/>
      <c r="O119" s="10" t="inlineStr">
        <is>
          <t>110-112 Sheffield Road</t>
        </is>
      </c>
      <c r="P119" s="10" t="inlineStr"/>
      <c r="Q119" s="10" t="inlineStr">
        <is>
          <t>Barnsley</t>
        </is>
      </c>
      <c r="R119" s="10" t="inlineStr">
        <is>
          <t>South Yorkshire</t>
        </is>
      </c>
      <c r="S119" s="10" t="inlineStr">
        <is>
          <t>S70 1JB</t>
        </is>
      </c>
      <c r="T119" s="10" t="inlineStr">
        <is>
          <t>Yorkshire &amp; Humber</t>
        </is>
      </c>
      <c r="U119" s="10" t="inlineStr">
        <is>
          <t>England</t>
        </is>
      </c>
      <c r="V119" s="10" t="inlineStr"/>
      <c r="W119" s="10" t="inlineStr"/>
      <c r="X119" s="10"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groceries; confectionery; soft drinks; alcohol; tobacco</t>
        </is>
      </c>
      <c r="AL119" s="10" t="inlineStr"/>
      <c r="AM119" s="10" t="inlineStr">
        <is>
          <t>Convenience Store</t>
        </is>
      </c>
      <c r="AN119" s="10" t="inlineStr">
        <is>
          <t>Premier symbol group (Booker)</t>
        </is>
      </c>
      <c r="AO119" s="10" t="inlineStr">
        <is>
          <t>Premier symbol-group convenience store at 110-112 Sheffield Road, Barnsley S70 1JB (subject of a Barnsley Council premises licence application). Independently owned.</t>
        </is>
      </c>
      <c r="AP119" s="10" t="inlineStr">
        <is>
          <t>Medium</t>
        </is>
      </c>
      <c r="AQ119" s="10" t="inlineStr">
        <is>
          <t>Multi-site retailer; Independent retailer; Relevant category</t>
        </is>
      </c>
      <c r="AR119" s="10" t="inlineStr">
        <is>
          <t>https://www.barnsley.gov.uk/services/licences-and-permissions/premises-licences/pending-premises-licence-applications/sheffield-road-premier-convenience-store-application-for-a-new-premises-licence</t>
        </is>
      </c>
      <c r="AS119" s="10" t="inlineStr"/>
      <c r="AT119" s="10" t="inlineStr">
        <is>
          <t>1</t>
        </is>
      </c>
      <c r="AU119" s="10" t="inlineStr">
        <is>
          <t>No</t>
        </is>
      </c>
      <c r="AV119" s="10" t="inlineStr">
        <is>
          <t>No</t>
        </is>
      </c>
      <c r="AW119" s="10" t="inlineStr">
        <is>
          <t>No</t>
        </is>
      </c>
      <c r="AX119" s="10" t="inlineStr">
        <is>
          <t>No</t>
        </is>
      </c>
      <c r="AY119" s="10" t="inlineStr">
        <is>
          <t>Not Found</t>
        </is>
      </c>
      <c r="AZ119" s="10" t="inlineStr">
        <is>
          <t>Not Found</t>
        </is>
      </c>
      <c r="BA119" s="10" t="inlineStr">
        <is>
          <t>2026-09-17</t>
        </is>
      </c>
      <c r="BB119" s="10" t="inlineStr">
        <is>
          <t>Requires Verification</t>
        </is>
      </c>
      <c r="BC119" s="10" t="inlineStr">
        <is>
          <t>Low</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2026-09-17</t>
        </is>
      </c>
      <c r="BL119" s="10" t="inlineStr"/>
      <c r="BM119" s="10" t="inlineStr"/>
      <c r="BN119" s="10" t="inlineStr"/>
      <c r="BO119" s="10" t="inlineStr"/>
      <c r="BP119" s="10" t="inlineStr"/>
      <c r="BQ119" s="10" t="inlineStr"/>
    </row>
    <row r="120">
      <c r="A120" s="5" t="inlineStr">
        <is>
          <t>UK-000717</t>
        </is>
      </c>
      <c r="B120" s="5" t="inlineStr">
        <is>
          <t>PREMIERBOO-01</t>
        </is>
      </c>
      <c r="C120" s="5" t="inlineStr">
        <is>
          <t>Premier (Booker) symbol group</t>
        </is>
      </c>
      <c r="D120" s="5" t="inlineStr">
        <is>
          <t>Premier - Shawlands Convenience Store</t>
        </is>
      </c>
      <c r="E120" s="5" t="inlineStr">
        <is>
          <t>Premier - Shawlands Convenience Store</t>
        </is>
      </c>
      <c r="F120" s="5" t="inlineStr"/>
      <c r="G120" s="5" t="inlineStr">
        <is>
          <t>Convenience Store</t>
        </is>
      </c>
      <c r="H120" s="5" t="inlineStr">
        <is>
          <t>Symbol-group convenience store</t>
        </is>
      </c>
      <c r="I120" s="5" t="inlineStr">
        <is>
          <t>Franchise / Symbol Group</t>
        </is>
      </c>
      <c r="J120" s="5" t="inlineStr">
        <is>
          <t>1</t>
        </is>
      </c>
      <c r="K120" s="5" t="inlineStr"/>
      <c r="L120" s="5" t="inlineStr"/>
      <c r="M120" s="5" t="inlineStr"/>
      <c r="N120" s="5" t="inlineStr"/>
      <c r="O120" s="5" t="inlineStr">
        <is>
          <t>1454 Pollokshaws Road</t>
        </is>
      </c>
      <c r="P120" s="5" t="inlineStr">
        <is>
          <t>Shawlands</t>
        </is>
      </c>
      <c r="Q120" s="5" t="inlineStr">
        <is>
          <t>Glasgow</t>
        </is>
      </c>
      <c r="R120" s="5" t="inlineStr">
        <is>
          <t>Glasgow City</t>
        </is>
      </c>
      <c r="S120" s="5" t="inlineStr">
        <is>
          <t>G43 1RN</t>
        </is>
      </c>
      <c r="T120" s="5" t="inlineStr">
        <is>
          <t>Scotland</t>
        </is>
      </c>
      <c r="U120" s="5" t="inlineStr">
        <is>
          <t>Scotland</t>
        </is>
      </c>
      <c r="V120" s="5" t="inlineStr">
        <is>
          <t>0141 632 3236</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convenience grocery; off-licence; tobacco; confectionery</t>
        </is>
      </c>
      <c r="AL120" s="5" t="inlineStr"/>
      <c r="AM120" s="5" t="inlineStr">
        <is>
          <t>Convenience Store</t>
        </is>
      </c>
      <c r="AN120" s="5" t="inlineStr">
        <is>
          <t>Premier (Booker) symbol-group fascia</t>
        </is>
      </c>
      <c r="AO120" s="5" t="inlineStr">
        <is>
          <t>Independent convenience store trading under the Premier symbol-group fascia on Pollokshaws Road, Shawlands (Southside). Address, postcode and phone from Firmania/Yell.</t>
        </is>
      </c>
      <c r="AP120" s="5" t="inlineStr">
        <is>
          <t>Medium</t>
        </is>
      </c>
      <c r="AQ120" s="5" t="inlineStr">
        <is>
          <t>Multi-site retailer; Independent retailer; Relevant category</t>
        </is>
      </c>
      <c r="AR120" s="5" t="inlineStr">
        <is>
          <t>https://www.yell.com/biz/premier-shawlands-convenience-store-glasgow-7541485/</t>
        </is>
      </c>
      <c r="AS120" s="5" t="inlineStr">
        <is>
          <t>https://firmania.co.uk/glasgow/premier-shawlands-convenience-store-1942723</t>
        </is>
      </c>
      <c r="AT120" s="5" t="inlineStr">
        <is>
          <t>2</t>
        </is>
      </c>
      <c r="AU120" s="5" t="inlineStr">
        <is>
          <t>No</t>
        </is>
      </c>
      <c r="AV120" s="5" t="inlineStr">
        <is>
          <t>No</t>
        </is>
      </c>
      <c r="AW120" s="5" t="inlineStr">
        <is>
          <t>No</t>
        </is>
      </c>
      <c r="AX120" s="5" t="inlineStr">
        <is>
          <t>No</t>
        </is>
      </c>
      <c r="AY120" s="5" t="inlineStr">
        <is>
          <t>Verified directory</t>
        </is>
      </c>
      <c r="AZ120" s="5" t="inlineStr">
        <is>
          <t>Not Found</t>
        </is>
      </c>
      <c r="BA120" s="5" t="inlineStr">
        <is>
          <t>2026-09-17</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2026-09-17</t>
        </is>
      </c>
      <c r="BJ120" s="5" t="inlineStr">
        <is>
          <t>New</t>
        </is>
      </c>
      <c r="BK120" s="5" t="inlineStr">
        <is>
          <t>2026-09-17</t>
        </is>
      </c>
      <c r="BL120" s="5" t="inlineStr"/>
      <c r="BM120" s="5" t="inlineStr"/>
      <c r="BN120" s="5" t="inlineStr"/>
      <c r="BO120" s="5" t="inlineStr"/>
      <c r="BP120" s="5" t="inlineStr"/>
      <c r="BQ120" s="5" t="inlineStr"/>
    </row>
    <row r="121">
      <c r="A121" s="10" t="inlineStr">
        <is>
          <t>UK-000718</t>
        </is>
      </c>
      <c r="B121" s="10" t="inlineStr">
        <is>
          <t>PRIMEVAPOU-01</t>
        </is>
      </c>
      <c r="C121" s="10" t="inlineStr">
        <is>
          <t>Prime Vapour</t>
        </is>
      </c>
      <c r="D121" s="10" t="inlineStr">
        <is>
          <t>Prime Vapour East Kilbride</t>
        </is>
      </c>
      <c r="E121" s="10" t="inlineStr">
        <is>
          <t>Prime Vapour</t>
        </is>
      </c>
      <c r="F121" s="10" t="inlineStr"/>
      <c r="G121" s="10" t="inlineStr">
        <is>
          <t>Vape Shop</t>
        </is>
      </c>
      <c r="H121" s="10" t="inlineStr">
        <is>
          <t>Vape shop</t>
        </is>
      </c>
      <c r="I121" s="10" t="inlineStr">
        <is>
          <t>Multi-Site Independent</t>
        </is>
      </c>
      <c r="J121" s="10" t="inlineStr">
        <is>
          <t>2</t>
        </is>
      </c>
      <c r="K121" s="10" t="inlineStr"/>
      <c r="L121" s="10" t="inlineStr"/>
      <c r="M121" s="10" t="inlineStr"/>
      <c r="N121" s="10" t="inlineStr"/>
      <c r="O121" s="10" t="inlineStr">
        <is>
          <t>Cornwall Street</t>
        </is>
      </c>
      <c r="P121" s="10" t="inlineStr"/>
      <c r="Q121" s="10" t="inlineStr">
        <is>
          <t>East Kilbride</t>
        </is>
      </c>
      <c r="R121" s="10" t="inlineStr">
        <is>
          <t>South Lanarkshire</t>
        </is>
      </c>
      <c r="S121" s="10" t="inlineStr">
        <is>
          <t>G74 1AF</t>
        </is>
      </c>
      <c r="T121" s="10" t="inlineStr">
        <is>
          <t>Scotland</t>
        </is>
      </c>
      <c r="U121" s="10" t="inlineStr">
        <is>
          <t>Scotland</t>
        </is>
      </c>
      <c r="V121" s="10" t="inlineStr">
        <is>
          <t>01355 458188</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vape hardware; e-liquids</t>
        </is>
      </c>
      <c r="AL121" s="10" t="inlineStr"/>
      <c r="AM121" s="10" t="inlineStr">
        <is>
          <t>Vape Shop</t>
        </is>
      </c>
      <c r="AN121" s="10" t="inlineStr"/>
      <c r="AO121" s="10" t="inlineStr">
        <is>
          <t>Prime Vapour is a small Lanarkshire vape chain with stores in East Kilbride and Motherwell (shared parent_company). East Kilbride store on Cornwall Street.</t>
        </is>
      </c>
      <c r="AP121" s="10" t="inlineStr">
        <is>
          <t>Medium</t>
        </is>
      </c>
      <c r="AQ121" s="10" t="inlineStr">
        <is>
          <t>Multi-site retailer; Independent retailer; Core relevant category</t>
        </is>
      </c>
      <c r="AR121" s="10" t="inlineStr">
        <is>
          <t>https://ecigdirectory.co.uk/vape-shop/listing/prime-vapour</t>
        </is>
      </c>
      <c r="AS121" s="10" t="inlineStr"/>
      <c r="AT121" s="10" t="inlineStr">
        <is>
          <t>1</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2026-09-17</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2026-09-17</t>
        </is>
      </c>
      <c r="BJ121" s="10" t="inlineStr">
        <is>
          <t>New</t>
        </is>
      </c>
      <c r="BK121" s="10" t="inlineStr">
        <is>
          <t>2026-09-17</t>
        </is>
      </c>
      <c r="BL121" s="10" t="inlineStr"/>
      <c r="BM121" s="10" t="inlineStr"/>
      <c r="BN121" s="10" t="inlineStr"/>
      <c r="BO121" s="10" t="inlineStr"/>
      <c r="BP121" s="10" t="inlineStr"/>
      <c r="BQ121" s="10" t="inlineStr"/>
    </row>
    <row r="122">
      <c r="A122" s="5" t="inlineStr">
        <is>
          <t>UK-000719</t>
        </is>
      </c>
      <c r="B122" s="5" t="inlineStr">
        <is>
          <t>PRIMEVAPOU-02</t>
        </is>
      </c>
      <c r="C122" s="5" t="inlineStr">
        <is>
          <t>Prime Vapour</t>
        </is>
      </c>
      <c r="D122" s="5" t="inlineStr">
        <is>
          <t>Prime Vapour Motherwell</t>
        </is>
      </c>
      <c r="E122" s="5" t="inlineStr">
        <is>
          <t>Prime Vapour</t>
        </is>
      </c>
      <c r="F122" s="5" t="inlineStr"/>
      <c r="G122" s="5" t="inlineStr">
        <is>
          <t>Vape Shop</t>
        </is>
      </c>
      <c r="H122" s="5" t="inlineStr">
        <is>
          <t>Vape shop</t>
        </is>
      </c>
      <c r="I122" s="5" t="inlineStr">
        <is>
          <t>Multi-Site Independent</t>
        </is>
      </c>
      <c r="J122" s="5" t="inlineStr">
        <is>
          <t>2</t>
        </is>
      </c>
      <c r="K122" s="5" t="inlineStr"/>
      <c r="L122" s="5" t="inlineStr"/>
      <c r="M122" s="5" t="inlineStr"/>
      <c r="N122" s="5" t="inlineStr"/>
      <c r="O122" s="5" t="inlineStr">
        <is>
          <t>2 Brandon Parade East</t>
        </is>
      </c>
      <c r="P122" s="5" t="inlineStr"/>
      <c r="Q122" s="5" t="inlineStr">
        <is>
          <t>Motherwell</t>
        </is>
      </c>
      <c r="R122" s="5" t="inlineStr">
        <is>
          <t>North Lanarkshire</t>
        </is>
      </c>
      <c r="S122" s="5" t="inlineStr">
        <is>
          <t>ML1 1LY</t>
        </is>
      </c>
      <c r="T122" s="5" t="inlineStr">
        <is>
          <t>Scotland</t>
        </is>
      </c>
      <c r="U122" s="5" t="inlineStr">
        <is>
          <t>Scotland</t>
        </is>
      </c>
      <c r="V122" s="5" t="inlineStr">
        <is>
          <t>01698 253423</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vape hardware; e-liquids</t>
        </is>
      </c>
      <c r="AL122" s="5" t="inlineStr"/>
      <c r="AM122" s="5" t="inlineStr">
        <is>
          <t>Vape Shop</t>
        </is>
      </c>
      <c r="AN122" s="5" t="inlineStr"/>
      <c r="AO122" s="5" t="inlineStr">
        <is>
          <t>Prime Vapour Motherwell store on Brandon Parade East (Motherwell town centre). Same parent as Prime Vapour East Kilbride.</t>
        </is>
      </c>
      <c r="AP122" s="5" t="inlineStr">
        <is>
          <t>Medium</t>
        </is>
      </c>
      <c r="AQ122" s="5" t="inlineStr">
        <is>
          <t>Multi-site retailer; Independent retailer; Core relevant category</t>
        </is>
      </c>
      <c r="AR122" s="5" t="inlineStr">
        <is>
          <t>https://m.yelp.com/c/motherwell-north-lanarkshire-gb/vapeshops</t>
        </is>
      </c>
      <c r="AS122" s="5" t="inlineStr"/>
      <c r="AT122" s="5" t="inlineStr">
        <is>
          <t>1</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2026-09-17</t>
        </is>
      </c>
      <c r="BB122" s="5" t="inlineStr">
        <is>
          <t>Requires Verification</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UK-000720</t>
        </is>
      </c>
      <c r="B123" s="10" t="inlineStr">
        <is>
          <t>PROVAPOR-01</t>
        </is>
      </c>
      <c r="C123" s="10" t="inlineStr">
        <is>
          <t>Pro Vapor</t>
        </is>
      </c>
      <c r="D123" s="10" t="inlineStr">
        <is>
          <t>Pro Vapor Leith Walk</t>
        </is>
      </c>
      <c r="E123" s="10" t="inlineStr">
        <is>
          <t>Pro Vapor</t>
        </is>
      </c>
      <c r="F123" s="10" t="inlineStr"/>
      <c r="G123" s="10" t="inlineStr">
        <is>
          <t>Vape Shop</t>
        </is>
      </c>
      <c r="H123" s="10" t="inlineStr">
        <is>
          <t>E-cigarettes &amp; e-liquids</t>
        </is>
      </c>
      <c r="I123" s="10" t="inlineStr">
        <is>
          <t>Multi-Site Independent</t>
        </is>
      </c>
      <c r="J123" s="10" t="inlineStr">
        <is>
          <t>2</t>
        </is>
      </c>
      <c r="K123" s="10" t="inlineStr"/>
      <c r="L123" s="10" t="inlineStr"/>
      <c r="M123" s="10" t="inlineStr"/>
      <c r="N123" s="10" t="inlineStr"/>
      <c r="O123" s="10" t="inlineStr">
        <is>
          <t>20 Albert Place</t>
        </is>
      </c>
      <c r="P123" s="10" t="inlineStr">
        <is>
          <t>Leith Walk</t>
        </is>
      </c>
      <c r="Q123" s="10" t="inlineStr">
        <is>
          <t>Edinburgh</t>
        </is>
      </c>
      <c r="R123" s="10" t="inlineStr">
        <is>
          <t>City of Edinburgh</t>
        </is>
      </c>
      <c r="S123" s="10" t="inlineStr">
        <is>
          <t>EH7 5HN</t>
        </is>
      </c>
      <c r="T123" s="10" t="inlineStr">
        <is>
          <t>Scotland</t>
        </is>
      </c>
      <c r="U123" s="10" t="inlineStr">
        <is>
          <t>Scotland</t>
        </is>
      </c>
      <c r="V123" s="10" t="inlineStr">
        <is>
          <t>0131 556 4151</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vape hardware; e-liquids</t>
        </is>
      </c>
      <c r="AL123" s="10" t="inlineStr"/>
      <c r="AM123" s="10" t="inlineStr">
        <is>
          <t>Vape Shop</t>
        </is>
      </c>
      <c r="AN123" s="10" t="inlineStr"/>
      <c r="AO123" s="10" t="inlineStr">
        <is>
          <t>Independent Edinburgh vape retailer with a second listing on Easter Road (separate Cylex listing) and Clerk Street. This record is the Albert Place / Leith Walk branch. Details from Cylex snippet.</t>
        </is>
      </c>
      <c r="AP123" s="10" t="inlineStr">
        <is>
          <t>Medium</t>
        </is>
      </c>
      <c r="AQ123" s="10" t="inlineStr">
        <is>
          <t>Multi-site retailer; Independent retailer; Core relevant category</t>
        </is>
      </c>
      <c r="AR123" s="10" t="inlineStr">
        <is>
          <t>https://edinburgh.cylex-uk.co.uk/company/pro--vapor-27369658.html</t>
        </is>
      </c>
      <c r="AS123" s="10" t="inlineStr"/>
      <c r="AT123" s="10" t="inlineStr">
        <is>
          <t>1</t>
        </is>
      </c>
      <c r="AU123" s="10" t="inlineStr">
        <is>
          <t>No</t>
        </is>
      </c>
      <c r="AV123" s="10" t="inlineStr">
        <is>
          <t>No</t>
        </is>
      </c>
      <c r="AW123" s="10" t="inlineStr">
        <is>
          <t>No</t>
        </is>
      </c>
      <c r="AX123" s="10" t="inlineStr">
        <is>
          <t>No</t>
        </is>
      </c>
      <c r="AY123" s="10" t="inlineStr">
        <is>
          <t>Verified directory</t>
        </is>
      </c>
      <c r="AZ123" s="10" t="inlineStr">
        <is>
          <t>Not Found</t>
        </is>
      </c>
      <c r="BA123" s="10" t="inlineStr">
        <is>
          <t>2026-09-17</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UK-000559</t>
        </is>
      </c>
      <c r="B124" s="5" t="inlineStr">
        <is>
          <t>QUALITYFOO-01</t>
        </is>
      </c>
      <c r="C124" s="5" t="inlineStr">
        <is>
          <t>Quality Foods</t>
        </is>
      </c>
      <c r="D124" s="5" t="inlineStr">
        <is>
          <t>Quality Foods</t>
        </is>
      </c>
      <c r="E124" s="5" t="inlineStr">
        <is>
          <t>Quality Foods Southall</t>
        </is>
      </c>
      <c r="F124" s="5" t="inlineStr"/>
      <c r="G124" s="5" t="inlineStr">
        <is>
          <t>Independent Supermarket</t>
        </is>
      </c>
      <c r="H124" s="5" t="inlineStr">
        <is>
          <t>South Asian / world food supermarket</t>
        </is>
      </c>
      <c r="I124" s="5" t="inlineStr">
        <is>
          <t>Multi-Site Independent</t>
        </is>
      </c>
      <c r="J124" s="5" t="inlineStr">
        <is>
          <t>2</t>
        </is>
      </c>
      <c r="K124" s="5" t="inlineStr">
        <is>
          <t>https://www.qualityfoodsonline.com</t>
        </is>
      </c>
      <c r="L124" s="5" t="inlineStr"/>
      <c r="M124" s="5" t="inlineStr"/>
      <c r="N124" s="5" t="inlineStr"/>
      <c r="O124" s="5" t="inlineStr">
        <is>
          <t>47-61 South Road</t>
        </is>
      </c>
      <c r="P124" s="5" t="inlineStr"/>
      <c r="Q124" s="5" t="inlineStr">
        <is>
          <t>Southall</t>
        </is>
      </c>
      <c r="R124" s="5" t="inlineStr">
        <is>
          <t>Greater London</t>
        </is>
      </c>
      <c r="S124" s="5" t="inlineStr">
        <is>
          <t>UB1 1SQ</t>
        </is>
      </c>
      <c r="T124" s="5" t="inlineStr">
        <is>
          <t>London</t>
        </is>
      </c>
      <c r="U124" s="5" t="inlineStr">
        <is>
          <t>England</t>
        </is>
      </c>
      <c r="V124" s="5" t="inlineStr">
        <is>
          <t>020 8571 6966</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South Asian groceries; fresh produce; halal; world foods; frozen</t>
        </is>
      </c>
      <c r="AL124" s="5" t="inlineStr"/>
      <c r="AM124" s="5" t="inlineStr">
        <is>
          <t>Independent Supermarket</t>
        </is>
      </c>
      <c r="AN124" s="5" t="inlineStr"/>
      <c r="AO124" s="5" t="inlineStr">
        <is>
          <t>Well-known independent world-food supermarket in Southall with an online store (qualityfoodsonline.com) and multiple sites. Phone from Thomson Local; alternative store number 020 8917 9188 also published.</t>
        </is>
      </c>
      <c r="AP124" s="5" t="inlineStr">
        <is>
          <t>Medium</t>
        </is>
      </c>
      <c r="AQ124" s="5" t="inlineStr">
        <is>
          <t>Multi-site retailer; Independent retailer; Relevant category; Active website</t>
        </is>
      </c>
      <c r="AR124" s="5" t="inlineStr">
        <is>
          <t>https://www.qualityfoodsonline.com/pages/shops</t>
        </is>
      </c>
      <c r="AS124" s="5" t="inlineStr">
        <is>
          <t>https://www.thomsonlocal.com/search/food-products-mnfrs/ealing/quality-foods/1124447/02085716966</t>
        </is>
      </c>
      <c r="AT124" s="5" t="inlineStr">
        <is>
          <t>3</t>
        </is>
      </c>
      <c r="AU124" s="5" t="inlineStr">
        <is>
          <t>Yes</t>
        </is>
      </c>
      <c r="AV124" s="5" t="inlineStr">
        <is>
          <t>No</t>
        </is>
      </c>
      <c r="AW124" s="5" t="inlineStr">
        <is>
          <t>No</t>
        </is>
      </c>
      <c r="AX124" s="5" t="inlineStr">
        <is>
          <t>No</t>
        </is>
      </c>
      <c r="AY124" s="5" t="inlineStr">
        <is>
          <t>Verified directory</t>
        </is>
      </c>
      <c r="AZ124" s="5" t="inlineStr">
        <is>
          <t>Not Found</t>
        </is>
      </c>
      <c r="BA124" s="5" t="inlineStr">
        <is>
          <t>2026-09-17</t>
        </is>
      </c>
      <c r="BB124" s="5" t="inlineStr">
        <is>
          <t>Partially Verified</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UK-000560</t>
        </is>
      </c>
      <c r="B125" s="10" t="inlineStr">
        <is>
          <t>QUALITYFOO-02</t>
        </is>
      </c>
      <c r="C125" s="10" t="inlineStr">
        <is>
          <t>Quality Foods</t>
        </is>
      </c>
      <c r="D125" s="10" t="inlineStr">
        <is>
          <t>Quality Foods (Ilford)</t>
        </is>
      </c>
      <c r="E125" s="10" t="inlineStr">
        <is>
          <t>Quality Foods</t>
        </is>
      </c>
      <c r="F125" s="10" t="inlineStr"/>
      <c r="G125" s="10" t="inlineStr">
        <is>
          <t>Independent Supermarket</t>
        </is>
      </c>
      <c r="H125" s="10" t="inlineStr">
        <is>
          <t>Asian / world-food supermarket</t>
        </is>
      </c>
      <c r="I125" s="10" t="inlineStr">
        <is>
          <t>Multi-Site Independent</t>
        </is>
      </c>
      <c r="J125" s="10" t="inlineStr">
        <is>
          <t>1</t>
        </is>
      </c>
      <c r="K125" s="10" t="inlineStr"/>
      <c r="L125" s="10" t="inlineStr"/>
      <c r="M125" s="10" t="inlineStr"/>
      <c r="N125" s="10" t="inlineStr"/>
      <c r="O125" s="10" t="inlineStr">
        <is>
          <t>135 High Road</t>
        </is>
      </c>
      <c r="P125" s="10" t="inlineStr"/>
      <c r="Q125" s="10" t="inlineStr">
        <is>
          <t>Ilford</t>
        </is>
      </c>
      <c r="R125" s="10" t="inlineStr">
        <is>
          <t>Greater London</t>
        </is>
      </c>
      <c r="S125" s="10" t="inlineStr">
        <is>
          <t>IG1 1DE</t>
        </is>
      </c>
      <c r="T125" s="10" t="inlineStr">
        <is>
          <t>London</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world foods; groceries; fresh produce; halal</t>
        </is>
      </c>
      <c r="AL125" s="10" t="inlineStr"/>
      <c r="AM125" s="10" t="inlineStr">
        <is>
          <t>Independent Supermarket</t>
        </is>
      </c>
      <c r="AN125" s="10" t="inlineStr"/>
      <c r="AO125" s="10" t="inlineStr">
        <is>
          <t>Well-known Asian/world-food supermarket in the heart of Ilford. Address/postcode cross-referenced on Yell and Cylex.</t>
        </is>
      </c>
      <c r="AP125" s="10" t="inlineStr">
        <is>
          <t>Medium</t>
        </is>
      </c>
      <c r="AQ125" s="10" t="inlineStr">
        <is>
          <t>Multi-site retailer; Independent retailer; Relevant category</t>
        </is>
      </c>
      <c r="AR125" s="10" t="inlineStr">
        <is>
          <t>https://www.yell.com/biz/quality-foods-ilford-364548/</t>
        </is>
      </c>
      <c r="AS125" s="10" t="inlineStr">
        <is>
          <t>https://ilford.cylex-uk.co.uk/company/quality-foods---ilford-13183204.html</t>
        </is>
      </c>
      <c r="AT125" s="10" t="inlineStr">
        <is>
          <t>2</t>
        </is>
      </c>
      <c r="AU125" s="10" t="inlineStr">
        <is>
          <t>No</t>
        </is>
      </c>
      <c r="AV125" s="10" t="inlineStr">
        <is>
          <t>No</t>
        </is>
      </c>
      <c r="AW125" s="10" t="inlineStr">
        <is>
          <t>No</t>
        </is>
      </c>
      <c r="AX125" s="10" t="inlineStr">
        <is>
          <t>No</t>
        </is>
      </c>
      <c r="AY125" s="10" t="inlineStr">
        <is>
          <t>Not Found</t>
        </is>
      </c>
      <c r="AZ125" s="10" t="inlineStr">
        <is>
          <t>Not Found</t>
        </is>
      </c>
      <c r="BA125" s="10" t="inlineStr">
        <is>
          <t>2026-09-17</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UK-000318</t>
        </is>
      </c>
      <c r="B126" s="5" t="inlineStr">
        <is>
          <t>SGNRETAILC-01</t>
        </is>
      </c>
      <c r="C126" s="5" t="inlineStr">
        <is>
          <t>SGN Retail (Costcutter symbol group)</t>
        </is>
      </c>
      <c r="D126" s="5" t="inlineStr">
        <is>
          <t>Seedley Road Service Station (Costcutter, Salford)</t>
        </is>
      </c>
      <c r="E126" s="5" t="inlineStr">
        <is>
          <t>Seedley Road Service Station</t>
        </is>
      </c>
      <c r="F126" s="5" t="inlineStr"/>
      <c r="G126" s="5" t="inlineStr">
        <is>
          <t>Petrol Station / Forecourt</t>
        </is>
      </c>
      <c r="H126" s="5" t="inlineStr">
        <is>
          <t>Forecourt convenience (Costcutter/BP)</t>
        </is>
      </c>
      <c r="I126" s="5" t="inlineStr">
        <is>
          <t>Franchise / Symbol Group</t>
        </is>
      </c>
      <c r="J126" s="5" t="inlineStr">
        <is>
          <t>1</t>
        </is>
      </c>
      <c r="K126" s="5" t="inlineStr"/>
      <c r="L126" s="5" t="inlineStr"/>
      <c r="M126" s="5" t="inlineStr"/>
      <c r="N126" s="5" t="inlineStr"/>
      <c r="O126" s="5" t="inlineStr">
        <is>
          <t>21 Seedley Road</t>
        </is>
      </c>
      <c r="P126" s="5" t="inlineStr"/>
      <c r="Q126" s="5" t="inlineStr">
        <is>
          <t>Salford</t>
        </is>
      </c>
      <c r="R126" s="5" t="inlineStr">
        <is>
          <t>Greater Manchester</t>
        </is>
      </c>
      <c r="S126" s="5" t="inlineStr">
        <is>
          <t>M6 5WN</t>
        </is>
      </c>
      <c r="T126" s="5" t="inlineStr">
        <is>
          <t>North West</t>
        </is>
      </c>
      <c r="U126" s="5" t="inlineStr">
        <is>
          <t>England</t>
        </is>
      </c>
      <c r="V126" s="5" t="inlineStr">
        <is>
          <t>0161 737 8126</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fuel; forecourt convenience; off-licence; tobacco; groceries</t>
        </is>
      </c>
      <c r="AL126" s="5" t="inlineStr"/>
      <c r="AM126" s="5" t="inlineStr">
        <is>
          <t>Petrol Station / Forecourt</t>
        </is>
      </c>
      <c r="AN126" s="5" t="inlineStr">
        <is>
          <t>Costcutter symbol group; SGN Retail independent forecourt operator</t>
        </is>
      </c>
      <c r="AO126" s="5" t="inlineStr">
        <is>
          <t>24/7 forecourt convenience store (Costcutter fascia) on a BP-branded independent forecourt operated by SGN Retail. Address/phone from 24 Hour Alcohol / SGN Retail locations.</t>
        </is>
      </c>
      <c r="AP126" s="5" t="inlineStr">
        <is>
          <t>Medium</t>
        </is>
      </c>
      <c r="AQ126" s="5" t="inlineStr">
        <is>
          <t>Multi-site retailer; Independent retailer; Relevant category</t>
        </is>
      </c>
      <c r="AR126" s="5" t="inlineStr">
        <is>
          <t>https://www.24houralcohol.co.uk/salford-off-licences</t>
        </is>
      </c>
      <c r="AS126" s="5" t="inlineStr"/>
      <c r="AT126" s="5" t="inlineStr">
        <is>
          <t>1</t>
        </is>
      </c>
      <c r="AU126" s="5" t="inlineStr">
        <is>
          <t>No</t>
        </is>
      </c>
      <c r="AV126" s="5" t="inlineStr">
        <is>
          <t>No</t>
        </is>
      </c>
      <c r="AW126" s="5" t="inlineStr">
        <is>
          <t>No</t>
        </is>
      </c>
      <c r="AX126" s="5" t="inlineStr">
        <is>
          <t>No</t>
        </is>
      </c>
      <c r="AY126" s="5" t="inlineStr">
        <is>
          <t>Verified directory</t>
        </is>
      </c>
      <c r="AZ126" s="5" t="inlineStr">
        <is>
          <t>Not Found</t>
        </is>
      </c>
      <c r="BA126" s="5" t="inlineStr">
        <is>
          <t>2026-09-17</t>
        </is>
      </c>
      <c r="BB126" s="5" t="inlineStr">
        <is>
          <t>Requires Verification</t>
        </is>
      </c>
      <c r="BC126" s="5" t="inlineStr">
        <is>
          <t>Low</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WY-0022</t>
        </is>
      </c>
      <c r="B127" s="10" t="inlineStr">
        <is>
          <t>SMKD-01</t>
        </is>
      </c>
      <c r="C127" s="10" t="inlineStr">
        <is>
          <t>SMKD</t>
        </is>
      </c>
      <c r="D127" s="10" t="inlineStr">
        <is>
          <t>SMKD</t>
        </is>
      </c>
      <c r="E127" s="10" t="inlineStr">
        <is>
          <t>SMKD Halifax</t>
        </is>
      </c>
      <c r="F127" s="10" t="inlineStr">
        <is>
          <t>SMKD VAPE LIMITED</t>
        </is>
      </c>
      <c r="G127" s="10" t="inlineStr">
        <is>
          <t>Vape Shop</t>
        </is>
      </c>
      <c r="H127" s="10" t="inlineStr">
        <is>
          <t>Vape chain store</t>
        </is>
      </c>
      <c r="I127" s="10" t="inlineStr">
        <is>
          <t>Regional Chain</t>
        </is>
      </c>
      <c r="J127" s="10" t="inlineStr"/>
      <c r="K127" s="10" t="inlineStr">
        <is>
          <t>https://smkd.com/vape-shop-locator/smkd-halifax-vape-shop-market-street/</t>
        </is>
      </c>
      <c r="L127" s="10" t="inlineStr">
        <is>
          <t>https://www.facebook.com/SmkdVapeShop/</t>
        </is>
      </c>
      <c r="M127" s="10" t="inlineStr"/>
      <c r="N127" s="10" t="inlineStr"/>
      <c r="O127" s="10" t="inlineStr">
        <is>
          <t>31-32 Market Street</t>
        </is>
      </c>
      <c r="P127" s="10" t="inlineStr">
        <is>
          <t>Borough Market</t>
        </is>
      </c>
      <c r="Q127" s="10" t="inlineStr">
        <is>
          <t>Halifax</t>
        </is>
      </c>
      <c r="R127" s="10" t="inlineStr">
        <is>
          <t>West Yorkshire</t>
        </is>
      </c>
      <c r="S127" s="10" t="inlineStr">
        <is>
          <t>HX1 1DZ</t>
        </is>
      </c>
      <c r="T127" s="10" t="inlineStr">
        <is>
          <t>Yorkshire &amp; Humber</t>
        </is>
      </c>
      <c r="U127" s="10" t="inlineStr">
        <is>
          <t>England</t>
        </is>
      </c>
      <c r="V127" s="10" t="inlineStr"/>
      <c r="W127" s="10" t="inlineStr"/>
      <c r="X127" s="10" t="inlineStr"/>
      <c r="Y127" s="10" t="inlineStr">
        <is>
          <t>info@smkd.com</t>
        </is>
      </c>
      <c r="Z127" s="10" t="inlineStr"/>
      <c r="AA127" s="10" t="inlineStr"/>
      <c r="AB127" s="10" t="inlineStr"/>
      <c r="AC127" s="10" t="inlineStr"/>
      <c r="AD127" s="10" t="inlineStr"/>
      <c r="AE127" s="10" t="inlineStr">
        <is>
          <t>16161027</t>
        </is>
      </c>
      <c r="AF127" s="10" t="inlineStr">
        <is>
          <t>Active</t>
        </is>
      </c>
      <c r="AG127" s="10" t="inlineStr">
        <is>
          <t>SMKD VAPE LIMITED</t>
        </is>
      </c>
      <c r="AH127" s="10" t="inlineStr">
        <is>
          <t>Bradford Chamber Business Park, New Lane, Laisterdyke, Bradford, BD4 8BX</t>
        </is>
      </c>
      <c r="AI127" s="10" t="inlineStr">
        <is>
          <t>2025-01-03</t>
        </is>
      </c>
      <c r="AJ127" s="10" t="inlineStr"/>
      <c r="AK127" s="10" t="inlineStr">
        <is>
          <t>vape hardware; e-liquids; disposables</t>
        </is>
      </c>
      <c r="AL127" s="10" t="inlineStr"/>
      <c r="AM127" s="10" t="inlineStr">
        <is>
          <t>Vape Shop</t>
        </is>
      </c>
      <c r="AN127" s="10" t="inlineStr"/>
      <c r="AO127"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127" s="10" t="inlineStr">
        <is>
          <t>High</t>
        </is>
      </c>
      <c r="AQ127" s="10" t="inlineStr">
        <is>
          <t>Multi-site retailer; Core relevant category; Public email available; Active website; Social presence</t>
        </is>
      </c>
      <c r="AR127" s="10" t="inlineStr">
        <is>
          <t>https://smkd.com/vape-shop-locator/smkd-halifax-vape-shop-market-street/</t>
        </is>
      </c>
      <c r="AS127" s="10" t="inlineStr">
        <is>
          <t>https://www.ukmalls.co.uk/shopping-centres/england/yorkshire-and-the-humber/halifax/halifax-borough-market/smkd-e-cigarettes-and-vape-shop-halifax</t>
        </is>
      </c>
      <c r="AT127" s="10" t="inlineStr">
        <is>
          <t>2</t>
        </is>
      </c>
      <c r="AU127" s="10" t="inlineStr">
        <is>
          <t>No</t>
        </is>
      </c>
      <c r="AV127" s="10" t="inlineStr">
        <is>
          <t>No</t>
        </is>
      </c>
      <c r="AW127" s="10" t="inlineStr">
        <is>
          <t>Yes</t>
        </is>
      </c>
      <c r="AX127" s="10" t="inlineStr">
        <is>
          <t>Yes</t>
        </is>
      </c>
      <c r="AY127" s="10" t="inlineStr">
        <is>
          <t>Not Found</t>
        </is>
      </c>
      <c r="AZ127" s="10" t="inlineStr">
        <is>
          <t>Website Found</t>
        </is>
      </c>
      <c r="BA127" s="10" t="inlineStr">
        <is>
          <t>2026-09-17</t>
        </is>
      </c>
      <c r="BB127" s="10" t="inlineStr">
        <is>
          <t>Partially Verified</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2026-09-17</t>
        </is>
      </c>
      <c r="BL127" s="10" t="inlineStr"/>
      <c r="BM127" s="10" t="inlineStr"/>
      <c r="BN127" s="10" t="inlineStr"/>
      <c r="BO127" s="10" t="inlineStr"/>
      <c r="BP127" s="10" t="inlineStr"/>
      <c r="BQ127" s="10" t="inlineStr"/>
    </row>
    <row r="128">
      <c r="A128" s="5" t="inlineStr">
        <is>
          <t>WY-0023</t>
        </is>
      </c>
      <c r="B128" s="5" t="inlineStr">
        <is>
          <t>SMKD-02</t>
        </is>
      </c>
      <c r="C128" s="5" t="inlineStr">
        <is>
          <t>SMKD</t>
        </is>
      </c>
      <c r="D128" s="5" t="inlineStr">
        <is>
          <t>SMKD</t>
        </is>
      </c>
      <c r="E128" s="5" t="inlineStr">
        <is>
          <t>SMKD Hebden Bridge</t>
        </is>
      </c>
      <c r="F128" s="5" t="inlineStr">
        <is>
          <t>SMKD VAPE LIMITED</t>
        </is>
      </c>
      <c r="G128" s="5" t="inlineStr">
        <is>
          <t>Vape Shop</t>
        </is>
      </c>
      <c r="H128" s="5" t="inlineStr">
        <is>
          <t>Vape chain store with same-day local delivery</t>
        </is>
      </c>
      <c r="I128" s="5" t="inlineStr">
        <is>
          <t>Regional Chain</t>
        </is>
      </c>
      <c r="J128" s="5" t="inlineStr"/>
      <c r="K128" s="5" t="inlineStr">
        <is>
          <t>https://smkd.com/vape-shop-locator/smkd-hebden-bridge-vape-shop-west-end/</t>
        </is>
      </c>
      <c r="L128" s="5" t="inlineStr">
        <is>
          <t>https://www.facebook.com/SmkdVapeShop/</t>
        </is>
      </c>
      <c r="M128" s="5" t="inlineStr"/>
      <c r="N128" s="5" t="inlineStr"/>
      <c r="O128" s="5" t="inlineStr"/>
      <c r="P128" s="5" t="inlineStr">
        <is>
          <t>West End</t>
        </is>
      </c>
      <c r="Q128" s="5" t="inlineStr">
        <is>
          <t>Hebden Bridge</t>
        </is>
      </c>
      <c r="R128" s="5" t="inlineStr">
        <is>
          <t>West Yorkshire</t>
        </is>
      </c>
      <c r="S128" s="5" t="inlineStr"/>
      <c r="T128" s="5" t="inlineStr">
        <is>
          <t>Yorkshire &amp; Humber</t>
        </is>
      </c>
      <c r="U128" s="5" t="inlineStr">
        <is>
          <t>England</t>
        </is>
      </c>
      <c r="V128" s="5" t="inlineStr">
        <is>
          <t>01274 270303</t>
        </is>
      </c>
      <c r="W128" s="5" t="inlineStr"/>
      <c r="X128" s="5" t="inlineStr"/>
      <c r="Y128" s="5" t="inlineStr">
        <is>
          <t>info@smkd.com</t>
        </is>
      </c>
      <c r="Z128" s="5" t="inlineStr"/>
      <c r="AA128" s="5" t="inlineStr"/>
      <c r="AB128" s="5" t="inlineStr"/>
      <c r="AC128" s="5" t="inlineStr"/>
      <c r="AD128" s="5" t="inlineStr"/>
      <c r="AE128" s="5" t="inlineStr">
        <is>
          <t>16161027</t>
        </is>
      </c>
      <c r="AF128" s="5" t="inlineStr">
        <is>
          <t>Active</t>
        </is>
      </c>
      <c r="AG128" s="5" t="inlineStr">
        <is>
          <t>SMKD VAPE LIMITED</t>
        </is>
      </c>
      <c r="AH128" s="5" t="inlineStr">
        <is>
          <t>Bradford Chamber Business Park, New Lane, Laisterdyke, Bradford, BD4 8BX</t>
        </is>
      </c>
      <c r="AI128" s="5" t="inlineStr">
        <is>
          <t>2025-01-03</t>
        </is>
      </c>
      <c r="AJ128" s="5" t="inlineStr"/>
      <c r="AK128" s="5" t="inlineStr">
        <is>
          <t>vape hardware; e-liquids; disposables</t>
        </is>
      </c>
      <c r="AL128" s="5" t="inlineStr"/>
      <c r="AM128" s="5" t="inlineStr">
        <is>
          <t>Vape Shop</t>
        </is>
      </c>
      <c r="AN128" s="5" t="inlineStr"/>
      <c r="AO128"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128" s="5" t="inlineStr">
        <is>
          <t>High</t>
        </is>
      </c>
      <c r="AQ128" s="5" t="inlineStr">
        <is>
          <t>Multi-site retailer; Core relevant category; Public email available; Active website; Social presence</t>
        </is>
      </c>
      <c r="AR128" s="5" t="inlineStr">
        <is>
          <t>https://smkd.com/vape-shop-locator/smkd-hebden-bridge-vape-shop-west-end/</t>
        </is>
      </c>
      <c r="AS128" s="5" t="inlineStr">
        <is>
          <t>https://find-and-update.company-information.service.gov.uk/company/16161027</t>
        </is>
      </c>
      <c r="AT128" s="5" t="inlineStr">
        <is>
          <t>3</t>
        </is>
      </c>
      <c r="AU128" s="5" t="inlineStr">
        <is>
          <t>No</t>
        </is>
      </c>
      <c r="AV128" s="5" t="inlineStr">
        <is>
          <t>No</t>
        </is>
      </c>
      <c r="AW128" s="5" t="inlineStr">
        <is>
          <t>No</t>
        </is>
      </c>
      <c r="AX128" s="5" t="inlineStr">
        <is>
          <t>Yes</t>
        </is>
      </c>
      <c r="AY128" s="5" t="inlineStr">
        <is>
          <t>Unverified</t>
        </is>
      </c>
      <c r="AZ128" s="5" t="inlineStr">
        <is>
          <t>Publicly Listed</t>
        </is>
      </c>
      <c r="BA128" s="5" t="inlineStr">
        <is>
          <t>2026-09-17</t>
        </is>
      </c>
      <c r="BB128" s="5" t="inlineStr">
        <is>
          <t>Partially Verified</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2026-09-17</t>
        </is>
      </c>
      <c r="BL128" s="5" t="inlineStr"/>
      <c r="BM128" s="5" t="inlineStr"/>
      <c r="BN128" s="5" t="inlineStr"/>
      <c r="BO128" s="5" t="inlineStr"/>
      <c r="BP128" s="5" t="inlineStr"/>
      <c r="BQ128" s="5" t="inlineStr"/>
    </row>
    <row r="129">
      <c r="A129" s="10" t="inlineStr">
        <is>
          <t>WY-0024</t>
        </is>
      </c>
      <c r="B129" s="10" t="inlineStr">
        <is>
          <t>SMKD-03</t>
        </is>
      </c>
      <c r="C129" s="10" t="inlineStr">
        <is>
          <t>SMKD</t>
        </is>
      </c>
      <c r="D129" s="10" t="inlineStr">
        <is>
          <t>SMKD - E Cigarettes and Vape Shop (Wakefield)</t>
        </is>
      </c>
      <c r="E129" s="10" t="inlineStr">
        <is>
          <t>SMKD</t>
        </is>
      </c>
      <c r="F129" s="10" t="inlineStr">
        <is>
          <t>SMKD Vape Limited</t>
        </is>
      </c>
      <c r="G129" s="10" t="inlineStr">
        <is>
          <t>Vape Shop</t>
        </is>
      </c>
      <c r="H129" s="10" t="inlineStr">
        <is>
          <t>Vape hardware and e-liquid retailer</t>
        </is>
      </c>
      <c r="I129" s="10" t="inlineStr">
        <is>
          <t>Regional Chain</t>
        </is>
      </c>
      <c r="J129" s="10" t="inlineStr"/>
      <c r="K129" s="10" t="inlineStr">
        <is>
          <t>https://smkd.com</t>
        </is>
      </c>
      <c r="L129" s="10" t="inlineStr">
        <is>
          <t>https://www.facebook.com/SmkdVapeShop/</t>
        </is>
      </c>
      <c r="M129" s="10" t="inlineStr"/>
      <c r="N129" s="10" t="inlineStr"/>
      <c r="O129" s="10" t="inlineStr">
        <is>
          <t>Ridings Shopping Centre</t>
        </is>
      </c>
      <c r="P129" s="10" t="inlineStr">
        <is>
          <t>Trinity Walk area, city centre</t>
        </is>
      </c>
      <c r="Q129" s="10" t="inlineStr">
        <is>
          <t>Wakefield</t>
        </is>
      </c>
      <c r="R129" s="10" t="inlineStr">
        <is>
          <t>West Yorkshire</t>
        </is>
      </c>
      <c r="S129" s="10" t="inlineStr">
        <is>
          <t>WF1 1DS</t>
        </is>
      </c>
      <c r="T129" s="10" t="inlineStr">
        <is>
          <t>Yorkshire &amp; Humber</t>
        </is>
      </c>
      <c r="U129" s="10" t="inlineStr">
        <is>
          <t>England</t>
        </is>
      </c>
      <c r="V129" s="10" t="inlineStr">
        <is>
          <t>01924 728100</t>
        </is>
      </c>
      <c r="W129" s="10" t="inlineStr"/>
      <c r="X129" s="10" t="inlineStr"/>
      <c r="Y129" s="10" t="inlineStr">
        <is>
          <t>info@smkd.com</t>
        </is>
      </c>
      <c r="Z129" s="10" t="inlineStr"/>
      <c r="AA129" s="10" t="inlineStr"/>
      <c r="AB129" s="10" t="inlineStr"/>
      <c r="AC129" s="10" t="inlineStr"/>
      <c r="AD129" s="10" t="inlineStr"/>
      <c r="AE129" s="10" t="inlineStr">
        <is>
          <t>16161027</t>
        </is>
      </c>
      <c r="AF129" s="10" t="inlineStr">
        <is>
          <t>Active</t>
        </is>
      </c>
      <c r="AG129" s="10" t="inlineStr">
        <is>
          <t>SMKD VAPE LIMITED</t>
        </is>
      </c>
      <c r="AH129" s="10" t="inlineStr">
        <is>
          <t>Bradford Chamber Business Park, New Lane, Laisterdyke, Bradford, BD4 8BX</t>
        </is>
      </c>
      <c r="AI129" s="10" t="inlineStr">
        <is>
          <t>2025-01-03</t>
        </is>
      </c>
      <c r="AJ129" s="10" t="inlineStr"/>
      <c r="AK129" s="10" t="inlineStr">
        <is>
          <t>vape hardware; e-liquids; disposables</t>
        </is>
      </c>
      <c r="AL129" s="10" t="inlineStr"/>
      <c r="AM129" s="10" t="inlineStr">
        <is>
          <t>Vape Shop</t>
        </is>
      </c>
      <c r="AN129" s="10" t="inlineStr"/>
      <c r="AO129"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129" s="10" t="inlineStr">
        <is>
          <t>High</t>
        </is>
      </c>
      <c r="AQ129" s="10" t="inlineStr">
        <is>
          <t>Multi-site retailer; Core relevant category; Public email available; Active website; Social presence</t>
        </is>
      </c>
      <c r="AR129" s="10" t="inlineStr">
        <is>
          <t>https://smkd.com/vape-shop-locator/wakefield-vape-shop-ridings-shopping-centre/</t>
        </is>
      </c>
      <c r="AS129" s="10" t="inlineStr">
        <is>
          <t>https://find-and-update.company-information.service.gov.uk/company/16161027</t>
        </is>
      </c>
      <c r="AT129" s="10" t="inlineStr">
        <is>
          <t>5</t>
        </is>
      </c>
      <c r="AU129" s="10" t="inlineStr">
        <is>
          <t>No</t>
        </is>
      </c>
      <c r="AV129" s="10" t="inlineStr">
        <is>
          <t>No</t>
        </is>
      </c>
      <c r="AW129" s="10" t="inlineStr">
        <is>
          <t>No</t>
        </is>
      </c>
      <c r="AX129" s="10" t="inlineStr">
        <is>
          <t>Yes</t>
        </is>
      </c>
      <c r="AY129" s="10" t="inlineStr">
        <is>
          <t>Verified directory</t>
        </is>
      </c>
      <c r="AZ129" s="10" t="inlineStr">
        <is>
          <t>Unverified</t>
        </is>
      </c>
      <c r="BA129" s="10" t="inlineStr">
        <is>
          <t>2026-09-17</t>
        </is>
      </c>
      <c r="BB129" s="10" t="inlineStr">
        <is>
          <t>Partially Verified</t>
        </is>
      </c>
      <c r="BC129" s="10" t="inlineStr">
        <is>
          <t>Medium</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2026-09-17</t>
        </is>
      </c>
      <c r="BL129" s="10" t="inlineStr"/>
      <c r="BM129" s="10" t="inlineStr"/>
      <c r="BN129" s="10" t="inlineStr"/>
      <c r="BO129" s="10" t="inlineStr"/>
      <c r="BP129" s="10" t="inlineStr"/>
      <c r="BQ129" s="10" t="inlineStr"/>
    </row>
    <row r="130">
      <c r="A130" s="5" t="inlineStr">
        <is>
          <t>UK-000211</t>
        </is>
      </c>
      <c r="B130" s="5" t="inlineStr">
        <is>
          <t>SMKD-04</t>
        </is>
      </c>
      <c r="C130" s="5" t="inlineStr">
        <is>
          <t>SMKD</t>
        </is>
      </c>
      <c r="D130" s="5" t="inlineStr">
        <is>
          <t>SMKD Barnsley</t>
        </is>
      </c>
      <c r="E130" s="5" t="inlineStr">
        <is>
          <t>SMKD</t>
        </is>
      </c>
      <c r="F130" s="5" t="inlineStr"/>
      <c r="G130" s="5" t="inlineStr">
        <is>
          <t>Vape Shop</t>
        </is>
      </c>
      <c r="H130" s="5" t="inlineStr">
        <is>
          <t>E-cigarette and vape shop</t>
        </is>
      </c>
      <c r="I130" s="5" t="inlineStr">
        <is>
          <t>Regional Chain</t>
        </is>
      </c>
      <c r="J130" s="5" t="inlineStr">
        <is>
          <t>2</t>
        </is>
      </c>
      <c r="K130" s="5" t="inlineStr">
        <is>
          <t>https://smkd.com/</t>
        </is>
      </c>
      <c r="L130" s="5" t="inlineStr"/>
      <c r="M130" s="5" t="inlineStr"/>
      <c r="N130" s="5" t="inlineStr"/>
      <c r="O130" s="5" t="inlineStr">
        <is>
          <t>New Street</t>
        </is>
      </c>
      <c r="P130" s="5" t="inlineStr"/>
      <c r="Q130" s="5" t="inlineStr">
        <is>
          <t>Barnsley</t>
        </is>
      </c>
      <c r="R130" s="5" t="inlineStr">
        <is>
          <t>South Yorkshire</t>
        </is>
      </c>
      <c r="S130" s="5" t="inlineStr"/>
      <c r="T130" s="5" t="inlineStr">
        <is>
          <t>Yorkshire &amp; Humber</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vape hardware; e-liquids; disposables</t>
        </is>
      </c>
      <c r="AL130" s="5" t="inlineStr"/>
      <c r="AM130" s="5" t="inlineStr">
        <is>
          <t>Vape Shop</t>
        </is>
      </c>
      <c r="AN130" s="5" t="inlineStr"/>
      <c r="AO130" s="5" t="inlineStr">
        <is>
          <t>SMKD Barnsley branch on New Street, beside the Alhambra Shopping Centre. Part of the SMKD multi-site group. Exact postcode not captured from search results.</t>
        </is>
      </c>
      <c r="AP130" s="5" t="inlineStr">
        <is>
          <t>Medium</t>
        </is>
      </c>
      <c r="AQ130" s="5" t="inlineStr">
        <is>
          <t>Multi-site retailer; Core relevant category; Active website</t>
        </is>
      </c>
      <c r="AR130" s="5" t="inlineStr">
        <is>
          <t>https://smkd.com/vape-shop-locator/smkd-barnsley-vape-shop-new-street/</t>
        </is>
      </c>
      <c r="AS130" s="5" t="inlineStr"/>
      <c r="AT130" s="5" t="inlineStr">
        <is>
          <t>1</t>
        </is>
      </c>
      <c r="AU130" s="5" t="inlineStr">
        <is>
          <t>No</t>
        </is>
      </c>
      <c r="AV130" s="5" t="inlineStr">
        <is>
          <t>No</t>
        </is>
      </c>
      <c r="AW130" s="5" t="inlineStr">
        <is>
          <t>No</t>
        </is>
      </c>
      <c r="AX130" s="5" t="inlineStr">
        <is>
          <t>No</t>
        </is>
      </c>
      <c r="AY130" s="5" t="inlineStr">
        <is>
          <t>Not Found</t>
        </is>
      </c>
      <c r="AZ130" s="5" t="inlineStr">
        <is>
          <t>Website Found</t>
        </is>
      </c>
      <c r="BA130" s="5" t="inlineStr">
        <is>
          <t>2026-09-17</t>
        </is>
      </c>
      <c r="BB130" s="5" t="inlineStr">
        <is>
          <t>Requires Verification</t>
        </is>
      </c>
      <c r="BC130" s="5" t="inlineStr">
        <is>
          <t>Low</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2026-09-17</t>
        </is>
      </c>
      <c r="BL130" s="5" t="inlineStr"/>
      <c r="BM130" s="5" t="inlineStr"/>
      <c r="BN130" s="5" t="inlineStr"/>
      <c r="BO130" s="5" t="inlineStr"/>
      <c r="BP130" s="5" t="inlineStr"/>
      <c r="BQ130" s="5" t="inlineStr"/>
    </row>
    <row r="131">
      <c r="A131" s="10" t="inlineStr">
        <is>
          <t>UK-000212</t>
        </is>
      </c>
      <c r="B131" s="10" t="inlineStr">
        <is>
          <t>SMKD-05</t>
        </is>
      </c>
      <c r="C131" s="10" t="inlineStr">
        <is>
          <t>SMKD</t>
        </is>
      </c>
      <c r="D131" s="10" t="inlineStr">
        <is>
          <t>SMKD Rotherham</t>
        </is>
      </c>
      <c r="E131" s="10" t="inlineStr">
        <is>
          <t>SMKD</t>
        </is>
      </c>
      <c r="F131" s="10" t="inlineStr"/>
      <c r="G131" s="10" t="inlineStr">
        <is>
          <t>Vape Shop</t>
        </is>
      </c>
      <c r="H131" s="10" t="inlineStr">
        <is>
          <t>E-cigarette and vape shop</t>
        </is>
      </c>
      <c r="I131" s="10" t="inlineStr">
        <is>
          <t>Regional Chain</t>
        </is>
      </c>
      <c r="J131" s="10" t="inlineStr">
        <is>
          <t>2</t>
        </is>
      </c>
      <c r="K131" s="10" t="inlineStr">
        <is>
          <t>https://smkd.com/</t>
        </is>
      </c>
      <c r="L131" s="10" t="inlineStr"/>
      <c r="M131" s="10" t="inlineStr"/>
      <c r="N131" s="10" t="inlineStr"/>
      <c r="O131" s="10" t="inlineStr">
        <is>
          <t>31a Effingham Street</t>
        </is>
      </c>
      <c r="P131" s="10" t="inlineStr"/>
      <c r="Q131" s="10" t="inlineStr">
        <is>
          <t>Rotherham</t>
        </is>
      </c>
      <c r="R131" s="10" t="inlineStr">
        <is>
          <t>South Yorkshire</t>
        </is>
      </c>
      <c r="S131" s="10" t="inlineStr">
        <is>
          <t>S65 1AL</t>
        </is>
      </c>
      <c r="T131" s="10" t="inlineStr">
        <is>
          <t>Yorkshire &amp; Humber</t>
        </is>
      </c>
      <c r="U131" s="10" t="inlineStr">
        <is>
          <t>England</t>
        </is>
      </c>
      <c r="V131" s="10" t="inlineStr">
        <is>
          <t>01274 270303</t>
        </is>
      </c>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is>
          <t>Lost Mary; Elf Bar</t>
        </is>
      </c>
      <c r="AK131" s="10" t="inlineStr">
        <is>
          <t>vape hardware; e-liquids; disposables</t>
        </is>
      </c>
      <c r="AL131" s="10" t="inlineStr"/>
      <c r="AM131" s="10" t="inlineStr">
        <is>
          <t>Vape Shop</t>
        </is>
      </c>
      <c r="AN131" s="10" t="inlineStr"/>
      <c r="AO131" s="10" t="inlineStr">
        <is>
          <t>SMKD is a multi-site vape retailer (Bradford-based) with a South Yorkshire branch on Effingham Street, Rotherham town centre. Phone number is the SMKD group/head-office line listed in directory. Also has a Barnsley branch (separate record).</t>
        </is>
      </c>
      <c r="AP131" s="10" t="inlineStr">
        <is>
          <t>Medium</t>
        </is>
      </c>
      <c r="AQ131" s="10" t="inlineStr">
        <is>
          <t>Multi-site retailer; Core relevant category; Active website</t>
        </is>
      </c>
      <c r="AR131" s="10" t="inlineStr">
        <is>
          <t>https://smkd.com/vape-shop-locator/smkd-rotherham-vape-shop-effingham-street/</t>
        </is>
      </c>
      <c r="AS131" s="10" t="inlineStr">
        <is>
          <t>https://www.chamberofcommerce.uk/business-directory/england/rotherham/miscellaneous/1035065-smkd-e-cigarettes-and-vape-shop-rotherham</t>
        </is>
      </c>
      <c r="AT131" s="10" t="inlineStr">
        <is>
          <t>2</t>
        </is>
      </c>
      <c r="AU131" s="10" t="inlineStr">
        <is>
          <t>No</t>
        </is>
      </c>
      <c r="AV131" s="10" t="inlineStr">
        <is>
          <t>No</t>
        </is>
      </c>
      <c r="AW131" s="10" t="inlineStr">
        <is>
          <t>No</t>
        </is>
      </c>
      <c r="AX131" s="10" t="inlineStr">
        <is>
          <t>No</t>
        </is>
      </c>
      <c r="AY131" s="10" t="inlineStr">
        <is>
          <t>Verified directory</t>
        </is>
      </c>
      <c r="AZ131" s="10" t="inlineStr">
        <is>
          <t>Website Found</t>
        </is>
      </c>
      <c r="BA131" s="10" t="inlineStr">
        <is>
          <t>2026-09-17</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2026-09-17</t>
        </is>
      </c>
      <c r="BL131" s="10" t="inlineStr"/>
      <c r="BM131" s="10" t="inlineStr"/>
      <c r="BN131" s="10" t="inlineStr"/>
      <c r="BO131" s="10" t="inlineStr"/>
      <c r="BP131" s="10" t="inlineStr"/>
      <c r="BQ131" s="10" t="inlineStr"/>
    </row>
    <row r="132">
      <c r="A132" s="5" t="inlineStr">
        <is>
          <t>UK-000213</t>
        </is>
      </c>
      <c r="B132" s="5" t="inlineStr">
        <is>
          <t>SPAR-01</t>
        </is>
      </c>
      <c r="C132" s="5" t="inlineStr">
        <is>
          <t>SPAR</t>
        </is>
      </c>
      <c r="D132" s="5" t="inlineStr">
        <is>
          <t>SPAR Barnsley Road</t>
        </is>
      </c>
      <c r="E132" s="5" t="inlineStr">
        <is>
          <t>SPAR</t>
        </is>
      </c>
      <c r="F132" s="5" t="inlineStr"/>
      <c r="G132" s="5" t="inlineStr">
        <is>
          <t>Convenience Store</t>
        </is>
      </c>
      <c r="H132" s="5" t="inlineStr">
        <is>
          <t>Convenience store (symbol group)</t>
        </is>
      </c>
      <c r="I132" s="5" t="inlineStr">
        <is>
          <t>Franchise / Symbol Group</t>
        </is>
      </c>
      <c r="J132" s="5" t="inlineStr">
        <is>
          <t>1</t>
        </is>
      </c>
      <c r="K132" s="5" t="inlineStr">
        <is>
          <t>https://www.spar.co.uk/store-locator/afb31700-spar-barnsley-road</t>
        </is>
      </c>
      <c r="L132" s="5" t="inlineStr"/>
      <c r="M132" s="5" t="inlineStr"/>
      <c r="N132" s="5" t="inlineStr"/>
      <c r="O132" s="5" t="inlineStr">
        <is>
          <t>Barnsley Road</t>
        </is>
      </c>
      <c r="P132" s="5" t="inlineStr"/>
      <c r="Q132" s="5" t="inlineStr">
        <is>
          <t>Barnsley</t>
        </is>
      </c>
      <c r="R132" s="5" t="inlineStr">
        <is>
          <t>South Yorkshire</t>
        </is>
      </c>
      <c r="S132" s="5" t="inlineStr"/>
      <c r="T132" s="5" t="inlineStr">
        <is>
          <t>Yorkshire &amp; Humber</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groceries; confectionery; soft drinks; alcohol; tobacco</t>
        </is>
      </c>
      <c r="AL132" s="5" t="inlineStr"/>
      <c r="AM132" s="5" t="inlineStr">
        <is>
          <t>Convenience Store</t>
        </is>
      </c>
      <c r="AN132" s="5" t="inlineStr">
        <is>
          <t>SPAR symbol group</t>
        </is>
      </c>
      <c r="AO132" s="5" t="inlineStr">
        <is>
          <t>SPAR symbol-group convenience store on Barnsley Road (typically independently owned/operated under SPAR). Listed on SPAR store locator; exact house number/postcode not captured from search snippet.</t>
        </is>
      </c>
      <c r="AP132" s="5" t="inlineStr">
        <is>
          <t>Medium</t>
        </is>
      </c>
      <c r="AQ132" s="5" t="inlineStr">
        <is>
          <t>Multi-site retailer; Independent retailer; Relevant category; Active website</t>
        </is>
      </c>
      <c r="AR132" s="5" t="inlineStr">
        <is>
          <t>https://www.spar.co.uk/store-locator/afb31700-spar-barnsley-road</t>
        </is>
      </c>
      <c r="AS132" s="5" t="inlineStr"/>
      <c r="AT132" s="5" t="inlineStr">
        <is>
          <t>1</t>
        </is>
      </c>
      <c r="AU132" s="5" t="inlineStr">
        <is>
          <t>No</t>
        </is>
      </c>
      <c r="AV132" s="5" t="inlineStr">
        <is>
          <t>No</t>
        </is>
      </c>
      <c r="AW132" s="5" t="inlineStr">
        <is>
          <t>No</t>
        </is>
      </c>
      <c r="AX132" s="5" t="inlineStr">
        <is>
          <t>No</t>
        </is>
      </c>
      <c r="AY132" s="5" t="inlineStr">
        <is>
          <t>Not Found</t>
        </is>
      </c>
      <c r="AZ132" s="5" t="inlineStr">
        <is>
          <t>Not Found</t>
        </is>
      </c>
      <c r="BA132" s="5" t="inlineStr">
        <is>
          <t>2026-09-17</t>
        </is>
      </c>
      <c r="BB132" s="5" t="inlineStr">
        <is>
          <t>Requires Verification</t>
        </is>
      </c>
      <c r="BC132" s="5" t="inlineStr">
        <is>
          <t>Low</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2026-09-17</t>
        </is>
      </c>
      <c r="BL132" s="5" t="inlineStr"/>
      <c r="BM132" s="5" t="inlineStr"/>
      <c r="BN132" s="5" t="inlineStr"/>
      <c r="BO132" s="5" t="inlineStr"/>
      <c r="BP132" s="5" t="inlineStr"/>
      <c r="BQ132" s="5" t="inlineStr"/>
    </row>
    <row r="133">
      <c r="A133" s="10" t="inlineStr">
        <is>
          <t>UK-000721</t>
        </is>
      </c>
      <c r="B133" s="10" t="inlineStr">
        <is>
          <t>SPAR-02</t>
        </is>
      </c>
      <c r="C133" s="10" t="inlineStr">
        <is>
          <t>SPAR</t>
        </is>
      </c>
      <c r="D133" s="10" t="inlineStr">
        <is>
          <t>SPAR Coopers Lane</t>
        </is>
      </c>
      <c r="E133" s="10" t="inlineStr">
        <is>
          <t>SPAR</t>
        </is>
      </c>
      <c r="F133" s="10" t="inlineStr"/>
      <c r="G133" s="10" t="inlineStr">
        <is>
          <t>Convenience Store</t>
        </is>
      </c>
      <c r="H133" s="10" t="inlineStr">
        <is>
          <t>Convenience store (symbol group)</t>
        </is>
      </c>
      <c r="I133" s="10" t="inlineStr">
        <is>
          <t>Franchise / Symbol Group</t>
        </is>
      </c>
      <c r="J133" s="10" t="inlineStr">
        <is>
          <t>1</t>
        </is>
      </c>
      <c r="K133" s="10" t="inlineStr"/>
      <c r="L133" s="10" t="inlineStr"/>
      <c r="M133" s="10" t="inlineStr"/>
      <c r="N133" s="10" t="inlineStr"/>
      <c r="O133" s="10" t="inlineStr">
        <is>
          <t>Coopers Lane</t>
        </is>
      </c>
      <c r="P133" s="10" t="inlineStr">
        <is>
          <t>Knowsley Industrial Park</t>
        </is>
      </c>
      <c r="Q133" s="10" t="inlineStr">
        <is>
          <t>Kirkby</t>
        </is>
      </c>
      <c r="R133" s="10" t="inlineStr">
        <is>
          <t>Merseyside</t>
        </is>
      </c>
      <c r="S133" s="10" t="inlineStr">
        <is>
          <t>L33 7TU</t>
        </is>
      </c>
      <c r="T133" s="10" t="inlineStr">
        <is>
          <t>North West</t>
        </is>
      </c>
      <c r="U133" s="10" t="inlineStr">
        <is>
          <t>England</t>
        </is>
      </c>
      <c r="V133" s="10" t="inlineStr">
        <is>
          <t>0151 305 6865</t>
        </is>
      </c>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convenience groceries; tobacco; soft drinks; food-to-go</t>
        </is>
      </c>
      <c r="AL133" s="10" t="inlineStr"/>
      <c r="AM133" s="10" t="inlineStr">
        <is>
          <t>Convenience Store</t>
        </is>
      </c>
      <c r="AN133" s="10" t="inlineStr">
        <is>
          <t>SPAR symbol group</t>
        </is>
      </c>
      <c r="AO133" s="10" t="inlineStr">
        <is>
          <t>SPAR symbol-group convenience store, Coopers Lane, Knowsley Industrial Park, Kirkby (L33).</t>
        </is>
      </c>
      <c r="AP133" s="10" t="inlineStr">
        <is>
          <t>Medium</t>
        </is>
      </c>
      <c r="AQ133" s="10" t="inlineStr">
        <is>
          <t>Multi-site retailer; Independent retailer; Relevant category</t>
        </is>
      </c>
      <c r="AR133" s="10" t="inlineStr">
        <is>
          <t>https://kirkby.cylex-uk.co.uk/convenience-stores/</t>
        </is>
      </c>
      <c r="AS133" s="10" t="inlineStr"/>
      <c r="AT133" s="10" t="inlineStr">
        <is>
          <t>1</t>
        </is>
      </c>
      <c r="AU133" s="10" t="inlineStr">
        <is>
          <t>No</t>
        </is>
      </c>
      <c r="AV133" s="10" t="inlineStr">
        <is>
          <t>No</t>
        </is>
      </c>
      <c r="AW133" s="10" t="inlineStr">
        <is>
          <t>No</t>
        </is>
      </c>
      <c r="AX133" s="10" t="inlineStr">
        <is>
          <t>No</t>
        </is>
      </c>
      <c r="AY133" s="10" t="inlineStr">
        <is>
          <t>Verified directory</t>
        </is>
      </c>
      <c r="AZ133" s="10" t="inlineStr">
        <is>
          <t>Not Found</t>
        </is>
      </c>
      <c r="BA133" s="10" t="inlineStr">
        <is>
          <t>2026-09-17</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2026-09-17</t>
        </is>
      </c>
      <c r="BJ133" s="10" t="inlineStr">
        <is>
          <t>New</t>
        </is>
      </c>
      <c r="BK133" s="10" t="inlineStr">
        <is>
          <t>2026-09-17</t>
        </is>
      </c>
      <c r="BL133" s="10" t="inlineStr"/>
      <c r="BM133" s="10" t="inlineStr"/>
      <c r="BN133" s="10" t="inlineStr"/>
      <c r="BO133" s="10" t="inlineStr"/>
      <c r="BP133" s="10" t="inlineStr"/>
      <c r="BQ133" s="10" t="inlineStr"/>
    </row>
    <row r="134">
      <c r="A134" s="5" t="inlineStr">
        <is>
          <t>UK-000722</t>
        </is>
      </c>
      <c r="B134" s="5" t="inlineStr">
        <is>
          <t>SPAR-03</t>
        </is>
      </c>
      <c r="C134" s="5" t="inlineStr">
        <is>
          <t>SPAR</t>
        </is>
      </c>
      <c r="D134" s="5" t="inlineStr">
        <is>
          <t>SPAR Harington Road</t>
        </is>
      </c>
      <c r="E134" s="5" t="inlineStr">
        <is>
          <t>SPAR Harington Road</t>
        </is>
      </c>
      <c r="F134" s="5" t="inlineStr"/>
      <c r="G134" s="5" t="inlineStr">
        <is>
          <t>Convenience Store</t>
        </is>
      </c>
      <c r="H134" s="5" t="inlineStr">
        <is>
          <t>Spar symbol convenience store</t>
        </is>
      </c>
      <c r="I134" s="5" t="inlineStr">
        <is>
          <t>Franchise / Symbol Group</t>
        </is>
      </c>
      <c r="J134" s="5" t="inlineStr">
        <is>
          <t>1</t>
        </is>
      </c>
      <c r="K134" s="5" t="inlineStr">
        <is>
          <t>https://www.spar.co.uk/store-locator/hal27302-spar-harington-road</t>
        </is>
      </c>
      <c r="L134" s="5" t="inlineStr"/>
      <c r="M134" s="5" t="inlineStr"/>
      <c r="N134" s="5" t="inlineStr"/>
      <c r="O134" s="5" t="inlineStr">
        <is>
          <t>Harington Road</t>
        </is>
      </c>
      <c r="P134" s="5" t="inlineStr"/>
      <c r="Q134" s="5" t="inlineStr">
        <is>
          <t>Formby</t>
        </is>
      </c>
      <c r="R134" s="5" t="inlineStr">
        <is>
          <t>Merseyside</t>
        </is>
      </c>
      <c r="S134" s="5" t="inlineStr"/>
      <c r="T134" s="5" t="inlineStr">
        <is>
          <t>North West</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groceries; food-to-go; alcohol</t>
        </is>
      </c>
      <c r="AL134" s="5" t="inlineStr"/>
      <c r="AM134" s="5" t="inlineStr">
        <is>
          <t>Convenience Store</t>
        </is>
      </c>
      <c r="AN134" s="5" t="inlineStr"/>
      <c r="AO134" s="5" t="inlineStr">
        <is>
          <t>Spar symbol-group convenience store on Harington Road, Formby (store code hal27302). From the SPAR UK store-locator page. Postcode not shown in snippet.</t>
        </is>
      </c>
      <c r="AP134" s="5" t="inlineStr">
        <is>
          <t>Medium</t>
        </is>
      </c>
      <c r="AQ134" s="5" t="inlineStr">
        <is>
          <t>Multi-site retailer; Independent retailer; Relevant category; Active website</t>
        </is>
      </c>
      <c r="AR134" s="5" t="inlineStr">
        <is>
          <t>https://www.spar.co.uk/store-locator/hal27302-spar-harington-road</t>
        </is>
      </c>
      <c r="AS134" s="5" t="inlineStr"/>
      <c r="AT134" s="5" t="inlineStr">
        <is>
          <t>1</t>
        </is>
      </c>
      <c r="AU134" s="5" t="inlineStr">
        <is>
          <t>No</t>
        </is>
      </c>
      <c r="AV134" s="5" t="inlineStr">
        <is>
          <t>No</t>
        </is>
      </c>
      <c r="AW134" s="5" t="inlineStr">
        <is>
          <t>No</t>
        </is>
      </c>
      <c r="AX134" s="5" t="inlineStr">
        <is>
          <t>No</t>
        </is>
      </c>
      <c r="AY134" s="5" t="inlineStr">
        <is>
          <t>Not Found</t>
        </is>
      </c>
      <c r="AZ134" s="5" t="inlineStr">
        <is>
          <t>Website Found</t>
        </is>
      </c>
      <c r="BA134" s="5" t="inlineStr">
        <is>
          <t>2026-09-17</t>
        </is>
      </c>
      <c r="BB134" s="5" t="inlineStr">
        <is>
          <t>Requires Verification</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UK-000319</t>
        </is>
      </c>
      <c r="B135" s="10" t="inlineStr">
        <is>
          <t>SPAR-04</t>
        </is>
      </c>
      <c r="C135" s="10" t="inlineStr">
        <is>
          <t>SPAR</t>
        </is>
      </c>
      <c r="D135" s="10" t="inlineStr">
        <is>
          <t>SPAR Radcliffe</t>
        </is>
      </c>
      <c r="E135" s="10" t="inlineStr">
        <is>
          <t>SPAR</t>
        </is>
      </c>
      <c r="F135" s="10" t="inlineStr"/>
      <c r="G135" s="10" t="inlineStr">
        <is>
          <t>Convenience Store</t>
        </is>
      </c>
      <c r="H135" s="10" t="inlineStr">
        <is>
          <t>Symbol-group convenience store</t>
        </is>
      </c>
      <c r="I135" s="10" t="inlineStr">
        <is>
          <t>Franchise / Symbol Group</t>
        </is>
      </c>
      <c r="J135" s="10" t="inlineStr">
        <is>
          <t>1</t>
        </is>
      </c>
      <c r="K135" s="10" t="inlineStr">
        <is>
          <t>https://www.spar.co.uk/</t>
        </is>
      </c>
      <c r="L135" s="10" t="inlineStr"/>
      <c r="M135" s="10" t="inlineStr"/>
      <c r="N135" s="10" t="inlineStr"/>
      <c r="O135" s="10" t="inlineStr">
        <is>
          <t>207 Bury &amp; Bolton Road</t>
        </is>
      </c>
      <c r="P135" s="10" t="inlineStr">
        <is>
          <t>Radcliffe</t>
        </is>
      </c>
      <c r="Q135" s="10" t="inlineStr">
        <is>
          <t>Radcliffe</t>
        </is>
      </c>
      <c r="R135" s="10" t="inlineStr">
        <is>
          <t>Greater Manchester</t>
        </is>
      </c>
      <c r="S135" s="10" t="inlineStr">
        <is>
          <t>M26 4JY</t>
        </is>
      </c>
      <c r="T135" s="10" t="inlineStr">
        <is>
          <t>North West</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convenience groceries; off-licence; tobacco; news</t>
        </is>
      </c>
      <c r="AL135" s="10" t="inlineStr"/>
      <c r="AM135" s="10" t="inlineStr">
        <is>
          <t>Convenience Store</t>
        </is>
      </c>
      <c r="AN135" s="10" t="inlineStr">
        <is>
          <t>SPAR symbol group</t>
        </is>
      </c>
      <c r="AO135" s="10" t="inlineStr">
        <is>
          <t>SPAR symbol-group convenience store with off-licence, Bury &amp; Bolton Road, Radcliffe (M26 4JY).</t>
        </is>
      </c>
      <c r="AP135" s="10" t="inlineStr">
        <is>
          <t>Medium</t>
        </is>
      </c>
      <c r="AQ135" s="10" t="inlineStr">
        <is>
          <t>Multi-site retailer; Independent retailer; Relevant category; Active website</t>
        </is>
      </c>
      <c r="AR135" s="10" t="inlineStr">
        <is>
          <t>https://www.spar.co.uk/store-locator/hal36921-spar-radcliffe</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2026-09-17</t>
        </is>
      </c>
      <c r="BB135" s="10" t="inlineStr">
        <is>
          <t>Requires Verification</t>
        </is>
      </c>
      <c r="BC135" s="10" t="inlineStr">
        <is>
          <t>Low</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2026-09-17</t>
        </is>
      </c>
      <c r="BJ135" s="10" t="inlineStr">
        <is>
          <t>New</t>
        </is>
      </c>
      <c r="BK135" s="10" t="inlineStr">
        <is>
          <t>2026-09-17</t>
        </is>
      </c>
      <c r="BL135" s="10" t="inlineStr"/>
      <c r="BM135" s="10" t="inlineStr"/>
      <c r="BN135" s="10" t="inlineStr"/>
      <c r="BO135" s="10" t="inlineStr"/>
      <c r="BP135" s="10" t="inlineStr"/>
      <c r="BQ135" s="10" t="inlineStr"/>
    </row>
    <row r="136">
      <c r="A136" s="5" t="inlineStr">
        <is>
          <t>UK-000723</t>
        </is>
      </c>
      <c r="B136" s="5" t="inlineStr">
        <is>
          <t>SPARJAMESH-01</t>
        </is>
      </c>
      <c r="C136" s="5" t="inlineStr">
        <is>
          <t>SPAR (James Hall / Hunt's)</t>
        </is>
      </c>
      <c r="D136" s="5" t="inlineStr">
        <is>
          <t>Hunt's Spar Freshfield</t>
        </is>
      </c>
      <c r="E136" s="5" t="inlineStr">
        <is>
          <t>Hunt's Spar</t>
        </is>
      </c>
      <c r="F136" s="5" t="inlineStr"/>
      <c r="G136" s="5" t="inlineStr">
        <is>
          <t>Convenience Store</t>
        </is>
      </c>
      <c r="H136" s="5" t="inlineStr">
        <is>
          <t>Spar symbol convenience store</t>
        </is>
      </c>
      <c r="I136" s="5" t="inlineStr">
        <is>
          <t>Franchise / Symbol Group</t>
        </is>
      </c>
      <c r="J136" s="5" t="inlineStr">
        <is>
          <t>1</t>
        </is>
      </c>
      <c r="K136" s="5" t="inlineStr"/>
      <c r="L136" s="5" t="inlineStr"/>
      <c r="M136" s="5" t="inlineStr"/>
      <c r="N136" s="5" t="inlineStr"/>
      <c r="O136" s="5" t="inlineStr"/>
      <c r="P136" s="5" t="inlineStr">
        <is>
          <t>Freshfield</t>
        </is>
      </c>
      <c r="Q136" s="5" t="inlineStr">
        <is>
          <t>Formby</t>
        </is>
      </c>
      <c r="R136" s="5" t="inlineStr">
        <is>
          <t>Merseyside</t>
        </is>
      </c>
      <c r="S136" s="5" t="inlineStr"/>
      <c r="T136" s="5" t="inlineStr">
        <is>
          <t>North West</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groceries; food-to-go; alcohol</t>
        </is>
      </c>
      <c r="AL136" s="5" t="inlineStr"/>
      <c r="AM136" s="5" t="inlineStr">
        <is>
          <t>Convenience Store</t>
        </is>
      </c>
      <c r="AN136" s="5" t="inlineStr"/>
      <c r="AO136" s="5" t="inlineStr">
        <is>
          <t>Independently operated Spar symbol-group convenience store in Freshfield, Formby (Hunt's), featured in Convenience Store trade press. Full street address/postcode not captured in snippet.</t>
        </is>
      </c>
      <c r="AP136" s="5" t="inlineStr">
        <is>
          <t>Medium</t>
        </is>
      </c>
      <c r="AQ136" s="5" t="inlineStr">
        <is>
          <t>Multi-site retailer; Independent retailer; Relevant category</t>
        </is>
      </c>
      <c r="AR136" s="5" t="inlineStr">
        <is>
          <t>https://www.conveniencestore.co.uk/store-development/hunts-spar-freshfield-formby/564152.article</t>
        </is>
      </c>
      <c r="AS136" s="5" t="inlineStr"/>
      <c r="AT136" s="5" t="inlineStr">
        <is>
          <t>1</t>
        </is>
      </c>
      <c r="AU136" s="5" t="inlineStr">
        <is>
          <t>No</t>
        </is>
      </c>
      <c r="AV136" s="5" t="inlineStr">
        <is>
          <t>No</t>
        </is>
      </c>
      <c r="AW136" s="5" t="inlineStr">
        <is>
          <t>No</t>
        </is>
      </c>
      <c r="AX136" s="5" t="inlineStr">
        <is>
          <t>No</t>
        </is>
      </c>
      <c r="AY136" s="5" t="inlineStr">
        <is>
          <t>Not Found</t>
        </is>
      </c>
      <c r="AZ136" s="5" t="inlineStr">
        <is>
          <t>Not Found</t>
        </is>
      </c>
      <c r="BA136" s="5" t="inlineStr">
        <is>
          <t>2026-09-17</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2026-09-17</t>
        </is>
      </c>
      <c r="BJ136" s="5" t="inlineStr">
        <is>
          <t>New</t>
        </is>
      </c>
      <c r="BK136" s="5" t="inlineStr">
        <is>
          <t>2026-09-17</t>
        </is>
      </c>
      <c r="BL136" s="5" t="inlineStr"/>
      <c r="BM136" s="5" t="inlineStr"/>
      <c r="BN136" s="5" t="inlineStr"/>
      <c r="BO136" s="5" t="inlineStr"/>
      <c r="BP136" s="5" t="inlineStr"/>
      <c r="BQ136" s="5" t="inlineStr"/>
    </row>
    <row r="137">
      <c r="A137" s="10" t="inlineStr">
        <is>
          <t>UK-000724</t>
        </is>
      </c>
      <c r="B137" s="10" t="inlineStr">
        <is>
          <t>SAKALIMITE-01</t>
        </is>
      </c>
      <c r="C137" s="10" t="inlineStr">
        <is>
          <t>Saka Limited</t>
        </is>
      </c>
      <c r="D137" s="10" t="inlineStr">
        <is>
          <t>New Delhi Cash &amp; Carry</t>
        </is>
      </c>
      <c r="E137" s="10" t="inlineStr">
        <is>
          <t>New Delhi Cash &amp; Carry</t>
        </is>
      </c>
      <c r="F137" s="10" t="inlineStr"/>
      <c r="G137" s="10" t="inlineStr">
        <is>
          <t>Cash &amp; Carry</t>
        </is>
      </c>
      <c r="H137" s="10" t="inlineStr">
        <is>
          <t>Grocery &amp; catering wholesaler</t>
        </is>
      </c>
      <c r="I137" s="10" t="inlineStr">
        <is>
          <t>Independent</t>
        </is>
      </c>
      <c r="J137" s="10" t="inlineStr">
        <is>
          <t>1</t>
        </is>
      </c>
      <c r="K137" s="10" t="inlineStr"/>
      <c r="L137" s="10" t="inlineStr"/>
      <c r="M137" s="10" t="inlineStr"/>
      <c r="N137" s="10" t="inlineStr"/>
      <c r="O137" s="10" t="inlineStr">
        <is>
          <t>Saka House, Green Lane</t>
        </is>
      </c>
      <c r="P137" s="10" t="inlineStr">
        <is>
          <t>Old Swan</t>
        </is>
      </c>
      <c r="Q137" s="10" t="inlineStr">
        <is>
          <t>Liverpool</t>
        </is>
      </c>
      <c r="R137" s="10" t="inlineStr">
        <is>
          <t>Merseyside</t>
        </is>
      </c>
      <c r="S137" s="10" t="inlineStr">
        <is>
          <t>L13 7JN</t>
        </is>
      </c>
      <c r="T137" s="10" t="inlineStr">
        <is>
          <t>North West</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grocery wholesale; catering supplies; world food; Chinese supermarket lines</t>
        </is>
      </c>
      <c r="AL137" s="10" t="inlineStr"/>
      <c r="AM137" s="10" t="inlineStr">
        <is>
          <t>Cash &amp; Carry</t>
        </is>
      </c>
      <c r="AN137" s="10" t="inlineStr">
        <is>
          <t>Trading as Saka New Delhi Cash &amp; Carry; serving the North West catering trade since 1969.</t>
        </is>
      </c>
      <c r="AO137" s="10" t="inlineStr">
        <is>
          <t>Established 1969. Independent cash &amp; carry / grocery wholesaler at Saka House, Green Lane (L13). Also listed as 'Saka New Delhi Cash &amp; Carry'. Directory phone was partially masked so left blank.</t>
        </is>
      </c>
      <c r="AP137" s="10" t="inlineStr">
        <is>
          <t>Medium</t>
        </is>
      </c>
      <c r="AQ137" s="10" t="inlineStr">
        <is>
          <t>Multi-site retailer; Independent retailer; Core relevant category</t>
        </is>
      </c>
      <c r="AR137" s="10" t="inlineStr">
        <is>
          <t>https://www.yell.com/biz/saka-new-delhi-cash-and-carry-liverpool-7373342/</t>
        </is>
      </c>
      <c r="AS137" s="10" t="inlineStr">
        <is>
          <t>https://www.192.com/atoz/business/liverpool-l13/cash-and-carry-wholesalers/new-delhi-cash-carry/1c2d560701577e8fe3eee99aeb82e7b679bd7e39/ml/</t>
        </is>
      </c>
      <c r="AT137" s="10" t="inlineStr">
        <is>
          <t>2</t>
        </is>
      </c>
      <c r="AU137" s="10" t="inlineStr">
        <is>
          <t>No</t>
        </is>
      </c>
      <c r="AV137" s="10" t="inlineStr">
        <is>
          <t>No</t>
        </is>
      </c>
      <c r="AW137" s="10" t="inlineStr">
        <is>
          <t>No</t>
        </is>
      </c>
      <c r="AX137" s="10" t="inlineStr">
        <is>
          <t>No</t>
        </is>
      </c>
      <c r="AY137" s="10" t="inlineStr">
        <is>
          <t>Not Found</t>
        </is>
      </c>
      <c r="AZ137" s="10" t="inlineStr">
        <is>
          <t>Not Found</t>
        </is>
      </c>
      <c r="BA137" s="10" t="inlineStr">
        <is>
          <t>2026-09-17</t>
        </is>
      </c>
      <c r="BB137" s="10" t="inlineStr">
        <is>
          <t>Requires Verification</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WY-0025</t>
        </is>
      </c>
      <c r="B138" s="5" t="inlineStr">
        <is>
          <t>SAVILEPETR-01</t>
        </is>
      </c>
      <c r="C138" s="5" t="inlineStr">
        <is>
          <t>Savile Petroleum Limited</t>
        </is>
      </c>
      <c r="D138" s="5" t="inlineStr">
        <is>
          <t>Dewsbury Service Station (Savile Petroleum)</t>
        </is>
      </c>
      <c r="E138" s="5" t="inlineStr">
        <is>
          <t>Dewsbury Service Station</t>
        </is>
      </c>
      <c r="F138" s="5" t="inlineStr">
        <is>
          <t>Savile Petroleum Limited</t>
        </is>
      </c>
      <c r="G138" s="5" t="inlineStr">
        <is>
          <t>Petrol Station / Forecourt</t>
        </is>
      </c>
      <c r="H138" s="5" t="inlineStr">
        <is>
          <t>BP-branded independent forecourt with convenience store</t>
        </is>
      </c>
      <c r="I138" s="5" t="inlineStr">
        <is>
          <t>Independent</t>
        </is>
      </c>
      <c r="J138" s="5" t="inlineStr">
        <is>
          <t>1</t>
        </is>
      </c>
      <c r="K138" s="5" t="inlineStr"/>
      <c r="L138" s="5" t="inlineStr"/>
      <c r="M138" s="5" t="inlineStr"/>
      <c r="N138" s="5" t="inlineStr"/>
      <c r="O138" s="5" t="inlineStr">
        <is>
          <t>Savile Road</t>
        </is>
      </c>
      <c r="P138" s="5" t="inlineStr">
        <is>
          <t>Savile Town</t>
        </is>
      </c>
      <c r="Q138" s="5" t="inlineStr">
        <is>
          <t>Dewsbury</t>
        </is>
      </c>
      <c r="R138" s="5" t="inlineStr">
        <is>
          <t>West Yorkshire</t>
        </is>
      </c>
      <c r="S138" s="5" t="inlineStr">
        <is>
          <t>WF12 9LR</t>
        </is>
      </c>
      <c r="T138" s="5" t="inlineStr">
        <is>
          <t>Yorkshire &amp; Humber</t>
        </is>
      </c>
      <c r="U138" s="5" t="inlineStr">
        <is>
          <t>England</t>
        </is>
      </c>
      <c r="V138" s="5" t="inlineStr"/>
      <c r="W138" s="5" t="inlineStr"/>
      <c r="X138" s="5" t="inlineStr"/>
      <c r="Y138" s="5" t="inlineStr"/>
      <c r="Z138" s="5" t="inlineStr"/>
      <c r="AA138" s="5" t="inlineStr"/>
      <c r="AB138" s="5" t="inlineStr"/>
      <c r="AC138" s="5" t="inlineStr"/>
      <c r="AD138" s="5" t="inlineStr"/>
      <c r="AE138" s="5" t="inlineStr">
        <is>
          <t>05197700</t>
        </is>
      </c>
      <c r="AF138" s="5" t="inlineStr">
        <is>
          <t>Active</t>
        </is>
      </c>
      <c r="AG138" s="5" t="inlineStr">
        <is>
          <t>SAVILE PETROLEUM LIMITED</t>
        </is>
      </c>
      <c r="AH138" s="5" t="inlineStr">
        <is>
          <t>11 Headfield Road, Dewsbury, West Yorkshire, WF12 9JF</t>
        </is>
      </c>
      <c r="AI138" s="5" t="inlineStr">
        <is>
          <t>2004-08-04</t>
        </is>
      </c>
      <c r="AJ138" s="5" t="inlineStr"/>
      <c r="AK138" s="5" t="inlineStr">
        <is>
          <t>fuel; LPG; AdBlue; convenience goods; tobacco</t>
        </is>
      </c>
      <c r="AL138" s="5" t="inlineStr"/>
      <c r="AM138" s="5" t="inlineStr">
        <is>
          <t>Petrol Station / Forecourt</t>
        </is>
      </c>
      <c r="AN138" s="5" t="inlineStr">
        <is>
          <t>BP fuel supply</t>
        </is>
      </c>
      <c r="AO138" s="5" t="inlineStr">
        <is>
          <t>24/7 BP dealer site with convenience store on Savile Road; operated by independent company Savile Petroleum Limited per directory and Companies House search results.</t>
        </is>
      </c>
      <c r="AP138" s="5" t="inlineStr">
        <is>
          <t>Medium</t>
        </is>
      </c>
      <c r="AQ138" s="5" t="inlineStr">
        <is>
          <t>Multi-site retailer; Independent retailer; Relevant category</t>
        </is>
      </c>
      <c r="AR138" s="5" t="inlineStr">
        <is>
          <t>https://find-and-update.company-information.service.gov.uk/company/05197700</t>
        </is>
      </c>
      <c r="AS138" s="5" t="inlineStr">
        <is>
          <t>https://www.petrolprices.com/locations/dewsbury/savile-road/8720</t>
        </is>
      </c>
      <c r="AT138" s="5" t="inlineStr">
        <is>
          <t>4</t>
        </is>
      </c>
      <c r="AU138" s="5" t="inlineStr">
        <is>
          <t>No</t>
        </is>
      </c>
      <c r="AV138" s="5" t="inlineStr">
        <is>
          <t>No</t>
        </is>
      </c>
      <c r="AW138" s="5" t="inlineStr">
        <is>
          <t>No</t>
        </is>
      </c>
      <c r="AX138" s="5" t="inlineStr">
        <is>
          <t>Yes</t>
        </is>
      </c>
      <c r="AY138" s="5" t="inlineStr">
        <is>
          <t>Not Found</t>
        </is>
      </c>
      <c r="AZ138" s="5" t="inlineStr">
        <is>
          <t>Not Found</t>
        </is>
      </c>
      <c r="BA138" s="5" t="inlineStr">
        <is>
          <t>2026-09-17</t>
        </is>
      </c>
      <c r="BB138" s="5" t="inlineStr">
        <is>
          <t>Partially Verified</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2026-09-17</t>
        </is>
      </c>
      <c r="BL138" s="5" t="inlineStr"/>
      <c r="BM138" s="5" t="inlineStr"/>
      <c r="BN138" s="5" t="inlineStr"/>
      <c r="BO138" s="5" t="inlineStr"/>
      <c r="BP138" s="5" t="inlineStr"/>
      <c r="BQ138" s="5" t="inlineStr"/>
    </row>
    <row r="139">
      <c r="A139" s="10" t="inlineStr">
        <is>
          <t>UK-000725</t>
        </is>
      </c>
      <c r="B139" s="10" t="inlineStr">
        <is>
          <t>SCOTVAPES-01</t>
        </is>
      </c>
      <c r="C139" s="10" t="inlineStr">
        <is>
          <t>Scotvapes</t>
        </is>
      </c>
      <c r="D139" s="10" t="inlineStr">
        <is>
          <t>Scotvapes</t>
        </is>
      </c>
      <c r="E139" s="10" t="inlineStr">
        <is>
          <t>Scotvapes</t>
        </is>
      </c>
      <c r="F139" s="10" t="inlineStr"/>
      <c r="G139" s="10" t="inlineStr">
        <is>
          <t>Vape Shop</t>
        </is>
      </c>
      <c r="H139" s="10" t="inlineStr">
        <is>
          <t>E-liquid and hardware retailer</t>
        </is>
      </c>
      <c r="I139" s="10" t="inlineStr">
        <is>
          <t>Multi-Site Independent</t>
        </is>
      </c>
      <c r="J139" s="10" t="inlineStr">
        <is>
          <t>2</t>
        </is>
      </c>
      <c r="K139" s="10" t="inlineStr">
        <is>
          <t>https://scotvapes.com/</t>
        </is>
      </c>
      <c r="L139" s="10" t="inlineStr"/>
      <c r="M139" s="10" t="inlineStr"/>
      <c r="N139" s="10" t="inlineStr"/>
      <c r="O139" s="10" t="inlineStr">
        <is>
          <t>73 High Street</t>
        </is>
      </c>
      <c r="P139" s="10" t="inlineStr">
        <is>
          <t>Merchant City</t>
        </is>
      </c>
      <c r="Q139" s="10" t="inlineStr">
        <is>
          <t>Glasgow</t>
        </is>
      </c>
      <c r="R139" s="10" t="inlineStr">
        <is>
          <t>Glasgow City</t>
        </is>
      </c>
      <c r="S139" s="10" t="inlineStr">
        <is>
          <t>G1 1NB</t>
        </is>
      </c>
      <c r="T139" s="10" t="inlineStr">
        <is>
          <t>Scotland</t>
        </is>
      </c>
      <c r="U139" s="10" t="inlineStr">
        <is>
          <t>Scotland</t>
        </is>
      </c>
      <c r="V139" s="10" t="inlineStr">
        <is>
          <t>0141 258 7312</t>
        </is>
      </c>
      <c r="W139" s="10" t="inlineStr"/>
      <c r="X139" s="10" t="inlineStr"/>
      <c r="Y139" s="10" t="inlineStr">
        <is>
          <t>glasgowhigh@scotvapes.com</t>
        </is>
      </c>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 coils; accessories</t>
        </is>
      </c>
      <c r="AL139" s="10" t="inlineStr"/>
      <c r="AM139" s="10" t="inlineStr">
        <is>
          <t>Vape Shop</t>
        </is>
      </c>
      <c r="AN139" s="10" t="inlineStr"/>
      <c r="AO139" s="10" t="inlineStr">
        <is>
          <t>Glasgow independent vape chain with a High Street (Merchant City) store and a Woodlands Road store near Charing Cross. Store email glasgowhigh@scotvapes.com published on Cylex listing; general email website@scotvapes.com on their contact page.</t>
        </is>
      </c>
      <c r="AP139" s="10" t="inlineStr">
        <is>
          <t>High</t>
        </is>
      </c>
      <c r="AQ139" s="10" t="inlineStr">
        <is>
          <t>Multi-site retailer; Independent retailer; Core relevant category; Public email available; Active website</t>
        </is>
      </c>
      <c r="AR139" s="10" t="inlineStr">
        <is>
          <t>https://scotvapes.com/glasgow/</t>
        </is>
      </c>
      <c r="AS139" s="10" t="inlineStr">
        <is>
          <t>https://glasgow.cylex-uk.co.uk/company/scotvapes-28028256.html</t>
        </is>
      </c>
      <c r="AT139" s="10" t="inlineStr">
        <is>
          <t>2</t>
        </is>
      </c>
      <c r="AU139" s="10" t="inlineStr">
        <is>
          <t>No</t>
        </is>
      </c>
      <c r="AV139" s="10" t="inlineStr">
        <is>
          <t>No</t>
        </is>
      </c>
      <c r="AW139" s="10" t="inlineStr">
        <is>
          <t>No</t>
        </is>
      </c>
      <c r="AX139" s="10" t="inlineStr">
        <is>
          <t>No</t>
        </is>
      </c>
      <c r="AY139" s="10" t="inlineStr">
        <is>
          <t>Verified directory</t>
        </is>
      </c>
      <c r="AZ139" s="10" t="inlineStr">
        <is>
          <t>Publicly Listed</t>
        </is>
      </c>
      <c r="BA139" s="10" t="inlineStr">
        <is>
          <t>2026-09-17</t>
        </is>
      </c>
      <c r="BB139" s="10" t="inlineStr">
        <is>
          <t>Requires Verification</t>
        </is>
      </c>
      <c r="BC139" s="10" t="inlineStr">
        <is>
          <t>Medium</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UK-000726</t>
        </is>
      </c>
      <c r="B140" s="5" t="inlineStr">
        <is>
          <t>SCOTVAPES-02</t>
        </is>
      </c>
      <c r="C140" s="5" t="inlineStr">
        <is>
          <t>Scotvapes</t>
        </is>
      </c>
      <c r="D140" s="5" t="inlineStr">
        <is>
          <t>Scotvapes</t>
        </is>
      </c>
      <c r="E140" s="5" t="inlineStr">
        <is>
          <t>Scotvapes</t>
        </is>
      </c>
      <c r="F140" s="5" t="inlineStr"/>
      <c r="G140" s="5" t="inlineStr">
        <is>
          <t>Vape Shop</t>
        </is>
      </c>
      <c r="H140" s="5" t="inlineStr">
        <is>
          <t>E-liquid and hardware retailer</t>
        </is>
      </c>
      <c r="I140" s="5" t="inlineStr">
        <is>
          <t>Multi-Site Independent</t>
        </is>
      </c>
      <c r="J140" s="5" t="inlineStr">
        <is>
          <t>2</t>
        </is>
      </c>
      <c r="K140" s="5" t="inlineStr">
        <is>
          <t>https://scotvapes.com/</t>
        </is>
      </c>
      <c r="L140" s="5" t="inlineStr"/>
      <c r="M140" s="5" t="inlineStr"/>
      <c r="N140" s="5" t="inlineStr"/>
      <c r="O140" s="5" t="inlineStr">
        <is>
          <t>Woodlands Road</t>
        </is>
      </c>
      <c r="P140" s="5" t="inlineStr">
        <is>
          <t>Charing Cross / West End</t>
        </is>
      </c>
      <c r="Q140" s="5" t="inlineStr">
        <is>
          <t>Glasgow</t>
        </is>
      </c>
      <c r="R140" s="5" t="inlineStr">
        <is>
          <t>Glasgow City</t>
        </is>
      </c>
      <c r="S140" s="5" t="inlineStr"/>
      <c r="T140" s="5" t="inlineStr">
        <is>
          <t>Scotland</t>
        </is>
      </c>
      <c r="U140" s="5" t="inlineStr">
        <is>
          <t>Scotland</t>
        </is>
      </c>
      <c r="V140" s="5" t="inlineStr">
        <is>
          <t>07426 533474</t>
        </is>
      </c>
      <c r="W140" s="5" t="inlineStr"/>
      <c r="X140" s="5" t="inlineStr"/>
      <c r="Y140" s="5" t="inlineStr">
        <is>
          <t>website@scotvapes.com</t>
        </is>
      </c>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vape hardware; e-liquids; coils; accessories</t>
        </is>
      </c>
      <c r="AL140" s="5" t="inlineStr"/>
      <c r="AM140" s="5" t="inlineStr">
        <is>
          <t>Vape Shop</t>
        </is>
      </c>
      <c r="AN140" s="5" t="inlineStr"/>
      <c r="AO140" s="5" t="inlineStr">
        <is>
          <t>Scotvapes second store on Woodlands Road, two-minute walk from Sauchiehall Street (West End / Charing Cross). Street-level house number not confirmed in snippets so postcode left blank. Mobile contact and general email from Scotvapes contact page.</t>
        </is>
      </c>
      <c r="AP140" s="5" t="inlineStr">
        <is>
          <t>High</t>
        </is>
      </c>
      <c r="AQ140" s="5" t="inlineStr">
        <is>
          <t>Multi-site retailer; Independent retailer; Core relevant category; Public email available; Active website</t>
        </is>
      </c>
      <c r="AR140" s="5" t="inlineStr">
        <is>
          <t>https://scotvapes.com/contact-us/</t>
        </is>
      </c>
      <c r="AS140" s="5" t="inlineStr">
        <is>
          <t>https://scotvapes.com/glasgow/</t>
        </is>
      </c>
      <c r="AT140" s="5" t="inlineStr">
        <is>
          <t>2</t>
        </is>
      </c>
      <c r="AU140" s="5" t="inlineStr">
        <is>
          <t>No</t>
        </is>
      </c>
      <c r="AV140" s="5" t="inlineStr">
        <is>
          <t>No</t>
        </is>
      </c>
      <c r="AW140" s="5" t="inlineStr">
        <is>
          <t>No</t>
        </is>
      </c>
      <c r="AX140" s="5" t="inlineStr">
        <is>
          <t>No</t>
        </is>
      </c>
      <c r="AY140" s="5" t="inlineStr">
        <is>
          <t>Verified directory</t>
        </is>
      </c>
      <c r="AZ140" s="5" t="inlineStr">
        <is>
          <t>Publicly Listed</t>
        </is>
      </c>
      <c r="BA140" s="5" t="inlineStr">
        <is>
          <t>2026-09-17</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2026-09-17</t>
        </is>
      </c>
      <c r="BJ140" s="5" t="inlineStr">
        <is>
          <t>New</t>
        </is>
      </c>
      <c r="BK140" s="5" t="inlineStr">
        <is>
          <t>2026-09-17</t>
        </is>
      </c>
      <c r="BL140" s="5" t="inlineStr"/>
      <c r="BM140" s="5" t="inlineStr"/>
      <c r="BN140" s="5" t="inlineStr"/>
      <c r="BO140" s="5" t="inlineStr"/>
      <c r="BP140" s="5" t="inlineStr"/>
      <c r="BQ140" s="5" t="inlineStr"/>
    </row>
    <row r="141">
      <c r="A141" s="10" t="inlineStr">
        <is>
          <t>UK-000320</t>
        </is>
      </c>
      <c r="B141" s="10" t="inlineStr">
        <is>
          <t>SIMPLYELIQ-01</t>
        </is>
      </c>
      <c r="C141" s="10" t="inlineStr">
        <is>
          <t>Simply ELiquid</t>
        </is>
      </c>
      <c r="D141" s="10" t="inlineStr">
        <is>
          <t>Simply ELiquid Failsworth</t>
        </is>
      </c>
      <c r="E141" s="10" t="inlineStr">
        <is>
          <t>Simply ELiquid</t>
        </is>
      </c>
      <c r="F141" s="10" t="inlineStr"/>
      <c r="G141" s="10" t="inlineStr">
        <is>
          <t>Vape Shop</t>
        </is>
      </c>
      <c r="H141" s="10" t="inlineStr">
        <is>
          <t>E-liquid &amp; vape hardware</t>
        </is>
      </c>
      <c r="I141" s="10" t="inlineStr">
        <is>
          <t>Multi-Site Independent</t>
        </is>
      </c>
      <c r="J141" s="10" t="inlineStr">
        <is>
          <t>2</t>
        </is>
      </c>
      <c r="K141" s="10" t="inlineStr">
        <is>
          <t>https://www.simplyeliquid.co.uk/pages/simply-eliquid-failsworth-shop</t>
        </is>
      </c>
      <c r="L141" s="10" t="inlineStr"/>
      <c r="M141" s="10" t="inlineStr"/>
      <c r="N141" s="10" t="inlineStr"/>
      <c r="O141" s="10" t="inlineStr">
        <is>
          <t>736 Oldham Road</t>
        </is>
      </c>
      <c r="P141" s="10" t="inlineStr"/>
      <c r="Q141" s="10" t="inlineStr">
        <is>
          <t>Failsworth</t>
        </is>
      </c>
      <c r="R141" s="10" t="inlineStr">
        <is>
          <t>Greater Manchester</t>
        </is>
      </c>
      <c r="S141" s="10" t="inlineStr">
        <is>
          <t>M35 9FD</t>
        </is>
      </c>
      <c r="T141" s="10" t="inlineStr">
        <is>
          <t>North West</t>
        </is>
      </c>
      <c r="U141" s="10" t="inlineStr">
        <is>
          <t>England</t>
        </is>
      </c>
      <c r="V141" s="10" t="inlineStr"/>
      <c r="W141" s="10" t="inlineStr"/>
      <c r="X141" s="10" t="inlineStr"/>
      <c r="Y141" s="10" t="inlineStr">
        <is>
          <t>info@simplyeliquid.co.uk</t>
        </is>
      </c>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e-liquids; vape hardware; disposables</t>
        </is>
      </c>
      <c r="AL141" s="10" t="inlineStr"/>
      <c r="AM141" s="10" t="inlineStr">
        <is>
          <t>Vape Shop</t>
        </is>
      </c>
      <c r="AN141" s="10" t="inlineStr"/>
      <c r="AO141" s="10" t="inlineStr">
        <is>
          <t>Failsworth branch of Simply ELiquid chain. Email is company-wide info address.</t>
        </is>
      </c>
      <c r="AP141" s="10" t="inlineStr">
        <is>
          <t>High</t>
        </is>
      </c>
      <c r="AQ141" s="10" t="inlineStr">
        <is>
          <t>Multi-site retailer; Independent retailer; Core relevant category; Public email available; Active website</t>
        </is>
      </c>
      <c r="AR141" s="10" t="inlineStr">
        <is>
          <t>https://www.simplyeliquid.co.uk/pages/simply-eliquid-failsworth-shop</t>
        </is>
      </c>
      <c r="AS141" s="10" t="inlineStr"/>
      <c r="AT141" s="10" t="inlineStr">
        <is>
          <t>1</t>
        </is>
      </c>
      <c r="AU141" s="10" t="inlineStr">
        <is>
          <t>No</t>
        </is>
      </c>
      <c r="AV141" s="10" t="inlineStr">
        <is>
          <t>No</t>
        </is>
      </c>
      <c r="AW141" s="10" t="inlineStr">
        <is>
          <t>No</t>
        </is>
      </c>
      <c r="AX141" s="10" t="inlineStr">
        <is>
          <t>No</t>
        </is>
      </c>
      <c r="AY141" s="10" t="inlineStr">
        <is>
          <t>Not Found</t>
        </is>
      </c>
      <c r="AZ141" s="10" t="inlineStr">
        <is>
          <t>Publicly Listed</t>
        </is>
      </c>
      <c r="BA141" s="10" t="inlineStr">
        <is>
          <t>2026-09-17</t>
        </is>
      </c>
      <c r="BB141" s="10" t="inlineStr">
        <is>
          <t>Requires Verification</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UK-000321</t>
        </is>
      </c>
      <c r="B142" s="5" t="inlineStr">
        <is>
          <t>SIMPLYELIQ-02</t>
        </is>
      </c>
      <c r="C142" s="5" t="inlineStr">
        <is>
          <t>Simply ELiquid</t>
        </is>
      </c>
      <c r="D142" s="5" t="inlineStr">
        <is>
          <t>Simply ELiquid Stockport</t>
        </is>
      </c>
      <c r="E142" s="5" t="inlineStr">
        <is>
          <t>Simply ELiquid</t>
        </is>
      </c>
      <c r="F142" s="5" t="inlineStr"/>
      <c r="G142" s="5" t="inlineStr">
        <is>
          <t>Vape Shop</t>
        </is>
      </c>
      <c r="H142" s="5" t="inlineStr">
        <is>
          <t>E-liquid &amp; vape hardware</t>
        </is>
      </c>
      <c r="I142" s="5" t="inlineStr">
        <is>
          <t>Multi-Site Independent</t>
        </is>
      </c>
      <c r="J142" s="5" t="inlineStr">
        <is>
          <t>2</t>
        </is>
      </c>
      <c r="K142" s="5" t="inlineStr">
        <is>
          <t>https://www.simplyeliquid.co.uk/pages/simply-eliquid-stockport-shop</t>
        </is>
      </c>
      <c r="L142" s="5" t="inlineStr"/>
      <c r="M142" s="5" t="inlineStr"/>
      <c r="N142" s="5" t="inlineStr"/>
      <c r="O142" s="5" t="inlineStr">
        <is>
          <t>69a Merseyway</t>
        </is>
      </c>
      <c r="P142" s="5" t="inlineStr"/>
      <c r="Q142" s="5" t="inlineStr">
        <is>
          <t>Stockport</t>
        </is>
      </c>
      <c r="R142" s="5" t="inlineStr">
        <is>
          <t>Greater Manchester</t>
        </is>
      </c>
      <c r="S142" s="5" t="inlineStr">
        <is>
          <t>SK1 1QW</t>
        </is>
      </c>
      <c r="T142" s="5" t="inlineStr">
        <is>
          <t>North West</t>
        </is>
      </c>
      <c r="U142" s="5" t="inlineStr">
        <is>
          <t>England</t>
        </is>
      </c>
      <c r="V142" s="5" t="inlineStr">
        <is>
          <t>0161 429 6016</t>
        </is>
      </c>
      <c r="W142" s="5" t="inlineStr"/>
      <c r="X142" s="5" t="inlineStr"/>
      <c r="Y142" s="5" t="inlineStr">
        <is>
          <t>info@simplyeliquid.co.uk</t>
        </is>
      </c>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e-liquids; vape hardware; disposables</t>
        </is>
      </c>
      <c r="AL142" s="5" t="inlineStr"/>
      <c r="AM142" s="5" t="inlineStr">
        <is>
          <t>Vape Shop</t>
        </is>
      </c>
      <c r="AN142" s="5" t="inlineStr"/>
      <c r="AO142" s="5" t="inlineStr">
        <is>
          <t>Chain of vape shops across Greater Manchester; branches include Stockport and Failsworth. Email is company-wide info address.</t>
        </is>
      </c>
      <c r="AP142" s="5" t="inlineStr">
        <is>
          <t>High</t>
        </is>
      </c>
      <c r="AQ142" s="5" t="inlineStr">
        <is>
          <t>Multi-site retailer; Independent retailer; Core relevant category; Public email available; Active website; Phone verified on official website</t>
        </is>
      </c>
      <c r="AR142" s="5" t="inlineStr">
        <is>
          <t>https://www.simplyeliquid.co.uk/pages/simply-eliquid-stockport-shop</t>
        </is>
      </c>
      <c r="AS142" s="5" t="inlineStr"/>
      <c r="AT142" s="5" t="inlineStr">
        <is>
          <t>1</t>
        </is>
      </c>
      <c r="AU142" s="5" t="inlineStr">
        <is>
          <t>No</t>
        </is>
      </c>
      <c r="AV142" s="5" t="inlineStr">
        <is>
          <t>No</t>
        </is>
      </c>
      <c r="AW142" s="5" t="inlineStr">
        <is>
          <t>No</t>
        </is>
      </c>
      <c r="AX142" s="5" t="inlineStr">
        <is>
          <t>No</t>
        </is>
      </c>
      <c r="AY142" s="5" t="inlineStr">
        <is>
          <t>Verified on official website</t>
        </is>
      </c>
      <c r="AZ142" s="5" t="inlineStr">
        <is>
          <t>Publicly Listed</t>
        </is>
      </c>
      <c r="BA142" s="5" t="inlineStr">
        <is>
          <t>2026-09-17</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WY-0026</t>
        </is>
      </c>
      <c r="B143" s="10" t="inlineStr">
        <is>
          <t>SINGKEEFOO-01</t>
        </is>
      </c>
      <c r="C143" s="10" t="inlineStr">
        <is>
          <t>Sing Kee Foods (Sing-Ying Group)</t>
        </is>
      </c>
      <c r="D143" s="10" t="inlineStr">
        <is>
          <t>Sing Kee Foods (Sheepscar)</t>
        </is>
      </c>
      <c r="E143" s="10" t="inlineStr">
        <is>
          <t>Sing Kee Foods</t>
        </is>
      </c>
      <c r="F143" s="10" t="inlineStr">
        <is>
          <t>Sing Kee Food Supply Limited</t>
        </is>
      </c>
      <c r="G143" s="10" t="inlineStr">
        <is>
          <t>Independent Supermarket</t>
        </is>
      </c>
      <c r="H143" s="10" t="inlineStr">
        <is>
          <t>Chinese / Oriental supermarket and catering supplier</t>
        </is>
      </c>
      <c r="I143" s="10" t="inlineStr">
        <is>
          <t>Multi-Site Independent</t>
        </is>
      </c>
      <c r="J143" s="10" t="inlineStr">
        <is>
          <t>2</t>
        </is>
      </c>
      <c r="K143" s="10" t="inlineStr">
        <is>
          <t>https://singkeefoods.co.uk/gb/</t>
        </is>
      </c>
      <c r="L143" s="10" t="inlineStr">
        <is>
          <t>https://www.facebook.com/singkee.chinesesupermarket/</t>
        </is>
      </c>
      <c r="M143" s="10" t="inlineStr"/>
      <c r="N143" s="10" t="inlineStr"/>
      <c r="O143" s="10" t="inlineStr">
        <is>
          <t>Sing Yang Building, 30-36 Cross Stamford Street</t>
        </is>
      </c>
      <c r="P143" s="10" t="inlineStr">
        <is>
          <t>Sheepscar</t>
        </is>
      </c>
      <c r="Q143" s="10" t="inlineStr">
        <is>
          <t>Leeds</t>
        </is>
      </c>
      <c r="R143" s="10" t="inlineStr">
        <is>
          <t>West Yorkshire</t>
        </is>
      </c>
      <c r="S143" s="10" t="inlineStr">
        <is>
          <t>LS7 1BA</t>
        </is>
      </c>
      <c r="T143" s="10" t="inlineStr">
        <is>
          <t>Yorkshire &amp; Humber</t>
        </is>
      </c>
      <c r="U143" s="10" t="inlineStr">
        <is>
          <t>England</t>
        </is>
      </c>
      <c r="V143" s="10" t="inlineStr">
        <is>
          <t>0113 898 0168</t>
        </is>
      </c>
      <c r="W143" s="10" t="inlineStr"/>
      <c r="X143" s="10" t="inlineStr"/>
      <c r="Y143" s="10" t="inlineStr"/>
      <c r="Z143" s="10" t="inlineStr">
        <is>
          <t>wholesale@singkeefoods.co.uk</t>
        </is>
      </c>
      <c r="AA143" s="10" t="inlineStr"/>
      <c r="AB143" s="10" t="inlineStr"/>
      <c r="AC143" s="10" t="inlineStr"/>
      <c r="AD143" s="10" t="inlineStr"/>
      <c r="AE143" s="10" t="inlineStr">
        <is>
          <t>04025779</t>
        </is>
      </c>
      <c r="AF143" s="10" t="inlineStr"/>
      <c r="AG143" s="10" t="inlineStr">
        <is>
          <t>SING KEE FOOD SUPPLY LIMITED</t>
        </is>
      </c>
      <c r="AH143" s="10" t="inlineStr"/>
      <c r="AI143" s="10" t="inlineStr"/>
      <c r="AJ143" s="10" t="inlineStr"/>
      <c r="AK143" s="10" t="inlineStr">
        <is>
          <t>Chinese and East Asian groceries; fresh and frozen foods; catering supply</t>
        </is>
      </c>
      <c r="AL143" s="10" t="inlineStr"/>
      <c r="AM143" s="10" t="inlineStr">
        <is>
          <t>Independent Supermarket</t>
        </is>
      </c>
      <c r="AN143" s="10" t="inlineStr">
        <is>
          <t>Imports from the Far East; supplies catering businesses across the North of England</t>
        </is>
      </c>
      <c r="AO143" s="10" t="inlineStr">
        <is>
          <t>Main Sheepscar site of Sing Kee Foods, part of the Sing-Ying Group. Companies House number seen in CH search result URL; CH site blocked by proxy so status/registered office not captured.</t>
        </is>
      </c>
      <c r="AP143" s="10" t="inlineStr">
        <is>
          <t>High</t>
        </is>
      </c>
      <c r="AQ143" s="10" t="inlineStr">
        <is>
          <t>Multi-site retailer; Independent retailer; Relevant category; Public trade/sales contact; Active website; Social presence</t>
        </is>
      </c>
      <c r="AR143" s="10" t="inlineStr">
        <is>
          <t>https://singkeefoods.com/gb/contact-us</t>
        </is>
      </c>
      <c r="AS143" s="10" t="inlineStr">
        <is>
          <t>https://find-and-update.company-information.service.gov.uk/company/04025779/persons-with-significant-control</t>
        </is>
      </c>
      <c r="AT143" s="10" t="inlineStr">
        <is>
          <t>4</t>
        </is>
      </c>
      <c r="AU143" s="10" t="inlineStr">
        <is>
          <t>No</t>
        </is>
      </c>
      <c r="AV143" s="10" t="inlineStr">
        <is>
          <t>No</t>
        </is>
      </c>
      <c r="AW143" s="10" t="inlineStr">
        <is>
          <t>Yes</t>
        </is>
      </c>
      <c r="AX143" s="10" t="inlineStr">
        <is>
          <t>Yes</t>
        </is>
      </c>
      <c r="AY143" s="10" t="inlineStr">
        <is>
          <t>Verified directory</t>
        </is>
      </c>
      <c r="AZ143" s="10" t="inlineStr">
        <is>
          <t>Website Found</t>
        </is>
      </c>
      <c r="BA143" s="10" t="inlineStr">
        <is>
          <t>2026-09-17</t>
        </is>
      </c>
      <c r="BB143" s="10" t="inlineStr">
        <is>
          <t>Partially Verified</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2026-09-17</t>
        </is>
      </c>
      <c r="BL143" s="10" t="inlineStr"/>
      <c r="BM143" s="10" t="inlineStr"/>
      <c r="BN143" s="10" t="inlineStr"/>
      <c r="BO143" s="10" t="inlineStr"/>
      <c r="BP143" s="10" t="inlineStr"/>
      <c r="BQ143" s="10" t="inlineStr"/>
    </row>
    <row r="144">
      <c r="A144" s="5" t="inlineStr">
        <is>
          <t>WY-0027</t>
        </is>
      </c>
      <c r="B144" s="5" t="inlineStr">
        <is>
          <t>SINGKEEFOO-02</t>
        </is>
      </c>
      <c r="C144" s="5" t="inlineStr">
        <is>
          <t>Sing Kee Foods (Sing-Ying Group)</t>
        </is>
      </c>
      <c r="D144" s="5" t="inlineStr">
        <is>
          <t>Sing Kee Oriental Supermarket (Merrion Centre)</t>
        </is>
      </c>
      <c r="E144" s="5" t="inlineStr">
        <is>
          <t>Sing Kee</t>
        </is>
      </c>
      <c r="F144" s="5" t="inlineStr"/>
      <c r="G144" s="5" t="inlineStr">
        <is>
          <t>Independent Supermarket</t>
        </is>
      </c>
      <c r="H144" s="5" t="inlineStr">
        <is>
          <t>Chinese / Oriental supermarket</t>
        </is>
      </c>
      <c r="I144" s="5" t="inlineStr">
        <is>
          <t>Multi-Site Independent</t>
        </is>
      </c>
      <c r="J144" s="5" t="inlineStr">
        <is>
          <t>2</t>
        </is>
      </c>
      <c r="K144" s="5" t="inlineStr">
        <is>
          <t>https://singkeefoods.co.uk/gb/</t>
        </is>
      </c>
      <c r="L144" s="5" t="inlineStr">
        <is>
          <t>https://www.facebook.com/SingKeeLeedsCentre/</t>
        </is>
      </c>
      <c r="M144" s="5" t="inlineStr"/>
      <c r="N144" s="5" t="inlineStr"/>
      <c r="O144" s="5" t="inlineStr">
        <is>
          <t>26-28 Woodhouse Lane, Merrion Centre</t>
        </is>
      </c>
      <c r="P144" s="5" t="inlineStr">
        <is>
          <t>City Centre</t>
        </is>
      </c>
      <c r="Q144" s="5" t="inlineStr">
        <is>
          <t>Leeds</t>
        </is>
      </c>
      <c r="R144" s="5" t="inlineStr">
        <is>
          <t>West Yorkshire</t>
        </is>
      </c>
      <c r="S144" s="5" t="inlineStr">
        <is>
          <t>LS2 8LX</t>
        </is>
      </c>
      <c r="T144" s="5" t="inlineStr">
        <is>
          <t>Yorkshire &amp; Humber</t>
        </is>
      </c>
      <c r="U144" s="5" t="inlineStr">
        <is>
          <t>England</t>
        </is>
      </c>
      <c r="V144" s="5" t="inlineStr"/>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Chinese and East Asian groceries; fresh and frozen foods</t>
        </is>
      </c>
      <c r="AL144" s="5" t="inlineStr"/>
      <c r="AM144" s="5" t="inlineStr">
        <is>
          <t>Independent Supermarket</t>
        </is>
      </c>
      <c r="AN144" s="5" t="inlineStr">
        <is>
          <t>Sing-Ying Group imports fresh/frozen foods from the Far East</t>
        </is>
      </c>
      <c r="AO144" s="5" t="inlineStr">
        <is>
          <t>City-centre branch of Sing Kee Foods; sister site at Cross Stamford Street, Sheepscar.</t>
        </is>
      </c>
      <c r="AP144" s="5" t="inlineStr">
        <is>
          <t>High</t>
        </is>
      </c>
      <c r="AQ144" s="5" t="inlineStr">
        <is>
          <t>Multi-site retailer; Independent retailer; Relevant category; Active website; Social presence</t>
        </is>
      </c>
      <c r="AR144" s="5" t="inlineStr">
        <is>
          <t>https://singkeefoods.co.uk/gb/stores</t>
        </is>
      </c>
      <c r="AS144" s="5" t="inlineStr">
        <is>
          <t>https://www.merrioncentre.co.uk/units/sing-kee</t>
        </is>
      </c>
      <c r="AT144" s="5" t="inlineStr">
        <is>
          <t>3</t>
        </is>
      </c>
      <c r="AU144" s="5" t="inlineStr">
        <is>
          <t>No</t>
        </is>
      </c>
      <c r="AV144" s="5" t="inlineStr">
        <is>
          <t>No</t>
        </is>
      </c>
      <c r="AW144" s="5" t="inlineStr">
        <is>
          <t>No</t>
        </is>
      </c>
      <c r="AX144" s="5" t="inlineStr">
        <is>
          <t>No</t>
        </is>
      </c>
      <c r="AY144" s="5" t="inlineStr">
        <is>
          <t>Not Found</t>
        </is>
      </c>
      <c r="AZ144" s="5" t="inlineStr">
        <is>
          <t>Website Found</t>
        </is>
      </c>
      <c r="BA144" s="5" t="inlineStr">
        <is>
          <t>2026-09-17</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2026-09-17</t>
        </is>
      </c>
      <c r="BL144" s="5" t="inlineStr"/>
      <c r="BM144" s="5" t="inlineStr"/>
      <c r="BN144" s="5" t="inlineStr"/>
      <c r="BO144" s="5" t="inlineStr"/>
      <c r="BP144" s="5" t="inlineStr"/>
      <c r="BQ144" s="5" t="inlineStr"/>
    </row>
    <row r="145">
      <c r="A145" s="10" t="inlineStr">
        <is>
          <t>UK-000214</t>
        </is>
      </c>
      <c r="B145" s="10" t="inlineStr">
        <is>
          <t>SPAR-01</t>
        </is>
      </c>
      <c r="C145" s="10" t="inlineStr">
        <is>
          <t>Spar</t>
        </is>
      </c>
      <c r="D145" s="10" t="inlineStr">
        <is>
          <t>Spar (Trinity Road, Cleethorpes)</t>
        </is>
      </c>
      <c r="E145" s="10" t="inlineStr">
        <is>
          <t>Spar</t>
        </is>
      </c>
      <c r="F145" s="10" t="inlineStr"/>
      <c r="G145" s="10" t="inlineStr">
        <is>
          <t>Convenience Store</t>
        </is>
      </c>
      <c r="H145" s="10" t="inlineStr">
        <is>
          <t>Symbol-group convenience store</t>
        </is>
      </c>
      <c r="I145" s="10" t="inlineStr">
        <is>
          <t>Franchise / Symbol Group</t>
        </is>
      </c>
      <c r="J145" s="10" t="inlineStr">
        <is>
          <t>1</t>
        </is>
      </c>
      <c r="K145" s="10" t="inlineStr"/>
      <c r="L145" s="10" t="inlineStr"/>
      <c r="M145" s="10" t="inlineStr"/>
      <c r="N145" s="10" t="inlineStr"/>
      <c r="O145" s="10" t="inlineStr">
        <is>
          <t>52 Trinity Road</t>
        </is>
      </c>
      <c r="P145" s="10" t="inlineStr"/>
      <c r="Q145" s="10" t="inlineStr">
        <is>
          <t>Cleethorpes</t>
        </is>
      </c>
      <c r="R145" s="10" t="inlineStr">
        <is>
          <t>Lincolnshire</t>
        </is>
      </c>
      <c r="S145" s="10" t="inlineStr"/>
      <c r="T145" s="10" t="inlineStr">
        <is>
          <t>Yorkshire &amp; Humber</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groceries; convenience; off-licence; news</t>
        </is>
      </c>
      <c r="AL145" s="10" t="inlineStr"/>
      <c r="AM145" s="10" t="inlineStr">
        <is>
          <t>Convenience Store</t>
        </is>
      </c>
      <c r="AN145" s="10" t="inlineStr"/>
      <c r="AO145" s="10" t="inlineStr">
        <is>
          <t>Spar symbol-group convenience store, 52 Trinity Road, Cleethorpes. No postcode/phone in search results.</t>
        </is>
      </c>
      <c r="AP145" s="10" t="inlineStr">
        <is>
          <t>Medium</t>
        </is>
      </c>
      <c r="AQ145" s="10" t="inlineStr">
        <is>
          <t>Multi-site retailer; Independent retailer; Relevant category</t>
        </is>
      </c>
      <c r="AR145" s="10" t="inlineStr">
        <is>
          <t>https://www.192.com/atoz/business/dn35/convenience--stores/</t>
        </is>
      </c>
      <c r="AS145" s="10" t="inlineStr"/>
      <c r="AT145" s="10" t="inlineStr">
        <is>
          <t>1</t>
        </is>
      </c>
      <c r="AU145" s="10" t="inlineStr">
        <is>
          <t>No</t>
        </is>
      </c>
      <c r="AV145" s="10" t="inlineStr">
        <is>
          <t>No</t>
        </is>
      </c>
      <c r="AW145" s="10" t="inlineStr">
        <is>
          <t>No</t>
        </is>
      </c>
      <c r="AX145" s="10" t="inlineStr">
        <is>
          <t>No</t>
        </is>
      </c>
      <c r="AY145" s="10" t="inlineStr">
        <is>
          <t>Not Found</t>
        </is>
      </c>
      <c r="AZ145" s="10" t="inlineStr">
        <is>
          <t>Not Found</t>
        </is>
      </c>
      <c r="BA145" s="10" t="inlineStr">
        <is>
          <t>2026-09-17</t>
        </is>
      </c>
      <c r="BB145" s="10" t="inlineStr">
        <is>
          <t>Requires Verification</t>
        </is>
      </c>
      <c r="BC145" s="10" t="inlineStr">
        <is>
          <t>Low</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2026-09-17</t>
        </is>
      </c>
      <c r="BL145" s="10" t="inlineStr"/>
      <c r="BM145" s="10" t="inlineStr"/>
      <c r="BN145" s="10" t="inlineStr"/>
      <c r="BO145" s="10" t="inlineStr"/>
      <c r="BP145" s="10" t="inlineStr"/>
      <c r="BQ145" s="10" t="inlineStr"/>
    </row>
    <row r="146">
      <c r="A146" s="5" t="inlineStr">
        <is>
          <t>WY-0028</t>
        </is>
      </c>
      <c r="B146" s="5" t="inlineStr">
        <is>
          <t>SPEEDPETRO-01</t>
        </is>
      </c>
      <c r="C146" s="5" t="inlineStr">
        <is>
          <t>Speed Petroleum</t>
        </is>
      </c>
      <c r="D146" s="5" t="inlineStr">
        <is>
          <t>Glasshoughton Service Station</t>
        </is>
      </c>
      <c r="E146" s="5" t="inlineStr">
        <is>
          <t>Glasshoughton Service Station (BP / Nisa Local)</t>
        </is>
      </c>
      <c r="F146" s="5" t="inlineStr"/>
      <c r="G146" s="5" t="inlineStr">
        <is>
          <t>Petrol Station / Forecourt</t>
        </is>
      </c>
      <c r="H146" s="5" t="inlineStr">
        <is>
          <t>BP-branded dealer forecourt with Nisa Local shop</t>
        </is>
      </c>
      <c r="I146" s="5" t="inlineStr">
        <is>
          <t>Franchise / Symbol Group</t>
        </is>
      </c>
      <c r="J146" s="5" t="inlineStr">
        <is>
          <t>1</t>
        </is>
      </c>
      <c r="K146" s="5" t="inlineStr">
        <is>
          <t>https://www.nisalocally.co.uk/stores/west-yorkshire/castleford/bp-glasshoughton-ser-st</t>
        </is>
      </c>
      <c r="L146" s="5" t="inlineStr"/>
      <c r="M146" s="5" t="inlineStr"/>
      <c r="N146" s="5" t="inlineStr"/>
      <c r="O146" s="5" t="inlineStr">
        <is>
          <t>Park Road</t>
        </is>
      </c>
      <c r="P146" s="5" t="inlineStr">
        <is>
          <t>Glasshoughton</t>
        </is>
      </c>
      <c r="Q146" s="5" t="inlineStr">
        <is>
          <t>Castleford</t>
        </is>
      </c>
      <c r="R146" s="5" t="inlineStr">
        <is>
          <t>West Yorkshire</t>
        </is>
      </c>
      <c r="S146" s="5" t="inlineStr">
        <is>
          <t>WF10 4RS</t>
        </is>
      </c>
      <c r="T146" s="5" t="inlineStr">
        <is>
          <t>Yorkshire &amp; Humber</t>
        </is>
      </c>
      <c r="U146" s="5" t="inlineStr">
        <is>
          <t>England</t>
        </is>
      </c>
      <c r="V146" s="5" t="inlineStr">
        <is>
          <t>01977 278353</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fuel; convenience grocery; alcohol</t>
        </is>
      </c>
      <c r="AL146" s="5" t="inlineStr"/>
      <c r="AM146" s="5" t="inlineStr">
        <is>
          <t>Petrol Station / Forecourt</t>
        </is>
      </c>
      <c r="AN146" s="5" t="inlineStr">
        <is>
          <t>BP fuel; Nisa Local shop supply</t>
        </is>
      </c>
      <c r="AO146" s="5" t="inlineStr">
        <is>
          <t>24/7 site near M62 J32/Xscape. FSA register lists the shop as 'Nisa Local @ Speed Petroleum', indicating an independent operator (Speed Petroleum) rather than a BP corporate site. Operator company details need Companies House follow-up.</t>
        </is>
      </c>
      <c r="AP146" s="5" t="inlineStr">
        <is>
          <t>Medium</t>
        </is>
      </c>
      <c r="AQ146" s="5" t="inlineStr">
        <is>
          <t>Multi-site retailer; Independent retailer; Relevant category; Active website</t>
        </is>
      </c>
      <c r="AR146" s="5" t="inlineStr">
        <is>
          <t>https://www.nisalocally.co.uk/stores/west-yorkshire/castleford/bp-glasshoughton-ser-st</t>
        </is>
      </c>
      <c r="AS146" s="5" t="inlineStr">
        <is>
          <t>https://www.justoffjunction.co.uk/fuel.php?ServiceID=4621</t>
        </is>
      </c>
      <c r="AT146" s="5" t="inlineStr">
        <is>
          <t>4</t>
        </is>
      </c>
      <c r="AU146" s="5" t="inlineStr">
        <is>
          <t>No</t>
        </is>
      </c>
      <c r="AV146" s="5" t="inlineStr">
        <is>
          <t>No</t>
        </is>
      </c>
      <c r="AW146" s="5" t="inlineStr">
        <is>
          <t>No</t>
        </is>
      </c>
      <c r="AX146" s="5" t="inlineStr">
        <is>
          <t>No</t>
        </is>
      </c>
      <c r="AY146" s="5" t="inlineStr">
        <is>
          <t>Verified directory</t>
        </is>
      </c>
      <c r="AZ146" s="5" t="inlineStr">
        <is>
          <t>Not Found</t>
        </is>
      </c>
      <c r="BA146" s="5" t="inlineStr">
        <is>
          <t>2026-09-17</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2026-09-17</t>
        </is>
      </c>
      <c r="BL146" s="5" t="inlineStr"/>
      <c r="BM146" s="5" t="inlineStr"/>
      <c r="BN146" s="5" t="inlineStr"/>
      <c r="BO146" s="5" t="inlineStr"/>
      <c r="BP146" s="5" t="inlineStr"/>
      <c r="BQ146" s="5" t="inlineStr"/>
    </row>
    <row r="147">
      <c r="A147" s="10" t="inlineStr">
        <is>
          <t>WY-0029</t>
        </is>
      </c>
      <c r="B147" s="10" t="inlineStr">
        <is>
          <t>TBCASHCARR-01</t>
        </is>
      </c>
      <c r="C147" s="10" t="inlineStr">
        <is>
          <t>TB Cash &amp; Carry</t>
        </is>
      </c>
      <c r="D147" s="10" t="inlineStr">
        <is>
          <t>TB Cash &amp; Carry (Bradford)</t>
        </is>
      </c>
      <c r="E147" s="10" t="inlineStr">
        <is>
          <t>TB Cash &amp; Carry</t>
        </is>
      </c>
      <c r="F147" s="10" t="inlineStr"/>
      <c r="G147" s="10" t="inlineStr">
        <is>
          <t>Cash &amp; Carry</t>
        </is>
      </c>
      <c r="H147" s="10" t="inlineStr">
        <is>
          <t>Confectionery, soft drinks, crisps &amp; snacks wholesaler</t>
        </is>
      </c>
      <c r="I147" s="10" t="inlineStr">
        <is>
          <t>Multi-Site Independent</t>
        </is>
      </c>
      <c r="J147" s="10" t="inlineStr">
        <is>
          <t>2</t>
        </is>
      </c>
      <c r="K147" s="10" t="inlineStr">
        <is>
          <t>https://tbcashandcarry.co.uk/</t>
        </is>
      </c>
      <c r="L147" s="10" t="inlineStr">
        <is>
          <t>https://www.facebook.com/p/TB-Cash-Carry-100077147298501/</t>
        </is>
      </c>
      <c r="M147" s="10" t="inlineStr"/>
      <c r="N147" s="10" t="inlineStr"/>
      <c r="O147" s="10" t="inlineStr">
        <is>
          <t>91 Legrams Lane</t>
        </is>
      </c>
      <c r="P147" s="10" t="inlineStr"/>
      <c r="Q147" s="10" t="inlineStr">
        <is>
          <t>Bradford</t>
        </is>
      </c>
      <c r="R147" s="10" t="inlineStr">
        <is>
          <t>West Yorkshire</t>
        </is>
      </c>
      <c r="S147" s="10" t="inlineStr">
        <is>
          <t>BD7 1NH</t>
        </is>
      </c>
      <c r="T147" s="10" t="inlineStr">
        <is>
          <t>Yorkshire &amp; Humber</t>
        </is>
      </c>
      <c r="U147" s="10" t="inlineStr">
        <is>
          <t>England</t>
        </is>
      </c>
      <c r="V147" s="10" t="inlineStr">
        <is>
          <t>01274 740555</t>
        </is>
      </c>
      <c r="W147" s="10" t="inlineStr"/>
      <c r="X147" s="10" t="inlineStr"/>
      <c r="Y147" s="10" t="inlineStr">
        <is>
          <t>info@tbcashandcarry.co.uk</t>
        </is>
      </c>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confectionery; soft drinks; crisps &amp; snacks</t>
        </is>
      </c>
      <c r="AL147" s="10" t="inlineStr"/>
      <c r="AM147" s="10" t="inlineStr">
        <is>
          <t>Cash &amp; Carry</t>
        </is>
      </c>
      <c r="AN147" s="10" t="inlineStr"/>
      <c r="AO147" s="10"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147" s="10" t="inlineStr">
        <is>
          <t>High</t>
        </is>
      </c>
      <c r="AQ147" s="10" t="inlineStr">
        <is>
          <t>Multi-site retailer; Independent retailer; Core relevant category; Public email available; Active website; Social presence</t>
        </is>
      </c>
      <c r="AR147" s="10" t="inlineStr">
        <is>
          <t>https://tbcashandcarry.co.uk/</t>
        </is>
      </c>
      <c r="AS147" s="10" t="inlineStr">
        <is>
          <t>https://www.yell.com/biz/t-b-cash-and-carry-bradford-949082/</t>
        </is>
      </c>
      <c r="AT147" s="10" t="inlineStr">
        <is>
          <t>3</t>
        </is>
      </c>
      <c r="AU147" s="10" t="inlineStr">
        <is>
          <t>Yes</t>
        </is>
      </c>
      <c r="AV147" s="10" t="inlineStr">
        <is>
          <t>No</t>
        </is>
      </c>
      <c r="AW147" s="10" t="inlineStr">
        <is>
          <t>No</t>
        </is>
      </c>
      <c r="AX147" s="10" t="inlineStr">
        <is>
          <t>Yes</t>
        </is>
      </c>
      <c r="AY147" s="10" t="inlineStr">
        <is>
          <t>Verified directory</t>
        </is>
      </c>
      <c r="AZ147" s="10" t="inlineStr">
        <is>
          <t>Unverified</t>
        </is>
      </c>
      <c r="BA147" s="10" t="inlineStr">
        <is>
          <t>2026-09-17</t>
        </is>
      </c>
      <c r="BB147" s="10" t="inlineStr">
        <is>
          <t>Verified (website + Companies House)</t>
        </is>
      </c>
      <c r="BC147" s="10" t="inlineStr">
        <is>
          <t>Medium</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2026-09-17</t>
        </is>
      </c>
      <c r="BL147" s="10" t="inlineStr"/>
      <c r="BM147" s="10" t="inlineStr"/>
      <c r="BN147" s="10" t="inlineStr"/>
      <c r="BO147" s="10" t="inlineStr"/>
      <c r="BP147" s="10" t="inlineStr"/>
      <c r="BQ147" s="10" t="inlineStr"/>
    </row>
    <row r="148">
      <c r="A148" s="5" t="inlineStr">
        <is>
          <t>WY-0030</t>
        </is>
      </c>
      <c r="B148" s="5" t="inlineStr">
        <is>
          <t>TBCASHCARR-02</t>
        </is>
      </c>
      <c r="C148" s="5" t="inlineStr">
        <is>
          <t>TB Cash &amp; Carry</t>
        </is>
      </c>
      <c r="D148" s="5" t="inlineStr">
        <is>
          <t>TB Cash &amp; Carry (Leeds)</t>
        </is>
      </c>
      <c r="E148" s="5" t="inlineStr">
        <is>
          <t>TB Cash &amp; Carry</t>
        </is>
      </c>
      <c r="F148" s="5" t="inlineStr"/>
      <c r="G148" s="5" t="inlineStr">
        <is>
          <t>Cash &amp; Carry</t>
        </is>
      </c>
      <c r="H148" s="5" t="inlineStr">
        <is>
          <t>Confectionery, soft drinks, crisps &amp; snacks wholesaler</t>
        </is>
      </c>
      <c r="I148" s="5" t="inlineStr">
        <is>
          <t>Multi-Site Independent</t>
        </is>
      </c>
      <c r="J148" s="5" t="inlineStr">
        <is>
          <t>2</t>
        </is>
      </c>
      <c r="K148" s="5" t="inlineStr">
        <is>
          <t>https://tbcashandcarry.co.uk/</t>
        </is>
      </c>
      <c r="L148" s="5" t="inlineStr">
        <is>
          <t>https://www.facebook.com/p/TB-Cash-Carry-100064390671766/</t>
        </is>
      </c>
      <c r="M148" s="5" t="inlineStr"/>
      <c r="N148" s="5" t="inlineStr"/>
      <c r="O148" s="5" t="inlineStr">
        <is>
          <t>90 Gelderd Road</t>
        </is>
      </c>
      <c r="P148" s="5" t="inlineStr"/>
      <c r="Q148" s="5" t="inlineStr">
        <is>
          <t>Leeds</t>
        </is>
      </c>
      <c r="R148" s="5" t="inlineStr">
        <is>
          <t>West Yorkshire</t>
        </is>
      </c>
      <c r="S148" s="5" t="inlineStr">
        <is>
          <t>LS12 6HD</t>
        </is>
      </c>
      <c r="T148" s="5" t="inlineStr">
        <is>
          <t>Yorkshire &amp; Humber</t>
        </is>
      </c>
      <c r="U148" s="5" t="inlineStr">
        <is>
          <t>England</t>
        </is>
      </c>
      <c r="V148" s="5" t="inlineStr">
        <is>
          <t>0113 245 1454</t>
        </is>
      </c>
      <c r="W148" s="5" t="inlineStr"/>
      <c r="X148" s="5" t="inlineStr"/>
      <c r="Y148" s="5" t="inlineStr">
        <is>
          <t>info@tbcashandcarry.co.uk</t>
        </is>
      </c>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confectionery; soft drinks; crisps &amp; snacks</t>
        </is>
      </c>
      <c r="AL148" s="5" t="inlineStr"/>
      <c r="AM148" s="5" t="inlineStr">
        <is>
          <t>Cash &amp; Carry</t>
        </is>
      </c>
      <c r="AN148" s="5" t="inlineStr"/>
      <c r="AO148" s="5"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148" s="5" t="inlineStr">
        <is>
          <t>High</t>
        </is>
      </c>
      <c r="AQ148" s="5" t="inlineStr">
        <is>
          <t>Multi-site retailer; Independent retailer; Core relevant category; Public email available; Active website; Social presence</t>
        </is>
      </c>
      <c r="AR148" s="5" t="inlineStr">
        <is>
          <t>https://tbcashandcarry.co.uk/</t>
        </is>
      </c>
      <c r="AS148" s="5" t="inlineStr">
        <is>
          <t>https://www.thomsonlocal.com/search/cash-carry-wholesalers/leeds/t-b-cash-carry/1798109/01132451454</t>
        </is>
      </c>
      <c r="AT148" s="5" t="inlineStr">
        <is>
          <t>3</t>
        </is>
      </c>
      <c r="AU148" s="5" t="inlineStr">
        <is>
          <t>Yes</t>
        </is>
      </c>
      <c r="AV148" s="5" t="inlineStr">
        <is>
          <t>No</t>
        </is>
      </c>
      <c r="AW148" s="5" t="inlineStr">
        <is>
          <t>No</t>
        </is>
      </c>
      <c r="AX148" s="5" t="inlineStr">
        <is>
          <t>Yes</t>
        </is>
      </c>
      <c r="AY148" s="5" t="inlineStr">
        <is>
          <t>Verified directory</t>
        </is>
      </c>
      <c r="AZ148" s="5" t="inlineStr">
        <is>
          <t>Unverified</t>
        </is>
      </c>
      <c r="BA148" s="5" t="inlineStr">
        <is>
          <t>2026-09-17</t>
        </is>
      </c>
      <c r="BB148" s="5" t="inlineStr">
        <is>
          <t>Verified (website + Companies House)</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2026-09-17</t>
        </is>
      </c>
      <c r="BL148" s="5" t="inlineStr"/>
      <c r="BM148" s="5" t="inlineStr"/>
      <c r="BN148" s="5" t="inlineStr"/>
      <c r="BO148" s="5" t="inlineStr"/>
      <c r="BP148" s="5" t="inlineStr"/>
      <c r="BQ148" s="5" t="inlineStr"/>
    </row>
    <row r="149">
      <c r="A149" s="10" t="inlineStr">
        <is>
          <t>UK-000322</t>
        </is>
      </c>
      <c r="B149" s="10" t="inlineStr">
        <is>
          <t>TEXACOVALE-01</t>
        </is>
      </c>
      <c r="C149" s="10" t="inlineStr">
        <is>
          <t>Texaco (Valero brand)</t>
        </is>
      </c>
      <c r="D149" s="10" t="inlineStr">
        <is>
          <t>Texaco Horwich Service Station</t>
        </is>
      </c>
      <c r="E149" s="10" t="inlineStr">
        <is>
          <t>Texaco Horwich Service Station</t>
        </is>
      </c>
      <c r="F149" s="10" t="inlineStr"/>
      <c r="G149" s="10" t="inlineStr">
        <is>
          <t>Petrol Station / Forecourt</t>
        </is>
      </c>
      <c r="H149" s="10" t="inlineStr">
        <is>
          <t>Branded fuel forecourt with shop</t>
        </is>
      </c>
      <c r="I149" s="10" t="inlineStr">
        <is>
          <t>Franchise / Symbol Group</t>
        </is>
      </c>
      <c r="J149" s="10" t="inlineStr">
        <is>
          <t>1</t>
        </is>
      </c>
      <c r="K149" s="10" t="inlineStr"/>
      <c r="L149" s="10" t="inlineStr"/>
      <c r="M149" s="10" t="inlineStr"/>
      <c r="N149" s="10" t="inlineStr"/>
      <c r="O149" s="10" t="inlineStr">
        <is>
          <t>427 Chorley New Road</t>
        </is>
      </c>
      <c r="P149" s="10" t="inlineStr">
        <is>
          <t>Horwich</t>
        </is>
      </c>
      <c r="Q149" s="10" t="inlineStr">
        <is>
          <t>Bolton</t>
        </is>
      </c>
      <c r="R149" s="10" t="inlineStr">
        <is>
          <t>Greater Manchester</t>
        </is>
      </c>
      <c r="S149" s="10" t="inlineStr">
        <is>
          <t>BL6 6DT</t>
        </is>
      </c>
      <c r="T149" s="10" t="inlineStr">
        <is>
          <t>North West</t>
        </is>
      </c>
      <c r="U149" s="10" t="inlineStr">
        <is>
          <t>England</t>
        </is>
      </c>
      <c r="V149" s="10" t="inlineStr">
        <is>
          <t>01204 667182</t>
        </is>
      </c>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fuel; forecourt convenience; tobacco; soft drinks</t>
        </is>
      </c>
      <c r="AL149" s="10" t="inlineStr"/>
      <c r="AM149" s="10" t="inlineStr">
        <is>
          <t>Petrol Station / Forecourt</t>
        </is>
      </c>
      <c r="AN149" s="10" t="inlineStr">
        <is>
          <t>Texaco-branded independent forecourt operator</t>
        </is>
      </c>
      <c r="AO149" s="10" t="inlineStr">
        <is>
          <t>Texaco-branded fuel forecourt with convenience shop, Chorley New Road, Horwich (BL6 6DT). Likely independently operated dealer site under the Texaco brand.</t>
        </is>
      </c>
      <c r="AP149" s="10" t="inlineStr">
        <is>
          <t>Medium</t>
        </is>
      </c>
      <c r="AQ149" s="10" t="inlineStr">
        <is>
          <t>Multi-site retailer; Independent retailer; Relevant category</t>
        </is>
      </c>
      <c r="AR149" s="10" t="inlineStr">
        <is>
          <t>https://petrolmap.co.uk/petrol-stations/lancashire/lancashire/horwich-sstn/6836</t>
        </is>
      </c>
      <c r="AS149" s="10" t="inlineStr"/>
      <c r="AT149" s="10" t="inlineStr">
        <is>
          <t>1</t>
        </is>
      </c>
      <c r="AU149" s="10" t="inlineStr">
        <is>
          <t>No</t>
        </is>
      </c>
      <c r="AV149" s="10" t="inlineStr">
        <is>
          <t>No</t>
        </is>
      </c>
      <c r="AW149" s="10" t="inlineStr">
        <is>
          <t>No</t>
        </is>
      </c>
      <c r="AX149" s="10" t="inlineStr">
        <is>
          <t>No</t>
        </is>
      </c>
      <c r="AY149" s="10" t="inlineStr">
        <is>
          <t>Verified directory</t>
        </is>
      </c>
      <c r="AZ149" s="10" t="inlineStr">
        <is>
          <t>Not Found</t>
        </is>
      </c>
      <c r="BA149" s="10" t="inlineStr">
        <is>
          <t>2026-09-17</t>
        </is>
      </c>
      <c r="BB149" s="10" t="inlineStr">
        <is>
          <t>Requires Verification</t>
        </is>
      </c>
      <c r="BC149" s="10" t="inlineStr">
        <is>
          <t>Low</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2026-09-17</t>
        </is>
      </c>
      <c r="BJ149" s="10" t="inlineStr">
        <is>
          <t>New</t>
        </is>
      </c>
      <c r="BK149" s="10" t="inlineStr">
        <is>
          <t>2026-09-17</t>
        </is>
      </c>
      <c r="BL149" s="10" t="inlineStr"/>
      <c r="BM149" s="10" t="inlineStr"/>
      <c r="BN149" s="10" t="inlineStr"/>
      <c r="BO149" s="10" t="inlineStr"/>
      <c r="BP149" s="10" t="inlineStr"/>
      <c r="BQ149" s="10" t="inlineStr"/>
    </row>
    <row r="150">
      <c r="A150" s="5" t="inlineStr">
        <is>
          <t>UK-000441</t>
        </is>
      </c>
      <c r="B150" s="5" t="inlineStr">
        <is>
          <t>THEACEOFVA-01</t>
        </is>
      </c>
      <c r="C150" s="5" t="inlineStr">
        <is>
          <t>The Ace Of Vapez</t>
        </is>
      </c>
      <c r="D150" s="5" t="inlineStr">
        <is>
          <t>The Ace Of Vapez - Bentley</t>
        </is>
      </c>
      <c r="E150" s="5" t="inlineStr">
        <is>
          <t>The Ace Of Vapez</t>
        </is>
      </c>
      <c r="F150" s="5" t="inlineStr">
        <is>
          <t>The Ace Of Vapez Retail Limited</t>
        </is>
      </c>
      <c r="G150" s="5" t="inlineStr">
        <is>
          <t>Vape Shop</t>
        </is>
      </c>
      <c r="H150" s="5" t="inlineStr">
        <is>
          <t>Vape retail (multi-site chain)</t>
        </is>
      </c>
      <c r="I150" s="5" t="inlineStr">
        <is>
          <t>Regional Chain</t>
        </is>
      </c>
      <c r="J150" s="5" t="inlineStr">
        <is>
          <t>13</t>
        </is>
      </c>
      <c r="K150" s="5" t="inlineStr">
        <is>
          <t>https://www.theaceofvapez.com/pages/retail-locations</t>
        </is>
      </c>
      <c r="L150" s="5" t="inlineStr">
        <is>
          <t>https://www.facebook.com/TheaceofvapezBentley/</t>
        </is>
      </c>
      <c r="M150" s="5" t="inlineStr"/>
      <c r="N150" s="5" t="inlineStr"/>
      <c r="O150" s="5" t="inlineStr">
        <is>
          <t>45 Queen Elizabeth Avenue</t>
        </is>
      </c>
      <c r="P150" s="5" t="inlineStr">
        <is>
          <t>Bentley</t>
        </is>
      </c>
      <c r="Q150" s="5" t="inlineStr">
        <is>
          <t>Walsall</t>
        </is>
      </c>
      <c r="R150" s="5" t="inlineStr">
        <is>
          <t>West Midlands</t>
        </is>
      </c>
      <c r="S150" s="5" t="inlineStr">
        <is>
          <t>WS2 0BD</t>
        </is>
      </c>
      <c r="T150" s="5" t="inlineStr">
        <is>
          <t>West Midlands</t>
        </is>
      </c>
      <c r="U150" s="5" t="inlineStr">
        <is>
          <t>England</t>
        </is>
      </c>
      <c r="V150" s="5" t="inlineStr"/>
      <c r="W150" s="5" t="inlineStr"/>
      <c r="X150" s="5" t="inlineStr"/>
      <c r="Y150" s="5" t="inlineStr"/>
      <c r="Z150" s="5" t="inlineStr"/>
      <c r="AA150" s="5" t="inlineStr"/>
      <c r="AB150" s="5" t="inlineStr"/>
      <c r="AC150" s="5" t="inlineStr"/>
      <c r="AD150" s="5" t="inlineStr"/>
      <c r="AE150" s="5" t="inlineStr">
        <is>
          <t>08760274</t>
        </is>
      </c>
      <c r="AF150" s="5" t="inlineStr"/>
      <c r="AG150" s="5" t="inlineStr">
        <is>
          <t>THE ACE OF VAPEZ RETAIL LIMITED</t>
        </is>
      </c>
      <c r="AH150" s="5" t="inlineStr"/>
      <c r="AI150" s="5" t="inlineStr"/>
      <c r="AJ150" s="5" t="inlineStr"/>
      <c r="AK150" s="5" t="inlineStr">
        <is>
          <t>vape hardware; e-liquids; disposables; accessories</t>
        </is>
      </c>
      <c r="AL150" s="5" t="inlineStr"/>
      <c r="AM150" s="5" t="inlineStr">
        <is>
          <t>Vape Shop</t>
        </is>
      </c>
      <c r="AN150" s="5" t="inlineStr">
        <is>
          <t>Part of The Ace Of Vapez group with own wholesale arm.</t>
        </is>
      </c>
      <c r="AO150" s="5" t="inlineStr">
        <is>
          <t>Bentley (Walsall) branch of the West Midlands chain.</t>
        </is>
      </c>
      <c r="AP150" s="5" t="inlineStr">
        <is>
          <t>High</t>
        </is>
      </c>
      <c r="AQ150" s="5" t="inlineStr">
        <is>
          <t>Multi-site retailer; Core relevant category; Active website; Social presence</t>
        </is>
      </c>
      <c r="AR150" s="5" t="inlineStr">
        <is>
          <t>https://www.facebook.com/TheaceofvapezBentley/</t>
        </is>
      </c>
      <c r="AS150" s="5" t="inlineStr">
        <is>
          <t>https://the-ace-of-vapez-bentley.wheree.com/</t>
        </is>
      </c>
      <c r="AT150" s="5" t="inlineStr">
        <is>
          <t>2</t>
        </is>
      </c>
      <c r="AU150" s="5" t="inlineStr">
        <is>
          <t>Yes</t>
        </is>
      </c>
      <c r="AV150" s="5" t="inlineStr">
        <is>
          <t>No</t>
        </is>
      </c>
      <c r="AW150" s="5" t="inlineStr">
        <is>
          <t>No</t>
        </is>
      </c>
      <c r="AX150" s="5" t="inlineStr">
        <is>
          <t>No</t>
        </is>
      </c>
      <c r="AY150" s="5" t="inlineStr">
        <is>
          <t>Not Found</t>
        </is>
      </c>
      <c r="AZ150" s="5" t="inlineStr">
        <is>
          <t>Website Found</t>
        </is>
      </c>
      <c r="BA150" s="5" t="inlineStr">
        <is>
          <t>2026-09-17</t>
        </is>
      </c>
      <c r="BB150" s="5" t="inlineStr">
        <is>
          <t>Partially Verified</t>
        </is>
      </c>
      <c r="BC150" s="5" t="inlineStr">
        <is>
          <t>Medium</t>
        </is>
      </c>
      <c r="BD150" s="5" t="inlineStr"/>
      <c r="BE150" s="5" t="inlineStr">
        <is>
          <t>Business (B2B)</t>
        </is>
      </c>
      <c r="BF150" s="5" t="inlineStr">
        <is>
          <t>Legitimate interest (B2B) - assess per campaign; PECR: corporate subscribers</t>
        </is>
      </c>
      <c r="BG150" s="5" t="inlineStr"/>
      <c r="BH150" s="5" t="inlineStr">
        <is>
          <t>No</t>
        </is>
      </c>
      <c r="BI150" s="5" t="inlineStr">
        <is>
          <t>2026-09-17</t>
        </is>
      </c>
      <c r="BJ150" s="5" t="inlineStr">
        <is>
          <t>New</t>
        </is>
      </c>
      <c r="BK150" s="5" t="inlineStr">
        <is>
          <t>2026-09-17</t>
        </is>
      </c>
      <c r="BL150" s="5" t="inlineStr"/>
      <c r="BM150" s="5" t="inlineStr"/>
      <c r="BN150" s="5" t="inlineStr"/>
      <c r="BO150" s="5" t="inlineStr"/>
      <c r="BP150" s="5" t="inlineStr"/>
      <c r="BQ150" s="5" t="inlineStr"/>
    </row>
    <row r="151">
      <c r="A151" s="10" t="inlineStr">
        <is>
          <t>UK-000442</t>
        </is>
      </c>
      <c r="B151" s="10" t="inlineStr">
        <is>
          <t>THEACEOFVA-02</t>
        </is>
      </c>
      <c r="C151" s="10" t="inlineStr">
        <is>
          <t>The Ace Of Vapez</t>
        </is>
      </c>
      <c r="D151" s="10" t="inlineStr">
        <is>
          <t>The Ace Of Vapez - Bilston</t>
        </is>
      </c>
      <c r="E151" s="10" t="inlineStr">
        <is>
          <t>The Ace Of Vapez</t>
        </is>
      </c>
      <c r="F151" s="10" t="inlineStr">
        <is>
          <t>The Ace Of Vapez Retail Limited</t>
        </is>
      </c>
      <c r="G151" s="10" t="inlineStr">
        <is>
          <t>Vape Shop</t>
        </is>
      </c>
      <c r="H151" s="10" t="inlineStr">
        <is>
          <t>Vape retail (multi-site chain)</t>
        </is>
      </c>
      <c r="I151" s="10" t="inlineStr">
        <is>
          <t>Regional Chain</t>
        </is>
      </c>
      <c r="J151" s="10" t="inlineStr">
        <is>
          <t>13</t>
        </is>
      </c>
      <c r="K151" s="10" t="inlineStr">
        <is>
          <t>https://www.theaceofvapez.com/pages/retail-locations</t>
        </is>
      </c>
      <c r="L151" s="10" t="inlineStr"/>
      <c r="M151" s="10" t="inlineStr"/>
      <c r="N151" s="10" t="inlineStr"/>
      <c r="O151" s="10" t="inlineStr">
        <is>
          <t>Unit 11, Castle Street</t>
        </is>
      </c>
      <c r="P151" s="10" t="inlineStr"/>
      <c r="Q151" s="10" t="inlineStr">
        <is>
          <t>Bilston</t>
        </is>
      </c>
      <c r="R151" s="10" t="inlineStr">
        <is>
          <t>West Midlands</t>
        </is>
      </c>
      <c r="S151" s="10" t="inlineStr">
        <is>
          <t>WV14 9EP</t>
        </is>
      </c>
      <c r="T151" s="10" t="inlineStr">
        <is>
          <t>West Midlands</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is>
          <t>08760274</t>
        </is>
      </c>
      <c r="AF151" s="10" t="inlineStr"/>
      <c r="AG151" s="10" t="inlineStr">
        <is>
          <t>THE ACE OF VAPEZ RETAIL LIMITED</t>
        </is>
      </c>
      <c r="AH151" s="10" t="inlineStr"/>
      <c r="AI151" s="10" t="inlineStr"/>
      <c r="AJ151" s="10" t="inlineStr"/>
      <c r="AK151" s="10" t="inlineStr">
        <is>
          <t>vape hardware; e-liquids; disposables; accessories</t>
        </is>
      </c>
      <c r="AL151" s="10" t="inlineStr"/>
      <c r="AM151" s="10" t="inlineStr">
        <is>
          <t>Vape Shop</t>
        </is>
      </c>
      <c r="AN151" s="10" t="inlineStr">
        <is>
          <t>Part of The Ace Of Vapez group with own wholesale arm.</t>
        </is>
      </c>
      <c r="AO151" s="10" t="inlineStr">
        <is>
          <t>Bilston (Castle Street) branch of the West Midlands chain. Phone not separately listed.</t>
        </is>
      </c>
      <c r="AP151" s="10" t="inlineStr">
        <is>
          <t>Medium</t>
        </is>
      </c>
      <c r="AQ151" s="10" t="inlineStr">
        <is>
          <t>Multi-site retailer; Core relevant category; Active website</t>
        </is>
      </c>
      <c r="AR151" s="10" t="inlineStr">
        <is>
          <t>https://www.theaceofvapez.com/pages/retail-locations</t>
        </is>
      </c>
      <c r="AS151" s="10" t="inlineStr"/>
      <c r="AT151" s="10" t="inlineStr">
        <is>
          <t>1</t>
        </is>
      </c>
      <c r="AU151" s="10" t="inlineStr">
        <is>
          <t>Yes</t>
        </is>
      </c>
      <c r="AV151" s="10" t="inlineStr">
        <is>
          <t>No</t>
        </is>
      </c>
      <c r="AW151" s="10" t="inlineStr">
        <is>
          <t>No</t>
        </is>
      </c>
      <c r="AX151" s="10" t="inlineStr">
        <is>
          <t>No</t>
        </is>
      </c>
      <c r="AY151" s="10" t="inlineStr">
        <is>
          <t>Not Found</t>
        </is>
      </c>
      <c r="AZ151" s="10" t="inlineStr">
        <is>
          <t>Website Found</t>
        </is>
      </c>
      <c r="BA151" s="10" t="inlineStr">
        <is>
          <t>2026-09-17</t>
        </is>
      </c>
      <c r="BB151" s="10" t="inlineStr">
        <is>
          <t>Partially Verified</t>
        </is>
      </c>
      <c r="BC151" s="10" t="inlineStr">
        <is>
          <t>Medium</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UK-000443</t>
        </is>
      </c>
      <c r="B152" s="5" t="inlineStr">
        <is>
          <t>THEACEOFVA-03</t>
        </is>
      </c>
      <c r="C152" s="5" t="inlineStr">
        <is>
          <t>The Ace Of Vapez</t>
        </is>
      </c>
      <c r="D152" s="5" t="inlineStr">
        <is>
          <t>The Ace Of Vapez - Caldmore Green</t>
        </is>
      </c>
      <c r="E152" s="5" t="inlineStr">
        <is>
          <t>The Ace Of Vapez</t>
        </is>
      </c>
      <c r="F152" s="5" t="inlineStr">
        <is>
          <t>The Ace Of Vapez Retail Limited</t>
        </is>
      </c>
      <c r="G152" s="5" t="inlineStr">
        <is>
          <t>Vape Shop</t>
        </is>
      </c>
      <c r="H152" s="5" t="inlineStr">
        <is>
          <t>Vape retail (multi-site chain)</t>
        </is>
      </c>
      <c r="I152" s="5" t="inlineStr">
        <is>
          <t>Regional Chain</t>
        </is>
      </c>
      <c r="J152" s="5" t="inlineStr">
        <is>
          <t>13</t>
        </is>
      </c>
      <c r="K152" s="5" t="inlineStr">
        <is>
          <t>https://www.theaceofvapez.com/pages/retail-locations</t>
        </is>
      </c>
      <c r="L152" s="5" t="inlineStr"/>
      <c r="M152" s="5" t="inlineStr"/>
      <c r="N152" s="5" t="inlineStr"/>
      <c r="O152" s="5" t="inlineStr">
        <is>
          <t>40-41 Caldmore Green</t>
        </is>
      </c>
      <c r="P152" s="5" t="inlineStr"/>
      <c r="Q152" s="5" t="inlineStr">
        <is>
          <t>Walsall</t>
        </is>
      </c>
      <c r="R152" s="5" t="inlineStr">
        <is>
          <t>West Midlands</t>
        </is>
      </c>
      <c r="S152" s="5" t="inlineStr">
        <is>
          <t>WS1 3RW</t>
        </is>
      </c>
      <c r="T152" s="5" t="inlineStr">
        <is>
          <t>West Midlands</t>
        </is>
      </c>
      <c r="U152" s="5" t="inlineStr">
        <is>
          <t>England</t>
        </is>
      </c>
      <c r="V152" s="5" t="inlineStr"/>
      <c r="W152" s="5" t="inlineStr"/>
      <c r="X152" s="5" t="inlineStr"/>
      <c r="Y152" s="5" t="inlineStr"/>
      <c r="Z152" s="5" t="inlineStr"/>
      <c r="AA152" s="5" t="inlineStr"/>
      <c r="AB152" s="5" t="inlineStr"/>
      <c r="AC152" s="5" t="inlineStr"/>
      <c r="AD152" s="5" t="inlineStr"/>
      <c r="AE152" s="5" t="inlineStr">
        <is>
          <t>08760274</t>
        </is>
      </c>
      <c r="AF152" s="5" t="inlineStr"/>
      <c r="AG152" s="5" t="inlineStr">
        <is>
          <t>THE ACE OF VAPEZ RETAIL LIMITED</t>
        </is>
      </c>
      <c r="AH152" s="5" t="inlineStr"/>
      <c r="AI152" s="5" t="inlineStr"/>
      <c r="AJ152" s="5" t="inlineStr"/>
      <c r="AK152" s="5" t="inlineStr">
        <is>
          <t>vape hardware; e-liquids; disposables; accessories</t>
        </is>
      </c>
      <c r="AL152" s="5" t="inlineStr"/>
      <c r="AM152" s="5" t="inlineStr">
        <is>
          <t>Vape Shop</t>
        </is>
      </c>
      <c r="AN152" s="5" t="inlineStr">
        <is>
          <t>Part of The Ace Of Vapez group with own wholesale arm.</t>
        </is>
      </c>
      <c r="AO152" s="5" t="inlineStr">
        <is>
          <t>Caldmore Green (Walsall) branch of the West Midlands chain, in dense independent-retail area.</t>
        </is>
      </c>
      <c r="AP152" s="5" t="inlineStr">
        <is>
          <t>Medium</t>
        </is>
      </c>
      <c r="AQ152" s="5" t="inlineStr">
        <is>
          <t>Multi-site retailer; Core relevant category; Active website</t>
        </is>
      </c>
      <c r="AR152" s="5" t="inlineStr">
        <is>
          <t>https://www.theaceofvapez.com/pages/retail-locations</t>
        </is>
      </c>
      <c r="AS152" s="5" t="inlineStr"/>
      <c r="AT152" s="5" t="inlineStr">
        <is>
          <t>1</t>
        </is>
      </c>
      <c r="AU152" s="5" t="inlineStr">
        <is>
          <t>Yes</t>
        </is>
      </c>
      <c r="AV152" s="5" t="inlineStr">
        <is>
          <t>No</t>
        </is>
      </c>
      <c r="AW152" s="5" t="inlineStr">
        <is>
          <t>No</t>
        </is>
      </c>
      <c r="AX152" s="5" t="inlineStr">
        <is>
          <t>No</t>
        </is>
      </c>
      <c r="AY152" s="5" t="inlineStr">
        <is>
          <t>Not Found</t>
        </is>
      </c>
      <c r="AZ152" s="5" t="inlineStr">
        <is>
          <t>Website Found</t>
        </is>
      </c>
      <c r="BA152" s="5" t="inlineStr">
        <is>
          <t>2026-09-17</t>
        </is>
      </c>
      <c r="BB152" s="5" t="inlineStr">
        <is>
          <t>Partially Verified</t>
        </is>
      </c>
      <c r="BC152" s="5" t="inlineStr">
        <is>
          <t>Medium</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UK-000444</t>
        </is>
      </c>
      <c r="B153" s="10" t="inlineStr">
        <is>
          <t>THEACEOFVA-04</t>
        </is>
      </c>
      <c r="C153" s="10" t="inlineStr">
        <is>
          <t>The Ace Of Vapez</t>
        </is>
      </c>
      <c r="D153" s="10" t="inlineStr">
        <is>
          <t>The Ace Of Vapez - Codsall</t>
        </is>
      </c>
      <c r="E153" s="10" t="inlineStr">
        <is>
          <t>The Ace Of Vapez</t>
        </is>
      </c>
      <c r="F153" s="10" t="inlineStr">
        <is>
          <t>The Ace Of Vapez Retail Limited</t>
        </is>
      </c>
      <c r="G153" s="10" t="inlineStr">
        <is>
          <t>Vape Shop</t>
        </is>
      </c>
      <c r="H153" s="10" t="inlineStr">
        <is>
          <t>Vape retail (multi-site chain)</t>
        </is>
      </c>
      <c r="I153" s="10" t="inlineStr">
        <is>
          <t>Regional Chain</t>
        </is>
      </c>
      <c r="J153" s="10" t="inlineStr">
        <is>
          <t>13</t>
        </is>
      </c>
      <c r="K153" s="10" t="inlineStr">
        <is>
          <t>https://www.theaceofvapez.com/pages/retail-locations</t>
        </is>
      </c>
      <c r="L153" s="10" t="inlineStr">
        <is>
          <t>https://www.facebook.com/TAOVCodsall/</t>
        </is>
      </c>
      <c r="M153" s="10" t="inlineStr"/>
      <c r="N153" s="10" t="inlineStr"/>
      <c r="O153" s="10" t="inlineStr">
        <is>
          <t>11 Station Road</t>
        </is>
      </c>
      <c r="P153" s="10" t="inlineStr">
        <is>
          <t>Codsall</t>
        </is>
      </c>
      <c r="Q153" s="10" t="inlineStr">
        <is>
          <t>Wolverhampton</t>
        </is>
      </c>
      <c r="R153" s="10" t="inlineStr">
        <is>
          <t>West Midlands</t>
        </is>
      </c>
      <c r="S153" s="10" t="inlineStr">
        <is>
          <t>WV8 1BX</t>
        </is>
      </c>
      <c r="T153" s="10" t="inlineStr">
        <is>
          <t>West Midlands</t>
        </is>
      </c>
      <c r="U153" s="10" t="inlineStr">
        <is>
          <t>England</t>
        </is>
      </c>
      <c r="V153" s="10" t="inlineStr">
        <is>
          <t>01902 276807</t>
        </is>
      </c>
      <c r="W153" s="10" t="inlineStr"/>
      <c r="X153" s="10" t="inlineStr"/>
      <c r="Y153" s="10" t="inlineStr">
        <is>
          <t>taovcodsall@gmail.com</t>
        </is>
      </c>
      <c r="Z153" s="10" t="inlineStr"/>
      <c r="AA153" s="10" t="inlineStr"/>
      <c r="AB153" s="10" t="inlineStr"/>
      <c r="AC153" s="10" t="inlineStr"/>
      <c r="AD153" s="10" t="inlineStr"/>
      <c r="AE153" s="10" t="inlineStr">
        <is>
          <t>08760274</t>
        </is>
      </c>
      <c r="AF153" s="10" t="inlineStr"/>
      <c r="AG153" s="10" t="inlineStr">
        <is>
          <t>THE ACE OF VAPEZ RETAIL LIMITED</t>
        </is>
      </c>
      <c r="AH153" s="10" t="inlineStr"/>
      <c r="AI153" s="10" t="inlineStr"/>
      <c r="AJ153" s="10" t="inlineStr"/>
      <c r="AK153" s="10" t="inlineStr">
        <is>
          <t>vape hardware; e-liquids; disposables; accessories</t>
        </is>
      </c>
      <c r="AL153" s="10" t="inlineStr"/>
      <c r="AM153" s="10" t="inlineStr">
        <is>
          <t>Vape Shop</t>
        </is>
      </c>
      <c r="AN153" s="10" t="inlineStr">
        <is>
          <t>Part of The Ace Of Vapez group with own wholesale arm.</t>
        </is>
      </c>
      <c r="AO153" s="10" t="inlineStr">
        <is>
          <t>Codsall branch on NW edge of Wolverhampton (WV8). Store email published on chain website.</t>
        </is>
      </c>
      <c r="AP153" s="10" t="inlineStr">
        <is>
          <t>High</t>
        </is>
      </c>
      <c r="AQ153" s="10" t="inlineStr">
        <is>
          <t>Multi-site retailer; Core relevant category; Public email available; Active website; Social presence; Phone verified on official website</t>
        </is>
      </c>
      <c r="AR153" s="10" t="inlineStr">
        <is>
          <t>https://www.theaceofvapez.com/pages/contact-us</t>
        </is>
      </c>
      <c r="AS153" s="10" t="inlineStr">
        <is>
          <t>https://www.theaceofvapez.com/pages/retail-locations</t>
        </is>
      </c>
      <c r="AT153" s="10" t="inlineStr">
        <is>
          <t>2</t>
        </is>
      </c>
      <c r="AU153" s="10" t="inlineStr">
        <is>
          <t>Yes</t>
        </is>
      </c>
      <c r="AV153" s="10" t="inlineStr">
        <is>
          <t>No</t>
        </is>
      </c>
      <c r="AW153" s="10" t="inlineStr">
        <is>
          <t>No</t>
        </is>
      </c>
      <c r="AX153" s="10" t="inlineStr">
        <is>
          <t>No</t>
        </is>
      </c>
      <c r="AY153" s="10" t="inlineStr">
        <is>
          <t>Verified on official website</t>
        </is>
      </c>
      <c r="AZ153" s="10" t="inlineStr">
        <is>
          <t>Publicly Listed</t>
        </is>
      </c>
      <c r="BA153" s="10" t="inlineStr">
        <is>
          <t>2026-09-17</t>
        </is>
      </c>
      <c r="BB153" s="10" t="inlineStr">
        <is>
          <t>Partially Verified</t>
        </is>
      </c>
      <c r="BC153" s="10" t="inlineStr">
        <is>
          <t>High</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UK-000445</t>
        </is>
      </c>
      <c r="B154" s="5" t="inlineStr">
        <is>
          <t>THEACEOFVA-05</t>
        </is>
      </c>
      <c r="C154" s="5" t="inlineStr">
        <is>
          <t>The Ace Of Vapez</t>
        </is>
      </c>
      <c r="D154" s="5" t="inlineStr">
        <is>
          <t>The Ace Of Vapez - East Park</t>
        </is>
      </c>
      <c r="E154" s="5" t="inlineStr">
        <is>
          <t>The Ace Of Vapez</t>
        </is>
      </c>
      <c r="F154" s="5" t="inlineStr">
        <is>
          <t>The Ace Of Vapez Retail Limited</t>
        </is>
      </c>
      <c r="G154" s="5" t="inlineStr">
        <is>
          <t>Vape Shop</t>
        </is>
      </c>
      <c r="H154" s="5" t="inlineStr">
        <is>
          <t>Vape retail (multi-site chain)</t>
        </is>
      </c>
      <c r="I154" s="5" t="inlineStr">
        <is>
          <t>Regional Chain</t>
        </is>
      </c>
      <c r="J154" s="5" t="inlineStr">
        <is>
          <t>13</t>
        </is>
      </c>
      <c r="K154" s="5" t="inlineStr">
        <is>
          <t>https://www.theaceofvapez.com/pages/retail-locations</t>
        </is>
      </c>
      <c r="L154" s="5" t="inlineStr">
        <is>
          <t>https://www.facebook.com/TAOVWillenhall/</t>
        </is>
      </c>
      <c r="M154" s="5" t="inlineStr"/>
      <c r="N154" s="5" t="inlineStr"/>
      <c r="O154" s="5" t="inlineStr">
        <is>
          <t>151-153 Willenhall Road</t>
        </is>
      </c>
      <c r="P154" s="5" t="inlineStr"/>
      <c r="Q154" s="5" t="inlineStr">
        <is>
          <t>Wolverhampton</t>
        </is>
      </c>
      <c r="R154" s="5" t="inlineStr">
        <is>
          <t>West Midlands</t>
        </is>
      </c>
      <c r="S154" s="5" t="inlineStr">
        <is>
          <t>WV1 2HR</t>
        </is>
      </c>
      <c r="T154" s="5" t="inlineStr">
        <is>
          <t>West Midlands</t>
        </is>
      </c>
      <c r="U154" s="5" t="inlineStr">
        <is>
          <t>England</t>
        </is>
      </c>
      <c r="V154" s="5" t="inlineStr">
        <is>
          <t>01902 458119</t>
        </is>
      </c>
      <c r="W154" s="5" t="inlineStr"/>
      <c r="X154" s="5" t="inlineStr"/>
      <c r="Y154" s="5" t="inlineStr"/>
      <c r="Z154" s="5" t="inlineStr"/>
      <c r="AA154" s="5" t="inlineStr"/>
      <c r="AB154" s="5" t="inlineStr"/>
      <c r="AC154" s="5" t="inlineStr"/>
      <c r="AD154" s="5" t="inlineStr"/>
      <c r="AE154" s="5" t="inlineStr">
        <is>
          <t>08760274</t>
        </is>
      </c>
      <c r="AF154" s="5" t="inlineStr"/>
      <c r="AG154" s="5" t="inlineStr">
        <is>
          <t>THE ACE OF VAPEZ RETAIL LIMITED</t>
        </is>
      </c>
      <c r="AH154" s="5" t="inlineStr"/>
      <c r="AI154" s="5" t="inlineStr"/>
      <c r="AJ154" s="5" t="inlineStr"/>
      <c r="AK154" s="5" t="inlineStr">
        <is>
          <t>vape hardware; e-liquids; disposables; accessories</t>
        </is>
      </c>
      <c r="AL154" s="5" t="inlineStr"/>
      <c r="AM154" s="5" t="inlineStr">
        <is>
          <t>Vape Shop</t>
        </is>
      </c>
      <c r="AN154" s="5" t="inlineStr">
        <is>
          <t>Runs own wholesale arm (The Ace Of Vapez Wholesale Ltd, CH 09825707); trade counter at Willenhall warehouse.</t>
        </is>
      </c>
      <c r="AO154" s="5" t="inlineStr">
        <is>
          <t>Location of ~13-store West Midlands chain. Wholesale/trade line 01902 302058.</t>
        </is>
      </c>
      <c r="AP154" s="5" t="inlineStr">
        <is>
          <t>High</t>
        </is>
      </c>
      <c r="AQ154" s="5" t="inlineStr">
        <is>
          <t>Multi-site retailer; Core relevant category; Active website; Social presence; Phone verified on official website</t>
        </is>
      </c>
      <c r="AR154" s="5" t="inlineStr">
        <is>
          <t>https://www.theaceofvapez.com/pages/retail-locations</t>
        </is>
      </c>
      <c r="AS154" s="5" t="inlineStr">
        <is>
          <t>https://find-and-update.company-information.service.gov.uk/company/08760274</t>
        </is>
      </c>
      <c r="AT154" s="5" t="inlineStr">
        <is>
          <t>2</t>
        </is>
      </c>
      <c r="AU154" s="5" t="inlineStr">
        <is>
          <t>Yes</t>
        </is>
      </c>
      <c r="AV154" s="5" t="inlineStr">
        <is>
          <t>No</t>
        </is>
      </c>
      <c r="AW154" s="5" t="inlineStr">
        <is>
          <t>No</t>
        </is>
      </c>
      <c r="AX154" s="5" t="inlineStr">
        <is>
          <t>Yes</t>
        </is>
      </c>
      <c r="AY154" s="5" t="inlineStr">
        <is>
          <t>Verified on official website</t>
        </is>
      </c>
      <c r="AZ154" s="5" t="inlineStr">
        <is>
          <t>Website Found</t>
        </is>
      </c>
      <c r="BA154" s="5" t="inlineStr">
        <is>
          <t>2026-09-17</t>
        </is>
      </c>
      <c r="BB154" s="5" t="inlineStr">
        <is>
          <t>Verified (website + Companies House)</t>
        </is>
      </c>
      <c r="BC154" s="5" t="inlineStr">
        <is>
          <t>High</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UK-000446</t>
        </is>
      </c>
      <c r="B155" s="10" t="inlineStr">
        <is>
          <t>THEACEOFVA-06</t>
        </is>
      </c>
      <c r="C155" s="10" t="inlineStr">
        <is>
          <t>The Ace Of Vapez</t>
        </is>
      </c>
      <c r="D155" s="10" t="inlineStr">
        <is>
          <t>The Ace Of Vapez - Scotlands</t>
        </is>
      </c>
      <c r="E155" s="10" t="inlineStr">
        <is>
          <t>The Ace Of Vapez</t>
        </is>
      </c>
      <c r="F155" s="10" t="inlineStr">
        <is>
          <t>The Ace Of Vapez Retail Limited</t>
        </is>
      </c>
      <c r="G155" s="10" t="inlineStr">
        <is>
          <t>Vape Shop</t>
        </is>
      </c>
      <c r="H155" s="10" t="inlineStr">
        <is>
          <t>Vape retail (multi-site chain)</t>
        </is>
      </c>
      <c r="I155" s="10" t="inlineStr">
        <is>
          <t>Regional Chain</t>
        </is>
      </c>
      <c r="J155" s="10" t="inlineStr">
        <is>
          <t>13</t>
        </is>
      </c>
      <c r="K155" s="10" t="inlineStr">
        <is>
          <t>https://www.theaceofvapez.com/pages/retail-locations</t>
        </is>
      </c>
      <c r="L155" s="10" t="inlineStr"/>
      <c r="M155" s="10" t="inlineStr"/>
      <c r="N155" s="10" t="inlineStr"/>
      <c r="O155" s="10" t="inlineStr">
        <is>
          <t>757 Cannock Road</t>
        </is>
      </c>
      <c r="P155" s="10" t="inlineStr">
        <is>
          <t>Scotlands</t>
        </is>
      </c>
      <c r="Q155" s="10" t="inlineStr">
        <is>
          <t>Wolverhampton</t>
        </is>
      </c>
      <c r="R155" s="10" t="inlineStr">
        <is>
          <t>West Midlands</t>
        </is>
      </c>
      <c r="S155" s="10" t="inlineStr">
        <is>
          <t>WV10 8PN</t>
        </is>
      </c>
      <c r="T155" s="10" t="inlineStr">
        <is>
          <t>West Midlands</t>
        </is>
      </c>
      <c r="U155" s="10" t="inlineStr">
        <is>
          <t>England</t>
        </is>
      </c>
      <c r="V155" s="10" t="inlineStr">
        <is>
          <t>01902 240425</t>
        </is>
      </c>
      <c r="W155" s="10" t="inlineStr"/>
      <c r="X155" s="10" t="inlineStr"/>
      <c r="Y155" s="10" t="inlineStr"/>
      <c r="Z155" s="10" t="inlineStr"/>
      <c r="AA155" s="10" t="inlineStr"/>
      <c r="AB155" s="10" t="inlineStr"/>
      <c r="AC155" s="10" t="inlineStr"/>
      <c r="AD155" s="10" t="inlineStr"/>
      <c r="AE155" s="10" t="inlineStr">
        <is>
          <t>08760274</t>
        </is>
      </c>
      <c r="AF155" s="10" t="inlineStr"/>
      <c r="AG155" s="10" t="inlineStr">
        <is>
          <t>THE ACE OF VAPEZ RETAIL LIMITED</t>
        </is>
      </c>
      <c r="AH155" s="10" t="inlineStr"/>
      <c r="AI155" s="10" t="inlineStr"/>
      <c r="AJ155" s="10" t="inlineStr"/>
      <c r="AK155" s="10" t="inlineStr">
        <is>
          <t>vape hardware; e-liquids; disposables; accessories</t>
        </is>
      </c>
      <c r="AL155" s="10" t="inlineStr"/>
      <c r="AM155" s="10" t="inlineStr">
        <is>
          <t>Vape Shop</t>
        </is>
      </c>
      <c r="AN155" s="10" t="inlineStr">
        <is>
          <t>Part of The Ace Of Vapez group with own wholesale arm.</t>
        </is>
      </c>
      <c r="AO155" s="10" t="inlineStr">
        <is>
          <t>Scotlands (Cannock Road) branch of the West Midlands chain.</t>
        </is>
      </c>
      <c r="AP155" s="10" t="inlineStr">
        <is>
          <t>High</t>
        </is>
      </c>
      <c r="AQ155" s="10" t="inlineStr">
        <is>
          <t>Multi-site retailer; Core relevant category; Active website; Phone verified on official website</t>
        </is>
      </c>
      <c r="AR155" s="10" t="inlineStr">
        <is>
          <t>https://www.theaceofvapez.com/pages/retail-locations</t>
        </is>
      </c>
      <c r="AS155" s="10" t="inlineStr">
        <is>
          <t>https://the-ace-of-vapez-scotlands.wheree.com/</t>
        </is>
      </c>
      <c r="AT155" s="10" t="inlineStr">
        <is>
          <t>2</t>
        </is>
      </c>
      <c r="AU155" s="10" t="inlineStr">
        <is>
          <t>Yes</t>
        </is>
      </c>
      <c r="AV155" s="10" t="inlineStr">
        <is>
          <t>No</t>
        </is>
      </c>
      <c r="AW155" s="10" t="inlineStr">
        <is>
          <t>No</t>
        </is>
      </c>
      <c r="AX155" s="10" t="inlineStr">
        <is>
          <t>No</t>
        </is>
      </c>
      <c r="AY155" s="10" t="inlineStr">
        <is>
          <t>Verified on official website</t>
        </is>
      </c>
      <c r="AZ155" s="10" t="inlineStr">
        <is>
          <t>Website Found</t>
        </is>
      </c>
      <c r="BA155" s="10" t="inlineStr">
        <is>
          <t>2026-09-17</t>
        </is>
      </c>
      <c r="BB155" s="10" t="inlineStr">
        <is>
          <t>Partially Verified</t>
        </is>
      </c>
      <c r="BC155" s="10" t="inlineStr">
        <is>
          <t>High</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UK-000447</t>
        </is>
      </c>
      <c r="B156" s="5" t="inlineStr">
        <is>
          <t>THEACEOFVA-07</t>
        </is>
      </c>
      <c r="C156" s="5" t="inlineStr">
        <is>
          <t>The Ace Of Vapez</t>
        </is>
      </c>
      <c r="D156" s="5" t="inlineStr">
        <is>
          <t>The Ace Of Vapez - Willenhall (The Precinct)</t>
        </is>
      </c>
      <c r="E156" s="5" t="inlineStr">
        <is>
          <t>The Ace Of Vapez</t>
        </is>
      </c>
      <c r="F156" s="5" t="inlineStr">
        <is>
          <t>The Ace Of Vapez Retail Limited</t>
        </is>
      </c>
      <c r="G156" s="5" t="inlineStr">
        <is>
          <t>Vape Shop</t>
        </is>
      </c>
      <c r="H156" s="5" t="inlineStr">
        <is>
          <t>Vape retail (multi-site chain)</t>
        </is>
      </c>
      <c r="I156" s="5" t="inlineStr">
        <is>
          <t>Regional Chain</t>
        </is>
      </c>
      <c r="J156" s="5" t="inlineStr">
        <is>
          <t>13</t>
        </is>
      </c>
      <c r="K156" s="5" t="inlineStr">
        <is>
          <t>https://www.theaceofvapez.com/pages/retail-locations</t>
        </is>
      </c>
      <c r="L156" s="5" t="inlineStr"/>
      <c r="M156" s="5" t="inlineStr"/>
      <c r="N156" s="5" t="inlineStr"/>
      <c r="O156" s="5" t="inlineStr">
        <is>
          <t>31 The Precinct</t>
        </is>
      </c>
      <c r="P156" s="5" t="inlineStr">
        <is>
          <t>Lucknow Road</t>
        </is>
      </c>
      <c r="Q156" s="5" t="inlineStr">
        <is>
          <t>Willenhall</t>
        </is>
      </c>
      <c r="R156" s="5" t="inlineStr">
        <is>
          <t>West Midlands</t>
        </is>
      </c>
      <c r="S156" s="5" t="inlineStr">
        <is>
          <t>WV12 4PZ</t>
        </is>
      </c>
      <c r="T156" s="5" t="inlineStr">
        <is>
          <t>West Midlands</t>
        </is>
      </c>
      <c r="U156" s="5" t="inlineStr">
        <is>
          <t>England</t>
        </is>
      </c>
      <c r="V156" s="5" t="inlineStr">
        <is>
          <t>01902 634748</t>
        </is>
      </c>
      <c r="W156" s="5" t="inlineStr"/>
      <c r="X156" s="5" t="inlineStr"/>
      <c r="Y156" s="5" t="inlineStr"/>
      <c r="Z156" s="5" t="inlineStr"/>
      <c r="AA156" s="5" t="inlineStr"/>
      <c r="AB156" s="5" t="inlineStr"/>
      <c r="AC156" s="5" t="inlineStr"/>
      <c r="AD156" s="5" t="inlineStr"/>
      <c r="AE156" s="5" t="inlineStr">
        <is>
          <t>08760274</t>
        </is>
      </c>
      <c r="AF156" s="5" t="inlineStr"/>
      <c r="AG156" s="5" t="inlineStr">
        <is>
          <t>THE ACE OF VAPEZ RETAIL LIMITED</t>
        </is>
      </c>
      <c r="AH156" s="5" t="inlineStr"/>
      <c r="AI156" s="5" t="inlineStr"/>
      <c r="AJ156" s="5" t="inlineStr"/>
      <c r="AK156" s="5" t="inlineStr">
        <is>
          <t>vape hardware; e-liquids; disposables; accessories</t>
        </is>
      </c>
      <c r="AL156" s="5" t="inlineStr"/>
      <c r="AM156" s="5" t="inlineStr">
        <is>
          <t>Vape Shop</t>
        </is>
      </c>
      <c r="AN156" s="5" t="inlineStr">
        <is>
          <t>Part of The Ace Of Vapez group with own wholesale arm.</t>
        </is>
      </c>
      <c r="AO156" s="5" t="inlineStr">
        <is>
          <t>Willenhall (Short Heath / The Precinct, Lucknow Road) branch of the West Midlands chain.</t>
        </is>
      </c>
      <c r="AP156" s="5" t="inlineStr">
        <is>
          <t>High</t>
        </is>
      </c>
      <c r="AQ156" s="5" t="inlineStr">
        <is>
          <t>Multi-site retailer; Core relevant category; Active website; Phone verified on official website</t>
        </is>
      </c>
      <c r="AR156" s="5" t="inlineStr">
        <is>
          <t>https://www.theaceofvapez.com/pages/retail-locations</t>
        </is>
      </c>
      <c r="AS156" s="5" t="inlineStr"/>
      <c r="AT156" s="5" t="inlineStr">
        <is>
          <t>1</t>
        </is>
      </c>
      <c r="AU156" s="5" t="inlineStr">
        <is>
          <t>Yes</t>
        </is>
      </c>
      <c r="AV156" s="5" t="inlineStr">
        <is>
          <t>No</t>
        </is>
      </c>
      <c r="AW156" s="5" t="inlineStr">
        <is>
          <t>No</t>
        </is>
      </c>
      <c r="AX156" s="5" t="inlineStr">
        <is>
          <t>No</t>
        </is>
      </c>
      <c r="AY156" s="5" t="inlineStr">
        <is>
          <t>Verified on official website</t>
        </is>
      </c>
      <c r="AZ156" s="5" t="inlineStr">
        <is>
          <t>Website Found</t>
        </is>
      </c>
      <c r="BA156" s="5" t="inlineStr">
        <is>
          <t>2026-09-17</t>
        </is>
      </c>
      <c r="BB156" s="5" t="inlineStr">
        <is>
          <t>Partially Verified</t>
        </is>
      </c>
      <c r="BC156" s="5" t="inlineStr">
        <is>
          <t>High</t>
        </is>
      </c>
      <c r="BD156" s="5" t="inlineStr"/>
      <c r="BE156" s="5" t="inlineStr">
        <is>
          <t>Business (B2B)</t>
        </is>
      </c>
      <c r="BF156" s="5" t="inlineStr">
        <is>
          <t>Legitimate interest (B2B) - assess per campaign; PECR: corporate subscribers</t>
        </is>
      </c>
      <c r="BG156" s="5" t="inlineStr"/>
      <c r="BH156" s="5" t="inlineStr">
        <is>
          <t>No</t>
        </is>
      </c>
      <c r="BI156" s="5" t="inlineStr">
        <is>
          <t>2026-09-17</t>
        </is>
      </c>
      <c r="BJ156" s="5" t="inlineStr">
        <is>
          <t>New</t>
        </is>
      </c>
      <c r="BK156" s="5" t="inlineStr">
        <is>
          <t>2026-09-17</t>
        </is>
      </c>
      <c r="BL156" s="5" t="inlineStr"/>
      <c r="BM156" s="5" t="inlineStr"/>
      <c r="BN156" s="5" t="inlineStr"/>
      <c r="BO156" s="5" t="inlineStr"/>
      <c r="BP156" s="5" t="inlineStr"/>
      <c r="BQ156" s="5" t="inlineStr"/>
    </row>
    <row r="157">
      <c r="A157" s="10" t="inlineStr">
        <is>
          <t>UK-000448</t>
        </is>
      </c>
      <c r="B157" s="10" t="inlineStr">
        <is>
          <t>THEACEOFVA-01</t>
        </is>
      </c>
      <c r="C157" s="10" t="inlineStr">
        <is>
          <t>The Ace of Vapez</t>
        </is>
      </c>
      <c r="D157" s="10" t="inlineStr">
        <is>
          <t>The Ace of Vapez - Acocks Green</t>
        </is>
      </c>
      <c r="E157" s="10" t="inlineStr">
        <is>
          <t>The Ace of Vapez</t>
        </is>
      </c>
      <c r="F157" s="10" t="inlineStr"/>
      <c r="G157" s="10" t="inlineStr">
        <is>
          <t>Vape Shop</t>
        </is>
      </c>
      <c r="H157" s="10" t="inlineStr">
        <is>
          <t>Vape hardware and e-liquid retailer</t>
        </is>
      </c>
      <c r="I157" s="10" t="inlineStr">
        <is>
          <t>Regional Chain</t>
        </is>
      </c>
      <c r="J157" s="10" t="inlineStr">
        <is>
          <t>1</t>
        </is>
      </c>
      <c r="K157" s="10" t="inlineStr">
        <is>
          <t>https://www.theaceofvapez.com/</t>
        </is>
      </c>
      <c r="L157" s="10" t="inlineStr"/>
      <c r="M157" s="10" t="inlineStr"/>
      <c r="N157" s="10" t="inlineStr"/>
      <c r="O157" s="10" t="inlineStr">
        <is>
          <t>1137 Warwick Road</t>
        </is>
      </c>
      <c r="P157" s="10" t="inlineStr">
        <is>
          <t>Acocks Green</t>
        </is>
      </c>
      <c r="Q157" s="10" t="inlineStr">
        <is>
          <t>Birmingham</t>
        </is>
      </c>
      <c r="R157" s="10" t="inlineStr">
        <is>
          <t>West Midlands</t>
        </is>
      </c>
      <c r="S157" s="10" t="inlineStr">
        <is>
          <t>B27 6RA</t>
        </is>
      </c>
      <c r="T157" s="10" t="inlineStr">
        <is>
          <t>West Midlands</t>
        </is>
      </c>
      <c r="U157" s="10" t="inlineStr">
        <is>
          <t>England</t>
        </is>
      </c>
      <c r="V157" s="10" t="inlineStr">
        <is>
          <t>0121 492 1290</t>
        </is>
      </c>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vape hardware; e-liquids</t>
        </is>
      </c>
      <c r="AL157" s="10" t="inlineStr"/>
      <c r="AM157" s="10" t="inlineStr">
        <is>
          <t>Vape Shop</t>
        </is>
      </c>
      <c r="AN157" s="10" t="inlineStr"/>
      <c r="AO157" s="10" t="inlineStr">
        <is>
          <t>The Ace of Vapez is a ~14-store West Midlands chain; this is the Acocks Green branch. Head-office/customer-service line 01902 302 058 (Wolverhampton).</t>
        </is>
      </c>
      <c r="AP157" s="10" t="inlineStr">
        <is>
          <t>Medium</t>
        </is>
      </c>
      <c r="AQ157" s="10" t="inlineStr">
        <is>
          <t>Multi-site retailer; Core relevant category; Active website</t>
        </is>
      </c>
      <c r="AR157" s="10" t="inlineStr">
        <is>
          <t>https://www.theaceofvapez.com/pages/acocks-green</t>
        </is>
      </c>
      <c r="AS157" s="10" t="inlineStr">
        <is>
          <t>https://www.theaceofvapez.com/pages/retail-locations</t>
        </is>
      </c>
      <c r="AT157" s="10" t="inlineStr">
        <is>
          <t>2</t>
        </is>
      </c>
      <c r="AU157" s="10" t="inlineStr">
        <is>
          <t>No</t>
        </is>
      </c>
      <c r="AV157" s="10" t="inlineStr">
        <is>
          <t>No</t>
        </is>
      </c>
      <c r="AW157" s="10" t="inlineStr">
        <is>
          <t>No</t>
        </is>
      </c>
      <c r="AX157" s="10" t="inlineStr">
        <is>
          <t>No</t>
        </is>
      </c>
      <c r="AY157" s="10" t="inlineStr">
        <is>
          <t>Verified directory</t>
        </is>
      </c>
      <c r="AZ157" s="10" t="inlineStr">
        <is>
          <t>Website Found</t>
        </is>
      </c>
      <c r="BA157" s="10" t="inlineStr">
        <is>
          <t>2026-09-17</t>
        </is>
      </c>
      <c r="BB157" s="10" t="inlineStr">
        <is>
          <t>Requires Verification</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2026-09-17</t>
        </is>
      </c>
      <c r="BJ157" s="10" t="inlineStr">
        <is>
          <t>New</t>
        </is>
      </c>
      <c r="BK157" s="10" t="inlineStr">
        <is>
          <t>2026-09-17</t>
        </is>
      </c>
      <c r="BL157" s="10" t="inlineStr"/>
      <c r="BM157" s="10" t="inlineStr"/>
      <c r="BN157" s="10" t="inlineStr"/>
      <c r="BO157" s="10" t="inlineStr"/>
      <c r="BP157" s="10" t="inlineStr"/>
      <c r="BQ157" s="10" t="inlineStr"/>
    </row>
    <row r="158">
      <c r="A158" s="5" t="inlineStr">
        <is>
          <t>UK-000215</t>
        </is>
      </c>
      <c r="B158" s="5" t="inlineStr">
        <is>
          <t>THEDRAMSHO-01</t>
        </is>
      </c>
      <c r="C158" s="5" t="inlineStr">
        <is>
          <t>The Dram Shop</t>
        </is>
      </c>
      <c r="D158" s="5" t="inlineStr">
        <is>
          <t>The Dram Shop</t>
        </is>
      </c>
      <c r="E158" s="5" t="inlineStr">
        <is>
          <t>The Dram Shop</t>
        </is>
      </c>
      <c r="F158" s="5" t="inlineStr"/>
      <c r="G158" s="5" t="inlineStr">
        <is>
          <t>Off-Licence</t>
        </is>
      </c>
      <c r="H158" s="5" t="inlineStr">
        <is>
          <t>Wine, spirits and craft beer merchant</t>
        </is>
      </c>
      <c r="I158" s="5" t="inlineStr">
        <is>
          <t>Multi-Site Independent</t>
        </is>
      </c>
      <c r="J158" s="5" t="inlineStr">
        <is>
          <t>2</t>
        </is>
      </c>
      <c r="K158" s="5" t="inlineStr"/>
      <c r="L158" s="5" t="inlineStr"/>
      <c r="M158" s="5" t="inlineStr"/>
      <c r="N158" s="5" t="inlineStr"/>
      <c r="O158" s="5" t="inlineStr">
        <is>
          <t>21 Commonside</t>
        </is>
      </c>
      <c r="P158" s="5" t="inlineStr"/>
      <c r="Q158" s="5" t="inlineStr">
        <is>
          <t>Sheffield</t>
        </is>
      </c>
      <c r="R158" s="5" t="inlineStr">
        <is>
          <t>South Yorkshire</t>
        </is>
      </c>
      <c r="S158" s="5" t="inlineStr">
        <is>
          <t>S10 1GA</t>
        </is>
      </c>
      <c r="T158" s="5" t="inlineStr">
        <is>
          <t>Yorkshire &amp; Humber</t>
        </is>
      </c>
      <c r="U158" s="5" t="inlineStr">
        <is>
          <t>England</t>
        </is>
      </c>
      <c r="V158" s="5" t="inlineStr">
        <is>
          <t>0114 268 3117</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fine wines; spirits; craft beers</t>
        </is>
      </c>
      <c r="AL158" s="5" t="inlineStr"/>
      <c r="AM158" s="5" t="inlineStr">
        <is>
          <t>Off-Licence</t>
        </is>
      </c>
      <c r="AN158" s="5" t="inlineStr"/>
      <c r="AO158" s="5" t="inlineStr">
        <is>
          <t>Well-regarded independent off-licence on Commonside, Sheffield, with a curated wine/spirit/craft-beer range; operates a second Sheffield branch (Hillsborough). Address/postcode/phone from Yelp and FindOpen listings.</t>
        </is>
      </c>
      <c r="AP158" s="5" t="inlineStr">
        <is>
          <t>Medium</t>
        </is>
      </c>
      <c r="AQ158" s="5" t="inlineStr">
        <is>
          <t>Multi-site retailer; Independent retailer; Relevant category</t>
        </is>
      </c>
      <c r="AR158" s="5" t="inlineStr">
        <is>
          <t>https://www.yelp.co.uk/biz/dram-shop-sheffield</t>
        </is>
      </c>
      <c r="AS158" s="5" t="inlineStr">
        <is>
          <t>https://find-open.co.uk/sheffield/the-dram-shop-1534489</t>
        </is>
      </c>
      <c r="AT158" s="5" t="inlineStr">
        <is>
          <t>2</t>
        </is>
      </c>
      <c r="AU158" s="5" t="inlineStr">
        <is>
          <t>No</t>
        </is>
      </c>
      <c r="AV158" s="5" t="inlineStr">
        <is>
          <t>No</t>
        </is>
      </c>
      <c r="AW158" s="5" t="inlineStr">
        <is>
          <t>No</t>
        </is>
      </c>
      <c r="AX158" s="5" t="inlineStr">
        <is>
          <t>No</t>
        </is>
      </c>
      <c r="AY158" s="5" t="inlineStr">
        <is>
          <t>Verified directory</t>
        </is>
      </c>
      <c r="AZ158" s="5" t="inlineStr">
        <is>
          <t>Not Found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2026-09-17</t>
        </is>
      </c>
      <c r="BL158" s="5" t="inlineStr"/>
      <c r="BM158" s="5" t="inlineStr"/>
      <c r="BN158" s="5" t="inlineStr"/>
      <c r="BO158" s="5" t="inlineStr"/>
      <c r="BP158" s="5" t="inlineStr"/>
      <c r="BQ158" s="5" t="inlineStr"/>
    </row>
    <row r="159">
      <c r="A159" s="10" t="inlineStr">
        <is>
          <t>UK-000323</t>
        </is>
      </c>
      <c r="B159" s="10" t="inlineStr">
        <is>
          <t>THEECIGSTO-01</t>
        </is>
      </c>
      <c r="C159" s="10" t="inlineStr">
        <is>
          <t>The E-Cig Store</t>
        </is>
      </c>
      <c r="D159" s="10" t="inlineStr">
        <is>
          <t>The E-Cig Store (Timperley, Trafford)</t>
        </is>
      </c>
      <c r="E159" s="10" t="inlineStr">
        <is>
          <t>The E-Cig Store</t>
        </is>
      </c>
      <c r="F159" s="10" t="inlineStr"/>
      <c r="G159" s="10" t="inlineStr">
        <is>
          <t>Vape Shop</t>
        </is>
      </c>
      <c r="H159" s="10" t="inlineStr">
        <is>
          <t>Vape hardware, e-liquids &amp; disposables</t>
        </is>
      </c>
      <c r="I159" s="10" t="inlineStr">
        <is>
          <t>Regional Chain</t>
        </is>
      </c>
      <c r="J159" s="10" t="inlineStr">
        <is>
          <t>40</t>
        </is>
      </c>
      <c r="K159" s="10" t="inlineStr">
        <is>
          <t>https://theecig.co.uk/</t>
        </is>
      </c>
      <c r="L159" s="10" t="inlineStr">
        <is>
          <t>https://www.facebook.com/theEcigAlti/</t>
        </is>
      </c>
      <c r="M159" s="10" t="inlineStr"/>
      <c r="N159" s="10" t="inlineStr"/>
      <c r="O159" s="10" t="inlineStr">
        <is>
          <t>230 Stockport Road</t>
        </is>
      </c>
      <c r="P159" s="10" t="inlineStr">
        <is>
          <t>Timperley</t>
        </is>
      </c>
      <c r="Q159" s="10" t="inlineStr">
        <is>
          <t>Altrincham</t>
        </is>
      </c>
      <c r="R159" s="10" t="inlineStr">
        <is>
          <t>Greater Manchester</t>
        </is>
      </c>
      <c r="S159" s="10" t="inlineStr">
        <is>
          <t>WA15 7UN</t>
        </is>
      </c>
      <c r="T159" s="10" t="inlineStr">
        <is>
          <t>North West</t>
        </is>
      </c>
      <c r="U159" s="10" t="inlineStr">
        <is>
          <t>England</t>
        </is>
      </c>
      <c r="V159" s="10" t="inlineStr"/>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vape kits; e-liquids; nic salts; disposables; pods &amp; coils</t>
        </is>
      </c>
      <c r="AL159" s="10" t="inlineStr"/>
      <c r="AM159" s="10" t="inlineStr">
        <is>
          <t>Vape Shop</t>
        </is>
      </c>
      <c r="AN159" s="10" t="inlineStr"/>
      <c r="AO159" s="10"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159" s="10" t="inlineStr">
        <is>
          <t>High</t>
        </is>
      </c>
      <c r="AQ159" s="10" t="inlineStr">
        <is>
          <t>Multi-site retailer; Core relevant category; Active website; Social presence</t>
        </is>
      </c>
      <c r="AR159" s="10" t="inlineStr">
        <is>
          <t>https://theecig.co.uk/pages/the-e-cig-store-timperley</t>
        </is>
      </c>
      <c r="AS159" s="10" t="inlineStr">
        <is>
          <t>https://theecig.co.uk/pages/store-locator</t>
        </is>
      </c>
      <c r="AT159" s="10" t="inlineStr">
        <is>
          <t>2</t>
        </is>
      </c>
      <c r="AU159" s="10" t="inlineStr">
        <is>
          <t>No</t>
        </is>
      </c>
      <c r="AV159" s="10" t="inlineStr">
        <is>
          <t>No</t>
        </is>
      </c>
      <c r="AW159" s="10" t="inlineStr">
        <is>
          <t>No</t>
        </is>
      </c>
      <c r="AX159" s="10" t="inlineStr">
        <is>
          <t>No</t>
        </is>
      </c>
      <c r="AY159" s="10" t="inlineStr">
        <is>
          <t>Not Found</t>
        </is>
      </c>
      <c r="AZ159" s="10" t="inlineStr">
        <is>
          <t>Website Found</t>
        </is>
      </c>
      <c r="BA159" s="10" t="inlineStr">
        <is>
          <t>2026-09-17</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UK-000324</t>
        </is>
      </c>
      <c r="B160" s="5" t="inlineStr">
        <is>
          <t>THEECIGSTO-02</t>
        </is>
      </c>
      <c r="C160" s="5" t="inlineStr">
        <is>
          <t>The E-Cig Store</t>
        </is>
      </c>
      <c r="D160" s="5" t="inlineStr">
        <is>
          <t>The E-Cig Store (West Timperley, Trafford)</t>
        </is>
      </c>
      <c r="E160" s="5" t="inlineStr">
        <is>
          <t>The E-Cig Store</t>
        </is>
      </c>
      <c r="F160" s="5" t="inlineStr"/>
      <c r="G160" s="5" t="inlineStr">
        <is>
          <t>Vape Shop</t>
        </is>
      </c>
      <c r="H160" s="5" t="inlineStr">
        <is>
          <t>Vape hardware, e-liquids &amp; disposables</t>
        </is>
      </c>
      <c r="I160" s="5" t="inlineStr">
        <is>
          <t>Regional Chain</t>
        </is>
      </c>
      <c r="J160" s="5" t="inlineStr">
        <is>
          <t>40</t>
        </is>
      </c>
      <c r="K160" s="5" t="inlineStr">
        <is>
          <t>https://theecig.co.uk/</t>
        </is>
      </c>
      <c r="L160" s="5" t="inlineStr">
        <is>
          <t>https://www.facebook.com/theEcigAlti/</t>
        </is>
      </c>
      <c r="M160" s="5" t="inlineStr"/>
      <c r="N160" s="5" t="inlineStr"/>
      <c r="O160" s="5" t="inlineStr">
        <is>
          <t>340 Manchester Road</t>
        </is>
      </c>
      <c r="P160" s="5" t="inlineStr">
        <is>
          <t>West Timperley</t>
        </is>
      </c>
      <c r="Q160" s="5" t="inlineStr">
        <is>
          <t>Altrincham</t>
        </is>
      </c>
      <c r="R160" s="5" t="inlineStr">
        <is>
          <t>Greater Manchester</t>
        </is>
      </c>
      <c r="S160" s="5" t="inlineStr">
        <is>
          <t>WA14 5NH</t>
        </is>
      </c>
      <c r="T160" s="5" t="inlineStr">
        <is>
          <t>North West</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vape kits; e-liquids; nic salts; disposables; pods &amp; coils</t>
        </is>
      </c>
      <c r="AL160" s="5" t="inlineStr"/>
      <c r="AM160" s="5" t="inlineStr">
        <is>
          <t>Vape Shop</t>
        </is>
      </c>
      <c r="AN160" s="5" t="inlineStr"/>
      <c r="AO160" s="5" t="inlineStr">
        <is>
          <t>Second Trafford branch of The E-Cig Store multi-site vape chain (shared parent_company). Address from store-locator / Puffing Bird directory via search extraction.</t>
        </is>
      </c>
      <c r="AP160" s="5" t="inlineStr">
        <is>
          <t>High</t>
        </is>
      </c>
      <c r="AQ160" s="5" t="inlineStr">
        <is>
          <t>Multi-site retailer; Core relevant category; Active website; Social presence</t>
        </is>
      </c>
      <c r="AR160" s="5" t="inlineStr">
        <is>
          <t>https://theecig.co.uk/pages/store-locator</t>
        </is>
      </c>
      <c r="AS160" s="5" t="inlineStr">
        <is>
          <t>https://vapeshops.puffingbird.com/england/altrincham/the-e-cig-store-west-timperley</t>
        </is>
      </c>
      <c r="AT160" s="5" t="inlineStr">
        <is>
          <t>2</t>
        </is>
      </c>
      <c r="AU160" s="5" t="inlineStr">
        <is>
          <t>No</t>
        </is>
      </c>
      <c r="AV160" s="5" t="inlineStr">
        <is>
          <t>No</t>
        </is>
      </c>
      <c r="AW160" s="5" t="inlineStr">
        <is>
          <t>No</t>
        </is>
      </c>
      <c r="AX160" s="5" t="inlineStr">
        <is>
          <t>No</t>
        </is>
      </c>
      <c r="AY160" s="5" t="inlineStr">
        <is>
          <t>Not Found</t>
        </is>
      </c>
      <c r="AZ160" s="5" t="inlineStr">
        <is>
          <t>Website Found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UK-000325</t>
        </is>
      </c>
      <c r="B161" s="10" t="inlineStr">
        <is>
          <t>THEECIGSTO-01</t>
        </is>
      </c>
      <c r="C161" s="10" t="inlineStr">
        <is>
          <t>The E-Cig Store UK</t>
        </is>
      </c>
      <c r="D161" s="10" t="inlineStr">
        <is>
          <t>The E-Cig Store Stockport</t>
        </is>
      </c>
      <c r="E161" s="10" t="inlineStr">
        <is>
          <t>The E-Cig Store</t>
        </is>
      </c>
      <c r="F161" s="10" t="inlineStr"/>
      <c r="G161" s="10" t="inlineStr">
        <is>
          <t>Vape Shop</t>
        </is>
      </c>
      <c r="H161" s="10" t="inlineStr"/>
      <c r="I161" s="10" t="inlineStr">
        <is>
          <t>Multi-Site Independent</t>
        </is>
      </c>
      <c r="J161" s="10" t="inlineStr">
        <is>
          <t>1</t>
        </is>
      </c>
      <c r="K161" s="10" t="inlineStr">
        <is>
          <t>https://theecig.co.uk/pages/the-e-cig-store-stockport</t>
        </is>
      </c>
      <c r="L161" s="10" t="inlineStr"/>
      <c r="M161" s="10" t="inlineStr"/>
      <c r="N161" s="10" t="inlineStr"/>
      <c r="O161" s="10" t="inlineStr">
        <is>
          <t>Buxton Road</t>
        </is>
      </c>
      <c r="P161" s="10" t="inlineStr">
        <is>
          <t>Great Moor</t>
        </is>
      </c>
      <c r="Q161" s="10" t="inlineStr">
        <is>
          <t>Stockport</t>
        </is>
      </c>
      <c r="R161" s="10" t="inlineStr">
        <is>
          <t>Greater Manchester</t>
        </is>
      </c>
      <c r="S161" s="10" t="inlineStr"/>
      <c r="T161" s="10" t="inlineStr">
        <is>
          <t>North West</t>
        </is>
      </c>
      <c r="U161" s="10" t="inlineStr">
        <is>
          <t>England</t>
        </is>
      </c>
      <c r="V161" s="10" t="inlineStr"/>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e-liquids; vape hardware; disposables</t>
        </is>
      </c>
      <c r="AL161" s="10" t="inlineStr"/>
      <c r="AM161" s="10" t="inlineStr">
        <is>
          <t>Vape Shop</t>
        </is>
      </c>
      <c r="AN161" s="10" t="inlineStr"/>
      <c r="AO161" s="10" t="inlineStr">
        <is>
          <t>The E-Cig Store branch in Great Moor, Stockport (Buxton Road). Exact street number/postcode not captured.</t>
        </is>
      </c>
      <c r="AP161" s="10" t="inlineStr">
        <is>
          <t>High</t>
        </is>
      </c>
      <c r="AQ161" s="10" t="inlineStr">
        <is>
          <t>Multi-site retailer; Independent retailer; Core relevant category; Active website</t>
        </is>
      </c>
      <c r="AR161" s="10" t="inlineStr">
        <is>
          <t>https://theecig.co.uk/pages/the-e-cig-store-stockport</t>
        </is>
      </c>
      <c r="AS161" s="10" t="inlineStr"/>
      <c r="AT161" s="10" t="inlineStr">
        <is>
          <t>1</t>
        </is>
      </c>
      <c r="AU161" s="10" t="inlineStr">
        <is>
          <t>No</t>
        </is>
      </c>
      <c r="AV161" s="10" t="inlineStr">
        <is>
          <t>No</t>
        </is>
      </c>
      <c r="AW161" s="10" t="inlineStr">
        <is>
          <t>No</t>
        </is>
      </c>
      <c r="AX161" s="10" t="inlineStr">
        <is>
          <t>No</t>
        </is>
      </c>
      <c r="AY161" s="10" t="inlineStr">
        <is>
          <t>Not Found</t>
        </is>
      </c>
      <c r="AZ161" s="10" t="inlineStr">
        <is>
          <t>Website Found</t>
        </is>
      </c>
      <c r="BA161" s="10" t="inlineStr">
        <is>
          <t>2026-09-17</t>
        </is>
      </c>
      <c r="BB161" s="10" t="inlineStr">
        <is>
          <t>Requires Verification</t>
        </is>
      </c>
      <c r="BC161" s="10" t="inlineStr">
        <is>
          <t>Low</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WY-0031</t>
        </is>
      </c>
      <c r="B162" s="5" t="inlineStr">
        <is>
          <t>THEVAPECEN-01</t>
        </is>
      </c>
      <c r="C162" s="5" t="inlineStr">
        <is>
          <t>The Vape Centre</t>
        </is>
      </c>
      <c r="D162" s="5" t="inlineStr">
        <is>
          <t>The Vape Centre (Wetherby)</t>
        </is>
      </c>
      <c r="E162" s="5" t="inlineStr">
        <is>
          <t>The Vape Centre</t>
        </is>
      </c>
      <c r="F162" s="5" t="inlineStr">
        <is>
          <t>Vape Centre Wetherby Ltd</t>
        </is>
      </c>
      <c r="G162" s="5" t="inlineStr">
        <is>
          <t>Vape Shop</t>
        </is>
      </c>
      <c r="H162" s="5" t="inlineStr"/>
      <c r="I162" s="5" t="inlineStr">
        <is>
          <t>Multi-Site Independent</t>
        </is>
      </c>
      <c r="J162" s="5" t="inlineStr">
        <is>
          <t>2</t>
        </is>
      </c>
      <c r="K162" s="5" t="inlineStr">
        <is>
          <t>http://www.thevapecentre.co.uk/</t>
        </is>
      </c>
      <c r="L162" s="5" t="inlineStr"/>
      <c r="M162" s="5" t="inlineStr"/>
      <c r="N162" s="5" t="inlineStr"/>
      <c r="O162" s="5" t="inlineStr">
        <is>
          <t>16 Market Place</t>
        </is>
      </c>
      <c r="P162" s="5" t="inlineStr"/>
      <c r="Q162" s="5" t="inlineStr">
        <is>
          <t>Wetherby</t>
        </is>
      </c>
      <c r="R162" s="5" t="inlineStr">
        <is>
          <t>West Yorkshire</t>
        </is>
      </c>
      <c r="S162" s="5" t="inlineStr">
        <is>
          <t>LS22 6NE</t>
        </is>
      </c>
      <c r="T162" s="5" t="inlineStr">
        <is>
          <t>Yorkshire &amp; Humber</t>
        </is>
      </c>
      <c r="U162" s="5" t="inlineStr">
        <is>
          <t>England</t>
        </is>
      </c>
      <c r="V162" s="5" t="inlineStr">
        <is>
          <t>07388 892397</t>
        </is>
      </c>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vape hardware; e-liquids</t>
        </is>
      </c>
      <c r="AL162" s="5" t="inlineStr"/>
      <c r="AM162" s="5" t="inlineStr">
        <is>
          <t>Vape Shop</t>
        </is>
      </c>
      <c r="AN162" s="5" t="inlineStr"/>
      <c r="AO162" s="5" t="inlineStr">
        <is>
          <t>Second branch at 2 Gillygate, York (The Vape Centre York/Wetherby). Legal name 'Vape Centre Wetherby Ltd' per Cylex listing title - not yet verified at Companies House (CH site blocked by network proxy this session).</t>
        </is>
      </c>
      <c r="AP162" s="5" t="inlineStr">
        <is>
          <t>High</t>
        </is>
      </c>
      <c r="AQ162" s="5" t="inlineStr">
        <is>
          <t>Multi-site retailer; Independent retailer; Core relevant category; Active website</t>
        </is>
      </c>
      <c r="AR162" s="5" t="inlineStr">
        <is>
          <t>https://wetherbytowncouncil.gov.uk/our-businesses/vape-centre/</t>
        </is>
      </c>
      <c r="AS162" s="5" t="inlineStr">
        <is>
          <t>https://www.wegetyoufound.co.uk/listings/the-vape-centre/wetherby/vaporizer-store</t>
        </is>
      </c>
      <c r="AT162" s="5" t="inlineStr">
        <is>
          <t>3</t>
        </is>
      </c>
      <c r="AU162" s="5" t="inlineStr">
        <is>
          <t>No</t>
        </is>
      </c>
      <c r="AV162" s="5" t="inlineStr">
        <is>
          <t>No</t>
        </is>
      </c>
      <c r="AW162" s="5" t="inlineStr">
        <is>
          <t>No</t>
        </is>
      </c>
      <c r="AX162" s="5" t="inlineStr">
        <is>
          <t>No</t>
        </is>
      </c>
      <c r="AY162" s="5" t="inlineStr">
        <is>
          <t>Verified directory</t>
        </is>
      </c>
      <c r="AZ162" s="5" t="inlineStr">
        <is>
          <t>Website Found</t>
        </is>
      </c>
      <c r="BA162" s="5" t="inlineStr">
        <is>
          <t>2026-09-17</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2026-09-17</t>
        </is>
      </c>
      <c r="BL162" s="5" t="inlineStr"/>
      <c r="BM162" s="5" t="inlineStr"/>
      <c r="BN162" s="5" t="inlineStr"/>
      <c r="BO162" s="5" t="inlineStr"/>
      <c r="BP162" s="5" t="inlineStr"/>
      <c r="BQ162" s="5" t="inlineStr"/>
    </row>
    <row r="163">
      <c r="A163" s="10" t="inlineStr">
        <is>
          <t>WY-0032</t>
        </is>
      </c>
      <c r="B163" s="10" t="inlineStr">
        <is>
          <t>TOTALLYWIC-01</t>
        </is>
      </c>
      <c r="C163" s="10" t="inlineStr">
        <is>
          <t>Totally Wicked</t>
        </is>
      </c>
      <c r="D163" s="10" t="inlineStr">
        <is>
          <t>Totally Wicked</t>
        </is>
      </c>
      <c r="E163" s="10" t="inlineStr">
        <is>
          <t>Totally Wicked Brighouse</t>
        </is>
      </c>
      <c r="F163" s="10" t="inlineStr"/>
      <c r="G163" s="10" t="inlineStr">
        <is>
          <t>Vape Shop</t>
        </is>
      </c>
      <c r="H163" s="10" t="inlineStr">
        <is>
          <t>E-cigarette and e-liquid chain store</t>
        </is>
      </c>
      <c r="I163" s="10" t="inlineStr">
        <is>
          <t>National Chain</t>
        </is>
      </c>
      <c r="J163" s="10" t="inlineStr"/>
      <c r="K163" s="10" t="inlineStr"/>
      <c r="L163" s="10" t="inlineStr"/>
      <c r="M163" s="10" t="inlineStr"/>
      <c r="N163" s="10" t="inlineStr"/>
      <c r="O163" s="10" t="inlineStr">
        <is>
          <t>53-55 Bethel Street</t>
        </is>
      </c>
      <c r="P163" s="10" t="inlineStr"/>
      <c r="Q163" s="10" t="inlineStr">
        <is>
          <t>Brighouse</t>
        </is>
      </c>
      <c r="R163" s="10" t="inlineStr">
        <is>
          <t>West Yorkshire</t>
        </is>
      </c>
      <c r="S163" s="10" t="inlineStr">
        <is>
          <t>HD6 1JR</t>
        </is>
      </c>
      <c r="T163" s="10" t="inlineStr">
        <is>
          <t>Yorkshire &amp; Humber</t>
        </is>
      </c>
      <c r="U163" s="10" t="inlineStr">
        <is>
          <t>England</t>
        </is>
      </c>
      <c r="V163" s="10" t="inlineStr">
        <is>
          <t>01484 769431</t>
        </is>
      </c>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is>
          <t>Totally Wicked</t>
        </is>
      </c>
      <c r="AK163" s="10" t="inlineStr">
        <is>
          <t>vape hardware; e-liquids; disposables</t>
        </is>
      </c>
      <c r="AL163" s="10" t="inlineStr"/>
      <c r="AM163" s="10" t="inlineStr">
        <is>
          <t>Vape Shop</t>
        </is>
      </c>
      <c r="AN163" s="10" t="inlineStr"/>
      <c r="AO163" s="10" t="inlineStr">
        <is>
          <t>Some Totally Wicked branded stores are franchised; ownership of this branch not established.</t>
        </is>
      </c>
      <c r="AP163" s="10" t="inlineStr">
        <is>
          <t>Medium</t>
        </is>
      </c>
      <c r="AQ163" s="10" t="inlineStr">
        <is>
          <t>Multi-site retailer; Core relevant category</t>
        </is>
      </c>
      <c r="AR163" s="10" t="inlineStr">
        <is>
          <t>https://brighouse.cylex-uk.co.uk/vape-shops/</t>
        </is>
      </c>
      <c r="AS163" s="10" t="inlineStr"/>
      <c r="AT163" s="10" t="inlineStr">
        <is>
          <t>1</t>
        </is>
      </c>
      <c r="AU163" s="10" t="inlineStr">
        <is>
          <t>No</t>
        </is>
      </c>
      <c r="AV163" s="10" t="inlineStr">
        <is>
          <t>No</t>
        </is>
      </c>
      <c r="AW163" s="10" t="inlineStr">
        <is>
          <t>No</t>
        </is>
      </c>
      <c r="AX163" s="10" t="inlineStr">
        <is>
          <t>No</t>
        </is>
      </c>
      <c r="AY163" s="10" t="inlineStr">
        <is>
          <t>Verified directory</t>
        </is>
      </c>
      <c r="AZ163" s="10" t="inlineStr">
        <is>
          <t>Not Found</t>
        </is>
      </c>
      <c r="BA163" s="10" t="inlineStr">
        <is>
          <t>2026-09-17</t>
        </is>
      </c>
      <c r="BB163" s="10" t="inlineStr">
        <is>
          <t>Requires Verification</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2026-09-17</t>
        </is>
      </c>
      <c r="BL163" s="10" t="inlineStr"/>
      <c r="BM163" s="10" t="inlineStr"/>
      <c r="BN163" s="10" t="inlineStr"/>
      <c r="BO163" s="10" t="inlineStr"/>
      <c r="BP163" s="10" t="inlineStr"/>
      <c r="BQ163" s="10" t="inlineStr"/>
    </row>
    <row r="164">
      <c r="A164" s="5" t="inlineStr">
        <is>
          <t>WY-0033</t>
        </is>
      </c>
      <c r="B164" s="5" t="inlineStr">
        <is>
          <t>TOTALLYWIC-02</t>
        </is>
      </c>
      <c r="C164" s="5" t="inlineStr">
        <is>
          <t>Totally Wicked</t>
        </is>
      </c>
      <c r="D164" s="5" t="inlineStr">
        <is>
          <t>Totally Wicked</t>
        </is>
      </c>
      <c r="E164" s="5" t="inlineStr">
        <is>
          <t>Totally Wicked Halifax</t>
        </is>
      </c>
      <c r="F164" s="5" t="inlineStr"/>
      <c r="G164" s="5" t="inlineStr">
        <is>
          <t>Vape Shop</t>
        </is>
      </c>
      <c r="H164" s="5" t="inlineStr">
        <is>
          <t>E-cigarette and e-liquid chain store</t>
        </is>
      </c>
      <c r="I164" s="5" t="inlineStr">
        <is>
          <t>National Chain</t>
        </is>
      </c>
      <c r="J164" s="5" t="inlineStr"/>
      <c r="K164" s="5" t="inlineStr">
        <is>
          <t>https://www.totallywicked-eliquid.co.uk/stores/halifax-e-cigs-e-liquid-shop</t>
        </is>
      </c>
      <c r="L164" s="5" t="inlineStr"/>
      <c r="M164" s="5" t="inlineStr"/>
      <c r="N164" s="5" t="inlineStr"/>
      <c r="O164" s="5" t="inlineStr">
        <is>
          <t>10 Commercial Street</t>
        </is>
      </c>
      <c r="P164" s="5" t="inlineStr"/>
      <c r="Q164" s="5" t="inlineStr">
        <is>
          <t>Halifax</t>
        </is>
      </c>
      <c r="R164" s="5" t="inlineStr">
        <is>
          <t>West Yorkshire</t>
        </is>
      </c>
      <c r="S164" s="5" t="inlineStr">
        <is>
          <t>HX1 1TA</t>
        </is>
      </c>
      <c r="T164" s="5" t="inlineStr">
        <is>
          <t>Yorkshire &amp; Humber</t>
        </is>
      </c>
      <c r="U164" s="5" t="inlineStr">
        <is>
          <t>England</t>
        </is>
      </c>
      <c r="V164" s="5" t="inlineStr">
        <is>
          <t>01422 320223</t>
        </is>
      </c>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is>
          <t>Totally Wicked; Lost Mary; Elf Bar</t>
        </is>
      </c>
      <c r="AK164" s="5" t="inlineStr">
        <is>
          <t>vape hardware; e-liquids; disposables</t>
        </is>
      </c>
      <c r="AL164" s="5" t="inlineStr"/>
      <c r="AM164" s="5" t="inlineStr">
        <is>
          <t>Vape Shop</t>
        </is>
      </c>
      <c r="AN164" s="5" t="inlineStr"/>
      <c r="AO164" s="5" t="inlineStr">
        <is>
          <t>Authorised Totally Wicked stockist store; some Totally Wicked branded stores are franchised, ownership of this branch not established.</t>
        </is>
      </c>
      <c r="AP164" s="5" t="inlineStr">
        <is>
          <t>Medium</t>
        </is>
      </c>
      <c r="AQ164" s="5" t="inlineStr">
        <is>
          <t>Multi-site retailer; Core relevant category; Active website</t>
        </is>
      </c>
      <c r="AR164" s="5" t="inlineStr">
        <is>
          <t>https://www.totallywicked-eliquid.co.uk/stores/halifax-e-cigs-e-liquid-shop</t>
        </is>
      </c>
      <c r="AS164" s="5" t="inlineStr">
        <is>
          <t>https://www.yell.com/s/tobacconists-halifax.html</t>
        </is>
      </c>
      <c r="AT164" s="5" t="inlineStr">
        <is>
          <t>3</t>
        </is>
      </c>
      <c r="AU164" s="5" t="inlineStr">
        <is>
          <t>No</t>
        </is>
      </c>
      <c r="AV164" s="5" t="inlineStr">
        <is>
          <t>No</t>
        </is>
      </c>
      <c r="AW164" s="5" t="inlineStr">
        <is>
          <t>No</t>
        </is>
      </c>
      <c r="AX164" s="5" t="inlineStr">
        <is>
          <t>No</t>
        </is>
      </c>
      <c r="AY164" s="5" t="inlineStr">
        <is>
          <t>Verified directory</t>
        </is>
      </c>
      <c r="AZ164" s="5" t="inlineStr">
        <is>
          <t>Website Found</t>
        </is>
      </c>
      <c r="BA164" s="5" t="inlineStr">
        <is>
          <t>2026-09-17</t>
        </is>
      </c>
      <c r="BB164" s="5" t="inlineStr">
        <is>
          <t>Requires Verification</t>
        </is>
      </c>
      <c r="BC164" s="5" t="inlineStr">
        <is>
          <t>Medium</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2026-09-17</t>
        </is>
      </c>
      <c r="BL164" s="5" t="inlineStr"/>
      <c r="BM164" s="5" t="inlineStr"/>
      <c r="BN164" s="5" t="inlineStr"/>
      <c r="BO164" s="5" t="inlineStr"/>
      <c r="BP164" s="5" t="inlineStr"/>
      <c r="BQ164" s="5" t="inlineStr"/>
    </row>
    <row r="165">
      <c r="A165" s="10" t="inlineStr">
        <is>
          <t>UK-000561</t>
        </is>
      </c>
      <c r="B165" s="10" t="inlineStr">
        <is>
          <t>TURKISHFOO-01</t>
        </is>
      </c>
      <c r="C165" s="10" t="inlineStr">
        <is>
          <t>Turkish Food Centre</t>
        </is>
      </c>
      <c r="D165" s="10" t="inlineStr">
        <is>
          <t>Turkish Food Centre (Edmonton)</t>
        </is>
      </c>
      <c r="E165" s="10" t="inlineStr">
        <is>
          <t>Turkish Food Centre</t>
        </is>
      </c>
      <c r="F165" s="10" t="inlineStr"/>
      <c r="G165" s="10" t="inlineStr">
        <is>
          <t>Independent Supermarket</t>
        </is>
      </c>
      <c r="H165" s="10" t="inlineStr">
        <is>
          <t>Turkish / world-food supermarket</t>
        </is>
      </c>
      <c r="I165" s="10" t="inlineStr">
        <is>
          <t>Multi-Site Independent</t>
        </is>
      </c>
      <c r="J165" s="10" t="inlineStr">
        <is>
          <t>1</t>
        </is>
      </c>
      <c r="K165" s="10" t="inlineStr"/>
      <c r="L165" s="10" t="inlineStr"/>
      <c r="M165" s="10" t="inlineStr"/>
      <c r="N165" s="10" t="inlineStr"/>
      <c r="O165" s="10" t="inlineStr"/>
      <c r="P165" s="10" t="inlineStr"/>
      <c r="Q165" s="10" t="inlineStr">
        <is>
          <t>Edmonton</t>
        </is>
      </c>
      <c r="R165" s="10" t="inlineStr">
        <is>
          <t>Greater London</t>
        </is>
      </c>
      <c r="S165" s="10" t="inlineStr">
        <is>
          <t>N9</t>
        </is>
      </c>
      <c r="T165" s="10" t="inlineStr">
        <is>
          <t>London</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Turkish groceries; world foods; fresh produce; halal meat</t>
        </is>
      </c>
      <c r="AL165" s="10" t="inlineStr"/>
      <c r="AM165" s="10" t="inlineStr">
        <is>
          <t>Independent Supermarket</t>
        </is>
      </c>
      <c r="AN165" s="10" t="inlineStr"/>
      <c r="AO165" s="10" t="inlineStr">
        <is>
          <t>Edmonton branch of the Turkish Food Centre multi-site group (other branches in Dalston, Palmers Green, Hackney). Only district (N9) available in snippet; full street address/postcode/phone not published.</t>
        </is>
      </c>
      <c r="AP165" s="10" t="inlineStr">
        <is>
          <t>Medium</t>
        </is>
      </c>
      <c r="AQ165" s="10" t="inlineStr">
        <is>
          <t>Multi-site retailer; Independent retailer; Relevant category</t>
        </is>
      </c>
      <c r="AR165" s="10" t="inlineStr">
        <is>
          <t>https://www.yell.com/biz/turkish-food-centre-edmondton-london-487834/</t>
        </is>
      </c>
      <c r="AS165" s="10" t="inlineStr"/>
      <c r="AT165" s="10" t="inlineStr">
        <is>
          <t>1</t>
        </is>
      </c>
      <c r="AU165" s="10" t="inlineStr">
        <is>
          <t>No</t>
        </is>
      </c>
      <c r="AV165" s="10" t="inlineStr">
        <is>
          <t>No</t>
        </is>
      </c>
      <c r="AW165" s="10" t="inlineStr">
        <is>
          <t>No</t>
        </is>
      </c>
      <c r="AX165" s="10" t="inlineStr">
        <is>
          <t>No</t>
        </is>
      </c>
      <c r="AY165" s="10" t="inlineStr">
        <is>
          <t>Not Found</t>
        </is>
      </c>
      <c r="AZ165" s="10" t="inlineStr">
        <is>
          <t>Not Found</t>
        </is>
      </c>
      <c r="BA165" s="10" t="inlineStr">
        <is>
          <t>2026-09-17</t>
        </is>
      </c>
      <c r="BB165" s="10" t="inlineStr">
        <is>
          <t>Requires Verification</t>
        </is>
      </c>
      <c r="BC165" s="10" t="inlineStr">
        <is>
          <t>Low</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2026-09-17</t>
        </is>
      </c>
      <c r="BJ165" s="10" t="inlineStr">
        <is>
          <t>New</t>
        </is>
      </c>
      <c r="BK165" s="10" t="inlineStr">
        <is>
          <t>2026-09-17</t>
        </is>
      </c>
      <c r="BL165" s="10" t="inlineStr"/>
      <c r="BM165" s="10" t="inlineStr"/>
      <c r="BN165" s="10" t="inlineStr"/>
      <c r="BO165" s="10" t="inlineStr"/>
      <c r="BP165" s="10" t="inlineStr"/>
      <c r="BQ165" s="10" t="inlineStr"/>
    </row>
    <row r="166">
      <c r="A166" s="5" t="inlineStr">
        <is>
          <t>UK-000562</t>
        </is>
      </c>
      <c r="B166" s="5" t="inlineStr">
        <is>
          <t>UKECIGSTOR-01</t>
        </is>
      </c>
      <c r="C166" s="5" t="inlineStr">
        <is>
          <t>UK Ecig Store</t>
        </is>
      </c>
      <c r="D166" s="5" t="inlineStr">
        <is>
          <t>UK E-Cig Store (Camden High Street)</t>
        </is>
      </c>
      <c r="E166" s="5" t="inlineStr">
        <is>
          <t>UK Ecig Store</t>
        </is>
      </c>
      <c r="F166" s="5" t="inlineStr"/>
      <c r="G166" s="5" t="inlineStr">
        <is>
          <t>Vape Shop</t>
        </is>
      </c>
      <c r="H166" s="5" t="inlineStr">
        <is>
          <t>Vape hardware &amp; e-liquids</t>
        </is>
      </c>
      <c r="I166" s="5" t="inlineStr">
        <is>
          <t>Regional Chain</t>
        </is>
      </c>
      <c r="J166" s="5" t="inlineStr">
        <is>
          <t>1</t>
        </is>
      </c>
      <c r="K166" s="5" t="inlineStr"/>
      <c r="L166" s="5" t="inlineStr"/>
      <c r="M166" s="5" t="inlineStr"/>
      <c r="N166" s="5" t="inlineStr"/>
      <c r="O166" s="5" t="inlineStr">
        <is>
          <t>63 Camden High Street</t>
        </is>
      </c>
      <c r="P166" s="5" t="inlineStr"/>
      <c r="Q166" s="5" t="inlineStr">
        <is>
          <t>London</t>
        </is>
      </c>
      <c r="R166" s="5" t="inlineStr">
        <is>
          <t>Greater London</t>
        </is>
      </c>
      <c r="S166" s="5" t="inlineStr">
        <is>
          <t>NW1 7JL</t>
        </is>
      </c>
      <c r="T166" s="5" t="inlineStr">
        <is>
          <t>London</t>
        </is>
      </c>
      <c r="U166" s="5" t="inlineStr">
        <is>
          <t>England</t>
        </is>
      </c>
      <c r="V166" s="5" t="inlineStr">
        <is>
          <t>020 7388 8704</t>
        </is>
      </c>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vape hardware; e-liquids</t>
        </is>
      </c>
      <c r="AL166" s="5" t="inlineStr"/>
      <c r="AM166" s="5" t="inlineStr">
        <is>
          <t>Vape Shop</t>
        </is>
      </c>
      <c r="AN166" s="5" t="inlineStr"/>
      <c r="AO166" s="5" t="inlineStr">
        <is>
          <t>Camden High Street branch of UK Ecig Store (multi-branch vape retailer). Address/postcode/phone from Yell Camden Town vape shops listing snippet.</t>
        </is>
      </c>
      <c r="AP166" s="5" t="inlineStr">
        <is>
          <t>Medium</t>
        </is>
      </c>
      <c r="AQ166" s="5" t="inlineStr">
        <is>
          <t>Multi-site retailer; Core relevant category</t>
        </is>
      </c>
      <c r="AR166" s="5" t="inlineStr">
        <is>
          <t>https://www.yell.com/s/vape+shops-camden+town-central+london.html</t>
        </is>
      </c>
      <c r="AS166" s="5" t="inlineStr"/>
      <c r="AT166" s="5" t="inlineStr">
        <is>
          <t>1</t>
        </is>
      </c>
      <c r="AU166" s="5" t="inlineStr">
        <is>
          <t>No</t>
        </is>
      </c>
      <c r="AV166" s="5" t="inlineStr">
        <is>
          <t>No</t>
        </is>
      </c>
      <c r="AW166" s="5" t="inlineStr">
        <is>
          <t>No</t>
        </is>
      </c>
      <c r="AX166" s="5" t="inlineStr">
        <is>
          <t>No</t>
        </is>
      </c>
      <c r="AY166" s="5" t="inlineStr">
        <is>
          <t>Verified directory</t>
        </is>
      </c>
      <c r="AZ166" s="5" t="inlineStr">
        <is>
          <t>Not Found</t>
        </is>
      </c>
      <c r="BA166" s="5" t="inlineStr">
        <is>
          <t>2026-09-17</t>
        </is>
      </c>
      <c r="BB166" s="5" t="inlineStr">
        <is>
          <t>Requires Verification</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UK-000727</t>
        </is>
      </c>
      <c r="B167" s="10" t="inlineStr">
        <is>
          <t>UNITEDWHOL-01</t>
        </is>
      </c>
      <c r="C167" s="10" t="inlineStr">
        <is>
          <t>United Wholesale (Scotland) Ltd</t>
        </is>
      </c>
      <c r="D167" s="10" t="inlineStr">
        <is>
          <t>United Wholesale (Scotland) Ltd - Maxwell Road</t>
        </is>
      </c>
      <c r="E167" s="10" t="inlineStr">
        <is>
          <t>United Wholesale Scotland</t>
        </is>
      </c>
      <c r="F167" s="10" t="inlineStr">
        <is>
          <t>United Wholesale (Scotland) Limited</t>
        </is>
      </c>
      <c r="G167" s="10" t="inlineStr">
        <is>
          <t>Cash &amp; Carry</t>
        </is>
      </c>
      <c r="H167" s="10" t="inlineStr">
        <is>
          <t>Grocery cash and carry wholesaler</t>
        </is>
      </c>
      <c r="I167" s="10" t="inlineStr">
        <is>
          <t>Regional Chain</t>
        </is>
      </c>
      <c r="J167" s="10" t="inlineStr">
        <is>
          <t>3</t>
        </is>
      </c>
      <c r="K167" s="10" t="inlineStr">
        <is>
          <t>https://uniteduk.co.uk/</t>
        </is>
      </c>
      <c r="L167" s="10" t="inlineStr"/>
      <c r="M167" s="10" t="inlineStr"/>
      <c r="N167" s="10" t="inlineStr">
        <is>
          <t>https://www.linkedin.com/company/unitedwholesalescotlandltd</t>
        </is>
      </c>
      <c r="O167" s="10" t="inlineStr">
        <is>
          <t>164-166 Maxwell Road</t>
        </is>
      </c>
      <c r="P167" s="10" t="inlineStr">
        <is>
          <t>Pollokshields</t>
        </is>
      </c>
      <c r="Q167" s="10" t="inlineStr">
        <is>
          <t>Glasgow</t>
        </is>
      </c>
      <c r="R167" s="10" t="inlineStr">
        <is>
          <t>Glasgow City</t>
        </is>
      </c>
      <c r="S167" s="10" t="inlineStr">
        <is>
          <t>G41 1SS</t>
        </is>
      </c>
      <c r="T167" s="10" t="inlineStr">
        <is>
          <t>Scotland</t>
        </is>
      </c>
      <c r="U167" s="10" t="inlineStr">
        <is>
          <t>Scotland</t>
        </is>
      </c>
      <c r="V167" s="10" t="inlineStr">
        <is>
          <t>0141 429 0909</t>
        </is>
      </c>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grocery; soft drinks; chilled; frozen; household; beers wines &amp; spirits; e-cigs; cigarettes; tobacco</t>
        </is>
      </c>
      <c r="AL167" s="10" t="inlineStr"/>
      <c r="AM167" s="10" t="inlineStr">
        <is>
          <t>Cash &amp; Carry</t>
        </is>
      </c>
      <c r="AN167" s="10" t="inlineStr">
        <is>
          <t>Award-winning Scottish cash &amp; carry wholesaler with three depots (Maxwell Road Pollokshields, Easter Queenslie, Grangemouth); supplies convenience retailers across the West of Scotland</t>
        </is>
      </c>
      <c r="AO167" s="10" t="inlineStr">
        <is>
          <t>Flagship Pollokshields depot of United Wholesale Scotland. Strong B2B supply prospect - already trades e-cigs, tobacco and grocery to independent retailers.</t>
        </is>
      </c>
      <c r="AP167" s="10" t="inlineStr">
        <is>
          <t>High</t>
        </is>
      </c>
      <c r="AQ167" s="10" t="inlineStr">
        <is>
          <t>Multi-site retailer; Core relevant category; Active website; Social presence</t>
        </is>
      </c>
      <c r="AR167" s="10" t="inlineStr">
        <is>
          <t>https://uniteduk.co.uk/about-united-cash-and-carry-wholesale-glasgow/</t>
        </is>
      </c>
      <c r="AS167" s="10" t="inlineStr">
        <is>
          <t>https://www.misterwhat.co.uk/company/1314320-united-wholesale-scotland-ltd-glasgow</t>
        </is>
      </c>
      <c r="AT167" s="10" t="inlineStr">
        <is>
          <t>2</t>
        </is>
      </c>
      <c r="AU167" s="10" t="inlineStr">
        <is>
          <t>No</t>
        </is>
      </c>
      <c r="AV167" s="10" t="inlineStr">
        <is>
          <t>No</t>
        </is>
      </c>
      <c r="AW167" s="10" t="inlineStr">
        <is>
          <t>No</t>
        </is>
      </c>
      <c r="AX167" s="10" t="inlineStr">
        <is>
          <t>No</t>
        </is>
      </c>
      <c r="AY167" s="10" t="inlineStr">
        <is>
          <t>Verified directory</t>
        </is>
      </c>
      <c r="AZ167" s="10" t="inlineStr">
        <is>
          <t>Website Found</t>
        </is>
      </c>
      <c r="BA167" s="10" t="inlineStr">
        <is>
          <t>2026-09-17</t>
        </is>
      </c>
      <c r="BB167" s="10" t="inlineStr">
        <is>
          <t>Requires Verification</t>
        </is>
      </c>
      <c r="BC167" s="10" t="inlineStr">
        <is>
          <t>High</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2026-09-17</t>
        </is>
      </c>
      <c r="BJ167" s="10" t="inlineStr">
        <is>
          <t>New</t>
        </is>
      </c>
      <c r="BK167" s="10" t="inlineStr">
        <is>
          <t>2026-09-17</t>
        </is>
      </c>
      <c r="BL167" s="10" t="inlineStr"/>
      <c r="BM167" s="10" t="inlineStr"/>
      <c r="BN167" s="10" t="inlineStr"/>
      <c r="BO167" s="10" t="inlineStr"/>
      <c r="BP167" s="10" t="inlineStr"/>
      <c r="BQ167" s="10" t="inlineStr"/>
    </row>
    <row r="168">
      <c r="A168" s="5" t="inlineStr">
        <is>
          <t>UK-000728</t>
        </is>
      </c>
      <c r="B168" s="5" t="inlineStr">
        <is>
          <t>UNITEDWHOL-02</t>
        </is>
      </c>
      <c r="C168" s="5" t="inlineStr">
        <is>
          <t>United Wholesale (Scotland) Ltd</t>
        </is>
      </c>
      <c r="D168" s="5" t="inlineStr">
        <is>
          <t>United Wholesale (Scotland) Ltd - Queenslie</t>
        </is>
      </c>
      <c r="E168" s="5" t="inlineStr">
        <is>
          <t>United Wholesale Scotland</t>
        </is>
      </c>
      <c r="F168" s="5" t="inlineStr">
        <is>
          <t>United Wholesale (Scotland) Limited</t>
        </is>
      </c>
      <c r="G168" s="5" t="inlineStr">
        <is>
          <t>Cash &amp; Carry</t>
        </is>
      </c>
      <c r="H168" s="5" t="inlineStr">
        <is>
          <t>Grocery cash and carry wholesaler</t>
        </is>
      </c>
      <c r="I168" s="5" t="inlineStr">
        <is>
          <t>Regional Chain</t>
        </is>
      </c>
      <c r="J168" s="5" t="inlineStr">
        <is>
          <t>3</t>
        </is>
      </c>
      <c r="K168" s="5" t="inlineStr">
        <is>
          <t>https://uniteduk.co.uk/</t>
        </is>
      </c>
      <c r="L168" s="5" t="inlineStr"/>
      <c r="M168" s="5" t="inlineStr"/>
      <c r="N168" s="5" t="inlineStr"/>
      <c r="O168" s="5" t="inlineStr">
        <is>
          <t>110 Easter Queenslie Road</t>
        </is>
      </c>
      <c r="P168" s="5" t="inlineStr">
        <is>
          <t>Queenslie</t>
        </is>
      </c>
      <c r="Q168" s="5" t="inlineStr">
        <is>
          <t>Glasgow</t>
        </is>
      </c>
      <c r="R168" s="5" t="inlineStr">
        <is>
          <t>Glasgow City</t>
        </is>
      </c>
      <c r="S168" s="5" t="inlineStr">
        <is>
          <t>G33 4UL</t>
        </is>
      </c>
      <c r="T168" s="5" t="inlineStr">
        <is>
          <t>Scotland</t>
        </is>
      </c>
      <c r="U168" s="5" t="inlineStr">
        <is>
          <t>Scotland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grocery; soft drinks; chilled; frozen; household; beers wines &amp; spirits; e-cigs; cigarettes; tobacco</t>
        </is>
      </c>
      <c r="AL168" s="5" t="inlineStr"/>
      <c r="AM168" s="5" t="inlineStr">
        <is>
          <t>Cash &amp; Carry</t>
        </is>
      </c>
      <c r="AN168" s="5" t="inlineStr">
        <is>
          <t>Second Glasgow depot of United Wholesale Scotland (see Maxwell Road record for parent detail)</t>
        </is>
      </c>
      <c r="AO168" s="5" t="inlineStr">
        <is>
          <t>Easter Queenslie (G33) depot of United Wholesale Scotland. Depot-specific phone not confirmed in snippets; postcode G33 4UL from company depot listing.</t>
        </is>
      </c>
      <c r="AP168" s="5" t="inlineStr">
        <is>
          <t>Medium</t>
        </is>
      </c>
      <c r="AQ168" s="5" t="inlineStr">
        <is>
          <t>Multi-site retailer; Core relevant category; Active website</t>
        </is>
      </c>
      <c r="AR168" s="5" t="inlineStr">
        <is>
          <t>https://unitedwholesalescotland.wordpress.com/our-depots/</t>
        </is>
      </c>
      <c r="AS168" s="5" t="inlineStr"/>
      <c r="AT168" s="5" t="inlineStr">
        <is>
          <t>1</t>
        </is>
      </c>
      <c r="AU168" s="5" t="inlineStr">
        <is>
          <t>No</t>
        </is>
      </c>
      <c r="AV168" s="5" t="inlineStr">
        <is>
          <t>No</t>
        </is>
      </c>
      <c r="AW168" s="5" t="inlineStr">
        <is>
          <t>No</t>
        </is>
      </c>
      <c r="AX168" s="5" t="inlineStr">
        <is>
          <t>No</t>
        </is>
      </c>
      <c r="AY168" s="5" t="inlineStr">
        <is>
          <t>Not Found</t>
        </is>
      </c>
      <c r="AZ168" s="5" t="inlineStr">
        <is>
          <t>Website Found</t>
        </is>
      </c>
      <c r="BA168" s="5" t="inlineStr">
        <is>
          <t>2026-09-17</t>
        </is>
      </c>
      <c r="BB168" s="5" t="inlineStr">
        <is>
          <t>Requires Verification</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UK-000216</t>
        </is>
      </c>
      <c r="B169" s="10" t="inlineStr">
        <is>
          <t>VAPEXSTORE-01</t>
        </is>
      </c>
      <c r="C169" s="10" t="inlineStr">
        <is>
          <t>VAPEx Stores</t>
        </is>
      </c>
      <c r="D169" s="10" t="inlineStr">
        <is>
          <t>VAPEx Doncaster</t>
        </is>
      </c>
      <c r="E169" s="10" t="inlineStr">
        <is>
          <t>VAPEx</t>
        </is>
      </c>
      <c r="F169" s="10" t="inlineStr"/>
      <c r="G169" s="10" t="inlineStr">
        <is>
          <t>Vape Shop</t>
        </is>
      </c>
      <c r="H169" s="10" t="inlineStr">
        <is>
          <t>E-cigarette and vape shop</t>
        </is>
      </c>
      <c r="I169" s="10" t="inlineStr">
        <is>
          <t>Multi-Site Independent</t>
        </is>
      </c>
      <c r="J169" s="10" t="inlineStr">
        <is>
          <t>1</t>
        </is>
      </c>
      <c r="K169" s="10" t="inlineStr">
        <is>
          <t>https://vapexstores.co.uk/dn1</t>
        </is>
      </c>
      <c r="L169" s="10" t="inlineStr">
        <is>
          <t>https://www.facebook.com/vapexdoncaster/</t>
        </is>
      </c>
      <c r="M169" s="10" t="inlineStr"/>
      <c r="N169" s="10" t="inlineStr"/>
      <c r="O169" s="10" t="inlineStr">
        <is>
          <t>61a Carr House Road</t>
        </is>
      </c>
      <c r="P169" s="10" t="inlineStr"/>
      <c r="Q169" s="10" t="inlineStr">
        <is>
          <t>Doncaster</t>
        </is>
      </c>
      <c r="R169" s="10" t="inlineStr">
        <is>
          <t>South Yorkshire</t>
        </is>
      </c>
      <c r="S169" s="10" t="inlineStr">
        <is>
          <t>DN1 2BY</t>
        </is>
      </c>
      <c r="T169" s="10" t="inlineStr">
        <is>
          <t>Yorkshire &amp; Humber</t>
        </is>
      </c>
      <c r="U169" s="10" t="inlineStr">
        <is>
          <t>England</t>
        </is>
      </c>
      <c r="V169" s="10" t="inlineStr">
        <is>
          <t>01302 315051</t>
        </is>
      </c>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vape hardware; e-liquids; disposables; accessories</t>
        </is>
      </c>
      <c r="AL169" s="10" t="inlineStr"/>
      <c r="AM169" s="10" t="inlineStr">
        <is>
          <t>Vape Shop</t>
        </is>
      </c>
      <c r="AN169" s="10" t="inlineStr"/>
      <c r="AO169" s="10" t="inlineStr">
        <is>
          <t>VAPEx is a multi-site vape retailer (vapexstores.co.uk); Doncaster DN1 branch on Carr House Road. Address/phone cross-checked in directory listings.</t>
        </is>
      </c>
      <c r="AP169" s="10" t="inlineStr">
        <is>
          <t>High</t>
        </is>
      </c>
      <c r="AQ169" s="10" t="inlineStr">
        <is>
          <t>Multi-site retailer; Independent retailer; Core relevant category; Active website; Social presence</t>
        </is>
      </c>
      <c r="AR169" s="10" t="inlineStr">
        <is>
          <t>https://directory.gazettelive.co.uk/company/38099bbaff0399ea2ed5ae56d12efd2e</t>
        </is>
      </c>
      <c r="AS169" s="10" t="inlineStr">
        <is>
          <t>https://www.thomsonlocal.com/search/smoking-cessation/doncaster/vapex/3267060/01302315051</t>
        </is>
      </c>
      <c r="AT169" s="10" t="inlineStr">
        <is>
          <t>2</t>
        </is>
      </c>
      <c r="AU169" s="10" t="inlineStr">
        <is>
          <t>No</t>
        </is>
      </c>
      <c r="AV169" s="10" t="inlineStr">
        <is>
          <t>No</t>
        </is>
      </c>
      <c r="AW169" s="10" t="inlineStr">
        <is>
          <t>No</t>
        </is>
      </c>
      <c r="AX169" s="10" t="inlineStr">
        <is>
          <t>No</t>
        </is>
      </c>
      <c r="AY169" s="10" t="inlineStr">
        <is>
          <t>Verified directory</t>
        </is>
      </c>
      <c r="AZ169" s="10" t="inlineStr">
        <is>
          <t>Website Found</t>
        </is>
      </c>
      <c r="BA169" s="10" t="inlineStr">
        <is>
          <t>2026-09-17</t>
        </is>
      </c>
      <c r="BB169" s="10" t="inlineStr">
        <is>
          <t>Requires Verification</t>
        </is>
      </c>
      <c r="BC169" s="10" t="inlineStr">
        <is>
          <t>Medium</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2026-09-17</t>
        </is>
      </c>
      <c r="BL169" s="10" t="inlineStr"/>
      <c r="BM169" s="10" t="inlineStr"/>
      <c r="BN169" s="10" t="inlineStr"/>
      <c r="BO169" s="10" t="inlineStr"/>
      <c r="BP169" s="10" t="inlineStr"/>
      <c r="BQ169" s="10" t="inlineStr"/>
    </row>
    <row r="170">
      <c r="A170" s="5" t="inlineStr">
        <is>
          <t>UK-000449</t>
        </is>
      </c>
      <c r="B170" s="5" t="inlineStr">
        <is>
          <t>VJVAPOURS-01</t>
        </is>
      </c>
      <c r="C170" s="5" t="inlineStr">
        <is>
          <t>VJ Vapours</t>
        </is>
      </c>
      <c r="D170" s="5" t="inlineStr">
        <is>
          <t>VJ Vapours</t>
        </is>
      </c>
      <c r="E170" s="5" t="inlineStr">
        <is>
          <t>VJ Vapours</t>
        </is>
      </c>
      <c r="F170" s="5" t="inlineStr"/>
      <c r="G170" s="5" t="inlineStr">
        <is>
          <t>Vape Shop</t>
        </is>
      </c>
      <c r="H170" s="5" t="inlineStr">
        <is>
          <t>Disposables &amp; nic pouches</t>
        </is>
      </c>
      <c r="I170" s="5" t="inlineStr">
        <is>
          <t>Multi-Site Independent</t>
        </is>
      </c>
      <c r="J170" s="5" t="inlineStr">
        <is>
          <t>2</t>
        </is>
      </c>
      <c r="K170" s="5" t="inlineStr">
        <is>
          <t>https://vjvapours.com/</t>
        </is>
      </c>
      <c r="L170" s="5" t="inlineStr"/>
      <c r="M170" s="5" t="inlineStr"/>
      <c r="N170" s="5" t="inlineStr"/>
      <c r="O170" s="5" t="inlineStr">
        <is>
          <t>40 Bridge Street</t>
        </is>
      </c>
      <c r="P170" s="5" t="inlineStr"/>
      <c r="Q170" s="5" t="inlineStr">
        <is>
          <t>Walsall</t>
        </is>
      </c>
      <c r="R170" s="5" t="inlineStr">
        <is>
          <t>West Midlands</t>
        </is>
      </c>
      <c r="S170" s="5" t="inlineStr">
        <is>
          <t>WS1 1HR</t>
        </is>
      </c>
      <c r="T170" s="5" t="inlineStr">
        <is>
          <t>West Midlands</t>
        </is>
      </c>
      <c r="U170" s="5" t="inlineStr">
        <is>
          <t>England</t>
        </is>
      </c>
      <c r="V170" s="5" t="inlineStr"/>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disposable vapes; e-liquids; nicotine pouches</t>
        </is>
      </c>
      <c r="AL170" s="5" t="inlineStr"/>
      <c r="AM170" s="5" t="inlineStr">
        <is>
          <t>Vape Shop</t>
        </is>
      </c>
      <c r="AN170" s="5" t="inlineStr"/>
      <c r="AO170" s="5" t="inlineStr">
        <is>
          <t>Walsall town-centre vape shop (Bridge Street). Also has a Tunstall/Stoke-on-Trent branch, so multi-site independent.</t>
        </is>
      </c>
      <c r="AP170" s="5" t="inlineStr">
        <is>
          <t>High</t>
        </is>
      </c>
      <c r="AQ170" s="5" t="inlineStr">
        <is>
          <t>Multi-site retailer; Independent retailer; Core relevant category; Active website</t>
        </is>
      </c>
      <c r="AR170" s="5" t="inlineStr">
        <is>
          <t>https://vjvapours.com/</t>
        </is>
      </c>
      <c r="AS170" s="5" t="inlineStr">
        <is>
          <t>https://vapeshop-nearme.com/listing/vj-vapours-walsall/</t>
        </is>
      </c>
      <c r="AT170" s="5" t="inlineStr">
        <is>
          <t>2</t>
        </is>
      </c>
      <c r="AU170" s="5" t="inlineStr">
        <is>
          <t>Yes</t>
        </is>
      </c>
      <c r="AV170" s="5" t="inlineStr">
        <is>
          <t>No</t>
        </is>
      </c>
      <c r="AW170" s="5" t="inlineStr">
        <is>
          <t>No</t>
        </is>
      </c>
      <c r="AX170" s="5" t="inlineStr">
        <is>
          <t>No</t>
        </is>
      </c>
      <c r="AY170" s="5" t="inlineStr">
        <is>
          <t>Not Found</t>
        </is>
      </c>
      <c r="AZ170" s="5" t="inlineStr">
        <is>
          <t>Website Found</t>
        </is>
      </c>
      <c r="BA170" s="5" t="inlineStr">
        <is>
          <t>2026-09-17</t>
        </is>
      </c>
      <c r="BB170" s="5" t="inlineStr">
        <is>
          <t>Partially Verified</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UK-000729</t>
        </is>
      </c>
      <c r="B171" s="10" t="inlineStr">
        <is>
          <t>VPZ-01</t>
        </is>
      </c>
      <c r="C171" s="10" t="inlineStr">
        <is>
          <t>VPZ</t>
        </is>
      </c>
      <c r="D171" s="10" t="inlineStr">
        <is>
          <t>VPZ Bathgate</t>
        </is>
      </c>
      <c r="E171" s="10" t="inlineStr">
        <is>
          <t>VPZ</t>
        </is>
      </c>
      <c r="F171" s="10" t="inlineStr"/>
      <c r="G171" s="10" t="inlineStr">
        <is>
          <t>Vape Shop</t>
        </is>
      </c>
      <c r="H171" s="10" t="inlineStr">
        <is>
          <t>Vape kits, e-liquids &amp; disposables</t>
        </is>
      </c>
      <c r="I171" s="10" t="inlineStr">
        <is>
          <t>Regional Chain</t>
        </is>
      </c>
      <c r="J171" s="10" t="inlineStr">
        <is>
          <t>1</t>
        </is>
      </c>
      <c r="K171" s="10" t="inlineStr"/>
      <c r="L171" s="10" t="inlineStr"/>
      <c r="M171" s="10" t="inlineStr"/>
      <c r="N171" s="10" t="inlineStr"/>
      <c r="O171" s="10" t="inlineStr">
        <is>
          <t>South Mid Street</t>
        </is>
      </c>
      <c r="P171" s="10" t="inlineStr"/>
      <c r="Q171" s="10" t="inlineStr">
        <is>
          <t>Bathgate</t>
        </is>
      </c>
      <c r="R171" s="10" t="inlineStr">
        <is>
          <t>West Lothian</t>
        </is>
      </c>
      <c r="S171" s="10" t="inlineStr"/>
      <c r="T171" s="10" t="inlineStr">
        <is>
          <t>Scotland</t>
        </is>
      </c>
      <c r="U171" s="10" t="inlineStr">
        <is>
          <t>Scotland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vape hardware; e-liquids; disposables</t>
        </is>
      </c>
      <c r="AL171" s="10" t="inlineStr"/>
      <c r="AM171" s="10" t="inlineStr">
        <is>
          <t>Vape Shop</t>
        </is>
      </c>
      <c r="AN171" s="10" t="inlineStr"/>
      <c r="AO171" s="10" t="inlineStr">
        <is>
          <t>Bathgate (South Mid Street) branch of VPZ vaping-specialist chain, shared parent VPZ. Phone shown only partially (01506 635...) in Cylex snippet, so left blank rather than guessed; postcode not published.</t>
        </is>
      </c>
      <c r="AP171" s="10" t="inlineStr">
        <is>
          <t>Medium</t>
        </is>
      </c>
      <c r="AQ171" s="10" t="inlineStr">
        <is>
          <t>Multi-site retailer; Core relevant category</t>
        </is>
      </c>
      <c r="AR171" s="10" t="inlineStr">
        <is>
          <t>https://bathgate.cylex-uk.co.uk/company/vpz-26787205.html</t>
        </is>
      </c>
      <c r="AS171" s="10" t="inlineStr"/>
      <c r="AT171" s="10" t="inlineStr">
        <is>
          <t>1</t>
        </is>
      </c>
      <c r="AU171" s="10" t="inlineStr">
        <is>
          <t>No</t>
        </is>
      </c>
      <c r="AV171" s="10" t="inlineStr">
        <is>
          <t>No</t>
        </is>
      </c>
      <c r="AW171" s="10" t="inlineStr">
        <is>
          <t>No</t>
        </is>
      </c>
      <c r="AX171" s="10" t="inlineStr">
        <is>
          <t>No</t>
        </is>
      </c>
      <c r="AY171" s="10" t="inlineStr">
        <is>
          <t>Not Found</t>
        </is>
      </c>
      <c r="AZ171" s="10" t="inlineStr">
        <is>
          <t>Not Found</t>
        </is>
      </c>
      <c r="BA171" s="10" t="inlineStr">
        <is>
          <t>2026-09-17</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UK-000730</t>
        </is>
      </c>
      <c r="B172" s="5" t="inlineStr">
        <is>
          <t>VPZ-02</t>
        </is>
      </c>
      <c r="C172" s="5" t="inlineStr">
        <is>
          <t>VPZ</t>
        </is>
      </c>
      <c r="D172" s="5" t="inlineStr">
        <is>
          <t>VPZ Clydebank</t>
        </is>
      </c>
      <c r="E172" s="5" t="inlineStr">
        <is>
          <t>VPZ</t>
        </is>
      </c>
      <c r="F172" s="5" t="inlineStr"/>
      <c r="G172" s="5" t="inlineStr">
        <is>
          <t>Vape Shop</t>
        </is>
      </c>
      <c r="H172" s="5" t="inlineStr">
        <is>
          <t>Vape retail chain store</t>
        </is>
      </c>
      <c r="I172" s="5" t="inlineStr">
        <is>
          <t>National Chain</t>
        </is>
      </c>
      <c r="J172" s="5" t="inlineStr">
        <is>
          <t>1</t>
        </is>
      </c>
      <c r="K172" s="5" t="inlineStr">
        <is>
          <t>https://www.vpz.co.uk/</t>
        </is>
      </c>
      <c r="L172" s="5" t="inlineStr"/>
      <c r="M172" s="5" t="inlineStr"/>
      <c r="N172" s="5" t="inlineStr"/>
      <c r="O172" s="5" t="inlineStr">
        <is>
          <t>17 Sylvania Way South</t>
        </is>
      </c>
      <c r="P172" s="5" t="inlineStr">
        <is>
          <t>Clydebank Shopping Centre</t>
        </is>
      </c>
      <c r="Q172" s="5" t="inlineStr">
        <is>
          <t>Clydebank</t>
        </is>
      </c>
      <c r="R172" s="5" t="inlineStr">
        <is>
          <t>West Dunbartonshire</t>
        </is>
      </c>
      <c r="S172" s="5" t="inlineStr">
        <is>
          <t>G81 1EA</t>
        </is>
      </c>
      <c r="T172" s="5" t="inlineStr">
        <is>
          <t>Scotland</t>
        </is>
      </c>
      <c r="U172" s="5" t="inlineStr">
        <is>
          <t>Scotland</t>
        </is>
      </c>
      <c r="V172" s="5" t="inlineStr">
        <is>
          <t>0141 230 1996</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vape hardware; e-liquids; kits; coils</t>
        </is>
      </c>
      <c r="AL172" s="5" t="inlineStr"/>
      <c r="AM172" s="5" t="inlineStr">
        <is>
          <t>Vape Shop</t>
        </is>
      </c>
      <c r="AN172" s="5" t="inlineStr"/>
      <c r="AO172" s="5" t="inlineStr">
        <is>
          <t>VPZ store in Clydebank Shopping Centre. Part of VPZ national vape chain (shared parent_company).</t>
        </is>
      </c>
      <c r="AP172" s="5" t="inlineStr">
        <is>
          <t>Medium</t>
        </is>
      </c>
      <c r="AQ172" s="5" t="inlineStr">
        <is>
          <t>Multi-site retailer; Core relevant category; Active website</t>
        </is>
      </c>
      <c r="AR172" s="5" t="inlineStr">
        <is>
          <t>https://www.vpz.co.uk/stores/l/clydebank/17-sylvania-way-south/6168779</t>
        </is>
      </c>
      <c r="AS172" s="5" t="inlineStr">
        <is>
          <t>https://m.yelp.com/biz/vpz-clydebank-2</t>
        </is>
      </c>
      <c r="AT172" s="5" t="inlineStr">
        <is>
          <t>2</t>
        </is>
      </c>
      <c r="AU172" s="5" t="inlineStr">
        <is>
          <t>No</t>
        </is>
      </c>
      <c r="AV172" s="5" t="inlineStr">
        <is>
          <t>No</t>
        </is>
      </c>
      <c r="AW172" s="5" t="inlineStr">
        <is>
          <t>No</t>
        </is>
      </c>
      <c r="AX172" s="5" t="inlineStr">
        <is>
          <t>No</t>
        </is>
      </c>
      <c r="AY172" s="5" t="inlineStr">
        <is>
          <t>Verified directory</t>
        </is>
      </c>
      <c r="AZ172" s="5" t="inlineStr">
        <is>
          <t>Website Found</t>
        </is>
      </c>
      <c r="BA172" s="5" t="inlineStr">
        <is>
          <t>2026-09-17</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UK-000731</t>
        </is>
      </c>
      <c r="B173" s="10" t="inlineStr">
        <is>
          <t>VPZ-03</t>
        </is>
      </c>
      <c r="C173" s="10" t="inlineStr">
        <is>
          <t>VPZ</t>
        </is>
      </c>
      <c r="D173" s="10" t="inlineStr">
        <is>
          <t>VPZ Dunfermline</t>
        </is>
      </c>
      <c r="E173" s="10" t="inlineStr">
        <is>
          <t>VPZ</t>
        </is>
      </c>
      <c r="F173" s="10" t="inlineStr"/>
      <c r="G173" s="10" t="inlineStr">
        <is>
          <t>Vape Shop</t>
        </is>
      </c>
      <c r="H173" s="10" t="inlineStr">
        <is>
          <t>Vape kits, e-liquids &amp; disposables</t>
        </is>
      </c>
      <c r="I173" s="10" t="inlineStr">
        <is>
          <t>Regional Chain</t>
        </is>
      </c>
      <c r="J173" s="10" t="inlineStr">
        <is>
          <t>1</t>
        </is>
      </c>
      <c r="K173" s="10" t="inlineStr"/>
      <c r="L173" s="10" t="inlineStr"/>
      <c r="M173" s="10" t="inlineStr"/>
      <c r="N173" s="10" t="inlineStr"/>
      <c r="O173" s="10" t="inlineStr">
        <is>
          <t>36-38 East Port</t>
        </is>
      </c>
      <c r="P173" s="10" t="inlineStr"/>
      <c r="Q173" s="10" t="inlineStr">
        <is>
          <t>Dunfermline</t>
        </is>
      </c>
      <c r="R173" s="10" t="inlineStr">
        <is>
          <t>Fife</t>
        </is>
      </c>
      <c r="S173" s="10" t="inlineStr">
        <is>
          <t>KY12 7JB</t>
        </is>
      </c>
      <c r="T173" s="10" t="inlineStr">
        <is>
          <t>Scotland</t>
        </is>
      </c>
      <c r="U173" s="10" t="inlineStr">
        <is>
          <t>Scotland</t>
        </is>
      </c>
      <c r="V173" s="10" t="inlineStr">
        <is>
          <t>01383 871778</t>
        </is>
      </c>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vape hardware; e-liquids; disposables</t>
        </is>
      </c>
      <c r="AL173" s="10" t="inlineStr"/>
      <c r="AM173" s="10" t="inlineStr">
        <is>
          <t>Vape Shop</t>
        </is>
      </c>
      <c r="AN173" s="10" t="inlineStr"/>
      <c r="AO173" s="10" t="inlineStr">
        <is>
          <t>Dunfermline (East Port) branch of VPZ vaping-specialist chain, shared parent VPZ. Details from Cylex snippet.</t>
        </is>
      </c>
      <c r="AP173" s="10" t="inlineStr">
        <is>
          <t>Medium</t>
        </is>
      </c>
      <c r="AQ173" s="10" t="inlineStr">
        <is>
          <t>Multi-site retailer; Core relevant category</t>
        </is>
      </c>
      <c r="AR173" s="10" t="inlineStr">
        <is>
          <t>https://dunfermline.cylex-uk.co.uk/company/vpz-26787208.html</t>
        </is>
      </c>
      <c r="AS173" s="10" t="inlineStr"/>
      <c r="AT173" s="10" t="inlineStr">
        <is>
          <t>1</t>
        </is>
      </c>
      <c r="AU173" s="10" t="inlineStr">
        <is>
          <t>No</t>
        </is>
      </c>
      <c r="AV173" s="10" t="inlineStr">
        <is>
          <t>No</t>
        </is>
      </c>
      <c r="AW173" s="10" t="inlineStr">
        <is>
          <t>No</t>
        </is>
      </c>
      <c r="AX173" s="10" t="inlineStr">
        <is>
          <t>No</t>
        </is>
      </c>
      <c r="AY173" s="10" t="inlineStr">
        <is>
          <t>Verified directory</t>
        </is>
      </c>
      <c r="AZ173" s="10" t="inlineStr">
        <is>
          <t>Not Found</t>
        </is>
      </c>
      <c r="BA173" s="10" t="inlineStr">
        <is>
          <t>2026-09-17</t>
        </is>
      </c>
      <c r="BB173" s="10" t="inlineStr">
        <is>
          <t>Requires Verification</t>
        </is>
      </c>
      <c r="BC173" s="10" t="inlineStr">
        <is>
          <t>Medium</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2026-09-17</t>
        </is>
      </c>
      <c r="BJ173" s="10" t="inlineStr">
        <is>
          <t>New</t>
        </is>
      </c>
      <c r="BK173" s="10" t="inlineStr">
        <is>
          <t>2026-09-17</t>
        </is>
      </c>
      <c r="BL173" s="10" t="inlineStr"/>
      <c r="BM173" s="10" t="inlineStr"/>
      <c r="BN173" s="10" t="inlineStr"/>
      <c r="BO173" s="10" t="inlineStr"/>
      <c r="BP173" s="10" t="inlineStr"/>
      <c r="BQ173" s="10" t="inlineStr"/>
    </row>
    <row r="174">
      <c r="A174" s="5" t="inlineStr">
        <is>
          <t>UK-000732</t>
        </is>
      </c>
      <c r="B174" s="5" t="inlineStr">
        <is>
          <t>VPZ-04</t>
        </is>
      </c>
      <c r="C174" s="5" t="inlineStr">
        <is>
          <t>VPZ</t>
        </is>
      </c>
      <c r="D174" s="5" t="inlineStr">
        <is>
          <t>VPZ East Kilbride</t>
        </is>
      </c>
      <c r="E174" s="5" t="inlineStr">
        <is>
          <t>VPZ</t>
        </is>
      </c>
      <c r="F174" s="5" t="inlineStr"/>
      <c r="G174" s="5" t="inlineStr">
        <is>
          <t>Vape Shop</t>
        </is>
      </c>
      <c r="H174" s="5" t="inlineStr">
        <is>
          <t>Vape retail chain store</t>
        </is>
      </c>
      <c r="I174" s="5" t="inlineStr">
        <is>
          <t>National Chain</t>
        </is>
      </c>
      <c r="J174" s="5" t="inlineStr">
        <is>
          <t>1</t>
        </is>
      </c>
      <c r="K174" s="5" t="inlineStr">
        <is>
          <t>https://www.vpz.co.uk/</t>
        </is>
      </c>
      <c r="L174" s="5" t="inlineStr"/>
      <c r="M174" s="5" t="inlineStr"/>
      <c r="N174" s="5" t="inlineStr"/>
      <c r="O174" s="5" t="inlineStr">
        <is>
          <t>Unit 27, Princes Mall</t>
        </is>
      </c>
      <c r="P174" s="5" t="inlineStr">
        <is>
          <t>East Kilbride Shopping Centre</t>
        </is>
      </c>
      <c r="Q174" s="5" t="inlineStr">
        <is>
          <t>East Kilbride</t>
        </is>
      </c>
      <c r="R174" s="5" t="inlineStr">
        <is>
          <t>South Lanarkshire</t>
        </is>
      </c>
      <c r="S174" s="5" t="inlineStr">
        <is>
          <t>G74 1LJ</t>
        </is>
      </c>
      <c r="T174" s="5" t="inlineStr">
        <is>
          <t>Scotland</t>
        </is>
      </c>
      <c r="U174" s="5" t="inlineStr">
        <is>
          <t>Scotland</t>
        </is>
      </c>
      <c r="V174" s="5" t="inlineStr">
        <is>
          <t>01355 231707</t>
        </is>
      </c>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 hardware; e-liquids; kits; coils</t>
        </is>
      </c>
      <c r="AL174" s="5" t="inlineStr"/>
      <c r="AM174" s="5" t="inlineStr">
        <is>
          <t>Vape Shop</t>
        </is>
      </c>
      <c r="AN174" s="5" t="inlineStr"/>
      <c r="AO174" s="5" t="inlineStr">
        <is>
          <t>VPZ store in Princes Mall, East Kilbride town centre. Part of the VPZ national vape chain (shared parent_company).</t>
        </is>
      </c>
      <c r="AP174" s="5" t="inlineStr">
        <is>
          <t>Medium</t>
        </is>
      </c>
      <c r="AQ174" s="5" t="inlineStr">
        <is>
          <t>Multi-site retailer; Core relevant category; Active website</t>
        </is>
      </c>
      <c r="AR174" s="5" t="inlineStr">
        <is>
          <t>https://www.vpz.co.uk/stores/l/east-kilbride/princes-mall/6168648</t>
        </is>
      </c>
      <c r="AS174" s="5" t="inlineStr">
        <is>
          <t>https://www.ibegin.com/directory/uk/lanarkshire/glasgow/vpz-unit-27-princes-mall-east-kilbride-shopping-centre/</t>
        </is>
      </c>
      <c r="AT174" s="5" t="inlineStr">
        <is>
          <t>2</t>
        </is>
      </c>
      <c r="AU174" s="5" t="inlineStr">
        <is>
          <t>No</t>
        </is>
      </c>
      <c r="AV174" s="5" t="inlineStr">
        <is>
          <t>No</t>
        </is>
      </c>
      <c r="AW174" s="5" t="inlineStr">
        <is>
          <t>No</t>
        </is>
      </c>
      <c r="AX174" s="5" t="inlineStr">
        <is>
          <t>No</t>
        </is>
      </c>
      <c r="AY174" s="5" t="inlineStr">
        <is>
          <t>Verified directory</t>
        </is>
      </c>
      <c r="AZ174" s="5" t="inlineStr">
        <is>
          <t>Website Found</t>
        </is>
      </c>
      <c r="BA174" s="5" t="inlineStr">
        <is>
          <t>2026-09-17</t>
        </is>
      </c>
      <c r="BB174" s="5" t="inlineStr">
        <is>
          <t>Requires Verification</t>
        </is>
      </c>
      <c r="BC174" s="5" t="inlineStr">
        <is>
          <t>Medium</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UK-000733</t>
        </is>
      </c>
      <c r="B175" s="10" t="inlineStr">
        <is>
          <t>VPZ-05</t>
        </is>
      </c>
      <c r="C175" s="10" t="inlineStr">
        <is>
          <t>VPZ</t>
        </is>
      </c>
      <c r="D175" s="10" t="inlineStr">
        <is>
          <t>VPZ Grangemouth</t>
        </is>
      </c>
      <c r="E175" s="10" t="inlineStr">
        <is>
          <t>VPZ</t>
        </is>
      </c>
      <c r="F175" s="10" t="inlineStr"/>
      <c r="G175" s="10" t="inlineStr">
        <is>
          <t>Vape Shop</t>
        </is>
      </c>
      <c r="H175" s="10" t="inlineStr">
        <is>
          <t>Vape kits, e-liquids &amp; disposables</t>
        </is>
      </c>
      <c r="I175" s="10" t="inlineStr">
        <is>
          <t>Regional Chain</t>
        </is>
      </c>
      <c r="J175" s="10" t="inlineStr">
        <is>
          <t>1</t>
        </is>
      </c>
      <c r="K175" s="10" t="inlineStr"/>
      <c r="L175" s="10" t="inlineStr"/>
      <c r="M175" s="10" t="inlineStr"/>
      <c r="N175" s="10" t="inlineStr"/>
      <c r="O175" s="10" t="inlineStr">
        <is>
          <t>19 La Porte Precinct</t>
        </is>
      </c>
      <c r="P175" s="10" t="inlineStr"/>
      <c r="Q175" s="10" t="inlineStr">
        <is>
          <t>Grangemouth</t>
        </is>
      </c>
      <c r="R175" s="10" t="inlineStr">
        <is>
          <t>Falkirk</t>
        </is>
      </c>
      <c r="S175" s="10" t="inlineStr">
        <is>
          <t>FK3 8AZ</t>
        </is>
      </c>
      <c r="T175" s="10" t="inlineStr">
        <is>
          <t>Scotland</t>
        </is>
      </c>
      <c r="U175" s="10" t="inlineStr">
        <is>
          <t>Scotland</t>
        </is>
      </c>
      <c r="V175" s="10" t="inlineStr">
        <is>
          <t>01324 473182</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 disposables</t>
        </is>
      </c>
      <c r="AL175" s="10" t="inlineStr"/>
      <c r="AM175" s="10" t="inlineStr">
        <is>
          <t>Vape Shop</t>
        </is>
      </c>
      <c r="AN175" s="10" t="inlineStr"/>
      <c r="AO175" s="10" t="inlineStr">
        <is>
          <t>Grangemouth branch of VPZ vaping-specialist chain. Shared parent VPZ. Details from Cylex snippet.</t>
        </is>
      </c>
      <c r="AP175" s="10" t="inlineStr">
        <is>
          <t>Medium</t>
        </is>
      </c>
      <c r="AQ175" s="10" t="inlineStr">
        <is>
          <t>Multi-site retailer; Core relevant category</t>
        </is>
      </c>
      <c r="AR175" s="10" t="inlineStr">
        <is>
          <t>https://grangemouth.cylex-uk.co.uk/company/vpz-26862956.html</t>
        </is>
      </c>
      <c r="AS175" s="10" t="inlineStr"/>
      <c r="AT175" s="10" t="inlineStr">
        <is>
          <t>1</t>
        </is>
      </c>
      <c r="AU175" s="10" t="inlineStr">
        <is>
          <t>No</t>
        </is>
      </c>
      <c r="AV175" s="10" t="inlineStr">
        <is>
          <t>No</t>
        </is>
      </c>
      <c r="AW175" s="10" t="inlineStr">
        <is>
          <t>No</t>
        </is>
      </c>
      <c r="AX175" s="10" t="inlineStr">
        <is>
          <t>No</t>
        </is>
      </c>
      <c r="AY175" s="10" t="inlineStr">
        <is>
          <t>Verified directory</t>
        </is>
      </c>
      <c r="AZ175" s="10" t="inlineStr">
        <is>
          <t>Not Found</t>
        </is>
      </c>
      <c r="BA175" s="10" t="inlineStr">
        <is>
          <t>2026-09-17</t>
        </is>
      </c>
      <c r="BB175" s="10" t="inlineStr">
        <is>
          <t>Requires Verification</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UK-000734</t>
        </is>
      </c>
      <c r="B176" s="5" t="inlineStr">
        <is>
          <t>VPZ-06</t>
        </is>
      </c>
      <c r="C176" s="5" t="inlineStr">
        <is>
          <t>VPZ</t>
        </is>
      </c>
      <c r="D176" s="5" t="inlineStr">
        <is>
          <t>VPZ Hamilton</t>
        </is>
      </c>
      <c r="E176" s="5" t="inlineStr">
        <is>
          <t>VPZ</t>
        </is>
      </c>
      <c r="F176" s="5" t="inlineStr"/>
      <c r="G176" s="5" t="inlineStr">
        <is>
          <t>Vape Shop</t>
        </is>
      </c>
      <c r="H176" s="5" t="inlineStr">
        <is>
          <t>Vape retail chain store</t>
        </is>
      </c>
      <c r="I176" s="5" t="inlineStr">
        <is>
          <t>National Chain</t>
        </is>
      </c>
      <c r="J176" s="5" t="inlineStr">
        <is>
          <t>1</t>
        </is>
      </c>
      <c r="K176" s="5" t="inlineStr">
        <is>
          <t>https://www.vpz.co.uk/</t>
        </is>
      </c>
      <c r="L176" s="5" t="inlineStr"/>
      <c r="M176" s="5" t="inlineStr"/>
      <c r="N176" s="5" t="inlineStr"/>
      <c r="O176" s="5" t="inlineStr">
        <is>
          <t>62-64 Quarry Street</t>
        </is>
      </c>
      <c r="P176" s="5" t="inlineStr"/>
      <c r="Q176" s="5" t="inlineStr">
        <is>
          <t>Hamilton</t>
        </is>
      </c>
      <c r="R176" s="5" t="inlineStr">
        <is>
          <t>South Lanarkshire</t>
        </is>
      </c>
      <c r="S176" s="5" t="inlineStr">
        <is>
          <t>ML3 7AU</t>
        </is>
      </c>
      <c r="T176" s="5" t="inlineStr">
        <is>
          <t>Scotland</t>
        </is>
      </c>
      <c r="U176" s="5" t="inlineStr">
        <is>
          <t>Scotland</t>
        </is>
      </c>
      <c r="V176" s="5" t="inlineStr">
        <is>
          <t>01698 423137</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 kits; coils</t>
        </is>
      </c>
      <c r="AL176" s="5" t="inlineStr"/>
      <c r="AM176" s="5" t="inlineStr">
        <is>
          <t>Vape Shop</t>
        </is>
      </c>
      <c r="AN176" s="5" t="inlineStr"/>
      <c r="AO176" s="5" t="inlineStr">
        <is>
          <t>VPZ store at 62-64 Quarry Street, Hamilton town centre. Part of VPZ national vape chain (shared parent_company).</t>
        </is>
      </c>
      <c r="AP176" s="5" t="inlineStr">
        <is>
          <t>Medium</t>
        </is>
      </c>
      <c r="AQ176" s="5" t="inlineStr">
        <is>
          <t>Multi-site retailer; Core relevant category; Active website</t>
        </is>
      </c>
      <c r="AR176" s="5" t="inlineStr">
        <is>
          <t>https://firmania.co.uk/hamilton-south-lanarkshire/vpz-2713256</t>
        </is>
      </c>
      <c r="AS176" s="5" t="inlineStr">
        <is>
          <t>https://www.ibegin.com/directory/uk/lanarkshire/hamilton/vpz-6264-quarry-street/</t>
        </is>
      </c>
      <c r="AT176" s="5" t="inlineStr">
        <is>
          <t>2</t>
        </is>
      </c>
      <c r="AU176" s="5" t="inlineStr">
        <is>
          <t>No</t>
        </is>
      </c>
      <c r="AV176" s="5" t="inlineStr">
        <is>
          <t>No</t>
        </is>
      </c>
      <c r="AW176" s="5" t="inlineStr">
        <is>
          <t>No</t>
        </is>
      </c>
      <c r="AX176" s="5" t="inlineStr">
        <is>
          <t>No</t>
        </is>
      </c>
      <c r="AY176" s="5" t="inlineStr">
        <is>
          <t>Verified directory</t>
        </is>
      </c>
      <c r="AZ176" s="5" t="inlineStr">
        <is>
          <t>Website Found</t>
        </is>
      </c>
      <c r="BA176" s="5" t="inlineStr">
        <is>
          <t>2026-09-17</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UK-000735</t>
        </is>
      </c>
      <c r="B177" s="10" t="inlineStr">
        <is>
          <t>VPZ-07</t>
        </is>
      </c>
      <c r="C177" s="10" t="inlineStr">
        <is>
          <t>VPZ</t>
        </is>
      </c>
      <c r="D177" s="10" t="inlineStr">
        <is>
          <t>VPZ Kirkcaldy</t>
        </is>
      </c>
      <c r="E177" s="10" t="inlineStr">
        <is>
          <t>VPZ</t>
        </is>
      </c>
      <c r="F177" s="10" t="inlineStr"/>
      <c r="G177" s="10" t="inlineStr">
        <is>
          <t>Vape Shop</t>
        </is>
      </c>
      <c r="H177" s="10" t="inlineStr">
        <is>
          <t>Vape kits, e-liquids &amp; disposables</t>
        </is>
      </c>
      <c r="I177" s="10" t="inlineStr">
        <is>
          <t>Regional Chain</t>
        </is>
      </c>
      <c r="J177" s="10" t="inlineStr">
        <is>
          <t>1</t>
        </is>
      </c>
      <c r="K177" s="10" t="inlineStr"/>
      <c r="L177" s="10" t="inlineStr"/>
      <c r="M177" s="10" t="inlineStr"/>
      <c r="N177" s="10" t="inlineStr"/>
      <c r="O177" s="10" t="inlineStr">
        <is>
          <t>High Street</t>
        </is>
      </c>
      <c r="P177" s="10" t="inlineStr"/>
      <c r="Q177" s="10" t="inlineStr">
        <is>
          <t>Kirkcaldy</t>
        </is>
      </c>
      <c r="R177" s="10" t="inlineStr">
        <is>
          <t>Fife</t>
        </is>
      </c>
      <c r="S177" s="10" t="inlineStr"/>
      <c r="T177" s="10" t="inlineStr">
        <is>
          <t>Scotland</t>
        </is>
      </c>
      <c r="U177" s="10" t="inlineStr">
        <is>
          <t>Scotland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 disposables</t>
        </is>
      </c>
      <c r="AL177" s="10" t="inlineStr"/>
      <c r="AM177" s="10" t="inlineStr">
        <is>
          <t>Vape Shop</t>
        </is>
      </c>
      <c r="AN177" s="10" t="inlineStr"/>
      <c r="AO177" s="10" t="inlineStr">
        <is>
          <t>Kirkcaldy High Street branch of VPZ (trading as VPZ The Vaping Specialist), shared parent VPZ. Phone shown only partially (0159 2644...) in Cylex snippet, so left blank rather than guessed; postcode not published.</t>
        </is>
      </c>
      <c r="AP177" s="10" t="inlineStr">
        <is>
          <t>Medium</t>
        </is>
      </c>
      <c r="AQ177" s="10" t="inlineStr">
        <is>
          <t>Multi-site retailer; Core relevant category</t>
        </is>
      </c>
      <c r="AR177" s="10" t="inlineStr">
        <is>
          <t>https://kirkcaldy.cylex-uk.co.uk/company/vpz-the-vaping-specialist-27217596.html</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2026-09-17</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UK-000736</t>
        </is>
      </c>
      <c r="B178" s="5" t="inlineStr">
        <is>
          <t>VPZ-08</t>
        </is>
      </c>
      <c r="C178" s="5" t="inlineStr">
        <is>
          <t>VPZ</t>
        </is>
      </c>
      <c r="D178" s="5" t="inlineStr">
        <is>
          <t>VPZ Leith Walk</t>
        </is>
      </c>
      <c r="E178" s="5" t="inlineStr">
        <is>
          <t>VPZ</t>
        </is>
      </c>
      <c r="F178" s="5" t="inlineStr"/>
      <c r="G178" s="5" t="inlineStr">
        <is>
          <t>Vape Shop</t>
        </is>
      </c>
      <c r="H178" s="5" t="inlineStr">
        <is>
          <t>Vape kits, e-liquids &amp; disposables</t>
        </is>
      </c>
      <c r="I178" s="5" t="inlineStr">
        <is>
          <t>Regional Chain</t>
        </is>
      </c>
      <c r="J178" s="5" t="inlineStr">
        <is>
          <t>1</t>
        </is>
      </c>
      <c r="K178" s="5" t="inlineStr"/>
      <c r="L178" s="5" t="inlineStr"/>
      <c r="M178" s="5" t="inlineStr"/>
      <c r="N178" s="5" t="inlineStr"/>
      <c r="O178" s="5" t="inlineStr">
        <is>
          <t>6a Middlefield</t>
        </is>
      </c>
      <c r="P178" s="5" t="inlineStr">
        <is>
          <t>Leith Walk</t>
        </is>
      </c>
      <c r="Q178" s="5" t="inlineStr">
        <is>
          <t>Edinburgh</t>
        </is>
      </c>
      <c r="R178" s="5" t="inlineStr">
        <is>
          <t>City of Edinburgh</t>
        </is>
      </c>
      <c r="S178" s="5" t="inlineStr">
        <is>
          <t>EH7 4PF</t>
        </is>
      </c>
      <c r="T178" s="5" t="inlineStr">
        <is>
          <t>Scotland</t>
        </is>
      </c>
      <c r="U178" s="5" t="inlineStr">
        <is>
          <t>Scotland</t>
        </is>
      </c>
      <c r="V178" s="5" t="inlineStr">
        <is>
          <t>0131 561 1300</t>
        </is>
      </c>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vape hardware; e-liquids; disposables</t>
        </is>
      </c>
      <c r="AL178" s="5" t="inlineStr"/>
      <c r="AM178" s="5" t="inlineStr">
        <is>
          <t>Vape Shop</t>
        </is>
      </c>
      <c r="AN178" s="5" t="inlineStr"/>
      <c r="AO178" s="5" t="inlineStr">
        <is>
          <t>Leith Walk branch of VPZ, the Scottish-headquartered vaping specialist chain (multiple UK stores). One record per confirmed location under shared parent VPZ. Details from Yell/Cylex directory snippet; WebFetch blocked in this environment.</t>
        </is>
      </c>
      <c r="AP178" s="5" t="inlineStr">
        <is>
          <t>Medium</t>
        </is>
      </c>
      <c r="AQ178" s="5" t="inlineStr">
        <is>
          <t>Multi-site retailer; Core relevant category</t>
        </is>
      </c>
      <c r="AR178" s="5" t="inlineStr">
        <is>
          <t>https://www.yell.com/s/vape+shops-leith.html</t>
        </is>
      </c>
      <c r="AS178" s="5" t="inlineStr"/>
      <c r="AT178" s="5" t="inlineStr">
        <is>
          <t>1</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UK-000737</t>
        </is>
      </c>
      <c r="B179" s="10" t="inlineStr">
        <is>
          <t>VPZ-09</t>
        </is>
      </c>
      <c r="C179" s="10" t="inlineStr">
        <is>
          <t>VPZ</t>
        </is>
      </c>
      <c r="D179" s="10" t="inlineStr">
        <is>
          <t>VPZ Livingston</t>
        </is>
      </c>
      <c r="E179" s="10" t="inlineStr">
        <is>
          <t>VPZ</t>
        </is>
      </c>
      <c r="F179" s="10" t="inlineStr"/>
      <c r="G179" s="10" t="inlineStr">
        <is>
          <t>Vape Shop</t>
        </is>
      </c>
      <c r="H179" s="10" t="inlineStr">
        <is>
          <t>Vape kits, e-liquids &amp; disposables</t>
        </is>
      </c>
      <c r="I179" s="10" t="inlineStr">
        <is>
          <t>Regional Chain</t>
        </is>
      </c>
      <c r="J179" s="10" t="inlineStr">
        <is>
          <t>1</t>
        </is>
      </c>
      <c r="K179" s="10" t="inlineStr"/>
      <c r="L179" s="10" t="inlineStr"/>
      <c r="M179" s="10" t="inlineStr"/>
      <c r="N179" s="10" t="inlineStr"/>
      <c r="O179" s="10" t="inlineStr">
        <is>
          <t>Almondvale South</t>
        </is>
      </c>
      <c r="P179" s="10" t="inlineStr">
        <is>
          <t>Almondvale Shopping Centre</t>
        </is>
      </c>
      <c r="Q179" s="10" t="inlineStr">
        <is>
          <t>Livingston</t>
        </is>
      </c>
      <c r="R179" s="10" t="inlineStr">
        <is>
          <t>West Lothian</t>
        </is>
      </c>
      <c r="S179" s="10" t="inlineStr"/>
      <c r="T179" s="10" t="inlineStr">
        <is>
          <t>Scotland</t>
        </is>
      </c>
      <c r="U179" s="10" t="inlineStr">
        <is>
          <t>Scotland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vape hardware; e-liquids; disposables</t>
        </is>
      </c>
      <c r="AL179" s="10" t="inlineStr"/>
      <c r="AM179" s="10" t="inlineStr">
        <is>
          <t>Vape Shop</t>
        </is>
      </c>
      <c r="AN179" s="10" t="inlineStr"/>
      <c r="AO179" s="10" t="inlineStr">
        <is>
          <t>Livingston (Almondvale Centre) branch of VPZ vaping-specialist chain, shared parent VPZ. Phone shown only partially (01506 324...) in Cylex snippet, so left blank rather than guessed; postcode not published in snippet.</t>
        </is>
      </c>
      <c r="AP179" s="10" t="inlineStr">
        <is>
          <t>Medium</t>
        </is>
      </c>
      <c r="AQ179" s="10" t="inlineStr">
        <is>
          <t>Multi-site retailer; Core relevant category</t>
        </is>
      </c>
      <c r="AR179" s="10" t="inlineStr">
        <is>
          <t>https://livingston.cylex-uk.co.uk/company/vpz-23906128.html</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2026-09-17</t>
        </is>
      </c>
      <c r="BJ179" s="10" t="inlineStr">
        <is>
          <t>New</t>
        </is>
      </c>
      <c r="BK179" s="10" t="inlineStr">
        <is>
          <t>2026-09-17</t>
        </is>
      </c>
      <c r="BL179" s="10" t="inlineStr"/>
      <c r="BM179" s="10" t="inlineStr"/>
      <c r="BN179" s="10" t="inlineStr"/>
      <c r="BO179" s="10" t="inlineStr"/>
      <c r="BP179" s="10" t="inlineStr"/>
      <c r="BQ179" s="10" t="inlineStr"/>
    </row>
    <row r="180">
      <c r="A180" s="5" t="inlineStr">
        <is>
          <t>UK-000738</t>
        </is>
      </c>
      <c r="B180" s="5" t="inlineStr">
        <is>
          <t>VPZ-10</t>
        </is>
      </c>
      <c r="C180" s="5" t="inlineStr">
        <is>
          <t>VPZ</t>
        </is>
      </c>
      <c r="D180" s="5" t="inlineStr">
        <is>
          <t>VPZ Motherwell</t>
        </is>
      </c>
      <c r="E180" s="5" t="inlineStr">
        <is>
          <t>VPZ</t>
        </is>
      </c>
      <c r="F180" s="5" t="inlineStr"/>
      <c r="G180" s="5" t="inlineStr">
        <is>
          <t>Vape Shop</t>
        </is>
      </c>
      <c r="H180" s="5" t="inlineStr">
        <is>
          <t>Vape retail chain store</t>
        </is>
      </c>
      <c r="I180" s="5" t="inlineStr">
        <is>
          <t>National Chain</t>
        </is>
      </c>
      <c r="J180" s="5" t="inlineStr">
        <is>
          <t>1</t>
        </is>
      </c>
      <c r="K180" s="5" t="inlineStr">
        <is>
          <t>https://www.vpz.co.uk/</t>
        </is>
      </c>
      <c r="L180" s="5" t="inlineStr"/>
      <c r="M180" s="5" t="inlineStr"/>
      <c r="N180" s="5" t="inlineStr"/>
      <c r="O180" s="5" t="inlineStr">
        <is>
          <t>11 Brandon Parade South</t>
        </is>
      </c>
      <c r="P180" s="5" t="inlineStr"/>
      <c r="Q180" s="5" t="inlineStr">
        <is>
          <t>Motherwell</t>
        </is>
      </c>
      <c r="R180" s="5" t="inlineStr">
        <is>
          <t>North Lanarkshire</t>
        </is>
      </c>
      <c r="S180" s="5" t="inlineStr">
        <is>
          <t>ML1 1RB</t>
        </is>
      </c>
      <c r="T180" s="5" t="inlineStr">
        <is>
          <t>Scotland</t>
        </is>
      </c>
      <c r="U180" s="5" t="inlineStr">
        <is>
          <t>Scotland</t>
        </is>
      </c>
      <c r="V180" s="5" t="inlineStr">
        <is>
          <t>01698 265111</t>
        </is>
      </c>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vape hardware; e-liquids; kits; coils</t>
        </is>
      </c>
      <c r="AL180" s="5" t="inlineStr"/>
      <c r="AM180" s="5" t="inlineStr">
        <is>
          <t>Vape Shop</t>
        </is>
      </c>
      <c r="AN180" s="5" t="inlineStr"/>
      <c r="AO180" s="5" t="inlineStr">
        <is>
          <t>VPZ store on Brandon Parade South, Motherwell town centre. Part of VPZ national vape chain (shared parent_company).</t>
        </is>
      </c>
      <c r="AP180" s="5" t="inlineStr">
        <is>
          <t>Medium</t>
        </is>
      </c>
      <c r="AQ180" s="5" t="inlineStr">
        <is>
          <t>Multi-site retailer; Core relevant category; Active website</t>
        </is>
      </c>
      <c r="AR180" s="5" t="inlineStr">
        <is>
          <t>https://m.yelp.com/c/motherwell-north-lanarkshire-gb/vapeshops</t>
        </is>
      </c>
      <c r="AS180" s="5" t="inlineStr"/>
      <c r="AT180" s="5" t="inlineStr">
        <is>
          <t>1</t>
        </is>
      </c>
      <c r="AU180" s="5" t="inlineStr">
        <is>
          <t>No</t>
        </is>
      </c>
      <c r="AV180" s="5" t="inlineStr">
        <is>
          <t>No</t>
        </is>
      </c>
      <c r="AW180" s="5" t="inlineStr">
        <is>
          <t>No</t>
        </is>
      </c>
      <c r="AX180" s="5" t="inlineStr">
        <is>
          <t>No</t>
        </is>
      </c>
      <c r="AY180" s="5" t="inlineStr">
        <is>
          <t>Verified directory</t>
        </is>
      </c>
      <c r="AZ180" s="5" t="inlineStr">
        <is>
          <t>Website Found</t>
        </is>
      </c>
      <c r="BA180" s="5" t="inlineStr">
        <is>
          <t>2026-09-17</t>
        </is>
      </c>
      <c r="BB180" s="5" t="inlineStr">
        <is>
          <t>Requires Verification</t>
        </is>
      </c>
      <c r="BC180" s="5" t="inlineStr">
        <is>
          <t>Medium</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UK-000739</t>
        </is>
      </c>
      <c r="B181" s="10" t="inlineStr">
        <is>
          <t>VPZ-11</t>
        </is>
      </c>
      <c r="C181" s="10" t="inlineStr">
        <is>
          <t>VPZ</t>
        </is>
      </c>
      <c r="D181" s="10" t="inlineStr">
        <is>
          <t>VPZ Paisley</t>
        </is>
      </c>
      <c r="E181" s="10" t="inlineStr">
        <is>
          <t>VPZ</t>
        </is>
      </c>
      <c r="F181" s="10" t="inlineStr"/>
      <c r="G181" s="10" t="inlineStr">
        <is>
          <t>Vape Shop</t>
        </is>
      </c>
      <c r="H181" s="10" t="inlineStr">
        <is>
          <t>Vape retail chain store</t>
        </is>
      </c>
      <c r="I181" s="10" t="inlineStr">
        <is>
          <t>National Chain</t>
        </is>
      </c>
      <c r="J181" s="10" t="inlineStr">
        <is>
          <t>1</t>
        </is>
      </c>
      <c r="K181" s="10" t="inlineStr">
        <is>
          <t>https://www.vpz.co.uk/</t>
        </is>
      </c>
      <c r="L181" s="10" t="inlineStr"/>
      <c r="M181" s="10" t="inlineStr"/>
      <c r="N181" s="10" t="inlineStr"/>
      <c r="O181" s="10" t="inlineStr">
        <is>
          <t>Unit 3, 4 High Street</t>
        </is>
      </c>
      <c r="P181" s="10" t="inlineStr"/>
      <c r="Q181" s="10" t="inlineStr">
        <is>
          <t>Paisley</t>
        </is>
      </c>
      <c r="R181" s="10" t="inlineStr">
        <is>
          <t>Renfrewshire</t>
        </is>
      </c>
      <c r="S181" s="10" t="inlineStr">
        <is>
          <t>PA1 2YA</t>
        </is>
      </c>
      <c r="T181" s="10" t="inlineStr">
        <is>
          <t>Scotland</t>
        </is>
      </c>
      <c r="U181" s="10" t="inlineStr">
        <is>
          <t>Scotland</t>
        </is>
      </c>
      <c r="V181" s="10" t="inlineStr">
        <is>
          <t>0141 889 3463</t>
        </is>
      </c>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vape hardware; e-liquids; kits; coils</t>
        </is>
      </c>
      <c r="AL181" s="10" t="inlineStr"/>
      <c r="AM181" s="10" t="inlineStr">
        <is>
          <t>Vape Shop</t>
        </is>
      </c>
      <c r="AN181" s="10" t="inlineStr"/>
      <c r="AO181" s="10" t="inlineStr">
        <is>
          <t>VPZ is a Scottish-founded specialist vape retail chain (HQ Edinburgh) with many UK stores; one confirmed location per record with shared parent_company VPZ. Paisley High Street store.</t>
        </is>
      </c>
      <c r="AP181" s="10" t="inlineStr">
        <is>
          <t>Medium</t>
        </is>
      </c>
      <c r="AQ181" s="10" t="inlineStr">
        <is>
          <t>Multi-site retailer; Core relevant category; Active website</t>
        </is>
      </c>
      <c r="AR181" s="10" t="inlineStr">
        <is>
          <t>https://m.yelp.com/biz/vpz-paisley-2</t>
        </is>
      </c>
      <c r="AS181" s="10" t="inlineStr">
        <is>
          <t>https://foursquare.com/v/vpz-paisley/5e4ac7be7ed26b0008d9bc44</t>
        </is>
      </c>
      <c r="AT181" s="10" t="inlineStr">
        <is>
          <t>2</t>
        </is>
      </c>
      <c r="AU181" s="10" t="inlineStr">
        <is>
          <t>No</t>
        </is>
      </c>
      <c r="AV181" s="10" t="inlineStr">
        <is>
          <t>No</t>
        </is>
      </c>
      <c r="AW181" s="10" t="inlineStr">
        <is>
          <t>No</t>
        </is>
      </c>
      <c r="AX181" s="10" t="inlineStr">
        <is>
          <t>No</t>
        </is>
      </c>
      <c r="AY181" s="10" t="inlineStr">
        <is>
          <t>Verified directory</t>
        </is>
      </c>
      <c r="AZ181" s="10" t="inlineStr">
        <is>
          <t>Website Found</t>
        </is>
      </c>
      <c r="BA181" s="10" t="inlineStr">
        <is>
          <t>2026-09-17</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UK-000740</t>
        </is>
      </c>
      <c r="B182" s="5" t="inlineStr">
        <is>
          <t>VPZ-12</t>
        </is>
      </c>
      <c r="C182" s="5" t="inlineStr">
        <is>
          <t>VPZ</t>
        </is>
      </c>
      <c r="D182" s="5" t="inlineStr">
        <is>
          <t>VPZ Wishaw</t>
        </is>
      </c>
      <c r="E182" s="5" t="inlineStr">
        <is>
          <t>VPZ</t>
        </is>
      </c>
      <c r="F182" s="5" t="inlineStr"/>
      <c r="G182" s="5" t="inlineStr">
        <is>
          <t>Vape Shop</t>
        </is>
      </c>
      <c r="H182" s="5" t="inlineStr">
        <is>
          <t>Vape retail chain store</t>
        </is>
      </c>
      <c r="I182" s="5" t="inlineStr">
        <is>
          <t>National Chain</t>
        </is>
      </c>
      <c r="J182" s="5" t="inlineStr">
        <is>
          <t>1</t>
        </is>
      </c>
      <c r="K182" s="5" t="inlineStr">
        <is>
          <t>https://www.vpz.co.uk/</t>
        </is>
      </c>
      <c r="L182" s="5" t="inlineStr"/>
      <c r="M182" s="5" t="inlineStr"/>
      <c r="N182" s="5" t="inlineStr"/>
      <c r="O182" s="5" t="inlineStr">
        <is>
          <t>15 Main Street</t>
        </is>
      </c>
      <c r="P182" s="5" t="inlineStr"/>
      <c r="Q182" s="5" t="inlineStr">
        <is>
          <t>Wishaw</t>
        </is>
      </c>
      <c r="R182" s="5" t="inlineStr">
        <is>
          <t>North Lanarkshire</t>
        </is>
      </c>
      <c r="S182" s="5" t="inlineStr">
        <is>
          <t>ML2 7AF</t>
        </is>
      </c>
      <c r="T182" s="5" t="inlineStr">
        <is>
          <t>Scotland</t>
        </is>
      </c>
      <c r="U182" s="5" t="inlineStr">
        <is>
          <t>Scotland</t>
        </is>
      </c>
      <c r="V182" s="5" t="inlineStr">
        <is>
          <t>01698 355102</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vape hardware; e-liquids; kits; coils</t>
        </is>
      </c>
      <c r="AL182" s="5" t="inlineStr"/>
      <c r="AM182" s="5" t="inlineStr">
        <is>
          <t>Vape Shop</t>
        </is>
      </c>
      <c r="AN182" s="5" t="inlineStr"/>
      <c r="AO182" s="5" t="inlineStr">
        <is>
          <t>VPZ store on Main Street, Wishaw. Part of VPZ national vape chain (shared parent_company).</t>
        </is>
      </c>
      <c r="AP182" s="5" t="inlineStr">
        <is>
          <t>Medium</t>
        </is>
      </c>
      <c r="AQ182" s="5" t="inlineStr">
        <is>
          <t>Multi-site retailer; Core relevant category; Active website</t>
        </is>
      </c>
      <c r="AR182" s="5" t="inlineStr">
        <is>
          <t>https://wishaw-north-lanarkshire.cylex-uk.co.uk/vape-shops/</t>
        </is>
      </c>
      <c r="AS182" s="5" t="inlineStr"/>
      <c r="AT182" s="5" t="inlineStr">
        <is>
          <t>1</t>
        </is>
      </c>
      <c r="AU182" s="5" t="inlineStr">
        <is>
          <t>No</t>
        </is>
      </c>
      <c r="AV182" s="5" t="inlineStr">
        <is>
          <t>No</t>
        </is>
      </c>
      <c r="AW182" s="5" t="inlineStr">
        <is>
          <t>No</t>
        </is>
      </c>
      <c r="AX182" s="5" t="inlineStr">
        <is>
          <t>No</t>
        </is>
      </c>
      <c r="AY182" s="5" t="inlineStr">
        <is>
          <t>Verified directory</t>
        </is>
      </c>
      <c r="AZ182" s="5" t="inlineStr">
        <is>
          <t>Website Found</t>
        </is>
      </c>
      <c r="BA182" s="5" t="inlineStr">
        <is>
          <t>2026-09-17</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UK-000217</t>
        </is>
      </c>
      <c r="B183" s="10" t="inlineStr">
        <is>
          <t>VALLIFOREC-01</t>
        </is>
      </c>
      <c r="C183" s="10" t="inlineStr">
        <is>
          <t>Valli Forecourts</t>
        </is>
      </c>
      <c r="D183" s="10" t="inlineStr">
        <is>
          <t>Valli Forecourts (Bawtry Road)</t>
        </is>
      </c>
      <c r="E183" s="10" t="inlineStr">
        <is>
          <t>Valli Forecourts</t>
        </is>
      </c>
      <c r="F183" s="10" t="inlineStr"/>
      <c r="G183" s="10" t="inlineStr">
        <is>
          <t>Petrol Station / Forecourt</t>
        </is>
      </c>
      <c r="H183" s="10" t="inlineStr">
        <is>
          <t>Independent forecourt with convenience store</t>
        </is>
      </c>
      <c r="I183" s="10" t="inlineStr">
        <is>
          <t>Multi-Site Independent</t>
        </is>
      </c>
      <c r="J183" s="10" t="inlineStr">
        <is>
          <t>1</t>
        </is>
      </c>
      <c r="K183" s="10" t="inlineStr"/>
      <c r="L183" s="10" t="inlineStr"/>
      <c r="M183" s="10" t="inlineStr"/>
      <c r="N183" s="10" t="inlineStr"/>
      <c r="O183" s="10" t="inlineStr">
        <is>
          <t>Bawtry Road</t>
        </is>
      </c>
      <c r="P183" s="10" t="inlineStr"/>
      <c r="Q183" s="10" t="inlineStr">
        <is>
          <t>Doncaster</t>
        </is>
      </c>
      <c r="R183" s="10" t="inlineStr">
        <is>
          <t>South Yorkshire</t>
        </is>
      </c>
      <c r="S183" s="10" t="inlineStr"/>
      <c r="T183" s="10" t="inlineStr">
        <is>
          <t>Yorkshire &amp; Humber</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fuel; convenience groceries; forecourt shop</t>
        </is>
      </c>
      <c r="AL183" s="10" t="inlineStr"/>
      <c r="AM183" s="10" t="inlineStr">
        <is>
          <t>Petrol Station / Forecourt</t>
        </is>
      </c>
      <c r="AN183" s="10" t="inlineStr"/>
      <c r="AO183" s="10" t="inlineStr">
        <is>
          <t>Independent forecourt operator (Valli Forecourts is a multi-site independent forecourt group) on Bawtry Road, Doncaster. Listed in Doncaster petrol-station directory; exact house number/postcode not captured.</t>
        </is>
      </c>
      <c r="AP183" s="10" t="inlineStr">
        <is>
          <t>Medium</t>
        </is>
      </c>
      <c r="AQ183" s="10" t="inlineStr">
        <is>
          <t>Multi-site retailer; Independent retailer; Relevant category</t>
        </is>
      </c>
      <c r="AR183" s="10" t="inlineStr">
        <is>
          <t>https://www.mylocalservices.co.uk/24+Hr+Petrol+Stations-Doncaster.html</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2026-09-17</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2026-09-16</t>
        </is>
      </c>
      <c r="BJ183" s="10" t="inlineStr">
        <is>
          <t>New</t>
        </is>
      </c>
      <c r="BK183" s="10" t="inlineStr">
        <is>
          <t>2026-09-17</t>
        </is>
      </c>
      <c r="BL183" s="10" t="inlineStr"/>
      <c r="BM183" s="10" t="inlineStr"/>
      <c r="BN183" s="10" t="inlineStr"/>
      <c r="BO183" s="10" t="inlineStr"/>
      <c r="BP183" s="10" t="inlineStr"/>
      <c r="BQ183" s="10" t="inlineStr"/>
    </row>
    <row r="184">
      <c r="A184" s="5" t="inlineStr">
        <is>
          <t>WY-0034</t>
        </is>
      </c>
      <c r="B184" s="5" t="inlineStr">
        <is>
          <t>VALLIFOREC-01</t>
        </is>
      </c>
      <c r="C184" s="5" t="inlineStr">
        <is>
          <t>Valli Forecourts Ltd</t>
        </is>
      </c>
      <c r="D184" s="5" t="inlineStr">
        <is>
          <t>BP Gledhow Service Station (Valli Forecourts)</t>
        </is>
      </c>
      <c r="E184" s="5" t="inlineStr">
        <is>
          <t>Gledhow Service Station</t>
        </is>
      </c>
      <c r="F184" s="5" t="inlineStr">
        <is>
          <t>Valli Forecourts Ltd</t>
        </is>
      </c>
      <c r="G184" s="5" t="inlineStr">
        <is>
          <t>Petrol Station / Forecourt</t>
        </is>
      </c>
      <c r="H184" s="5" t="inlineStr">
        <is>
          <t>BP-branded forecourt with convenience store</t>
        </is>
      </c>
      <c r="I184" s="5" t="inlineStr">
        <is>
          <t>Regional Chain</t>
        </is>
      </c>
      <c r="J184" s="5" t="inlineStr">
        <is>
          <t>16</t>
        </is>
      </c>
      <c r="K184" s="5" t="inlineStr">
        <is>
          <t>https://valliforecourts.co.uk/</t>
        </is>
      </c>
      <c r="L184" s="5" t="inlineStr"/>
      <c r="M184" s="5" t="inlineStr"/>
      <c r="N184" s="5" t="inlineStr"/>
      <c r="O184" s="5" t="inlineStr"/>
      <c r="P184" s="5" t="inlineStr">
        <is>
          <t>Gledhow</t>
        </is>
      </c>
      <c r="Q184" s="5" t="inlineStr">
        <is>
          <t>Leeds</t>
        </is>
      </c>
      <c r="R184" s="5" t="inlineStr">
        <is>
          <t>West Yorkshire</t>
        </is>
      </c>
      <c r="S184" s="5" t="inlineStr">
        <is>
          <t>LS8 4BU</t>
        </is>
      </c>
      <c r="T184" s="5" t="inlineStr">
        <is>
          <t>Yorkshire &amp; Humber</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fuel; convenience retail</t>
        </is>
      </c>
      <c r="AL184" s="5" t="inlineStr"/>
      <c r="AM184" s="5" t="inlineStr">
        <is>
          <t>Petrol Station / Forecourt</t>
        </is>
      </c>
      <c r="AN184" s="5" t="inlineStr"/>
      <c r="AO184" s="5" t="inlineStr">
        <is>
          <t>BP Gledhow Service Station in Leeds referenced as a Valli Forecourts site in petrol-station listings. Street address/postcode/phone not confirmed - follow up via valliforecourts.co.uk site list. One of 16 Valli Forecourts sites.</t>
        </is>
      </c>
      <c r="AP184" s="5" t="inlineStr">
        <is>
          <t>Medium</t>
        </is>
      </c>
      <c r="AQ184" s="5" t="inlineStr">
        <is>
          <t>Multi-site retailer; Relevant category; Active website</t>
        </is>
      </c>
      <c r="AR184" s="5" t="inlineStr">
        <is>
          <t>https://www.petrolprices.com/locations/huddersfield</t>
        </is>
      </c>
      <c r="AS184" s="5" t="inlineStr">
        <is>
          <t>https://www.192.com/atoz/business/leeds-ls8/petrol-service-stations/b-p-gledhow-service-station/b2cc5ed266e9de6ac0fa2b011faef822e624c3ac/ml/</t>
        </is>
      </c>
      <c r="AT184" s="5" t="inlineStr">
        <is>
          <t>3</t>
        </is>
      </c>
      <c r="AU184" s="5" t="inlineStr">
        <is>
          <t>No</t>
        </is>
      </c>
      <c r="AV184" s="5" t="inlineStr">
        <is>
          <t>No</t>
        </is>
      </c>
      <c r="AW184" s="5" t="inlineStr">
        <is>
          <t>No</t>
        </is>
      </c>
      <c r="AX184" s="5" t="inlineStr">
        <is>
          <t>No</t>
        </is>
      </c>
      <c r="AY184" s="5" t="inlineStr">
        <is>
          <t>Not Found</t>
        </is>
      </c>
      <c r="AZ184" s="5" t="inlineStr">
        <is>
          <t>Website Found</t>
        </is>
      </c>
      <c r="BA184" s="5" t="inlineStr">
        <is>
          <t>2026-09-17</t>
        </is>
      </c>
      <c r="BB184" s="5" t="inlineStr">
        <is>
          <t>Requires Verification</t>
        </is>
      </c>
      <c r="BC184" s="5" t="inlineStr">
        <is>
          <t>Medium</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2026-09-17</t>
        </is>
      </c>
      <c r="BL184" s="5" t="inlineStr"/>
      <c r="BM184" s="5" t="inlineStr"/>
      <c r="BN184" s="5" t="inlineStr"/>
      <c r="BO184" s="5" t="inlineStr"/>
      <c r="BP184" s="5" t="inlineStr"/>
      <c r="BQ184" s="5" t="inlineStr"/>
    </row>
    <row r="185">
      <c r="A185" s="10" t="inlineStr">
        <is>
          <t>WY-0035</t>
        </is>
      </c>
      <c r="B185" s="10" t="inlineStr">
        <is>
          <t>VALLIFOREC-02</t>
        </is>
      </c>
      <c r="C185" s="10" t="inlineStr">
        <is>
          <t>Valli Forecourts Ltd</t>
        </is>
      </c>
      <c r="D185" s="10" t="inlineStr">
        <is>
          <t>Valli Forecourts Ltd (Head Office)</t>
        </is>
      </c>
      <c r="E185" s="10" t="inlineStr">
        <is>
          <t>Valli Forecourts</t>
        </is>
      </c>
      <c r="F185" s="10" t="inlineStr">
        <is>
          <t>Valli Forecourts Ltd</t>
        </is>
      </c>
      <c r="G185" s="10" t="inlineStr">
        <is>
          <t>Petrol Station / Forecourt</t>
        </is>
      </c>
      <c r="H185" s="10" t="inlineStr">
        <is>
          <t>Independent forecourt group head office</t>
        </is>
      </c>
      <c r="I185" s="10" t="inlineStr">
        <is>
          <t>Regional Chain</t>
        </is>
      </c>
      <c r="J185" s="10" t="inlineStr">
        <is>
          <t>16</t>
        </is>
      </c>
      <c r="K185" s="10" t="inlineStr">
        <is>
          <t>https://valliforecourts.co.uk/</t>
        </is>
      </c>
      <c r="L185" s="10" t="inlineStr"/>
      <c r="M185" s="10" t="inlineStr"/>
      <c r="N185" s="10" t="inlineStr">
        <is>
          <t>https://uk.linkedin.com/company/valli-forecourts-ltd</t>
        </is>
      </c>
      <c r="O185" s="10" t="inlineStr"/>
      <c r="P185" s="10" t="inlineStr">
        <is>
          <t>Moortown</t>
        </is>
      </c>
      <c r="Q185" s="10" t="inlineStr">
        <is>
          <t>Leeds</t>
        </is>
      </c>
      <c r="R185" s="10" t="inlineStr">
        <is>
          <t>West Yorkshire</t>
        </is>
      </c>
      <c r="S185" s="10" t="inlineStr"/>
      <c r="T185" s="10" t="inlineStr">
        <is>
          <t>Yorkshire &amp; Humber</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fuel; convenience retail; food-to-go</t>
        </is>
      </c>
      <c r="AL185" s="10" t="inlineStr"/>
      <c r="AM185" s="10" t="inlineStr">
        <is>
          <t>Petrol Station / Forecourt</t>
        </is>
      </c>
      <c r="AN185" s="10" t="inlineStr">
        <is>
          <t>Sweetzone lists forecourts/petrol stations as a supplied sector; sites branded BP among others</t>
        </is>
      </c>
      <c r="AO185"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185" s="10" t="inlineStr">
        <is>
          <t>Medium</t>
        </is>
      </c>
      <c r="AQ185" s="10" t="inlineStr">
        <is>
          <t>Multi-site retailer; Relevant category; Active website; Social presence</t>
        </is>
      </c>
      <c r="AR185" s="10" t="inlineStr">
        <is>
          <t>https://www.yorkshire.com/moortown/transport/petrol-stations/valli-forecourts-ltd-head-office</t>
        </is>
      </c>
      <c r="AS185" s="10" t="inlineStr">
        <is>
          <t>https://uk.linkedin.com/company/valli-forecourts-ltd</t>
        </is>
      </c>
      <c r="AT185" s="10" t="inlineStr">
        <is>
          <t>3</t>
        </is>
      </c>
      <c r="AU185" s="10" t="inlineStr">
        <is>
          <t>No</t>
        </is>
      </c>
      <c r="AV185" s="10" t="inlineStr">
        <is>
          <t>No</t>
        </is>
      </c>
      <c r="AW185" s="10" t="inlineStr">
        <is>
          <t>No</t>
        </is>
      </c>
      <c r="AX185" s="10" t="inlineStr">
        <is>
          <t>No</t>
        </is>
      </c>
      <c r="AY185" s="10" t="inlineStr">
        <is>
          <t>Not Found</t>
        </is>
      </c>
      <c r="AZ185" s="10" t="inlineStr">
        <is>
          <t>Website Found</t>
        </is>
      </c>
      <c r="BA185" s="10" t="inlineStr">
        <is>
          <t>2026-09-17</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2026-09-17</t>
        </is>
      </c>
      <c r="BL185" s="10" t="inlineStr"/>
      <c r="BM185" s="10" t="inlineStr"/>
      <c r="BN185" s="10" t="inlineStr"/>
      <c r="BO185" s="10" t="inlineStr"/>
      <c r="BP185" s="10" t="inlineStr"/>
      <c r="BQ185" s="10" t="inlineStr"/>
    </row>
    <row r="186">
      <c r="A186" s="5" t="inlineStr">
        <is>
          <t>UK-000741</t>
        </is>
      </c>
      <c r="B186" s="5" t="inlineStr">
        <is>
          <t>VAPABLE-01</t>
        </is>
      </c>
      <c r="C186" s="5" t="inlineStr">
        <is>
          <t>Vapable</t>
        </is>
      </c>
      <c r="D186" s="5" t="inlineStr">
        <is>
          <t>Vapable Southport</t>
        </is>
      </c>
      <c r="E186" s="5" t="inlineStr">
        <is>
          <t>Vapable</t>
        </is>
      </c>
      <c r="F186" s="5" t="inlineStr"/>
      <c r="G186" s="5" t="inlineStr">
        <is>
          <t>Vape Shop</t>
        </is>
      </c>
      <c r="H186" s="5" t="inlineStr">
        <is>
          <t>E-cig and e-liquid shop</t>
        </is>
      </c>
      <c r="I186" s="5" t="inlineStr">
        <is>
          <t>Independent</t>
        </is>
      </c>
      <c r="J186" s="5" t="inlineStr">
        <is>
          <t>1</t>
        </is>
      </c>
      <c r="K186" s="5" t="inlineStr">
        <is>
          <t>https://vapable.com/southport-vape-shop/</t>
        </is>
      </c>
      <c r="L186" s="5" t="inlineStr"/>
      <c r="M186" s="5" t="inlineStr"/>
      <c r="N186" s="5" t="inlineStr"/>
      <c r="O186" s="5" t="inlineStr"/>
      <c r="P186" s="5" t="inlineStr"/>
      <c r="Q186" s="5" t="inlineStr">
        <is>
          <t>Southport</t>
        </is>
      </c>
      <c r="R186" s="5" t="inlineStr">
        <is>
          <t>Merseyside</t>
        </is>
      </c>
      <c r="S186" s="5" t="inlineStr"/>
      <c r="T186" s="5" t="inlineStr">
        <is>
          <t>North West</t>
        </is>
      </c>
      <c r="U186" s="5" t="inlineStr">
        <is>
          <t>England</t>
        </is>
      </c>
      <c r="V186" s="5" t="inlineStr">
        <is>
          <t>01704 222999</t>
        </is>
      </c>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e-cigarettes; e-liquids; DIY e-liquid</t>
        </is>
      </c>
      <c r="AL186" s="5" t="inlineStr"/>
      <c r="AM186" s="5" t="inlineStr">
        <is>
          <t>Vape Shop</t>
        </is>
      </c>
      <c r="AN186" s="5" t="inlineStr"/>
      <c r="AO186" s="5" t="inlineStr">
        <is>
          <t>Vapable local e-cig and e-liquid shop in Southport (also an online UK retailer). Phone from own Southport shop page; street address/postcode not captured in snippet.</t>
        </is>
      </c>
      <c r="AP186" s="5" t="inlineStr">
        <is>
          <t>High</t>
        </is>
      </c>
      <c r="AQ186" s="5" t="inlineStr">
        <is>
          <t>Multi-site retailer; Independent retailer; Core relevant category; Active website; Phone verified on official website</t>
        </is>
      </c>
      <c r="AR186" s="5" t="inlineStr">
        <is>
          <t>https://vapable.com/southport-vape-shop/</t>
        </is>
      </c>
      <c r="AS186" s="5" t="inlineStr"/>
      <c r="AT186" s="5" t="inlineStr">
        <is>
          <t>1</t>
        </is>
      </c>
      <c r="AU186" s="5" t="inlineStr">
        <is>
          <t>No</t>
        </is>
      </c>
      <c r="AV186" s="5" t="inlineStr">
        <is>
          <t>No</t>
        </is>
      </c>
      <c r="AW186" s="5" t="inlineStr">
        <is>
          <t>No</t>
        </is>
      </c>
      <c r="AX186" s="5" t="inlineStr">
        <is>
          <t>No</t>
        </is>
      </c>
      <c r="AY186" s="5" t="inlineStr">
        <is>
          <t>Verified on official website</t>
        </is>
      </c>
      <c r="AZ186" s="5" t="inlineStr">
        <is>
          <t>Website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WY-0036</t>
        </is>
      </c>
      <c r="B187" s="10" t="inlineStr">
        <is>
          <t>VAPARAMA-01</t>
        </is>
      </c>
      <c r="C187" s="10" t="inlineStr">
        <is>
          <t>Vaparama</t>
        </is>
      </c>
      <c r="D187" s="10" t="inlineStr">
        <is>
          <t>Vaparama (Featherstone)</t>
        </is>
      </c>
      <c r="E187" s="10" t="inlineStr">
        <is>
          <t>Vaparama</t>
        </is>
      </c>
      <c r="F187" s="10" t="inlineStr">
        <is>
          <t>Vaparama Ltd</t>
        </is>
      </c>
      <c r="G187" s="10" t="inlineStr">
        <is>
          <t>Vape Shop</t>
        </is>
      </c>
      <c r="H187" s="10" t="inlineStr">
        <is>
          <t>E-liquid specialist / vape retailer</t>
        </is>
      </c>
      <c r="I187" s="10" t="inlineStr">
        <is>
          <t>Regional Chain</t>
        </is>
      </c>
      <c r="J187" s="10" t="inlineStr">
        <is>
          <t>7</t>
        </is>
      </c>
      <c r="K187" s="10" t="inlineStr">
        <is>
          <t>https://www.vaparama.co.uk</t>
        </is>
      </c>
      <c r="L187" s="10" t="inlineStr">
        <is>
          <t>https://www.facebook.com/p/Vaparama-100063743672150/</t>
        </is>
      </c>
      <c r="M187" s="10" t="inlineStr"/>
      <c r="N187" s="10" t="inlineStr"/>
      <c r="O187" s="10" t="inlineStr">
        <is>
          <t>73-75 Station Lane</t>
        </is>
      </c>
      <c r="P187" s="10" t="inlineStr"/>
      <c r="Q187" s="10" t="inlineStr">
        <is>
          <t>Featherstone</t>
        </is>
      </c>
      <c r="R187" s="10" t="inlineStr">
        <is>
          <t>West Yorkshire</t>
        </is>
      </c>
      <c r="S187" s="10" t="inlineStr">
        <is>
          <t>WF7 5BJ</t>
        </is>
      </c>
      <c r="T187" s="10" t="inlineStr">
        <is>
          <t>Yorkshire &amp; Humber</t>
        </is>
      </c>
      <c r="U187" s="10" t="inlineStr">
        <is>
          <t>England</t>
        </is>
      </c>
      <c r="V187" s="10" t="inlineStr"/>
      <c r="W187" s="10" t="inlineStr"/>
      <c r="X187" s="10" t="inlineStr"/>
      <c r="Y187" s="10" t="inlineStr"/>
      <c r="Z187" s="10" t="inlineStr">
        <is>
          <t>shop@vaparama.co.uk</t>
        </is>
      </c>
      <c r="AA187" s="10" t="inlineStr"/>
      <c r="AB187" s="10" t="inlineStr"/>
      <c r="AC187" s="10" t="inlineStr"/>
      <c r="AD187" s="10" t="inlineStr"/>
      <c r="AE187" s="10" t="inlineStr">
        <is>
          <t>09736212</t>
        </is>
      </c>
      <c r="AF187" s="10" t="inlineStr">
        <is>
          <t>Active</t>
        </is>
      </c>
      <c r="AG187" s="10" t="inlineStr">
        <is>
          <t>VAPARAMA LTD</t>
        </is>
      </c>
      <c r="AH187" s="10" t="inlineStr">
        <is>
          <t>13 Market Place, Pontefract, England, WF8 1AG</t>
        </is>
      </c>
      <c r="AI187" s="10" t="inlineStr">
        <is>
          <t>2015-08-17</t>
        </is>
      </c>
      <c r="AJ187" s="10" t="inlineStr"/>
      <c r="AK187" s="10" t="inlineStr">
        <is>
          <t>e-liquids; vape hardware; accessories</t>
        </is>
      </c>
      <c r="AL187" s="10" t="inlineStr"/>
      <c r="AM187" s="10" t="inlineStr">
        <is>
          <t>Vape Shop</t>
        </is>
      </c>
      <c r="AN187" s="10" t="inlineStr"/>
      <c r="AO187" s="10" t="inlineStr">
        <is>
          <t>Featherstone branch of the Vaparama chain (HQ Pontefract).</t>
        </is>
      </c>
      <c r="AP187" s="10" t="inlineStr">
        <is>
          <t>High</t>
        </is>
      </c>
      <c r="AQ187" s="10" t="inlineStr">
        <is>
          <t>Multi-site retailer; Core relevant category; Public email available; Active website; Social presence</t>
        </is>
      </c>
      <c r="AR187" s="10" t="inlineStr">
        <is>
          <t>https://www.vaparama.co.uk/contact/</t>
        </is>
      </c>
      <c r="AS187" s="10" t="inlineStr">
        <is>
          <t>https://find-and-update.company-information.service.gov.uk/company/09736212</t>
        </is>
      </c>
      <c r="AT187" s="10" t="inlineStr">
        <is>
          <t>3</t>
        </is>
      </c>
      <c r="AU187" s="10" t="inlineStr">
        <is>
          <t>No</t>
        </is>
      </c>
      <c r="AV187" s="10" t="inlineStr">
        <is>
          <t>No</t>
        </is>
      </c>
      <c r="AW187" s="10" t="inlineStr">
        <is>
          <t>Yes</t>
        </is>
      </c>
      <c r="AX187" s="10" t="inlineStr">
        <is>
          <t>Yes</t>
        </is>
      </c>
      <c r="AY187" s="10" t="inlineStr">
        <is>
          <t>Not Found</t>
        </is>
      </c>
      <c r="AZ187" s="10" t="inlineStr">
        <is>
          <t>Publicly Listed</t>
        </is>
      </c>
      <c r="BA187" s="10" t="inlineStr">
        <is>
          <t>2026-09-17</t>
        </is>
      </c>
      <c r="BB187" s="10" t="inlineStr">
        <is>
          <t>Partially Verified</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2026-09-16</t>
        </is>
      </c>
      <c r="BJ187" s="10" t="inlineStr">
        <is>
          <t>New</t>
        </is>
      </c>
      <c r="BK187" s="10" t="inlineStr">
        <is>
          <t>2026-09-17</t>
        </is>
      </c>
      <c r="BL187" s="10" t="inlineStr"/>
      <c r="BM187" s="10" t="inlineStr"/>
      <c r="BN187" s="10" t="inlineStr"/>
      <c r="BO187" s="10" t="inlineStr"/>
      <c r="BP187" s="10" t="inlineStr"/>
      <c r="BQ187" s="10" t="inlineStr"/>
    </row>
    <row r="188">
      <c r="A188" s="5" t="inlineStr">
        <is>
          <t>WY-0037</t>
        </is>
      </c>
      <c r="B188" s="5" t="inlineStr">
        <is>
          <t>VAPARAMA-02</t>
        </is>
      </c>
      <c r="C188" s="5" t="inlineStr">
        <is>
          <t>Vaparama</t>
        </is>
      </c>
      <c r="D188" s="5" t="inlineStr">
        <is>
          <t>Vaparama (Pontefract)</t>
        </is>
      </c>
      <c r="E188" s="5" t="inlineStr">
        <is>
          <t>Vaparama</t>
        </is>
      </c>
      <c r="F188" s="5" t="inlineStr">
        <is>
          <t>Vaparama Ltd</t>
        </is>
      </c>
      <c r="G188" s="5" t="inlineStr">
        <is>
          <t>Vape Shop</t>
        </is>
      </c>
      <c r="H188" s="5" t="inlineStr">
        <is>
          <t>E-liquid specialist / vape retailer and wholesaler</t>
        </is>
      </c>
      <c r="I188" s="5" t="inlineStr">
        <is>
          <t>Regional Chain</t>
        </is>
      </c>
      <c r="J188" s="5" t="inlineStr">
        <is>
          <t>7</t>
        </is>
      </c>
      <c r="K188" s="5" t="inlineStr">
        <is>
          <t>https://www.vaparama.co.uk</t>
        </is>
      </c>
      <c r="L188" s="5" t="inlineStr">
        <is>
          <t>https://www.facebook.com/p/Vaparama-100063743672150/</t>
        </is>
      </c>
      <c r="M188" s="5" t="inlineStr"/>
      <c r="N188" s="5" t="inlineStr"/>
      <c r="O188" s="5" t="inlineStr">
        <is>
          <t>13 Market Place</t>
        </is>
      </c>
      <c r="P188" s="5" t="inlineStr"/>
      <c r="Q188" s="5" t="inlineStr">
        <is>
          <t>Pontefract</t>
        </is>
      </c>
      <c r="R188" s="5" t="inlineStr">
        <is>
          <t>West Yorkshire</t>
        </is>
      </c>
      <c r="S188" s="5" t="inlineStr">
        <is>
          <t>WF8 1AG</t>
        </is>
      </c>
      <c r="T188" s="5" t="inlineStr">
        <is>
          <t>Yorkshire &amp; Humber</t>
        </is>
      </c>
      <c r="U188" s="5" t="inlineStr">
        <is>
          <t>England</t>
        </is>
      </c>
      <c r="V188" s="5" t="inlineStr">
        <is>
          <t>01977 277170</t>
        </is>
      </c>
      <c r="W188" s="5" t="inlineStr"/>
      <c r="X188" s="5" t="inlineStr"/>
      <c r="Y188" s="5" t="inlineStr">
        <is>
          <t>shop@vaparama.co.uk</t>
        </is>
      </c>
      <c r="Z188" s="5" t="inlineStr"/>
      <c r="AA188" s="5" t="inlineStr"/>
      <c r="AB188" s="5" t="inlineStr"/>
      <c r="AC188" s="5" t="inlineStr"/>
      <c r="AD188" s="5" t="inlineStr"/>
      <c r="AE188" s="5" t="inlineStr">
        <is>
          <t>09736212</t>
        </is>
      </c>
      <c r="AF188" s="5" t="inlineStr">
        <is>
          <t>Active</t>
        </is>
      </c>
      <c r="AG188" s="5" t="inlineStr">
        <is>
          <t>VAPARAMA LTD</t>
        </is>
      </c>
      <c r="AH188" s="5" t="inlineStr">
        <is>
          <t>13 Market Place, Pontefract, England, WF8 1AG</t>
        </is>
      </c>
      <c r="AI188" s="5" t="inlineStr">
        <is>
          <t>2015-08-17</t>
        </is>
      </c>
      <c r="AJ188" s="5" t="inlineStr"/>
      <c r="AK188" s="5" t="inlineStr">
        <is>
          <t>e-liquids (own 200+ flavour range); vape hardware; accessories</t>
        </is>
      </c>
      <c r="AL188" s="5" t="inlineStr"/>
      <c r="AM188" s="5" t="inlineStr">
        <is>
          <t>Vape Shop</t>
        </is>
      </c>
      <c r="AN188" s="5" t="inlineStr">
        <is>
          <t>Supplies e-liquid wholesale to other bricks-and-mortar vape stores</t>
        </is>
      </c>
      <c r="AO188" s="5" t="inlineStr">
        <is>
          <t>Established 2014. Yorkshire multi-store chain: Pontefract (HQ/registered office), Wakefield, Featherstone, plus Leeds, Doncaster, Sheffield, Halifax. This is the flagship/registered-office store.</t>
        </is>
      </c>
      <c r="AP188" s="5" t="inlineStr">
        <is>
          <t>High</t>
        </is>
      </c>
      <c r="AQ188" s="5" t="inlineStr">
        <is>
          <t>Multi-site retailer; Core relevant category; Public email available; Active website; Social presence</t>
        </is>
      </c>
      <c r="AR188" s="5" t="inlineStr">
        <is>
          <t>https://find-and-update.company-information.service.gov.uk/company/09736212</t>
        </is>
      </c>
      <c r="AS188" s="5" t="inlineStr">
        <is>
          <t>https://pontefract.cylex-uk.co.uk/company/vaparama-26236284.html</t>
        </is>
      </c>
      <c r="AT188" s="5" t="inlineStr">
        <is>
          <t>4</t>
        </is>
      </c>
      <c r="AU188" s="5" t="inlineStr">
        <is>
          <t>No</t>
        </is>
      </c>
      <c r="AV188" s="5" t="inlineStr">
        <is>
          <t>No</t>
        </is>
      </c>
      <c r="AW188" s="5" t="inlineStr">
        <is>
          <t>No</t>
        </is>
      </c>
      <c r="AX188" s="5" t="inlineStr">
        <is>
          <t>Yes</t>
        </is>
      </c>
      <c r="AY188" s="5" t="inlineStr">
        <is>
          <t>Verified directory</t>
        </is>
      </c>
      <c r="AZ188" s="5" t="inlineStr">
        <is>
          <t>Unverified</t>
        </is>
      </c>
      <c r="BA188" s="5" t="inlineStr">
        <is>
          <t>2026-09-17</t>
        </is>
      </c>
      <c r="BB188" s="5" t="inlineStr">
        <is>
          <t>Partially Verified</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2026-09-17</t>
        </is>
      </c>
      <c r="BL188" s="5" t="inlineStr"/>
      <c r="BM188" s="5" t="inlineStr"/>
      <c r="BN188" s="5" t="inlineStr"/>
      <c r="BO188" s="5" t="inlineStr"/>
      <c r="BP188" s="5" t="inlineStr"/>
      <c r="BQ188" s="5" t="inlineStr"/>
    </row>
    <row r="189">
      <c r="A189" s="10" t="inlineStr">
        <is>
          <t>WY-0038</t>
        </is>
      </c>
      <c r="B189" s="10" t="inlineStr">
        <is>
          <t>VAPARAMA-03</t>
        </is>
      </c>
      <c r="C189" s="10" t="inlineStr">
        <is>
          <t>Vaparama</t>
        </is>
      </c>
      <c r="D189" s="10" t="inlineStr">
        <is>
          <t>Vaparama (Wakefield)</t>
        </is>
      </c>
      <c r="E189" s="10" t="inlineStr">
        <is>
          <t>Vaparama</t>
        </is>
      </c>
      <c r="F189" s="10" t="inlineStr">
        <is>
          <t>Vaparama Ltd</t>
        </is>
      </c>
      <c r="G189" s="10" t="inlineStr">
        <is>
          <t>Vape Shop</t>
        </is>
      </c>
      <c r="H189" s="10" t="inlineStr">
        <is>
          <t>E-liquid specialist / vape retailer</t>
        </is>
      </c>
      <c r="I189" s="10" t="inlineStr">
        <is>
          <t>Regional Chain</t>
        </is>
      </c>
      <c r="J189" s="10" t="inlineStr">
        <is>
          <t>7</t>
        </is>
      </c>
      <c r="K189" s="10" t="inlineStr">
        <is>
          <t>https://www.vaparama.co.uk</t>
        </is>
      </c>
      <c r="L189" s="10" t="inlineStr">
        <is>
          <t>https://www.facebook.com/p/Vaparama-100063743672150/</t>
        </is>
      </c>
      <c r="M189" s="10" t="inlineStr"/>
      <c r="N189" s="10" t="inlineStr"/>
      <c r="O189" s="10" t="inlineStr">
        <is>
          <t>Britannia House, 31 Warrengate</t>
        </is>
      </c>
      <c r="P189" s="10" t="inlineStr"/>
      <c r="Q189" s="10" t="inlineStr">
        <is>
          <t>Wakefield</t>
        </is>
      </c>
      <c r="R189" s="10" t="inlineStr">
        <is>
          <t>West Yorkshire</t>
        </is>
      </c>
      <c r="S189" s="10" t="inlineStr"/>
      <c r="T189" s="10" t="inlineStr">
        <is>
          <t>Yorkshire &amp; Humber</t>
        </is>
      </c>
      <c r="U189" s="10" t="inlineStr">
        <is>
          <t>England</t>
        </is>
      </c>
      <c r="V189" s="10" t="inlineStr"/>
      <c r="W189" s="10" t="inlineStr"/>
      <c r="X189" s="10" t="inlineStr"/>
      <c r="Y189" s="10" t="inlineStr"/>
      <c r="Z189" s="10" t="inlineStr">
        <is>
          <t>shop@vaparama.co.uk</t>
        </is>
      </c>
      <c r="AA189" s="10" t="inlineStr"/>
      <c r="AB189" s="10" t="inlineStr"/>
      <c r="AC189" s="10" t="inlineStr"/>
      <c r="AD189" s="10" t="inlineStr"/>
      <c r="AE189" s="10" t="inlineStr">
        <is>
          <t>09736212</t>
        </is>
      </c>
      <c r="AF189" s="10" t="inlineStr">
        <is>
          <t>Active</t>
        </is>
      </c>
      <c r="AG189" s="10" t="inlineStr">
        <is>
          <t>VAPARAMA LTD</t>
        </is>
      </c>
      <c r="AH189" s="10" t="inlineStr">
        <is>
          <t>13 Market Place, Pontefract, England, WF8 1AG</t>
        </is>
      </c>
      <c r="AI189" s="10" t="inlineStr">
        <is>
          <t>2015-08-17</t>
        </is>
      </c>
      <c r="AJ189" s="10" t="inlineStr"/>
      <c r="AK189" s="10" t="inlineStr">
        <is>
          <t>e-liquids; vape hardware; accessories</t>
        </is>
      </c>
      <c r="AL189" s="10" t="inlineStr"/>
      <c r="AM189" s="10" t="inlineStr">
        <is>
          <t>Vape Shop</t>
        </is>
      </c>
      <c r="AN189" s="10" t="inlineStr"/>
      <c r="AO189" s="10" t="inlineStr">
        <is>
          <t>Wakefield branch of the Vaparama chain (HQ Pontefract). Address from vapemaps directory listing of Vaparama Limited store locations; postcode and branch phone not found.</t>
        </is>
      </c>
      <c r="AP189" s="10" t="inlineStr">
        <is>
          <t>High</t>
        </is>
      </c>
      <c r="AQ189" s="10" t="inlineStr">
        <is>
          <t>Multi-site retailer; Core relevant category; Public email available; Active website; Social presence</t>
        </is>
      </c>
      <c r="AR189" s="10" t="inlineStr">
        <is>
          <t>https://www.vaparama.co.uk/contact/</t>
        </is>
      </c>
      <c r="AS189" s="10" t="inlineStr">
        <is>
          <t>https://find-and-update.company-information.service.gov.uk/company/09736212</t>
        </is>
      </c>
      <c r="AT189" s="10" t="inlineStr">
        <is>
          <t>3</t>
        </is>
      </c>
      <c r="AU189" s="10" t="inlineStr">
        <is>
          <t>No</t>
        </is>
      </c>
      <c r="AV189" s="10" t="inlineStr">
        <is>
          <t>No</t>
        </is>
      </c>
      <c r="AW189" s="10" t="inlineStr">
        <is>
          <t>Yes</t>
        </is>
      </c>
      <c r="AX189" s="10" t="inlineStr">
        <is>
          <t>Yes</t>
        </is>
      </c>
      <c r="AY189" s="10" t="inlineStr">
        <is>
          <t>Not Found</t>
        </is>
      </c>
      <c r="AZ189" s="10" t="inlineStr">
        <is>
          <t>Publicly Listed</t>
        </is>
      </c>
      <c r="BA189" s="10" t="inlineStr">
        <is>
          <t>2026-09-17</t>
        </is>
      </c>
      <c r="BB189" s="10" t="inlineStr">
        <is>
          <t>Partially Verified</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2026-09-16</t>
        </is>
      </c>
      <c r="BJ189" s="10" t="inlineStr">
        <is>
          <t>New</t>
        </is>
      </c>
      <c r="BK189" s="10" t="inlineStr">
        <is>
          <t>2026-09-17</t>
        </is>
      </c>
      <c r="BL189" s="10" t="inlineStr"/>
      <c r="BM189" s="10" t="inlineStr"/>
      <c r="BN189" s="10" t="inlineStr"/>
      <c r="BO189" s="10" t="inlineStr"/>
      <c r="BP189" s="10" t="inlineStr"/>
      <c r="BQ189" s="10" t="inlineStr"/>
    </row>
    <row r="190">
      <c r="A190" s="5" t="inlineStr">
        <is>
          <t>UK-000742</t>
        </is>
      </c>
      <c r="B190" s="5" t="inlineStr">
        <is>
          <t>VAPECITY-01</t>
        </is>
      </c>
      <c r="C190" s="5" t="inlineStr">
        <is>
          <t>Vape City</t>
        </is>
      </c>
      <c r="D190" s="5" t="inlineStr">
        <is>
          <t>Vape City</t>
        </is>
      </c>
      <c r="E190" s="5" t="inlineStr">
        <is>
          <t>Vape City</t>
        </is>
      </c>
      <c r="F190" s="5" t="inlineStr"/>
      <c r="G190" s="5" t="inlineStr">
        <is>
          <t>Vape Shop</t>
        </is>
      </c>
      <c r="H190" s="5" t="inlineStr">
        <is>
          <t>Vape supplier and retailer</t>
        </is>
      </c>
      <c r="I190" s="5" t="inlineStr">
        <is>
          <t>Multi-Site Independent</t>
        </is>
      </c>
      <c r="J190" s="5" t="inlineStr">
        <is>
          <t>2</t>
        </is>
      </c>
      <c r="K190" s="5" t="inlineStr">
        <is>
          <t>https://www.vape-city.co.uk/</t>
        </is>
      </c>
      <c r="L190" s="5" t="inlineStr"/>
      <c r="M190" s="5" t="inlineStr"/>
      <c r="N190" s="5" t="inlineStr"/>
      <c r="O190" s="5" t="inlineStr">
        <is>
          <t>1069 Maryhill Road</t>
        </is>
      </c>
      <c r="P190" s="5" t="inlineStr"/>
      <c r="Q190" s="5" t="inlineStr">
        <is>
          <t>Glasgow</t>
        </is>
      </c>
      <c r="R190" s="5" t="inlineStr">
        <is>
          <t>Glasgow City</t>
        </is>
      </c>
      <c r="S190" s="5" t="inlineStr">
        <is>
          <t>G20 9AX</t>
        </is>
      </c>
      <c r="T190" s="5" t="inlineStr">
        <is>
          <t>Scotland</t>
        </is>
      </c>
      <c r="U190" s="5" t="inlineStr">
        <is>
          <t>Scotland</t>
        </is>
      </c>
      <c r="V190" s="5" t="inlineStr">
        <is>
          <t>0141 946 2117</t>
        </is>
      </c>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vape hardware; e-liquids</t>
        </is>
      </c>
      <c r="AL190" s="5" t="inlineStr"/>
      <c r="AM190" s="5" t="inlineStr">
        <is>
          <t>Vape Shop</t>
        </is>
      </c>
      <c r="AN190" s="5" t="inlineStr">
        <is>
          <t>Describes itself as a supplier of premium vape liquids and hardware; own trade website with store network</t>
        </is>
      </c>
      <c r="AO190" s="5" t="inlineStr">
        <is>
          <t>Independent vape shop/supplier on Maryhill Road (North Glasgow). Own website vape-city.co.uk lists stores and a contact page. Phone and address from Stirling News directory and Cylex listings.</t>
        </is>
      </c>
      <c r="AP190" s="5" t="inlineStr">
        <is>
          <t>High</t>
        </is>
      </c>
      <c r="AQ190" s="5" t="inlineStr">
        <is>
          <t>Multi-site retailer; Independent retailer; Core relevant category; Active website</t>
        </is>
      </c>
      <c r="AR190" s="5" t="inlineStr">
        <is>
          <t>https://www.vape-city.co.uk/contact.php</t>
        </is>
      </c>
      <c r="AS190" s="5" t="inlineStr">
        <is>
          <t>https://directory.stirlingnews.co.uk/company/708651038478336</t>
        </is>
      </c>
      <c r="AT190" s="5" t="inlineStr">
        <is>
          <t>3</t>
        </is>
      </c>
      <c r="AU190" s="5" t="inlineStr">
        <is>
          <t>No</t>
        </is>
      </c>
      <c r="AV190" s="5" t="inlineStr">
        <is>
          <t>No</t>
        </is>
      </c>
      <c r="AW190" s="5" t="inlineStr">
        <is>
          <t>No</t>
        </is>
      </c>
      <c r="AX190" s="5" t="inlineStr">
        <is>
          <t>No</t>
        </is>
      </c>
      <c r="AY190" s="5" t="inlineStr">
        <is>
          <t>Verified directory</t>
        </is>
      </c>
      <c r="AZ190" s="5" t="inlineStr">
        <is>
          <t>Website Found</t>
        </is>
      </c>
      <c r="BA190" s="5" t="inlineStr">
        <is>
          <t>2026-09-17</t>
        </is>
      </c>
      <c r="BB190" s="5" t="inlineStr">
        <is>
          <t>Requires Verification</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2026-09-17</t>
        </is>
      </c>
      <c r="BJ190" s="5" t="inlineStr">
        <is>
          <t>New</t>
        </is>
      </c>
      <c r="BK190" s="5" t="inlineStr">
        <is>
          <t>2026-09-17</t>
        </is>
      </c>
      <c r="BL190" s="5" t="inlineStr"/>
      <c r="BM190" s="5" t="inlineStr"/>
      <c r="BN190" s="5" t="inlineStr"/>
      <c r="BO190" s="5" t="inlineStr"/>
      <c r="BP190" s="5" t="inlineStr"/>
      <c r="BQ190" s="5" t="inlineStr"/>
    </row>
    <row r="191">
      <c r="A191" s="10" t="inlineStr">
        <is>
          <t>UK-000218</t>
        </is>
      </c>
      <c r="B191" s="10" t="inlineStr">
        <is>
          <t>VAPESAFE-01</t>
        </is>
      </c>
      <c r="C191" s="10" t="inlineStr">
        <is>
          <t>Vape Safe</t>
        </is>
      </c>
      <c r="D191" s="10" t="inlineStr">
        <is>
          <t>Vape Safe Whitby</t>
        </is>
      </c>
      <c r="E191" s="10" t="inlineStr">
        <is>
          <t>Vape Safe</t>
        </is>
      </c>
      <c r="F191" s="10" t="inlineStr"/>
      <c r="G191" s="10" t="inlineStr">
        <is>
          <t>Vape Shop</t>
        </is>
      </c>
      <c r="H191" s="10" t="inlineStr">
        <is>
          <t>Premium e-liquids, pods &amp; mods</t>
        </is>
      </c>
      <c r="I191" s="10" t="inlineStr">
        <is>
          <t>Multi-Site Independent</t>
        </is>
      </c>
      <c r="J191" s="10" t="inlineStr">
        <is>
          <t>2</t>
        </is>
      </c>
      <c r="K191" s="10" t="inlineStr">
        <is>
          <t>https://www.vapesafe.net/</t>
        </is>
      </c>
      <c r="L191" s="10" t="inlineStr"/>
      <c r="M191" s="10" t="inlineStr"/>
      <c r="N191" s="10" t="inlineStr"/>
      <c r="O191" s="10" t="inlineStr">
        <is>
          <t>24 Baxtergate</t>
        </is>
      </c>
      <c r="P191" s="10" t="inlineStr"/>
      <c r="Q191" s="10" t="inlineStr">
        <is>
          <t>Whitby</t>
        </is>
      </c>
      <c r="R191" s="10" t="inlineStr">
        <is>
          <t>North Yorkshire</t>
        </is>
      </c>
      <c r="S191" s="10" t="inlineStr">
        <is>
          <t>YO21 1BW</t>
        </is>
      </c>
      <c r="T191" s="10" t="inlineStr">
        <is>
          <t>Yorkshire &amp; Humber</t>
        </is>
      </c>
      <c r="U191" s="10" t="inlineStr">
        <is>
          <t>England</t>
        </is>
      </c>
      <c r="V191" s="10" t="inlineStr">
        <is>
          <t>01947 604873</t>
        </is>
      </c>
      <c r="W191" s="10" t="inlineStr"/>
      <c r="X191" s="10" t="inlineStr"/>
      <c r="Y191" s="10" t="inlineStr"/>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e-liquids; pods; mods</t>
        </is>
      </c>
      <c r="AL191" s="10" t="inlineStr"/>
      <c r="AM191" s="10" t="inlineStr">
        <is>
          <t>Vape Shop</t>
        </is>
      </c>
      <c r="AN191" s="10" t="inlineStr"/>
      <c r="AO191" s="10" t="inlineStr">
        <is>
          <t>Whitby branch of Vape Safe (vapesafe.net), a small independent chain with a second shop in York (8 Stonegate). Address 24 Baxtergate (YO21 1BW) and phone from Vape Shop Near Me directory listing via search snippets.</t>
        </is>
      </c>
      <c r="AP191" s="10" t="inlineStr">
        <is>
          <t>High</t>
        </is>
      </c>
      <c r="AQ191" s="10" t="inlineStr">
        <is>
          <t>Multi-site retailer; Independent retailer; Core relevant category; Active website</t>
        </is>
      </c>
      <c r="AR191" s="10" t="inlineStr">
        <is>
          <t>https://www.vapesafe.net/</t>
        </is>
      </c>
      <c r="AS191" s="10" t="inlineStr">
        <is>
          <t>https://vapeshop-nearme.com/listing/vape-safe-whitby/</t>
        </is>
      </c>
      <c r="AT191" s="10" t="inlineStr">
        <is>
          <t>2</t>
        </is>
      </c>
      <c r="AU191" s="10" t="inlineStr">
        <is>
          <t>No</t>
        </is>
      </c>
      <c r="AV191" s="10" t="inlineStr">
        <is>
          <t>No</t>
        </is>
      </c>
      <c r="AW191" s="10" t="inlineStr">
        <is>
          <t>No</t>
        </is>
      </c>
      <c r="AX191" s="10" t="inlineStr">
        <is>
          <t>No</t>
        </is>
      </c>
      <c r="AY191" s="10" t="inlineStr">
        <is>
          <t>Verified directory</t>
        </is>
      </c>
      <c r="AZ191" s="10" t="inlineStr">
        <is>
          <t>Not Found</t>
        </is>
      </c>
      <c r="BA191" s="10" t="inlineStr">
        <is>
          <t>2026-09-17</t>
        </is>
      </c>
      <c r="BB191" s="10" t="inlineStr">
        <is>
          <t>Requires Verification</t>
        </is>
      </c>
      <c r="BC191" s="10" t="inlineStr">
        <is>
          <t>Low</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2026-09-17</t>
        </is>
      </c>
      <c r="BL191" s="10" t="inlineStr"/>
      <c r="BM191" s="10" t="inlineStr"/>
      <c r="BN191" s="10" t="inlineStr"/>
      <c r="BO191" s="10" t="inlineStr"/>
      <c r="BP191" s="10" t="inlineStr"/>
      <c r="BQ191" s="10" t="inlineStr"/>
    </row>
    <row r="192">
      <c r="A192" s="5" t="inlineStr">
        <is>
          <t>UK-000219</t>
        </is>
      </c>
      <c r="B192" s="5" t="inlineStr">
        <is>
          <t>VAPESAFE-02</t>
        </is>
      </c>
      <c r="C192" s="5" t="inlineStr">
        <is>
          <t>Vape Safe</t>
        </is>
      </c>
      <c r="D192" s="5" t="inlineStr">
        <is>
          <t>Vape Safe York</t>
        </is>
      </c>
      <c r="E192" s="5" t="inlineStr">
        <is>
          <t>Vape Safe</t>
        </is>
      </c>
      <c r="F192" s="5" t="inlineStr"/>
      <c r="G192" s="5" t="inlineStr">
        <is>
          <t>Vape Shop</t>
        </is>
      </c>
      <c r="H192" s="5" t="inlineStr">
        <is>
          <t>Premium e-liquids, pods &amp; mods</t>
        </is>
      </c>
      <c r="I192" s="5" t="inlineStr">
        <is>
          <t>Multi-Site Independent</t>
        </is>
      </c>
      <c r="J192" s="5" t="inlineStr">
        <is>
          <t>2</t>
        </is>
      </c>
      <c r="K192" s="5" t="inlineStr">
        <is>
          <t>https://www.vapesafe.net/</t>
        </is>
      </c>
      <c r="L192" s="5" t="inlineStr"/>
      <c r="M192" s="5" t="inlineStr"/>
      <c r="N192" s="5" t="inlineStr"/>
      <c r="O192" s="5" t="inlineStr">
        <is>
          <t>8 Stonegate</t>
        </is>
      </c>
      <c r="P192" s="5" t="inlineStr"/>
      <c r="Q192" s="5" t="inlineStr">
        <is>
          <t>York</t>
        </is>
      </c>
      <c r="R192" s="5" t="inlineStr">
        <is>
          <t>North Yorkshire</t>
        </is>
      </c>
      <c r="S192" s="5" t="inlineStr">
        <is>
          <t>YO1 8AX</t>
        </is>
      </c>
      <c r="T192" s="5" t="inlineStr">
        <is>
          <t>Yorkshire &amp; Humber</t>
        </is>
      </c>
      <c r="U192" s="5" t="inlineStr">
        <is>
          <t>England</t>
        </is>
      </c>
      <c r="V192" s="5" t="inlineStr">
        <is>
          <t>01904 848488</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premium e-liquids; pods; mods; disposables</t>
        </is>
      </c>
      <c r="AL192" s="5" t="inlineStr"/>
      <c r="AM192" s="5" t="inlineStr">
        <is>
          <t>Vape Shop</t>
        </is>
      </c>
      <c r="AN192" s="5" t="inlineStr"/>
      <c r="AO192" s="5" t="inlineStr">
        <is>
          <t>York city-centre branch of Vape Safe (vapesafe.net), 8 Stonegate (YO1 8AX). Second location of the Vape Safe chain (also Whitby). Address/phone from eCig Directory / Cylex York listings via search snippets.</t>
        </is>
      </c>
      <c r="AP192" s="5" t="inlineStr">
        <is>
          <t>High</t>
        </is>
      </c>
      <c r="AQ192" s="5" t="inlineStr">
        <is>
          <t>Multi-site retailer; Independent retailer; Core relevant category; Active website</t>
        </is>
      </c>
      <c r="AR192" s="5" t="inlineStr">
        <is>
          <t>https://www.vapesafe.net/</t>
        </is>
      </c>
      <c r="AS192" s="5" t="inlineStr">
        <is>
          <t>https://ecigdirectory.co.uk/vape-shop/listing/vape-safe-york</t>
        </is>
      </c>
      <c r="AT192" s="5" t="inlineStr">
        <is>
          <t>2</t>
        </is>
      </c>
      <c r="AU192" s="5" t="inlineStr">
        <is>
          <t>No</t>
        </is>
      </c>
      <c r="AV192" s="5" t="inlineStr">
        <is>
          <t>No</t>
        </is>
      </c>
      <c r="AW192" s="5" t="inlineStr">
        <is>
          <t>No</t>
        </is>
      </c>
      <c r="AX192" s="5" t="inlineStr">
        <is>
          <t>No</t>
        </is>
      </c>
      <c r="AY192" s="5" t="inlineStr">
        <is>
          <t>Verified directory</t>
        </is>
      </c>
      <c r="AZ192" s="5" t="inlineStr">
        <is>
          <t>Website Found</t>
        </is>
      </c>
      <c r="BA192" s="5" t="inlineStr">
        <is>
          <t>2026-09-17</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2026-09-16</t>
        </is>
      </c>
      <c r="BJ192" s="5" t="inlineStr">
        <is>
          <t>New</t>
        </is>
      </c>
      <c r="BK192" s="5" t="inlineStr">
        <is>
          <t>2026-09-17</t>
        </is>
      </c>
      <c r="BL192" s="5" t="inlineStr"/>
      <c r="BM192" s="5" t="inlineStr"/>
      <c r="BN192" s="5" t="inlineStr"/>
      <c r="BO192" s="5" t="inlineStr"/>
      <c r="BP192" s="5" t="inlineStr"/>
      <c r="BQ192" s="5" t="inlineStr"/>
    </row>
    <row r="193">
      <c r="A193" s="10" t="inlineStr">
        <is>
          <t>UK-000220</t>
        </is>
      </c>
      <c r="B193" s="10" t="inlineStr">
        <is>
          <t>VAPESHACK-01</t>
        </is>
      </c>
      <c r="C193" s="10" t="inlineStr">
        <is>
          <t>Vape Shack</t>
        </is>
      </c>
      <c r="D193" s="10" t="inlineStr">
        <is>
          <t>The Vape Shack Beverley</t>
        </is>
      </c>
      <c r="E193" s="10" t="inlineStr">
        <is>
          <t>The Vape Shack</t>
        </is>
      </c>
      <c r="F193" s="10" t="inlineStr"/>
      <c r="G193" s="10" t="inlineStr">
        <is>
          <t>Vape Shop</t>
        </is>
      </c>
      <c r="H193" s="10" t="inlineStr">
        <is>
          <t>E-liquid and e-cigarette shop</t>
        </is>
      </c>
      <c r="I193" s="10" t="inlineStr">
        <is>
          <t>Multi-Site Independent</t>
        </is>
      </c>
      <c r="J193" s="10" t="inlineStr">
        <is>
          <t>2</t>
        </is>
      </c>
      <c r="K193" s="10" t="inlineStr">
        <is>
          <t>https://www.vape-shack.co.uk</t>
        </is>
      </c>
      <c r="L193" s="10" t="inlineStr">
        <is>
          <t>https://www.facebook.com/thevapeshackbeverley/</t>
        </is>
      </c>
      <c r="M193" s="10" t="inlineStr"/>
      <c r="N193" s="10" t="inlineStr"/>
      <c r="O193" s="10" t="inlineStr">
        <is>
          <t>7 Sow Hill Road</t>
        </is>
      </c>
      <c r="P193" s="10" t="inlineStr">
        <is>
          <t>Beverley Bus Station</t>
        </is>
      </c>
      <c r="Q193" s="10" t="inlineStr">
        <is>
          <t>Beverley</t>
        </is>
      </c>
      <c r="R193" s="10" t="inlineStr">
        <is>
          <t>East Riding of Yorkshire</t>
        </is>
      </c>
      <c r="S193" s="10" t="inlineStr">
        <is>
          <t>HU17 8BG</t>
        </is>
      </c>
      <c r="T193" s="10" t="inlineStr">
        <is>
          <t>Yorkshire &amp; Humber</t>
        </is>
      </c>
      <c r="U193" s="10" t="inlineStr">
        <is>
          <t>England</t>
        </is>
      </c>
      <c r="V193" s="10" t="inlineStr">
        <is>
          <t>07359 267997</t>
        </is>
      </c>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e-liquids; e-cigarettes; filters; disposables</t>
        </is>
      </c>
      <c r="AL193" s="10" t="inlineStr"/>
      <c r="AM193" s="10" t="inlineStr">
        <is>
          <t>Vape Shop</t>
        </is>
      </c>
      <c r="AN193" s="10" t="inlineStr"/>
      <c r="AO193" s="10" t="inlineStr">
        <is>
          <t>Beverley store of Vape Shack (own website vape-shack.co.uk). A separately-branded 'Vape Shack Immingham' operates at 70 Pelham Rd; shared parent inferred from common brand/name — link not independently confirmed.</t>
        </is>
      </c>
      <c r="AP193" s="10" t="inlineStr">
        <is>
          <t>High</t>
        </is>
      </c>
      <c r="AQ193" s="10" t="inlineStr">
        <is>
          <t>Multi-site retailer; Independent retailer; Core relevant category; Active website; Social presence</t>
        </is>
      </c>
      <c r="AR193" s="10" t="inlineStr">
        <is>
          <t>https://www.vape-shack.co.uk/</t>
        </is>
      </c>
      <c r="AS193" s="10" t="inlineStr">
        <is>
          <t>https://find-open.co.uk/beverley/the-vape-shack-beverley-3114235</t>
        </is>
      </c>
      <c r="AT193" s="10" t="inlineStr">
        <is>
          <t>2</t>
        </is>
      </c>
      <c r="AU193" s="10" t="inlineStr">
        <is>
          <t>Yes</t>
        </is>
      </c>
      <c r="AV193" s="10" t="inlineStr">
        <is>
          <t>No</t>
        </is>
      </c>
      <c r="AW193" s="10" t="inlineStr">
        <is>
          <t>No</t>
        </is>
      </c>
      <c r="AX193" s="10" t="inlineStr">
        <is>
          <t>No</t>
        </is>
      </c>
      <c r="AY193" s="10" t="inlineStr">
        <is>
          <t>Verified directory</t>
        </is>
      </c>
      <c r="AZ193" s="10" t="inlineStr">
        <is>
          <t>Not Found</t>
        </is>
      </c>
      <c r="BA193" s="10" t="inlineStr">
        <is>
          <t>2026-09-17</t>
        </is>
      </c>
      <c r="BB193" s="10" t="inlineStr">
        <is>
          <t>Partially Verified</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2026-09-17</t>
        </is>
      </c>
      <c r="BL193" s="10" t="inlineStr"/>
      <c r="BM193" s="10" t="inlineStr"/>
      <c r="BN193" s="10" t="inlineStr"/>
      <c r="BO193" s="10" t="inlineStr"/>
      <c r="BP193" s="10" t="inlineStr"/>
      <c r="BQ193" s="10" t="inlineStr"/>
    </row>
    <row r="194">
      <c r="A194" s="5" t="inlineStr">
        <is>
          <t>UK-000221</t>
        </is>
      </c>
      <c r="B194" s="5" t="inlineStr">
        <is>
          <t>VAPESHACK-02</t>
        </is>
      </c>
      <c r="C194" s="5" t="inlineStr">
        <is>
          <t>Vape Shack</t>
        </is>
      </c>
      <c r="D194" s="5" t="inlineStr">
        <is>
          <t>Vape Shack Immingham</t>
        </is>
      </c>
      <c r="E194" s="5" t="inlineStr">
        <is>
          <t>Vape Shack</t>
        </is>
      </c>
      <c r="F194" s="5" t="inlineStr"/>
      <c r="G194" s="5" t="inlineStr">
        <is>
          <t>Vape Shop</t>
        </is>
      </c>
      <c r="H194" s="5" t="inlineStr">
        <is>
          <t>Vape shop</t>
        </is>
      </c>
      <c r="I194" s="5" t="inlineStr">
        <is>
          <t>Multi-Site Independent</t>
        </is>
      </c>
      <c r="J194" s="5" t="inlineStr">
        <is>
          <t>2</t>
        </is>
      </c>
      <c r="K194" s="5" t="inlineStr"/>
      <c r="L194" s="5" t="inlineStr">
        <is>
          <t>https://www.facebook.com/vapeshackimmingham/</t>
        </is>
      </c>
      <c r="M194" s="5" t="inlineStr"/>
      <c r="N194" s="5" t="inlineStr"/>
      <c r="O194" s="5" t="inlineStr">
        <is>
          <t>70 Pelham Road</t>
        </is>
      </c>
      <c r="P194" s="5" t="inlineStr"/>
      <c r="Q194" s="5" t="inlineStr">
        <is>
          <t>Immingham</t>
        </is>
      </c>
      <c r="R194" s="5" t="inlineStr">
        <is>
          <t>Lincolnshire</t>
        </is>
      </c>
      <c r="S194" s="5" t="inlineStr"/>
      <c r="T194" s="5" t="inlineStr">
        <is>
          <t>Yorkshire &amp; Humber</t>
        </is>
      </c>
      <c r="U194" s="5" t="inlineStr">
        <is>
          <t>England</t>
        </is>
      </c>
      <c r="V194" s="5" t="inlineStr">
        <is>
          <t>01469 577493</t>
        </is>
      </c>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disposables; kits; e-liquids; vape hardware</t>
        </is>
      </c>
      <c r="AL194" s="5" t="inlineStr"/>
      <c r="AM194" s="5" t="inlineStr">
        <is>
          <t>Vape Shop</t>
        </is>
      </c>
      <c r="AN194" s="5" t="inlineStr"/>
      <c r="AO194" s="5" t="inlineStr">
        <is>
          <t>Immingham store trading as Vape Shack. Shared parent with The Vape Shack Beverley inferred from brand/name; link not independently confirmed. No postcode in search results.</t>
        </is>
      </c>
      <c r="AP194" s="5" t="inlineStr">
        <is>
          <t>High</t>
        </is>
      </c>
      <c r="AQ194" s="5" t="inlineStr">
        <is>
          <t>Multi-site retailer; Independent retailer; Core relevant category; Social presence</t>
        </is>
      </c>
      <c r="AR194" s="5" t="inlineStr">
        <is>
          <t>https://www.facebook.com/vapeshackimmingham/</t>
        </is>
      </c>
      <c r="AS194" s="5" t="inlineStr">
        <is>
          <t>https://www.thomsonlocal.com/search/smoking-cessation/brigg-south-humberside/vape-shack-immingham/3239866/01469577493</t>
        </is>
      </c>
      <c r="AT194" s="5" t="inlineStr">
        <is>
          <t>2</t>
        </is>
      </c>
      <c r="AU194" s="5" t="inlineStr">
        <is>
          <t>No</t>
        </is>
      </c>
      <c r="AV194" s="5" t="inlineStr">
        <is>
          <t>No</t>
        </is>
      </c>
      <c r="AW194" s="5" t="inlineStr">
        <is>
          <t>No</t>
        </is>
      </c>
      <c r="AX194" s="5" t="inlineStr">
        <is>
          <t>No</t>
        </is>
      </c>
      <c r="AY194" s="5" t="inlineStr">
        <is>
          <t>Verified directory</t>
        </is>
      </c>
      <c r="AZ194" s="5" t="inlineStr">
        <is>
          <t>Not Found</t>
        </is>
      </c>
      <c r="BA194" s="5" t="inlineStr">
        <is>
          <t>2026-09-17</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2026-09-17</t>
        </is>
      </c>
      <c r="BL194" s="5" t="inlineStr"/>
      <c r="BM194" s="5" t="inlineStr"/>
      <c r="BN194" s="5" t="inlineStr"/>
      <c r="BO194" s="5" t="inlineStr"/>
      <c r="BP194" s="5" t="inlineStr"/>
      <c r="BQ194" s="5" t="inlineStr"/>
    </row>
    <row r="195">
      <c r="A195" s="10" t="inlineStr">
        <is>
          <t>UK-000450</t>
        </is>
      </c>
      <c r="B195" s="10" t="inlineStr">
        <is>
          <t>VAPESHOPBI-01</t>
        </is>
      </c>
      <c r="C195" s="10" t="inlineStr">
        <is>
          <t>Vape Shop Birmingham</t>
        </is>
      </c>
      <c r="D195" s="10" t="inlineStr">
        <is>
          <t>Vape Shop Birmingham</t>
        </is>
      </c>
      <c r="E195" s="10" t="inlineStr">
        <is>
          <t>Vape Shop Birmingham</t>
        </is>
      </c>
      <c r="F195" s="10" t="inlineStr"/>
      <c r="G195" s="10" t="inlineStr">
        <is>
          <t>Vape Shop</t>
        </is>
      </c>
      <c r="H195" s="10" t="inlineStr">
        <is>
          <t>Vape hardware and e-liquid retailer</t>
        </is>
      </c>
      <c r="I195" s="10" t="inlineStr">
        <is>
          <t>Regional Chain</t>
        </is>
      </c>
      <c r="J195" s="10" t="inlineStr">
        <is>
          <t>3</t>
        </is>
      </c>
      <c r="K195" s="10" t="inlineStr">
        <is>
          <t>https://vapeshopbirmingham.co.uk/</t>
        </is>
      </c>
      <c r="L195" s="10" t="inlineStr"/>
      <c r="M195" s="10" t="inlineStr"/>
      <c r="N195" s="10" t="inlineStr"/>
      <c r="O195" s="10" t="inlineStr">
        <is>
          <t>19 Great Western Arcade</t>
        </is>
      </c>
      <c r="P195" s="10" t="inlineStr">
        <is>
          <t>Colmore Row, City Centre</t>
        </is>
      </c>
      <c r="Q195" s="10" t="inlineStr">
        <is>
          <t>Birmingham</t>
        </is>
      </c>
      <c r="R195" s="10" t="inlineStr">
        <is>
          <t>West Midlands</t>
        </is>
      </c>
      <c r="S195" s="10" t="inlineStr">
        <is>
          <t>B2 5HU</t>
        </is>
      </c>
      <c r="T195" s="10" t="inlineStr">
        <is>
          <t>West Midlands</t>
        </is>
      </c>
      <c r="U195" s="10" t="inlineStr">
        <is>
          <t>England</t>
        </is>
      </c>
      <c r="V195" s="10" t="inlineStr"/>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vape hardware; e-liquids</t>
        </is>
      </c>
      <c r="AL195" s="10" t="inlineStr"/>
      <c r="AM195" s="10" t="inlineStr">
        <is>
          <t>Vape Shop</t>
        </is>
      </c>
      <c r="AN195" s="10" t="inlineStr"/>
      <c r="AO195" s="10" t="inlineStr">
        <is>
          <t>Birmingham-based multi-site vape retailer with a store-locator page listing city-centre branches (Great Western Arcade and Pinfold Street/Ethel Street). Website not fetched (WebFetch blocked).</t>
        </is>
      </c>
      <c r="AP195" s="10" t="inlineStr">
        <is>
          <t>Medium</t>
        </is>
      </c>
      <c r="AQ195" s="10" t="inlineStr">
        <is>
          <t>Multi-site retailer; Core relevant category; Active website</t>
        </is>
      </c>
      <c r="AR195" s="10" t="inlineStr">
        <is>
          <t>https://vapeshopbirmingham.co.uk/pages/birmingham-city-centre</t>
        </is>
      </c>
      <c r="AS195" s="10" t="inlineStr">
        <is>
          <t>https://vapeshopbirmingham.co.uk/pages/store-locator</t>
        </is>
      </c>
      <c r="AT195" s="10" t="inlineStr">
        <is>
          <t>2</t>
        </is>
      </c>
      <c r="AU195" s="10" t="inlineStr">
        <is>
          <t>No</t>
        </is>
      </c>
      <c r="AV195" s="10" t="inlineStr">
        <is>
          <t>No</t>
        </is>
      </c>
      <c r="AW195" s="10" t="inlineStr">
        <is>
          <t>No</t>
        </is>
      </c>
      <c r="AX195" s="10" t="inlineStr">
        <is>
          <t>No</t>
        </is>
      </c>
      <c r="AY195" s="10" t="inlineStr">
        <is>
          <t>Not Found</t>
        </is>
      </c>
      <c r="AZ195" s="10" t="inlineStr">
        <is>
          <t>Website Found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UK-000222</t>
        </is>
      </c>
      <c r="B196" s="5" t="inlineStr">
        <is>
          <t>VAPESHOPGU-01</t>
        </is>
      </c>
      <c r="C196" s="5" t="inlineStr">
        <is>
          <t>Vape Shop Guy</t>
        </is>
      </c>
      <c r="D196" s="5" t="inlineStr">
        <is>
          <t>Vape Shop Guy Boroughbridge</t>
        </is>
      </c>
      <c r="E196" s="5" t="inlineStr">
        <is>
          <t>Vape Shop Guy</t>
        </is>
      </c>
      <c r="F196" s="5" t="inlineStr"/>
      <c r="G196" s="5" t="inlineStr">
        <is>
          <t>Vape Shop</t>
        </is>
      </c>
      <c r="H196" s="5" t="inlineStr">
        <is>
          <t>Vaping products &amp; e-liquids</t>
        </is>
      </c>
      <c r="I196" s="5" t="inlineStr">
        <is>
          <t>Multi-Site Independent</t>
        </is>
      </c>
      <c r="J196" s="5" t="inlineStr">
        <is>
          <t>4</t>
        </is>
      </c>
      <c r="K196" s="5" t="inlineStr">
        <is>
          <t>https://vapeshopguy.co.uk/</t>
        </is>
      </c>
      <c r="L196" s="5" t="inlineStr"/>
      <c r="M196" s="5" t="inlineStr"/>
      <c r="N196" s="5" t="inlineStr"/>
      <c r="O196" s="5" t="inlineStr">
        <is>
          <t>34 High Street</t>
        </is>
      </c>
      <c r="P196" s="5" t="inlineStr"/>
      <c r="Q196" s="5" t="inlineStr">
        <is>
          <t>Boroughbridge</t>
        </is>
      </c>
      <c r="R196" s="5" t="inlineStr">
        <is>
          <t>North Yorkshire</t>
        </is>
      </c>
      <c r="S196" s="5" t="inlineStr"/>
      <c r="T196" s="5" t="inlineStr">
        <is>
          <t>Yorkshire &amp; Humber</t>
        </is>
      </c>
      <c r="U196" s="5" t="inlineStr">
        <is>
          <t>England</t>
        </is>
      </c>
      <c r="V196" s="5" t="inlineStr">
        <is>
          <t>01423 325924</t>
        </is>
      </c>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vape hardware; e-liquids; disposables</t>
        </is>
      </c>
      <c r="AL196" s="5" t="inlineStr"/>
      <c r="AM196" s="5" t="inlineStr">
        <is>
          <t>Vape Shop</t>
        </is>
      </c>
      <c r="AN196" s="5" t="inlineStr"/>
      <c r="AO196" s="5" t="inlineStr">
        <is>
          <t>Boroughbridge branch of the Vape Shop Guy group (vapeshopguy.co.uk). Address 34 High Street and phone from the group's own Locations/Contact pages via search snippets; full postcode not surfaced (YO51 area).</t>
        </is>
      </c>
      <c r="AP196" s="5" t="inlineStr">
        <is>
          <t>High</t>
        </is>
      </c>
      <c r="AQ196" s="5" t="inlineStr">
        <is>
          <t>Multi-site retailer; Independent retailer; Core relevant category; Active website; Phone verified on official website</t>
        </is>
      </c>
      <c r="AR196" s="5" t="inlineStr">
        <is>
          <t>https://vapeshopguy.co.uk/locations</t>
        </is>
      </c>
      <c r="AS196" s="5" t="inlineStr"/>
      <c r="AT196" s="5" t="inlineStr">
        <is>
          <t>1</t>
        </is>
      </c>
      <c r="AU196" s="5" t="inlineStr">
        <is>
          <t>No</t>
        </is>
      </c>
      <c r="AV196" s="5" t="inlineStr">
        <is>
          <t>No</t>
        </is>
      </c>
      <c r="AW196" s="5" t="inlineStr">
        <is>
          <t>No</t>
        </is>
      </c>
      <c r="AX196" s="5" t="inlineStr">
        <is>
          <t>No</t>
        </is>
      </c>
      <c r="AY196" s="5" t="inlineStr">
        <is>
          <t>Verified on official website</t>
        </is>
      </c>
      <c r="AZ196" s="5" t="inlineStr">
        <is>
          <t>Website Found</t>
        </is>
      </c>
      <c r="BA196" s="5" t="inlineStr">
        <is>
          <t>2026-09-17</t>
        </is>
      </c>
      <c r="BB196" s="5" t="inlineStr">
        <is>
          <t>Requires Verification</t>
        </is>
      </c>
      <c r="BC196" s="5" t="inlineStr">
        <is>
          <t>Medium</t>
        </is>
      </c>
      <c r="BD196" s="5" t="inlineStr"/>
      <c r="BE196" s="5" t="inlineStr">
        <is>
          <t>Business (B2B)</t>
        </is>
      </c>
      <c r="BF196" s="5" t="inlineStr">
        <is>
          <t>Legitimate interest (B2B) - assess per campaign; PECR: corporate subscribers</t>
        </is>
      </c>
      <c r="BG196" s="5" t="inlineStr"/>
      <c r="BH196" s="5" t="inlineStr">
        <is>
          <t>No</t>
        </is>
      </c>
      <c r="BI196" s="5" t="inlineStr">
        <is>
          <t>2026-09-16</t>
        </is>
      </c>
      <c r="BJ196" s="5" t="inlineStr">
        <is>
          <t>New</t>
        </is>
      </c>
      <c r="BK196" s="5" t="inlineStr">
        <is>
          <t>2026-09-17</t>
        </is>
      </c>
      <c r="BL196" s="5" t="inlineStr"/>
      <c r="BM196" s="5" t="inlineStr"/>
      <c r="BN196" s="5" t="inlineStr"/>
      <c r="BO196" s="5" t="inlineStr"/>
      <c r="BP196" s="5" t="inlineStr"/>
      <c r="BQ196" s="5" t="inlineStr"/>
    </row>
    <row r="197">
      <c r="A197" s="10" t="inlineStr">
        <is>
          <t>UK-000223</t>
        </is>
      </c>
      <c r="B197" s="10" t="inlineStr">
        <is>
          <t>VAPESHOPGU-02</t>
        </is>
      </c>
      <c r="C197" s="10" t="inlineStr">
        <is>
          <t>Vape Shop Guy</t>
        </is>
      </c>
      <c r="D197" s="10" t="inlineStr">
        <is>
          <t>Vape Shop Guy Ripon</t>
        </is>
      </c>
      <c r="E197" s="10" t="inlineStr">
        <is>
          <t>Vape Shop Guy</t>
        </is>
      </c>
      <c r="F197" s="10" t="inlineStr">
        <is>
          <t>Vape Shop Guy Ripon Ltd</t>
        </is>
      </c>
      <c r="G197" s="10" t="inlineStr">
        <is>
          <t>Vape Shop</t>
        </is>
      </c>
      <c r="H197" s="10" t="inlineStr">
        <is>
          <t>Vaping products &amp; e-liquids</t>
        </is>
      </c>
      <c r="I197" s="10" t="inlineStr">
        <is>
          <t>Multi-Site Independent</t>
        </is>
      </c>
      <c r="J197" s="10" t="inlineStr">
        <is>
          <t>4</t>
        </is>
      </c>
      <c r="K197" s="10" t="inlineStr">
        <is>
          <t>https://vapeshopguy.co.uk/</t>
        </is>
      </c>
      <c r="L197" s="10" t="inlineStr"/>
      <c r="M197" s="10" t="inlineStr"/>
      <c r="N197" s="10" t="inlineStr"/>
      <c r="O197" s="10" t="inlineStr">
        <is>
          <t>4 North Street</t>
        </is>
      </c>
      <c r="P197" s="10" t="inlineStr"/>
      <c r="Q197" s="10" t="inlineStr">
        <is>
          <t>Ripon</t>
        </is>
      </c>
      <c r="R197" s="10" t="inlineStr">
        <is>
          <t>North Yorkshire</t>
        </is>
      </c>
      <c r="S197" s="10" t="inlineStr"/>
      <c r="T197" s="10" t="inlineStr">
        <is>
          <t>Yorkshire &amp; Humber</t>
        </is>
      </c>
      <c r="U197" s="10" t="inlineStr">
        <is>
          <t>England</t>
        </is>
      </c>
      <c r="V197" s="10" t="inlineStr"/>
      <c r="W197" s="10" t="inlineStr"/>
      <c r="X197" s="10" t="inlineStr"/>
      <c r="Y197" s="10" t="inlineStr"/>
      <c r="Z197" s="10" t="inlineStr"/>
      <c r="AA197" s="10" t="inlineStr"/>
      <c r="AB197" s="10" t="inlineStr"/>
      <c r="AC197" s="10" t="inlineStr"/>
      <c r="AD197" s="10" t="inlineStr"/>
      <c r="AE197" s="10" t="inlineStr">
        <is>
          <t>16398053</t>
        </is>
      </c>
      <c r="AF197" s="10" t="inlineStr"/>
      <c r="AG197" s="10" t="inlineStr">
        <is>
          <t>VAPE SHOP GUY RIPON LTD</t>
        </is>
      </c>
      <c r="AH197" s="10" t="inlineStr"/>
      <c r="AI197" s="10" t="inlineStr"/>
      <c r="AJ197" s="10" t="inlineStr"/>
      <c r="AK197" s="10" t="inlineStr">
        <is>
          <t>vape hardware; e-liquids; disposables</t>
        </is>
      </c>
      <c r="AL197" s="10" t="inlineStr"/>
      <c r="AM197" s="10" t="inlineStr">
        <is>
          <t>Vape Shop</t>
        </is>
      </c>
      <c r="AN197" s="10" t="inlineStr"/>
      <c r="AO197" s="10" t="inlineStr">
        <is>
          <t>Ripon branch of the Vape Shop Guy group at 4 North Street. Companies House match VAPE SHOP GUY RIPON LTD (no. 16398053) surfaced in search results; CH page not opened so status/incorporation left blank.</t>
        </is>
      </c>
      <c r="AP197" s="10" t="inlineStr">
        <is>
          <t>High</t>
        </is>
      </c>
      <c r="AQ197" s="10" t="inlineStr">
        <is>
          <t>Multi-site retailer; Independent retailer; Core relevant category; Active website</t>
        </is>
      </c>
      <c r="AR197" s="10" t="inlineStr">
        <is>
          <t>https://vapeshopguy.co.uk/locations</t>
        </is>
      </c>
      <c r="AS197" s="10" t="inlineStr">
        <is>
          <t>https://find-and-update.company-information.service.gov.uk/company/16398053</t>
        </is>
      </c>
      <c r="AT197" s="10" t="inlineStr">
        <is>
          <t>2</t>
        </is>
      </c>
      <c r="AU197" s="10" t="inlineStr">
        <is>
          <t>No</t>
        </is>
      </c>
      <c r="AV197" s="10" t="inlineStr">
        <is>
          <t>No</t>
        </is>
      </c>
      <c r="AW197" s="10" t="inlineStr">
        <is>
          <t>No</t>
        </is>
      </c>
      <c r="AX197" s="10" t="inlineStr">
        <is>
          <t>No</t>
        </is>
      </c>
      <c r="AY197" s="10" t="inlineStr">
        <is>
          <t>Not Found</t>
        </is>
      </c>
      <c r="AZ197" s="10" t="inlineStr">
        <is>
          <t>Website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2026-09-16</t>
        </is>
      </c>
      <c r="BJ197" s="10" t="inlineStr">
        <is>
          <t>New</t>
        </is>
      </c>
      <c r="BK197" s="10" t="inlineStr">
        <is>
          <t>2026-09-17</t>
        </is>
      </c>
      <c r="BL197" s="10" t="inlineStr"/>
      <c r="BM197" s="10" t="inlineStr"/>
      <c r="BN197" s="10" t="inlineStr"/>
      <c r="BO197" s="10" t="inlineStr"/>
      <c r="BP197" s="10" t="inlineStr"/>
      <c r="BQ197" s="10" t="inlineStr"/>
    </row>
    <row r="198">
      <c r="A198" s="5" t="inlineStr">
        <is>
          <t>UK-000224</t>
        </is>
      </c>
      <c r="B198" s="5" t="inlineStr">
        <is>
          <t>VAPESHOPGU-03</t>
        </is>
      </c>
      <c r="C198" s="5" t="inlineStr">
        <is>
          <t>Vape Shop Guy</t>
        </is>
      </c>
      <c r="D198" s="5" t="inlineStr">
        <is>
          <t>Vape Shop Guy Thirsk</t>
        </is>
      </c>
      <c r="E198" s="5" t="inlineStr">
        <is>
          <t>Vape Shop Guy</t>
        </is>
      </c>
      <c r="F198" s="5" t="inlineStr">
        <is>
          <t>Vape Shop Guy Thirsk Ltd</t>
        </is>
      </c>
      <c r="G198" s="5" t="inlineStr">
        <is>
          <t>Vape Shop</t>
        </is>
      </c>
      <c r="H198" s="5" t="inlineStr">
        <is>
          <t>Vaping products &amp; e-liquids</t>
        </is>
      </c>
      <c r="I198" s="5" t="inlineStr">
        <is>
          <t>Multi-Site Independent</t>
        </is>
      </c>
      <c r="J198" s="5" t="inlineStr">
        <is>
          <t>4</t>
        </is>
      </c>
      <c r="K198" s="5" t="inlineStr">
        <is>
          <t>https://vapeshopguy.co.uk/</t>
        </is>
      </c>
      <c r="L198" s="5" t="inlineStr"/>
      <c r="M198" s="5" t="inlineStr"/>
      <c r="N198" s="5" t="inlineStr"/>
      <c r="O198" s="5" t="inlineStr">
        <is>
          <t>2 Millgate</t>
        </is>
      </c>
      <c r="P198" s="5" t="inlineStr"/>
      <c r="Q198" s="5" t="inlineStr">
        <is>
          <t>Thirsk</t>
        </is>
      </c>
      <c r="R198" s="5" t="inlineStr">
        <is>
          <t>North Yorkshire</t>
        </is>
      </c>
      <c r="S198" s="5" t="inlineStr"/>
      <c r="T198" s="5" t="inlineStr">
        <is>
          <t>Yorkshire &amp; Humber</t>
        </is>
      </c>
      <c r="U198" s="5" t="inlineStr">
        <is>
          <t>England</t>
        </is>
      </c>
      <c r="V198" s="5" t="inlineStr"/>
      <c r="W198" s="5" t="inlineStr"/>
      <c r="X198" s="5" t="inlineStr"/>
      <c r="Y198" s="5" t="inlineStr"/>
      <c r="Z198" s="5" t="inlineStr"/>
      <c r="AA198" s="5" t="inlineStr"/>
      <c r="AB198" s="5" t="inlineStr"/>
      <c r="AC198" s="5" t="inlineStr"/>
      <c r="AD198" s="5" t="inlineStr"/>
      <c r="AE198" s="5" t="inlineStr">
        <is>
          <t>15869863</t>
        </is>
      </c>
      <c r="AF198" s="5" t="inlineStr"/>
      <c r="AG198" s="5" t="inlineStr">
        <is>
          <t>VAPE SHOP GUY THIRSK LTD</t>
        </is>
      </c>
      <c r="AH198" s="5" t="inlineStr"/>
      <c r="AI198" s="5" t="inlineStr"/>
      <c r="AJ198" s="5" t="inlineStr"/>
      <c r="AK198" s="5" t="inlineStr">
        <is>
          <t>vape hardware; e-liquids; disposables</t>
        </is>
      </c>
      <c r="AL198" s="5" t="inlineStr"/>
      <c r="AM198" s="5" t="inlineStr">
        <is>
          <t>Vape Shop</t>
        </is>
      </c>
      <c r="AN198" s="5" t="inlineStr"/>
      <c r="AO198" s="5"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198" s="5" t="inlineStr">
        <is>
          <t>High</t>
        </is>
      </c>
      <c r="AQ198" s="5" t="inlineStr">
        <is>
          <t>Multi-site retailer; Independent retailer; Core relevant category; Active website</t>
        </is>
      </c>
      <c r="AR198" s="5" t="inlineStr">
        <is>
          <t>https://vapeshopguy.co.uk/locations</t>
        </is>
      </c>
      <c r="AS198" s="5" t="inlineStr">
        <is>
          <t>https://find-and-update.company-information.service.gov.uk/company/15869863</t>
        </is>
      </c>
      <c r="AT198" s="5" t="inlineStr">
        <is>
          <t>2</t>
        </is>
      </c>
      <c r="AU198" s="5" t="inlineStr">
        <is>
          <t>No</t>
        </is>
      </c>
      <c r="AV198" s="5" t="inlineStr">
        <is>
          <t>No</t>
        </is>
      </c>
      <c r="AW198" s="5" t="inlineStr">
        <is>
          <t>No</t>
        </is>
      </c>
      <c r="AX198" s="5" t="inlineStr">
        <is>
          <t>No</t>
        </is>
      </c>
      <c r="AY198" s="5" t="inlineStr">
        <is>
          <t>Not Found</t>
        </is>
      </c>
      <c r="AZ198" s="5" t="inlineStr">
        <is>
          <t>Website Found</t>
        </is>
      </c>
      <c r="BA198" s="5" t="inlineStr">
        <is>
          <t>2026-09-17</t>
        </is>
      </c>
      <c r="BB198" s="5" t="inlineStr">
        <is>
          <t>Requires Verification</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2026-09-16</t>
        </is>
      </c>
      <c r="BJ198" s="5" t="inlineStr">
        <is>
          <t>New</t>
        </is>
      </c>
      <c r="BK198" s="5" t="inlineStr">
        <is>
          <t>2026-09-17</t>
        </is>
      </c>
      <c r="BL198" s="5" t="inlineStr"/>
      <c r="BM198" s="5" t="inlineStr"/>
      <c r="BN198" s="5" t="inlineStr"/>
      <c r="BO198" s="5" t="inlineStr"/>
      <c r="BP198" s="5" t="inlineStr"/>
      <c r="BQ198" s="5" t="inlineStr"/>
    </row>
    <row r="199">
      <c r="A199" s="10" t="inlineStr">
        <is>
          <t>UK-000225</t>
        </is>
      </c>
      <c r="B199" s="10" t="inlineStr">
        <is>
          <t>VAPESHOPGU-04</t>
        </is>
      </c>
      <c r="C199" s="10" t="inlineStr">
        <is>
          <t>Vape Shop Guy</t>
        </is>
      </c>
      <c r="D199" s="10" t="inlineStr">
        <is>
          <t>Vapour Worx Knaresborough</t>
        </is>
      </c>
      <c r="E199" s="10" t="inlineStr">
        <is>
          <t>Vapour Worx</t>
        </is>
      </c>
      <c r="F199" s="10" t="inlineStr"/>
      <c r="G199" s="10" t="inlineStr">
        <is>
          <t>Vape Shop</t>
        </is>
      </c>
      <c r="H199" s="10" t="inlineStr">
        <is>
          <t>Vaping products &amp; e-liquids</t>
        </is>
      </c>
      <c r="I199" s="10" t="inlineStr">
        <is>
          <t>Multi-Site Independent</t>
        </is>
      </c>
      <c r="J199" s="10" t="inlineStr">
        <is>
          <t>4</t>
        </is>
      </c>
      <c r="K199" s="10" t="inlineStr">
        <is>
          <t>https://vapeshopguy.co.uk/</t>
        </is>
      </c>
      <c r="L199" s="10" t="inlineStr"/>
      <c r="M199" s="10" t="inlineStr"/>
      <c r="N199" s="10" t="inlineStr"/>
      <c r="O199" s="10" t="inlineStr">
        <is>
          <t>39a High Street</t>
        </is>
      </c>
      <c r="P199" s="10" t="inlineStr"/>
      <c r="Q199" s="10" t="inlineStr">
        <is>
          <t>Knaresborough</t>
        </is>
      </c>
      <c r="R199" s="10" t="inlineStr">
        <is>
          <t>North Yorkshire</t>
        </is>
      </c>
      <c r="S199" s="10" t="inlineStr">
        <is>
          <t>HG5 0HB</t>
        </is>
      </c>
      <c r="T199" s="10" t="inlineStr">
        <is>
          <t>Yorkshire &amp; Humber</t>
        </is>
      </c>
      <c r="U199" s="10" t="inlineStr">
        <is>
          <t>England</t>
        </is>
      </c>
      <c r="V199" s="10" t="inlineStr">
        <is>
          <t>01423 610083</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vape hardware; e-liquids; disposables</t>
        </is>
      </c>
      <c r="AL199" s="10" t="inlineStr"/>
      <c r="AM199" s="10" t="inlineStr">
        <is>
          <t>Vape Shop</t>
        </is>
      </c>
      <c r="AN199" s="10" t="inlineStr"/>
      <c r="AO199" s="10"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199" s="10" t="inlineStr">
        <is>
          <t>High</t>
        </is>
      </c>
      <c r="AQ199" s="10" t="inlineStr">
        <is>
          <t>Multi-site retailer; Independent retailer; Core relevant category; Active website</t>
        </is>
      </c>
      <c r="AR199" s="10" t="inlineStr">
        <is>
          <t>https://directory.crewechronicle.co.uk/company/1223189121957890</t>
        </is>
      </c>
      <c r="AS199" s="10" t="inlineStr">
        <is>
          <t>https://vymaps.com/GB/Vapour-Worx-Knaresborough-318766375170972/</t>
        </is>
      </c>
      <c r="AT199" s="10" t="inlineStr">
        <is>
          <t>3</t>
        </is>
      </c>
      <c r="AU199" s="10" t="inlineStr">
        <is>
          <t>No</t>
        </is>
      </c>
      <c r="AV199" s="10" t="inlineStr">
        <is>
          <t>No</t>
        </is>
      </c>
      <c r="AW199" s="10" t="inlineStr">
        <is>
          <t>No</t>
        </is>
      </c>
      <c r="AX199" s="10" t="inlineStr">
        <is>
          <t>No</t>
        </is>
      </c>
      <c r="AY199" s="10" t="inlineStr">
        <is>
          <t>Verified directory</t>
        </is>
      </c>
      <c r="AZ199" s="10" t="inlineStr">
        <is>
          <t>Website Found</t>
        </is>
      </c>
      <c r="BA199" s="10" t="inlineStr">
        <is>
          <t>2026-09-17</t>
        </is>
      </c>
      <c r="BB199" s="10" t="inlineStr">
        <is>
          <t>Requires Verification</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2026-09-16</t>
        </is>
      </c>
      <c r="BJ199" s="10" t="inlineStr">
        <is>
          <t>New</t>
        </is>
      </c>
      <c r="BK199" s="10" t="inlineStr">
        <is>
          <t>2026-09-17</t>
        </is>
      </c>
      <c r="BL199" s="10" t="inlineStr"/>
      <c r="BM199" s="10" t="inlineStr"/>
      <c r="BN199" s="10" t="inlineStr"/>
      <c r="BO199" s="10" t="inlineStr"/>
      <c r="BP199" s="10" t="inlineStr"/>
      <c r="BQ199" s="10" t="inlineStr"/>
    </row>
    <row r="200">
      <c r="A200" s="5" t="inlineStr">
        <is>
          <t>UK-000743</t>
        </is>
      </c>
      <c r="B200" s="5" t="inlineStr">
        <is>
          <t>VAPESHOPNO-01</t>
        </is>
      </c>
      <c r="C200" s="5" t="inlineStr">
        <is>
          <t>Vape Shop No 1 Wirral</t>
        </is>
      </c>
      <c r="D200" s="5" t="inlineStr">
        <is>
          <t>Vape Shop No 1 Wirral - Bebington</t>
        </is>
      </c>
      <c r="E200" s="5" t="inlineStr">
        <is>
          <t>Vape Shop No 1 &amp; CBD Store Wirral</t>
        </is>
      </c>
      <c r="F200" s="5" t="inlineStr"/>
      <c r="G200" s="5" t="inlineStr">
        <is>
          <t>Vape Shop</t>
        </is>
      </c>
      <c r="H200" s="5" t="inlineStr">
        <is>
          <t>Vape and CBD store</t>
        </is>
      </c>
      <c r="I200" s="5" t="inlineStr">
        <is>
          <t>Multi-Site Independent</t>
        </is>
      </c>
      <c r="J200" s="5" t="inlineStr">
        <is>
          <t>3</t>
        </is>
      </c>
      <c r="K200" s="5" t="inlineStr">
        <is>
          <t>https://vapeshopno1.co.uk/</t>
        </is>
      </c>
      <c r="L200" s="5" t="inlineStr">
        <is>
          <t>https://www.facebook.com/vapeshopno1wirral/</t>
        </is>
      </c>
      <c r="M200" s="5" t="inlineStr"/>
      <c r="N200" s="5" t="inlineStr"/>
      <c r="O200" s="5" t="inlineStr">
        <is>
          <t>224 Bebington Road</t>
        </is>
      </c>
      <c r="P200" s="5" t="inlineStr">
        <is>
          <t>Rock Ferry</t>
        </is>
      </c>
      <c r="Q200" s="5" t="inlineStr">
        <is>
          <t>Birkenhead</t>
        </is>
      </c>
      <c r="R200" s="5" t="inlineStr">
        <is>
          <t>Merseyside</t>
        </is>
      </c>
      <c r="S200" s="5" t="inlineStr">
        <is>
          <t>CH42 4QF</t>
        </is>
      </c>
      <c r="T200" s="5" t="inlineStr">
        <is>
          <t>North West</t>
        </is>
      </c>
      <c r="U200" s="5" t="inlineStr">
        <is>
          <t>England</t>
        </is>
      </c>
      <c r="V200" s="5" t="inlineStr">
        <is>
          <t>0151 208 1706</t>
        </is>
      </c>
      <c r="W200" s="5" t="inlineStr"/>
      <c r="X200" s="5" t="inlineStr"/>
      <c r="Y200" s="5" t="inlineStr">
        <is>
          <t>orders@vapeshopno1.co.uk</t>
        </is>
      </c>
      <c r="Z200" s="5" t="inlineStr">
        <is>
          <t>orders@vapeshopno1.co.uk</t>
        </is>
      </c>
      <c r="AA200" s="5" t="inlineStr"/>
      <c r="AB200" s="5" t="inlineStr"/>
      <c r="AC200" s="5" t="inlineStr"/>
      <c r="AD200" s="5" t="inlineStr"/>
      <c r="AE200" s="5" t="inlineStr"/>
      <c r="AF200" s="5" t="inlineStr"/>
      <c r="AG200" s="5" t="inlineStr"/>
      <c r="AH200" s="5" t="inlineStr"/>
      <c r="AI200" s="5" t="inlineStr"/>
      <c r="AJ200" s="5" t="inlineStr"/>
      <c r="AK200" s="5" t="inlineStr">
        <is>
          <t>vape hardware; e-liquids; CBD</t>
        </is>
      </c>
      <c r="AL200" s="5" t="inlineStr"/>
      <c r="AM200" s="5" t="inlineStr">
        <is>
          <t>Vape Shop</t>
        </is>
      </c>
      <c r="AN200" s="5" t="inlineStr"/>
      <c r="AO200" s="5" t="inlineStr">
        <is>
          <t>Flagship of a 3-store independent group (Bebington, Greasby, Prenton/Townfield). Central website with orders@ email and home delivery/collection. Phone and address from Yelp and Cylex directory listings.</t>
        </is>
      </c>
      <c r="AP200" s="5" t="inlineStr">
        <is>
          <t>High</t>
        </is>
      </c>
      <c r="AQ200" s="5" t="inlineStr">
        <is>
          <t>Multi-site retailer; Independent retailer; Core relevant category; Public trade/sales contact; Active website; Social presence</t>
        </is>
      </c>
      <c r="AR200" s="5" t="inlineStr">
        <is>
          <t>https://vapeshopno1.co.uk/contact-us-enquire/</t>
        </is>
      </c>
      <c r="AS200" s="5" t="inlineStr">
        <is>
          <t>https://www.yelp.com/biz/vape-shop-no-1-wirral-wirral</t>
        </is>
      </c>
      <c r="AT200" s="5" t="inlineStr">
        <is>
          <t>3</t>
        </is>
      </c>
      <c r="AU200" s="5" t="inlineStr">
        <is>
          <t>No</t>
        </is>
      </c>
      <c r="AV200" s="5" t="inlineStr">
        <is>
          <t>No</t>
        </is>
      </c>
      <c r="AW200" s="5" t="inlineStr">
        <is>
          <t>No</t>
        </is>
      </c>
      <c r="AX200" s="5" t="inlineStr">
        <is>
          <t>No</t>
        </is>
      </c>
      <c r="AY200" s="5" t="inlineStr">
        <is>
          <t>Verified directory</t>
        </is>
      </c>
      <c r="AZ200" s="5" t="inlineStr">
        <is>
          <t>Publicly Listed</t>
        </is>
      </c>
      <c r="BA200" s="5" t="inlineStr">
        <is>
          <t>2026-09-17</t>
        </is>
      </c>
      <c r="BB200" s="5" t="inlineStr">
        <is>
          <t>Requires Verification</t>
        </is>
      </c>
      <c r="BC200" s="5" t="inlineStr">
        <is>
          <t>High</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UK-000744</t>
        </is>
      </c>
      <c r="B201" s="10" t="inlineStr">
        <is>
          <t>VAPESHOPNO-02</t>
        </is>
      </c>
      <c r="C201" s="10" t="inlineStr">
        <is>
          <t>Vape Shop No 1 Wirral</t>
        </is>
      </c>
      <c r="D201" s="10" t="inlineStr">
        <is>
          <t>Vape Shop No 1 Wirral - Greasby</t>
        </is>
      </c>
      <c r="E201" s="10" t="inlineStr">
        <is>
          <t>Vape Shop No 1 &amp; CBD Store Wirral</t>
        </is>
      </c>
      <c r="F201" s="10" t="inlineStr"/>
      <c r="G201" s="10" t="inlineStr">
        <is>
          <t>Vape Shop</t>
        </is>
      </c>
      <c r="H201" s="10" t="inlineStr">
        <is>
          <t>Vape and CBD store</t>
        </is>
      </c>
      <c r="I201" s="10" t="inlineStr">
        <is>
          <t>Multi-Site Independent</t>
        </is>
      </c>
      <c r="J201" s="10" t="inlineStr">
        <is>
          <t>3</t>
        </is>
      </c>
      <c r="K201" s="10" t="inlineStr">
        <is>
          <t>https://vapeshopno1.co.uk/</t>
        </is>
      </c>
      <c r="L201" s="10" t="inlineStr">
        <is>
          <t>https://www.facebook.com/vapeshopno1wirralgreasby/</t>
        </is>
      </c>
      <c r="M201" s="10" t="inlineStr"/>
      <c r="N201" s="10" t="inlineStr"/>
      <c r="O201" s="10" t="inlineStr">
        <is>
          <t>243 Greasby Road</t>
        </is>
      </c>
      <c r="P201" s="10" t="inlineStr">
        <is>
          <t>Greasby</t>
        </is>
      </c>
      <c r="Q201" s="10" t="inlineStr">
        <is>
          <t>Wirral</t>
        </is>
      </c>
      <c r="R201" s="10" t="inlineStr">
        <is>
          <t>Merseyside</t>
        </is>
      </c>
      <c r="S201" s="10" t="inlineStr">
        <is>
          <t>CH49 2PG</t>
        </is>
      </c>
      <c r="T201" s="10" t="inlineStr">
        <is>
          <t>North West</t>
        </is>
      </c>
      <c r="U201" s="10" t="inlineStr">
        <is>
          <t>England</t>
        </is>
      </c>
      <c r="V201" s="10" t="inlineStr">
        <is>
          <t>0151 677 7533</t>
        </is>
      </c>
      <c r="W201" s="10" t="inlineStr"/>
      <c r="X201" s="10" t="inlineStr"/>
      <c r="Y201" s="10" t="inlineStr">
        <is>
          <t>orders@vapeshopno1.co.uk</t>
        </is>
      </c>
      <c r="Z201" s="10" t="inlineStr">
        <is>
          <t>orders@vapeshopno1.co.uk</t>
        </is>
      </c>
      <c r="AA201" s="10" t="inlineStr"/>
      <c r="AB201" s="10" t="inlineStr"/>
      <c r="AC201" s="10" t="inlineStr"/>
      <c r="AD201" s="10" t="inlineStr"/>
      <c r="AE201" s="10" t="inlineStr"/>
      <c r="AF201" s="10" t="inlineStr"/>
      <c r="AG201" s="10" t="inlineStr"/>
      <c r="AH201" s="10" t="inlineStr"/>
      <c r="AI201" s="10" t="inlineStr"/>
      <c r="AJ201" s="10" t="inlineStr"/>
      <c r="AK201" s="10" t="inlineStr">
        <is>
          <t>vape hardware; e-liquids; CBD</t>
        </is>
      </c>
      <c r="AL201" s="10" t="inlineStr"/>
      <c r="AM201" s="10" t="inlineStr">
        <is>
          <t>Vape Shop</t>
        </is>
      </c>
      <c r="AN201" s="10" t="inlineStr"/>
      <c r="AO201" s="10" t="inlineStr">
        <is>
          <t>Greasby branch of the Vape Shop No 1 Wirral independent group. Shared parent company and orders@ email. Address/phone from Cylex Greasby listing and the group website store list.</t>
        </is>
      </c>
      <c r="AP201" s="10" t="inlineStr">
        <is>
          <t>High</t>
        </is>
      </c>
      <c r="AQ201" s="10" t="inlineStr">
        <is>
          <t>Multi-site retailer; Independent retailer; Core relevant category; Public trade/sales contact; Active website; Social presence</t>
        </is>
      </c>
      <c r="AR201" s="10" t="inlineStr">
        <is>
          <t>https://vapeshopno1.co.uk/contact-us-enquire/</t>
        </is>
      </c>
      <c r="AS201" s="10" t="inlineStr">
        <is>
          <t>https://greasby.cylex-uk.co.uk/company/vape-shop-no-1-wirral-greasby-27687362.html</t>
        </is>
      </c>
      <c r="AT201" s="10" t="inlineStr">
        <is>
          <t>2</t>
        </is>
      </c>
      <c r="AU201" s="10" t="inlineStr">
        <is>
          <t>No</t>
        </is>
      </c>
      <c r="AV201" s="10" t="inlineStr">
        <is>
          <t>No</t>
        </is>
      </c>
      <c r="AW201" s="10" t="inlineStr">
        <is>
          <t>No</t>
        </is>
      </c>
      <c r="AX201" s="10" t="inlineStr">
        <is>
          <t>No</t>
        </is>
      </c>
      <c r="AY201" s="10" t="inlineStr">
        <is>
          <t>Verified directory</t>
        </is>
      </c>
      <c r="AZ201" s="10" t="inlineStr">
        <is>
          <t>Publicly Listed</t>
        </is>
      </c>
      <c r="BA201" s="10" t="inlineStr">
        <is>
          <t>2026-09-17</t>
        </is>
      </c>
      <c r="BB201" s="10" t="inlineStr">
        <is>
          <t>Requires Verification</t>
        </is>
      </c>
      <c r="BC201" s="10" t="inlineStr">
        <is>
          <t>High</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2026-09-17</t>
        </is>
      </c>
      <c r="BJ201" s="10" t="inlineStr">
        <is>
          <t>New</t>
        </is>
      </c>
      <c r="BK201" s="10" t="inlineStr">
        <is>
          <t>2026-09-17</t>
        </is>
      </c>
      <c r="BL201" s="10" t="inlineStr"/>
      <c r="BM201" s="10" t="inlineStr"/>
      <c r="BN201" s="10" t="inlineStr"/>
      <c r="BO201" s="10" t="inlineStr"/>
      <c r="BP201" s="10" t="inlineStr"/>
      <c r="BQ201" s="10" t="inlineStr"/>
    </row>
    <row r="202">
      <c r="A202" s="5" t="inlineStr">
        <is>
          <t>UK-000745</t>
        </is>
      </c>
      <c r="B202" s="5" t="inlineStr">
        <is>
          <t>VAPESHOPNO-03</t>
        </is>
      </c>
      <c r="C202" s="5" t="inlineStr">
        <is>
          <t>Vape Shop No 1 Wirral</t>
        </is>
      </c>
      <c r="D202" s="5" t="inlineStr">
        <is>
          <t>Vape Shop No 1 Wirral - Prenton</t>
        </is>
      </c>
      <c r="E202" s="5" t="inlineStr">
        <is>
          <t>Vape Shop No 1 &amp; CBD Store Wirral</t>
        </is>
      </c>
      <c r="F202" s="5" t="inlineStr"/>
      <c r="G202" s="5" t="inlineStr">
        <is>
          <t>Vape Shop</t>
        </is>
      </c>
      <c r="H202" s="5" t="inlineStr">
        <is>
          <t>Vape and CBD store</t>
        </is>
      </c>
      <c r="I202" s="5" t="inlineStr">
        <is>
          <t>Multi-Site Independent</t>
        </is>
      </c>
      <c r="J202" s="5" t="inlineStr">
        <is>
          <t>3</t>
        </is>
      </c>
      <c r="K202" s="5" t="inlineStr">
        <is>
          <t>https://vapeshopno1.co.uk/</t>
        </is>
      </c>
      <c r="L202" s="5" t="inlineStr">
        <is>
          <t>https://www.facebook.com/vapeshopno1wirral/</t>
        </is>
      </c>
      <c r="M202" s="5" t="inlineStr"/>
      <c r="N202" s="5" t="inlineStr"/>
      <c r="O202" s="5" t="inlineStr">
        <is>
          <t>4 Townfield Close</t>
        </is>
      </c>
      <c r="P202" s="5" t="inlineStr">
        <is>
          <t>Prenton</t>
        </is>
      </c>
      <c r="Q202" s="5" t="inlineStr">
        <is>
          <t>Birkenhead</t>
        </is>
      </c>
      <c r="R202" s="5" t="inlineStr">
        <is>
          <t>Merseyside</t>
        </is>
      </c>
      <c r="S202" s="5" t="inlineStr">
        <is>
          <t>CH43 9JW</t>
        </is>
      </c>
      <c r="T202" s="5" t="inlineStr">
        <is>
          <t>North West</t>
        </is>
      </c>
      <c r="U202" s="5" t="inlineStr">
        <is>
          <t>England</t>
        </is>
      </c>
      <c r="V202" s="5" t="inlineStr">
        <is>
          <t>0151 652 0512</t>
        </is>
      </c>
      <c r="W202" s="5" t="inlineStr"/>
      <c r="X202" s="5" t="inlineStr"/>
      <c r="Y202" s="5" t="inlineStr">
        <is>
          <t>orders@vapeshopno1.co.uk</t>
        </is>
      </c>
      <c r="Z202" s="5" t="inlineStr">
        <is>
          <t>orders@vapeshopno1.co.uk</t>
        </is>
      </c>
      <c r="AA202" s="5" t="inlineStr"/>
      <c r="AB202" s="5" t="inlineStr"/>
      <c r="AC202" s="5" t="inlineStr"/>
      <c r="AD202" s="5" t="inlineStr"/>
      <c r="AE202" s="5" t="inlineStr"/>
      <c r="AF202" s="5" t="inlineStr"/>
      <c r="AG202" s="5" t="inlineStr"/>
      <c r="AH202" s="5" t="inlineStr"/>
      <c r="AI202" s="5" t="inlineStr"/>
      <c r="AJ202" s="5" t="inlineStr"/>
      <c r="AK202" s="5" t="inlineStr">
        <is>
          <t>vape hardware; e-liquids; CBD</t>
        </is>
      </c>
      <c r="AL202" s="5" t="inlineStr"/>
      <c r="AM202" s="5" t="inlineStr">
        <is>
          <t>Vape Shop</t>
        </is>
      </c>
      <c r="AN202" s="5" t="inlineStr"/>
      <c r="AO202" s="5" t="inlineStr">
        <is>
          <t>Prenton (Townfield) branch of the Vape Shop No 1 Wirral independent group. Address/phone from puffingbird directory and group website store list.</t>
        </is>
      </c>
      <c r="AP202" s="5" t="inlineStr">
        <is>
          <t>High</t>
        </is>
      </c>
      <c r="AQ202" s="5" t="inlineStr">
        <is>
          <t>Multi-site retailer; Independent retailer; Core relevant category; Public trade/sales contact; Active website; Social presence</t>
        </is>
      </c>
      <c r="AR202" s="5" t="inlineStr">
        <is>
          <t>https://vapeshopno1.co.uk/contact-us-enquire/</t>
        </is>
      </c>
      <c r="AS202" s="5" t="inlineStr">
        <is>
          <t>https://vapeshops.puffingbird.com/england/prenton/vape-shop-no-1-cbd-store-wirral-prenton</t>
        </is>
      </c>
      <c r="AT202" s="5" t="inlineStr">
        <is>
          <t>2</t>
        </is>
      </c>
      <c r="AU202" s="5" t="inlineStr">
        <is>
          <t>No</t>
        </is>
      </c>
      <c r="AV202" s="5" t="inlineStr">
        <is>
          <t>No</t>
        </is>
      </c>
      <c r="AW202" s="5" t="inlineStr">
        <is>
          <t>No</t>
        </is>
      </c>
      <c r="AX202" s="5" t="inlineStr">
        <is>
          <t>No</t>
        </is>
      </c>
      <c r="AY202" s="5" t="inlineStr">
        <is>
          <t>Verified directory</t>
        </is>
      </c>
      <c r="AZ202" s="5" t="inlineStr">
        <is>
          <t>Publicly Listed</t>
        </is>
      </c>
      <c r="BA202" s="5" t="inlineStr">
        <is>
          <t>2026-09-17</t>
        </is>
      </c>
      <c r="BB202" s="5" t="inlineStr">
        <is>
          <t>Requires Verification</t>
        </is>
      </c>
      <c r="BC202" s="5" t="inlineStr">
        <is>
          <t>Medium</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UK-000563</t>
        </is>
      </c>
      <c r="B203" s="10" t="inlineStr">
        <is>
          <t>VAPESUPERS-01</t>
        </is>
      </c>
      <c r="C203" s="10" t="inlineStr">
        <is>
          <t>Vape Superstore</t>
        </is>
      </c>
      <c r="D203" s="10" t="inlineStr">
        <is>
          <t>Vape Superstore (Walthamstow)</t>
        </is>
      </c>
      <c r="E203" s="10" t="inlineStr">
        <is>
          <t>Vape Superstore</t>
        </is>
      </c>
      <c r="F203" s="10" t="inlineStr"/>
      <c r="G203" s="10" t="inlineStr">
        <is>
          <t>Vape Shop</t>
        </is>
      </c>
      <c r="H203" s="10" t="inlineStr">
        <is>
          <t>Vape hardware, e-liquids &amp; disposables</t>
        </is>
      </c>
      <c r="I203" s="10" t="inlineStr">
        <is>
          <t>Regional Chain</t>
        </is>
      </c>
      <c r="J203" s="10" t="inlineStr">
        <is>
          <t>2</t>
        </is>
      </c>
      <c r="K203" s="10" t="inlineStr"/>
      <c r="L203" s="10" t="inlineStr"/>
      <c r="M203" s="10" t="inlineStr"/>
      <c r="N203" s="10" t="inlineStr"/>
      <c r="O203" s="10" t="inlineStr">
        <is>
          <t>Unit 27B, 45 Selborne Road</t>
        </is>
      </c>
      <c r="P203" s="10" t="inlineStr"/>
      <c r="Q203" s="10" t="inlineStr">
        <is>
          <t>Walthamstow</t>
        </is>
      </c>
      <c r="R203" s="10" t="inlineStr">
        <is>
          <t>Greater London</t>
        </is>
      </c>
      <c r="S203" s="10" t="inlineStr">
        <is>
          <t>E17 7JR</t>
        </is>
      </c>
      <c r="T203" s="10" t="inlineStr">
        <is>
          <t>London</t>
        </is>
      </c>
      <c r="U203" s="10" t="inlineStr">
        <is>
          <t>England</t>
        </is>
      </c>
      <c r="V203" s="10" t="inlineStr">
        <is>
          <t>020 8520 5777</t>
        </is>
      </c>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vape hardware; e-liquids; disposables</t>
        </is>
      </c>
      <c r="AL203" s="10" t="inlineStr"/>
      <c r="AM203" s="10" t="inlineStr">
        <is>
          <t>Vape Shop</t>
        </is>
      </c>
      <c r="AN203" s="10" t="inlineStr"/>
      <c r="AO203" s="10" t="inlineStr">
        <is>
          <t>Branch of the Vape Superstore chain (also listed at Tottenham Street, central London). Established 2016. Address/postcode/phone from Yell and Yelp listings.</t>
        </is>
      </c>
      <c r="AP203" s="10" t="inlineStr">
        <is>
          <t>Medium</t>
        </is>
      </c>
      <c r="AQ203" s="10" t="inlineStr">
        <is>
          <t>Multi-site retailer; Core relevant category</t>
        </is>
      </c>
      <c r="AR203" s="10" t="inlineStr">
        <is>
          <t>https://www.yell.com/biz/vape-superstore-walthamstow-london-9443123/</t>
        </is>
      </c>
      <c r="AS203" s="10" t="inlineStr">
        <is>
          <t>https://www.yelp.co.uk/biz/vape-superstore-walthamstow-london</t>
        </is>
      </c>
      <c r="AT203" s="10" t="inlineStr">
        <is>
          <t>2</t>
        </is>
      </c>
      <c r="AU203" s="10" t="inlineStr">
        <is>
          <t>No</t>
        </is>
      </c>
      <c r="AV203" s="10" t="inlineStr">
        <is>
          <t>No</t>
        </is>
      </c>
      <c r="AW203" s="10" t="inlineStr">
        <is>
          <t>No</t>
        </is>
      </c>
      <c r="AX203" s="10" t="inlineStr">
        <is>
          <t>No</t>
        </is>
      </c>
      <c r="AY203" s="10" t="inlineStr">
        <is>
          <t>Verified directory</t>
        </is>
      </c>
      <c r="AZ203" s="10" t="inlineStr">
        <is>
          <t>Not Found</t>
        </is>
      </c>
      <c r="BA203" s="10" t="inlineStr">
        <is>
          <t>2026-09-17</t>
        </is>
      </c>
      <c r="BB203" s="10" t="inlineStr">
        <is>
          <t>Requires Verification</t>
        </is>
      </c>
      <c r="BC203" s="10" t="inlineStr">
        <is>
          <t>Medium</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UK-000564</t>
        </is>
      </c>
      <c r="B204" s="5" t="inlineStr">
        <is>
          <t>VAPESUPERS-02</t>
        </is>
      </c>
      <c r="C204" s="5" t="inlineStr">
        <is>
          <t>Vape Superstore</t>
        </is>
      </c>
      <c r="D204" s="5" t="inlineStr">
        <is>
          <t>Vape Superstore Soho</t>
        </is>
      </c>
      <c r="E204" s="5" t="inlineStr">
        <is>
          <t>Vape Superstore</t>
        </is>
      </c>
      <c r="F204" s="5" t="inlineStr"/>
      <c r="G204" s="5" t="inlineStr">
        <is>
          <t>Vape Shop</t>
        </is>
      </c>
      <c r="H204" s="5" t="inlineStr">
        <is>
          <t>Vape hardware, e-liquids &amp; disposables</t>
        </is>
      </c>
      <c r="I204" s="5" t="inlineStr">
        <is>
          <t>Regional Chain</t>
        </is>
      </c>
      <c r="J204" s="5" t="inlineStr">
        <is>
          <t>1</t>
        </is>
      </c>
      <c r="K204" s="5" t="inlineStr"/>
      <c r="L204" s="5" t="inlineStr">
        <is>
          <t>https://www.facebook.com/vapesuperstoresoho</t>
        </is>
      </c>
      <c r="M204" s="5" t="inlineStr"/>
      <c r="N204" s="5" t="inlineStr"/>
      <c r="O204" s="5" t="inlineStr">
        <is>
          <t>51 Rupert Street</t>
        </is>
      </c>
      <c r="P204" s="5" t="inlineStr">
        <is>
          <t>Soho</t>
        </is>
      </c>
      <c r="Q204" s="5" t="inlineStr">
        <is>
          <t>London</t>
        </is>
      </c>
      <c r="R204" s="5" t="inlineStr">
        <is>
          <t>Greater London</t>
        </is>
      </c>
      <c r="S204" s="5" t="inlineStr">
        <is>
          <t>W1D 7PG</t>
        </is>
      </c>
      <c r="T204" s="5" t="inlineStr">
        <is>
          <t>London</t>
        </is>
      </c>
      <c r="U204" s="5" t="inlineStr">
        <is>
          <t>England</t>
        </is>
      </c>
      <c r="V204" s="5" t="inlineStr">
        <is>
          <t>020 7287 4524</t>
        </is>
      </c>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vape hardware; e-liquids; disposables</t>
        </is>
      </c>
      <c r="AL204" s="5" t="inlineStr"/>
      <c r="AM204" s="5" t="inlineStr">
        <is>
          <t>Vape Shop</t>
        </is>
      </c>
      <c r="AN204" s="5" t="inlineStr"/>
      <c r="AO204" s="5" t="inlineStr">
        <is>
          <t>Soho branch of the Vape Superstore chain, on Rupert Street near Piccadilly Circus. Address/postcode/phone from Yelp and Yell listings in snippets.</t>
        </is>
      </c>
      <c r="AP204" s="5" t="inlineStr">
        <is>
          <t>Medium</t>
        </is>
      </c>
      <c r="AQ204" s="5" t="inlineStr">
        <is>
          <t>Multi-site retailer; Core relevant category; Social presence</t>
        </is>
      </c>
      <c r="AR204" s="5" t="inlineStr">
        <is>
          <t>https://www.yell.com/biz/vape-superstore-soho-london-8853461/</t>
        </is>
      </c>
      <c r="AS204" s="5" t="inlineStr">
        <is>
          <t>https://www.yelp.co.uk/biz/vape-superstore-soho-london</t>
        </is>
      </c>
      <c r="AT204" s="5" t="inlineStr">
        <is>
          <t>2</t>
        </is>
      </c>
      <c r="AU204" s="5" t="inlineStr">
        <is>
          <t>No</t>
        </is>
      </c>
      <c r="AV204" s="5" t="inlineStr">
        <is>
          <t>No</t>
        </is>
      </c>
      <c r="AW204" s="5" t="inlineStr">
        <is>
          <t>No</t>
        </is>
      </c>
      <c r="AX204" s="5" t="inlineStr">
        <is>
          <t>No</t>
        </is>
      </c>
      <c r="AY204" s="5" t="inlineStr">
        <is>
          <t>Verified directory</t>
        </is>
      </c>
      <c r="AZ204" s="5" t="inlineStr">
        <is>
          <t>Not Found</t>
        </is>
      </c>
      <c r="BA204" s="5" t="inlineStr">
        <is>
          <t>2026-09-17</t>
        </is>
      </c>
      <c r="BB204" s="5" t="inlineStr">
        <is>
          <t>Requires Verification</t>
        </is>
      </c>
      <c r="BC204" s="5" t="inlineStr">
        <is>
          <t>Medium</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UK-000326</t>
        </is>
      </c>
      <c r="B205" s="10" t="inlineStr">
        <is>
          <t>VAPEANDWAT-01</t>
        </is>
      </c>
      <c r="C205" s="10" t="inlineStr">
        <is>
          <t>Vape and Watts</t>
        </is>
      </c>
      <c r="D205" s="10" t="inlineStr">
        <is>
          <t>Vape and Watts Hyde</t>
        </is>
      </c>
      <c r="E205" s="10" t="inlineStr">
        <is>
          <t>Vape and Watts</t>
        </is>
      </c>
      <c r="F205" s="10" t="inlineStr"/>
      <c r="G205" s="10" t="inlineStr">
        <is>
          <t>Vape Shop</t>
        </is>
      </c>
      <c r="H205" s="10" t="inlineStr"/>
      <c r="I205" s="10" t="inlineStr">
        <is>
          <t>Multi-Site Independent</t>
        </is>
      </c>
      <c r="J205" s="10" t="inlineStr">
        <is>
          <t>2</t>
        </is>
      </c>
      <c r="K205" s="10" t="inlineStr"/>
      <c r="L205" s="10" t="inlineStr">
        <is>
          <t>https://www.facebook.com/vapeandwatts/</t>
        </is>
      </c>
      <c r="M205" s="10" t="inlineStr"/>
      <c r="N205" s="10" t="inlineStr"/>
      <c r="O205" s="10" t="inlineStr">
        <is>
          <t>41 Clarendon Place</t>
        </is>
      </c>
      <c r="P205" s="10" t="inlineStr"/>
      <c r="Q205" s="10" t="inlineStr">
        <is>
          <t>Hyde</t>
        </is>
      </c>
      <c r="R205" s="10" t="inlineStr">
        <is>
          <t>Greater Manchester</t>
        </is>
      </c>
      <c r="S205" s="10" t="inlineStr">
        <is>
          <t>SK14 2ND</t>
        </is>
      </c>
      <c r="T205" s="10" t="inlineStr">
        <is>
          <t>North West</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e-liquids; vape hardware; disposables</t>
        </is>
      </c>
      <c r="AL205" s="10" t="inlineStr"/>
      <c r="AM205" s="10" t="inlineStr">
        <is>
          <t>Vape Shop</t>
        </is>
      </c>
      <c r="AN205" s="10" t="inlineStr"/>
      <c r="AO205" s="10" t="inlineStr">
        <is>
          <t>Hyde branch of Vape and Watts (also in Royton).</t>
        </is>
      </c>
      <c r="AP205" s="10" t="inlineStr">
        <is>
          <t>High</t>
        </is>
      </c>
      <c r="AQ205" s="10" t="inlineStr">
        <is>
          <t>Multi-site retailer; Independent retailer; Core relevant category; Social presence</t>
        </is>
      </c>
      <c r="AR205" s="10" t="inlineStr">
        <is>
          <t>https://www.yell.com/biz/vape-and-watts-hyde-8811054/</t>
        </is>
      </c>
      <c r="AS205" s="10" t="inlineStr"/>
      <c r="AT205" s="10" t="inlineStr">
        <is>
          <t>1</t>
        </is>
      </c>
      <c r="AU205" s="10" t="inlineStr">
        <is>
          <t>No</t>
        </is>
      </c>
      <c r="AV205" s="10" t="inlineStr">
        <is>
          <t>No</t>
        </is>
      </c>
      <c r="AW205" s="10" t="inlineStr">
        <is>
          <t>No</t>
        </is>
      </c>
      <c r="AX205" s="10" t="inlineStr">
        <is>
          <t>No</t>
        </is>
      </c>
      <c r="AY205" s="10" t="inlineStr">
        <is>
          <t>Not Found</t>
        </is>
      </c>
      <c r="AZ205" s="10" t="inlineStr">
        <is>
          <t>Not Found</t>
        </is>
      </c>
      <c r="BA205" s="10" t="inlineStr">
        <is>
          <t>2026-09-17</t>
        </is>
      </c>
      <c r="BB205" s="10" t="inlineStr">
        <is>
          <t>Requires Verification</t>
        </is>
      </c>
      <c r="BC205" s="10" t="inlineStr">
        <is>
          <t>Low</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2026-09-17</t>
        </is>
      </c>
      <c r="BJ205" s="10" t="inlineStr">
        <is>
          <t>New</t>
        </is>
      </c>
      <c r="BK205" s="10" t="inlineStr">
        <is>
          <t>2026-09-17</t>
        </is>
      </c>
      <c r="BL205" s="10" t="inlineStr"/>
      <c r="BM205" s="10" t="inlineStr"/>
      <c r="BN205" s="10" t="inlineStr"/>
      <c r="BO205" s="10" t="inlineStr"/>
      <c r="BP205" s="10" t="inlineStr"/>
      <c r="BQ205" s="10" t="inlineStr"/>
    </row>
    <row r="206">
      <c r="A206" s="5" t="inlineStr">
        <is>
          <t>UK-000327</t>
        </is>
      </c>
      <c r="B206" s="5" t="inlineStr">
        <is>
          <t>VAPEANDWAT-02</t>
        </is>
      </c>
      <c r="C206" s="5" t="inlineStr">
        <is>
          <t>Vape and Watts</t>
        </is>
      </c>
      <c r="D206" s="5" t="inlineStr">
        <is>
          <t>Vape and Watts Royton</t>
        </is>
      </c>
      <c r="E206" s="5" t="inlineStr">
        <is>
          <t>Vape and Watts</t>
        </is>
      </c>
      <c r="F206" s="5" t="inlineStr"/>
      <c r="G206" s="5" t="inlineStr">
        <is>
          <t>Vape Shop</t>
        </is>
      </c>
      <c r="H206" s="5" t="inlineStr"/>
      <c r="I206" s="5" t="inlineStr">
        <is>
          <t>Multi-Site Independent</t>
        </is>
      </c>
      <c r="J206" s="5" t="inlineStr">
        <is>
          <t>2</t>
        </is>
      </c>
      <c r="K206" s="5" t="inlineStr"/>
      <c r="L206" s="5" t="inlineStr">
        <is>
          <t>https://www.facebook.com/vapeandwatts/</t>
        </is>
      </c>
      <c r="M206" s="5" t="inlineStr"/>
      <c r="N206" s="5" t="inlineStr"/>
      <c r="O206" s="5" t="inlineStr">
        <is>
          <t>112 Rochdale Road</t>
        </is>
      </c>
      <c r="P206" s="5" t="inlineStr"/>
      <c r="Q206" s="5" t="inlineStr">
        <is>
          <t>Royton</t>
        </is>
      </c>
      <c r="R206" s="5" t="inlineStr">
        <is>
          <t>Greater Manchester</t>
        </is>
      </c>
      <c r="S206" s="5" t="inlineStr">
        <is>
          <t>OL2 6QF</t>
        </is>
      </c>
      <c r="T206" s="5" t="inlineStr">
        <is>
          <t>North West</t>
        </is>
      </c>
      <c r="U206" s="5" t="inlineStr">
        <is>
          <t>England</t>
        </is>
      </c>
      <c r="V206" s="5" t="inlineStr"/>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e-liquids; vape hardware; disposables</t>
        </is>
      </c>
      <c r="AL206" s="5" t="inlineStr"/>
      <c r="AM206" s="5" t="inlineStr">
        <is>
          <t>Vape Shop</t>
        </is>
      </c>
      <c r="AN206" s="5" t="inlineStr"/>
      <c r="AO206" s="5" t="inlineStr">
        <is>
          <t>Vape and Watts operates stores in Royton and Hyde.</t>
        </is>
      </c>
      <c r="AP206" s="5" t="inlineStr">
        <is>
          <t>High</t>
        </is>
      </c>
      <c r="AQ206" s="5" t="inlineStr">
        <is>
          <t>Multi-site retailer; Independent retailer; Core relevant category; Social presence</t>
        </is>
      </c>
      <c r="AR206" s="5" t="inlineStr">
        <is>
          <t>https://www.facebook.com/vapeandwatts/photos/available-at-royton-and-hyde-store/1539628500256452/</t>
        </is>
      </c>
      <c r="AS206" s="5" t="inlineStr"/>
      <c r="AT206" s="5" t="inlineStr">
        <is>
          <t>1</t>
        </is>
      </c>
      <c r="AU206" s="5" t="inlineStr">
        <is>
          <t>No</t>
        </is>
      </c>
      <c r="AV206" s="5" t="inlineStr">
        <is>
          <t>No</t>
        </is>
      </c>
      <c r="AW206" s="5" t="inlineStr">
        <is>
          <t>No</t>
        </is>
      </c>
      <c r="AX206" s="5" t="inlineStr">
        <is>
          <t>No</t>
        </is>
      </c>
      <c r="AY206" s="5" t="inlineStr">
        <is>
          <t>Not Found</t>
        </is>
      </c>
      <c r="AZ206" s="5" t="inlineStr">
        <is>
          <t>Not Found</t>
        </is>
      </c>
      <c r="BA206" s="5" t="inlineStr">
        <is>
          <t>2026-09-17</t>
        </is>
      </c>
      <c r="BB206" s="5" t="inlineStr">
        <is>
          <t>Requires Verification</t>
        </is>
      </c>
      <c r="BC206" s="5" t="inlineStr">
        <is>
          <t>Low</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UK-000451</t>
        </is>
      </c>
      <c r="B207" s="10" t="inlineStr">
        <is>
          <t>VAPERZCORN-01</t>
        </is>
      </c>
      <c r="C207" s="10" t="inlineStr">
        <is>
          <t>Vaperz Corner</t>
        </is>
      </c>
      <c r="D207" s="10" t="inlineStr">
        <is>
          <t>Vaperz Corner - Acocks Green</t>
        </is>
      </c>
      <c r="E207" s="10" t="inlineStr">
        <is>
          <t>Vaperz Corner</t>
        </is>
      </c>
      <c r="F207" s="10" t="inlineStr"/>
      <c r="G207" s="10" t="inlineStr">
        <is>
          <t>Vape Shop</t>
        </is>
      </c>
      <c r="H207" s="10" t="inlineStr">
        <is>
          <t>Vape hardware and e-liquid retailer</t>
        </is>
      </c>
      <c r="I207" s="10" t="inlineStr">
        <is>
          <t>Multi-Site Independent</t>
        </is>
      </c>
      <c r="J207" s="10" t="inlineStr">
        <is>
          <t>1</t>
        </is>
      </c>
      <c r="K207" s="10" t="inlineStr">
        <is>
          <t>https://vaperzcorner.com/</t>
        </is>
      </c>
      <c r="L207" s="10" t="inlineStr"/>
      <c r="M207" s="10" t="inlineStr"/>
      <c r="N207" s="10" t="inlineStr"/>
      <c r="O207" s="10" t="inlineStr">
        <is>
          <t>34 Summer Road</t>
        </is>
      </c>
      <c r="P207" s="10" t="inlineStr">
        <is>
          <t>Acocks Green</t>
        </is>
      </c>
      <c r="Q207" s="10" t="inlineStr">
        <is>
          <t>Birmingham</t>
        </is>
      </c>
      <c r="R207" s="10" t="inlineStr">
        <is>
          <t>West Midlands</t>
        </is>
      </c>
      <c r="S207" s="10" t="inlineStr">
        <is>
          <t>B27 7UT</t>
        </is>
      </c>
      <c r="T207" s="10" t="inlineStr">
        <is>
          <t>West Midlands</t>
        </is>
      </c>
      <c r="U207" s="10" t="inlineStr">
        <is>
          <t>England</t>
        </is>
      </c>
      <c r="V207" s="10" t="inlineStr">
        <is>
          <t>0121 708 2710</t>
        </is>
      </c>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vape hardware; e-liquids</t>
        </is>
      </c>
      <c r="AL207" s="10" t="inlineStr"/>
      <c r="AM207" s="10" t="inlineStr">
        <is>
          <t>Vape Shop</t>
        </is>
      </c>
      <c r="AN207" s="10" t="inlineStr"/>
      <c r="AO207" s="10" t="inlineStr">
        <is>
          <t>Vaperz Corner runs a locations page listing multiple Birmingham-area sites; this is the Acocks Green branch.</t>
        </is>
      </c>
      <c r="AP207" s="10" t="inlineStr">
        <is>
          <t>High</t>
        </is>
      </c>
      <c r="AQ207" s="10" t="inlineStr">
        <is>
          <t>Multi-site retailer; Independent retailer; Core relevant category; Active website</t>
        </is>
      </c>
      <c r="AR207" s="10" t="inlineStr">
        <is>
          <t>https://vaperzcorner.com/locations/</t>
        </is>
      </c>
      <c r="AS207" s="10" t="inlineStr"/>
      <c r="AT207" s="10" t="inlineStr">
        <is>
          <t>1</t>
        </is>
      </c>
      <c r="AU207" s="10" t="inlineStr">
        <is>
          <t>No</t>
        </is>
      </c>
      <c r="AV207" s="10" t="inlineStr">
        <is>
          <t>No</t>
        </is>
      </c>
      <c r="AW207" s="10" t="inlineStr">
        <is>
          <t>No</t>
        </is>
      </c>
      <c r="AX207" s="10" t="inlineStr">
        <is>
          <t>No</t>
        </is>
      </c>
      <c r="AY207" s="10" t="inlineStr">
        <is>
          <t>Verified directory</t>
        </is>
      </c>
      <c r="AZ207" s="10" t="inlineStr">
        <is>
          <t>Website Found</t>
        </is>
      </c>
      <c r="BA207" s="10" t="inlineStr">
        <is>
          <t>2026-09-17</t>
        </is>
      </c>
      <c r="BB207" s="10" t="inlineStr">
        <is>
          <t>Requires Verification</t>
        </is>
      </c>
      <c r="BC207" s="10" t="inlineStr">
        <is>
          <t>Medium</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UK-000746</t>
        </is>
      </c>
      <c r="B208" s="5" t="inlineStr">
        <is>
          <t>VAPOURZ-01</t>
        </is>
      </c>
      <c r="C208" s="5" t="inlineStr">
        <is>
          <t>Vapourz</t>
        </is>
      </c>
      <c r="D208" s="5" t="inlineStr">
        <is>
          <t>Vapourz Alloa</t>
        </is>
      </c>
      <c r="E208" s="5" t="inlineStr">
        <is>
          <t>Vapourz</t>
        </is>
      </c>
      <c r="F208" s="5" t="inlineStr"/>
      <c r="G208" s="5" t="inlineStr">
        <is>
          <t>Vape Shop</t>
        </is>
      </c>
      <c r="H208" s="5" t="inlineStr">
        <is>
          <t>Vape shop / e-liquids</t>
        </is>
      </c>
      <c r="I208" s="5" t="inlineStr">
        <is>
          <t>Regional Chain</t>
        </is>
      </c>
      <c r="J208" s="5" t="inlineStr">
        <is>
          <t>1</t>
        </is>
      </c>
      <c r="K208" s="5" t="inlineStr"/>
      <c r="L208" s="5" t="inlineStr"/>
      <c r="M208" s="5" t="inlineStr"/>
      <c r="N208" s="5" t="inlineStr"/>
      <c r="O208" s="5" t="inlineStr">
        <is>
          <t>Mill Street</t>
        </is>
      </c>
      <c r="P208" s="5" t="inlineStr"/>
      <c r="Q208" s="5" t="inlineStr">
        <is>
          <t>Alloa</t>
        </is>
      </c>
      <c r="R208" s="5" t="inlineStr">
        <is>
          <t>Clackmannanshire</t>
        </is>
      </c>
      <c r="S208" s="5" t="inlineStr"/>
      <c r="T208" s="5" t="inlineStr">
        <is>
          <t>Scotland</t>
        </is>
      </c>
      <c r="U208" s="5" t="inlineStr">
        <is>
          <t>Scotland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vape hardware; e-liquids</t>
        </is>
      </c>
      <c r="AL208" s="5" t="inlineStr"/>
      <c r="AM208" s="5" t="inlineStr">
        <is>
          <t>Vape Shop</t>
        </is>
      </c>
      <c r="AN208" s="5" t="inlineStr"/>
      <c r="AO208" s="5" t="inlineStr">
        <is>
          <t>Alloa (Mill Street) branch of the Vapourz chain, shared parent Vapourz. Phone shown only partially (01259 215...) in Cylex snippet, so left blank rather than guessed; postcode not published.</t>
        </is>
      </c>
      <c r="AP208" s="5" t="inlineStr">
        <is>
          <t>Medium</t>
        </is>
      </c>
      <c r="AQ208" s="5" t="inlineStr">
        <is>
          <t>Multi-site retailer; Core relevant category</t>
        </is>
      </c>
      <c r="AR208" s="5" t="inlineStr">
        <is>
          <t>https://alloa.cylex-uk.co.uk/company/vapourz-26787237.html</t>
        </is>
      </c>
      <c r="AS208" s="5" t="inlineStr"/>
      <c r="AT208" s="5" t="inlineStr">
        <is>
          <t>1</t>
        </is>
      </c>
      <c r="AU208" s="5" t="inlineStr">
        <is>
          <t>No</t>
        </is>
      </c>
      <c r="AV208" s="5" t="inlineStr">
        <is>
          <t>No</t>
        </is>
      </c>
      <c r="AW208" s="5" t="inlineStr">
        <is>
          <t>No</t>
        </is>
      </c>
      <c r="AX208" s="5" t="inlineStr">
        <is>
          <t>No</t>
        </is>
      </c>
      <c r="AY208" s="5" t="inlineStr">
        <is>
          <t>Not Found</t>
        </is>
      </c>
      <c r="AZ208" s="5" t="inlineStr">
        <is>
          <t>Not Found</t>
        </is>
      </c>
      <c r="BA208" s="5" t="inlineStr">
        <is>
          <t>2026-09-17</t>
        </is>
      </c>
      <c r="BB208" s="5" t="inlineStr">
        <is>
          <t>Requires Verification</t>
        </is>
      </c>
      <c r="BC208" s="5" t="inlineStr">
        <is>
          <t>Low</t>
        </is>
      </c>
      <c r="BD208" s="5" t="inlineStr"/>
      <c r="BE208" s="5" t="inlineStr">
        <is>
          <t>Business (B2B)</t>
        </is>
      </c>
      <c r="BF208" s="5" t="inlineStr">
        <is>
          <t>Legitimate interest (B2B) - assess per campaign; PECR: corporate subscribers</t>
        </is>
      </c>
      <c r="BG208" s="5" t="inlineStr"/>
      <c r="BH208" s="5" t="inlineStr">
        <is>
          <t>No</t>
        </is>
      </c>
      <c r="BI208" s="5" t="inlineStr">
        <is>
          <t>2026-09-17</t>
        </is>
      </c>
      <c r="BJ208" s="5" t="inlineStr">
        <is>
          <t>New</t>
        </is>
      </c>
      <c r="BK208" s="5" t="inlineStr">
        <is>
          <t>2026-09-17</t>
        </is>
      </c>
      <c r="BL208" s="5" t="inlineStr"/>
      <c r="BM208" s="5" t="inlineStr"/>
      <c r="BN208" s="5" t="inlineStr"/>
      <c r="BO208" s="5" t="inlineStr"/>
      <c r="BP208" s="5" t="inlineStr"/>
      <c r="BQ208" s="5" t="inlineStr"/>
    </row>
    <row r="209">
      <c r="A209" s="10" t="inlineStr">
        <is>
          <t>UK-000747</t>
        </is>
      </c>
      <c r="B209" s="10" t="inlineStr">
        <is>
          <t>VAPOURZ-02</t>
        </is>
      </c>
      <c r="C209" s="10" t="inlineStr">
        <is>
          <t>Vapourz</t>
        </is>
      </c>
      <c r="D209" s="10" t="inlineStr">
        <is>
          <t>Vapourz Falkirk</t>
        </is>
      </c>
      <c r="E209" s="10" t="inlineStr">
        <is>
          <t>Vapourz</t>
        </is>
      </c>
      <c r="F209" s="10" t="inlineStr"/>
      <c r="G209" s="10" t="inlineStr">
        <is>
          <t>Vape Shop</t>
        </is>
      </c>
      <c r="H209" s="10" t="inlineStr">
        <is>
          <t>Vape shop / e-liquids</t>
        </is>
      </c>
      <c r="I209" s="10" t="inlineStr">
        <is>
          <t>Regional Chain</t>
        </is>
      </c>
      <c r="J209" s="10" t="inlineStr">
        <is>
          <t>1</t>
        </is>
      </c>
      <c r="K209" s="10" t="inlineStr"/>
      <c r="L209" s="10" t="inlineStr"/>
      <c r="M209" s="10" t="inlineStr"/>
      <c r="N209" s="10" t="inlineStr"/>
      <c r="O209" s="10" t="inlineStr">
        <is>
          <t>100 High Street</t>
        </is>
      </c>
      <c r="P209" s="10" t="inlineStr"/>
      <c r="Q209" s="10" t="inlineStr">
        <is>
          <t>Falkirk</t>
        </is>
      </c>
      <c r="R209" s="10" t="inlineStr">
        <is>
          <t>Falkirk</t>
        </is>
      </c>
      <c r="S209" s="10" t="inlineStr">
        <is>
          <t>FK1 1NW</t>
        </is>
      </c>
      <c r="T209" s="10" t="inlineStr">
        <is>
          <t>Scotland</t>
        </is>
      </c>
      <c r="U209" s="10" t="inlineStr">
        <is>
          <t>Scotland</t>
        </is>
      </c>
      <c r="V209" s="10" t="inlineStr">
        <is>
          <t>01324 626390</t>
        </is>
      </c>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vape hardware; e-liquids</t>
        </is>
      </c>
      <c r="AL209" s="10" t="inlineStr"/>
      <c r="AM209" s="10" t="inlineStr">
        <is>
          <t>Vape Shop</t>
        </is>
      </c>
      <c r="AN209" s="10" t="inlineStr"/>
      <c r="AO209" s="10" t="inlineStr">
        <is>
          <t>Falkirk High Street branch of Vapourz, a central-Scotland vape retailer with further stores in Stirling, Kirkcaldy and Alloa (shared parent Vapourz). Details from Cylex snippet.</t>
        </is>
      </c>
      <c r="AP209" s="10" t="inlineStr">
        <is>
          <t>Medium</t>
        </is>
      </c>
      <c r="AQ209" s="10" t="inlineStr">
        <is>
          <t>Multi-site retailer; Core relevant category</t>
        </is>
      </c>
      <c r="AR209" s="10" t="inlineStr">
        <is>
          <t>https://falkirk.cylex-uk.co.uk/company/vapourz-26787238.html</t>
        </is>
      </c>
      <c r="AS209" s="10" t="inlineStr"/>
      <c r="AT209" s="10" t="inlineStr">
        <is>
          <t>1</t>
        </is>
      </c>
      <c r="AU209" s="10" t="inlineStr">
        <is>
          <t>No</t>
        </is>
      </c>
      <c r="AV209" s="10" t="inlineStr">
        <is>
          <t>No</t>
        </is>
      </c>
      <c r="AW209" s="10" t="inlineStr">
        <is>
          <t>No</t>
        </is>
      </c>
      <c r="AX209" s="10" t="inlineStr">
        <is>
          <t>No</t>
        </is>
      </c>
      <c r="AY209" s="10" t="inlineStr">
        <is>
          <t>Verified directory</t>
        </is>
      </c>
      <c r="AZ209" s="10" t="inlineStr">
        <is>
          <t>Not Found</t>
        </is>
      </c>
      <c r="BA209" s="10" t="inlineStr">
        <is>
          <t>2026-09-17</t>
        </is>
      </c>
      <c r="BB209" s="10" t="inlineStr">
        <is>
          <t>Requires Verification</t>
        </is>
      </c>
      <c r="BC209" s="10" t="inlineStr">
        <is>
          <t>Medium</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2026-09-17</t>
        </is>
      </c>
      <c r="BJ209" s="10" t="inlineStr">
        <is>
          <t>New</t>
        </is>
      </c>
      <c r="BK209" s="10" t="inlineStr">
        <is>
          <t>2026-09-17</t>
        </is>
      </c>
      <c r="BL209" s="10" t="inlineStr"/>
      <c r="BM209" s="10" t="inlineStr"/>
      <c r="BN209" s="10" t="inlineStr"/>
      <c r="BO209" s="10" t="inlineStr"/>
      <c r="BP209" s="10" t="inlineStr"/>
      <c r="BQ209" s="10" t="inlineStr"/>
    </row>
    <row r="210">
      <c r="A210" s="5" t="inlineStr">
        <is>
          <t>UK-000748</t>
        </is>
      </c>
      <c r="B210" s="5" t="inlineStr">
        <is>
          <t>VAPOURZ-03</t>
        </is>
      </c>
      <c r="C210" s="5" t="inlineStr">
        <is>
          <t>Vapourz</t>
        </is>
      </c>
      <c r="D210" s="5" t="inlineStr">
        <is>
          <t>Vapourz Kirkcaldy</t>
        </is>
      </c>
      <c r="E210" s="5" t="inlineStr">
        <is>
          <t>Vapourz</t>
        </is>
      </c>
      <c r="F210" s="5" t="inlineStr"/>
      <c r="G210" s="5" t="inlineStr">
        <is>
          <t>Vape Shop</t>
        </is>
      </c>
      <c r="H210" s="5" t="inlineStr">
        <is>
          <t>Vape shop / e-liquids</t>
        </is>
      </c>
      <c r="I210" s="5" t="inlineStr">
        <is>
          <t>Regional Chain</t>
        </is>
      </c>
      <c r="J210" s="5" t="inlineStr">
        <is>
          <t>1</t>
        </is>
      </c>
      <c r="K210" s="5" t="inlineStr"/>
      <c r="L210" s="5" t="inlineStr"/>
      <c r="M210" s="5" t="inlineStr"/>
      <c r="N210" s="5" t="inlineStr"/>
      <c r="O210" s="5" t="inlineStr">
        <is>
          <t>High Street</t>
        </is>
      </c>
      <c r="P210" s="5" t="inlineStr"/>
      <c r="Q210" s="5" t="inlineStr">
        <is>
          <t>Kirkcaldy</t>
        </is>
      </c>
      <c r="R210" s="5" t="inlineStr">
        <is>
          <t>Fife</t>
        </is>
      </c>
      <c r="S210" s="5" t="inlineStr"/>
      <c r="T210" s="5" t="inlineStr">
        <is>
          <t>Scotland</t>
        </is>
      </c>
      <c r="U210" s="5" t="inlineStr">
        <is>
          <t>Scotland</t>
        </is>
      </c>
      <c r="V210" s="5" t="inlineStr"/>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vape hardware; e-liquids</t>
        </is>
      </c>
      <c r="AL210" s="5" t="inlineStr"/>
      <c r="AM210" s="5" t="inlineStr">
        <is>
          <t>Vape Shop</t>
        </is>
      </c>
      <c r="AN210" s="5" t="inlineStr"/>
      <c r="AO210" s="5" t="inlineStr">
        <is>
          <t>Kirkcaldy High Street branch of the Vapourz chain, shared parent Vapourz. Phone shown only partially (01592 265...) in Cylex snippet, so left blank rather than guessed; exact number/postcode not published.</t>
        </is>
      </c>
      <c r="AP210" s="5" t="inlineStr">
        <is>
          <t>Medium</t>
        </is>
      </c>
      <c r="AQ210" s="5" t="inlineStr">
        <is>
          <t>Multi-site retailer; Core relevant category</t>
        </is>
      </c>
      <c r="AR210" s="5" t="inlineStr">
        <is>
          <t>https://kirkcaldy.cylex-uk.co.uk/company/vapourz-26862998.html</t>
        </is>
      </c>
      <c r="AS210" s="5" t="inlineStr"/>
      <c r="AT210" s="5" t="inlineStr">
        <is>
          <t>1</t>
        </is>
      </c>
      <c r="AU210" s="5" t="inlineStr">
        <is>
          <t>No</t>
        </is>
      </c>
      <c r="AV210" s="5" t="inlineStr">
        <is>
          <t>No</t>
        </is>
      </c>
      <c r="AW210" s="5" t="inlineStr">
        <is>
          <t>No</t>
        </is>
      </c>
      <c r="AX210" s="5" t="inlineStr">
        <is>
          <t>No</t>
        </is>
      </c>
      <c r="AY210" s="5" t="inlineStr">
        <is>
          <t>Not Found</t>
        </is>
      </c>
      <c r="AZ210" s="5" t="inlineStr">
        <is>
          <t>Not Found</t>
        </is>
      </c>
      <c r="BA210" s="5" t="inlineStr">
        <is>
          <t>2026-09-17</t>
        </is>
      </c>
      <c r="BB210" s="5" t="inlineStr">
        <is>
          <t>Requires Verification</t>
        </is>
      </c>
      <c r="BC210" s="5" t="inlineStr">
        <is>
          <t>Low</t>
        </is>
      </c>
      <c r="BD210" s="5" t="inlineStr"/>
      <c r="BE210" s="5" t="inlineStr">
        <is>
          <t>Business (B2B)</t>
        </is>
      </c>
      <c r="BF210" s="5" t="inlineStr">
        <is>
          <t>Legitimate interest (B2B) - assess per campaign; PECR: corporate subscribers</t>
        </is>
      </c>
      <c r="BG210" s="5" t="inlineStr"/>
      <c r="BH210" s="5" t="inlineStr">
        <is>
          <t>No</t>
        </is>
      </c>
      <c r="BI210" s="5" t="inlineStr">
        <is>
          <t>2026-09-17</t>
        </is>
      </c>
      <c r="BJ210" s="5" t="inlineStr">
        <is>
          <t>New</t>
        </is>
      </c>
      <c r="BK210" s="5" t="inlineStr">
        <is>
          <t>2026-09-17</t>
        </is>
      </c>
      <c r="BL210" s="5" t="inlineStr"/>
      <c r="BM210" s="5" t="inlineStr"/>
      <c r="BN210" s="5" t="inlineStr"/>
      <c r="BO210" s="5" t="inlineStr"/>
      <c r="BP210" s="5" t="inlineStr"/>
      <c r="BQ210" s="5" t="inlineStr"/>
    </row>
    <row r="211">
      <c r="A211" s="10" t="inlineStr">
        <is>
          <t>UK-000749</t>
        </is>
      </c>
      <c r="B211" s="10" t="inlineStr">
        <is>
          <t>VAPOURZ-04</t>
        </is>
      </c>
      <c r="C211" s="10" t="inlineStr">
        <is>
          <t>Vapourz</t>
        </is>
      </c>
      <c r="D211" s="10" t="inlineStr">
        <is>
          <t>Vapourz Stirling</t>
        </is>
      </c>
      <c r="E211" s="10" t="inlineStr">
        <is>
          <t>Vapourz</t>
        </is>
      </c>
      <c r="F211" s="10" t="inlineStr"/>
      <c r="G211" s="10" t="inlineStr">
        <is>
          <t>Vape Shop</t>
        </is>
      </c>
      <c r="H211" s="10" t="inlineStr">
        <is>
          <t>Vape shop / e-liquids</t>
        </is>
      </c>
      <c r="I211" s="10" t="inlineStr">
        <is>
          <t>Regional Chain</t>
        </is>
      </c>
      <c r="J211" s="10" t="inlineStr">
        <is>
          <t>1</t>
        </is>
      </c>
      <c r="K211" s="10" t="inlineStr"/>
      <c r="L211" s="10" t="inlineStr"/>
      <c r="M211" s="10" t="inlineStr"/>
      <c r="N211" s="10" t="inlineStr"/>
      <c r="O211" s="10" t="inlineStr">
        <is>
          <t>King Street</t>
        </is>
      </c>
      <c r="P211" s="10" t="inlineStr"/>
      <c r="Q211" s="10" t="inlineStr">
        <is>
          <t>Stirling</t>
        </is>
      </c>
      <c r="R211" s="10" t="inlineStr">
        <is>
          <t>Stirling</t>
        </is>
      </c>
      <c r="S211" s="10" t="inlineStr"/>
      <c r="T211" s="10" t="inlineStr">
        <is>
          <t>Scotland</t>
        </is>
      </c>
      <c r="U211" s="10" t="inlineStr">
        <is>
          <t>Scotland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vape hardware; e-liquids</t>
        </is>
      </c>
      <c r="AL211" s="10" t="inlineStr"/>
      <c r="AM211" s="10" t="inlineStr">
        <is>
          <t>Vape Shop</t>
        </is>
      </c>
      <c r="AN211" s="10" t="inlineStr"/>
      <c r="AO211" s="10" t="inlineStr">
        <is>
          <t>Stirling (King Street) branch of the Vapourz chain, shared parent Vapourz. Phone shown only partially (01786 447...) in Cylex snippet, so left blank rather than guessed; postcode not published in snippet.</t>
        </is>
      </c>
      <c r="AP211" s="10" t="inlineStr">
        <is>
          <t>Medium</t>
        </is>
      </c>
      <c r="AQ211" s="10" t="inlineStr">
        <is>
          <t>Multi-site retailer; Core relevant category</t>
        </is>
      </c>
      <c r="AR211" s="10" t="inlineStr">
        <is>
          <t>https://stirling.cylex-uk.co.uk/company/vapourz-26641954.html</t>
        </is>
      </c>
      <c r="AS211" s="10" t="inlineStr"/>
      <c r="AT211" s="10" t="inlineStr">
        <is>
          <t>1</t>
        </is>
      </c>
      <c r="AU211" s="10" t="inlineStr">
        <is>
          <t>No</t>
        </is>
      </c>
      <c r="AV211" s="10" t="inlineStr">
        <is>
          <t>No</t>
        </is>
      </c>
      <c r="AW211" s="10" t="inlineStr">
        <is>
          <t>No</t>
        </is>
      </c>
      <c r="AX211" s="10" t="inlineStr">
        <is>
          <t>No</t>
        </is>
      </c>
      <c r="AY211" s="10" t="inlineStr">
        <is>
          <t>Not Found</t>
        </is>
      </c>
      <c r="AZ211" s="10" t="inlineStr">
        <is>
          <t>Not Found</t>
        </is>
      </c>
      <c r="BA211" s="10" t="inlineStr">
        <is>
          <t>2026-09-17</t>
        </is>
      </c>
      <c r="BB211" s="10" t="inlineStr">
        <is>
          <t>Requires Verification</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2026-09-17</t>
        </is>
      </c>
      <c r="BJ211" s="10" t="inlineStr">
        <is>
          <t>New</t>
        </is>
      </c>
      <c r="BK211" s="10" t="inlineStr">
        <is>
          <t>2026-09-17</t>
        </is>
      </c>
      <c r="BL211" s="10" t="inlineStr"/>
      <c r="BM211" s="10" t="inlineStr"/>
      <c r="BN211" s="10" t="inlineStr"/>
      <c r="BO211" s="10" t="inlineStr"/>
      <c r="BP211" s="10" t="inlineStr"/>
      <c r="BQ211" s="10" t="inlineStr"/>
    </row>
    <row r="212">
      <c r="A212" s="5" t="inlineStr">
        <is>
          <t>WY-0039</t>
        </is>
      </c>
      <c r="B212" s="5" t="inlineStr">
        <is>
          <t>WOWVAPE-01</t>
        </is>
      </c>
      <c r="C212" s="5" t="inlineStr">
        <is>
          <t>WOW Vape</t>
        </is>
      </c>
      <c r="D212" s="5" t="inlineStr">
        <is>
          <t>WOW Vape (Castleford)</t>
        </is>
      </c>
      <c r="E212" s="5" t="inlineStr">
        <is>
          <t>WOW Vape</t>
        </is>
      </c>
      <c r="F212" s="5" t="inlineStr"/>
      <c r="G212" s="5" t="inlineStr">
        <is>
          <t>Vape Shop</t>
        </is>
      </c>
      <c r="H212" s="5" t="inlineStr">
        <is>
          <t>Vape retailer</t>
        </is>
      </c>
      <c r="I212" s="5" t="inlineStr">
        <is>
          <t>Multi-Site Independent</t>
        </is>
      </c>
      <c r="J212" s="5" t="inlineStr">
        <is>
          <t>2</t>
        </is>
      </c>
      <c r="K212" s="5" t="inlineStr">
        <is>
          <t>https://wow-vape.co.uk</t>
        </is>
      </c>
      <c r="L212" s="5" t="inlineStr">
        <is>
          <t>https://www.facebook.com/wowvapecas/</t>
        </is>
      </c>
      <c r="M212" s="5" t="inlineStr">
        <is>
          <t>https://www.instagram.com/wow_vape_castleford/</t>
        </is>
      </c>
      <c r="N212" s="5" t="inlineStr"/>
      <c r="O212" s="5" t="inlineStr">
        <is>
          <t>45 Carlton Street</t>
        </is>
      </c>
      <c r="P212" s="5" t="inlineStr"/>
      <c r="Q212" s="5" t="inlineStr">
        <is>
          <t>Castleford</t>
        </is>
      </c>
      <c r="R212" s="5" t="inlineStr">
        <is>
          <t>West Yorkshire</t>
        </is>
      </c>
      <c r="S212" s="5" t="inlineStr">
        <is>
          <t>WF10 1BA</t>
        </is>
      </c>
      <c r="T212" s="5" t="inlineStr">
        <is>
          <t>Yorkshire &amp; Humber</t>
        </is>
      </c>
      <c r="U212" s="5" t="inlineStr">
        <is>
          <t>England</t>
        </is>
      </c>
      <c r="V212" s="5" t="inlineStr">
        <is>
          <t>01977 516062</t>
        </is>
      </c>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vape hardware; e-liquids</t>
        </is>
      </c>
      <c r="AL212" s="5" t="inlineStr"/>
      <c r="AM212" s="5" t="inlineStr">
        <is>
          <t>Vape Shop</t>
        </is>
      </c>
      <c r="AN212" s="5" t="inlineStr"/>
      <c r="AO212"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212" s="5" t="inlineStr">
        <is>
          <t>High</t>
        </is>
      </c>
      <c r="AQ212" s="5" t="inlineStr">
        <is>
          <t>Multi-site retailer; Independent retailer; Core relevant category; Active website; Social presence</t>
        </is>
      </c>
      <c r="AR212" s="5" t="inlineStr">
        <is>
          <t>https://www.facebook.com/wowvapecas/</t>
        </is>
      </c>
      <c r="AS212" s="5" t="inlineStr">
        <is>
          <t>https://www.yelp.com/biz/wow-vape-castleford</t>
        </is>
      </c>
      <c r="AT212" s="5" t="inlineStr">
        <is>
          <t>3</t>
        </is>
      </c>
      <c r="AU212" s="5" t="inlineStr">
        <is>
          <t>No</t>
        </is>
      </c>
      <c r="AV212" s="5" t="inlineStr">
        <is>
          <t>No</t>
        </is>
      </c>
      <c r="AW212" s="5" t="inlineStr">
        <is>
          <t>No</t>
        </is>
      </c>
      <c r="AX212" s="5" t="inlineStr">
        <is>
          <t>No</t>
        </is>
      </c>
      <c r="AY212" s="5" t="inlineStr">
        <is>
          <t>Verified directory</t>
        </is>
      </c>
      <c r="AZ212" s="5" t="inlineStr">
        <is>
          <t>Not Found</t>
        </is>
      </c>
      <c r="BA212" s="5" t="inlineStr">
        <is>
          <t>2026-09-17</t>
        </is>
      </c>
      <c r="BB212" s="5" t="inlineStr">
        <is>
          <t>Requires Verification</t>
        </is>
      </c>
      <c r="BC212" s="5" t="inlineStr">
        <is>
          <t>Medium</t>
        </is>
      </c>
      <c r="BD212" s="5" t="inlineStr"/>
      <c r="BE212" s="5" t="inlineStr">
        <is>
          <t>Business (B2B)</t>
        </is>
      </c>
      <c r="BF212" s="5" t="inlineStr">
        <is>
          <t>Legitimate interest (B2B) - assess per campaign; PECR: corporate subscribers</t>
        </is>
      </c>
      <c r="BG212" s="5" t="inlineStr"/>
      <c r="BH212" s="5" t="inlineStr">
        <is>
          <t>No</t>
        </is>
      </c>
      <c r="BI212" s="5" t="inlineStr">
        <is>
          <t>2026-09-16</t>
        </is>
      </c>
      <c r="BJ212" s="5" t="inlineStr">
        <is>
          <t>New</t>
        </is>
      </c>
      <c r="BK212" s="5" t="inlineStr">
        <is>
          <t>2026-09-17</t>
        </is>
      </c>
      <c r="BL212" s="5" t="inlineStr"/>
      <c r="BM212" s="5" t="inlineStr"/>
      <c r="BN212" s="5" t="inlineStr"/>
      <c r="BO212" s="5" t="inlineStr"/>
      <c r="BP212" s="5" t="inlineStr"/>
      <c r="BQ212" s="5" t="inlineStr"/>
    </row>
    <row r="213">
      <c r="A213" s="10" t="inlineStr">
        <is>
          <t>WY-0040</t>
        </is>
      </c>
      <c r="B213" s="10" t="inlineStr">
        <is>
          <t>WOWVAPE-02</t>
        </is>
      </c>
      <c r="C213" s="10" t="inlineStr">
        <is>
          <t>WOW Vape</t>
        </is>
      </c>
      <c r="D213" s="10" t="inlineStr">
        <is>
          <t>WOW Vape (Wakefield)</t>
        </is>
      </c>
      <c r="E213" s="10" t="inlineStr">
        <is>
          <t>WOW Vape</t>
        </is>
      </c>
      <c r="F213" s="10" t="inlineStr"/>
      <c r="G213" s="10" t="inlineStr">
        <is>
          <t>Vape Shop</t>
        </is>
      </c>
      <c r="H213" s="10" t="inlineStr">
        <is>
          <t>Vape retailer</t>
        </is>
      </c>
      <c r="I213" s="10" t="inlineStr">
        <is>
          <t>Multi-Site Independent</t>
        </is>
      </c>
      <c r="J213" s="10" t="inlineStr">
        <is>
          <t>2</t>
        </is>
      </c>
      <c r="K213" s="10" t="inlineStr"/>
      <c r="L213" s="10" t="inlineStr"/>
      <c r="M213" s="10" t="inlineStr">
        <is>
          <t>https://www.instagram.com/wowvapewakefield/</t>
        </is>
      </c>
      <c r="N213" s="10" t="inlineStr"/>
      <c r="O213" s="10" t="inlineStr"/>
      <c r="P213" s="10" t="inlineStr"/>
      <c r="Q213" s="10" t="inlineStr">
        <is>
          <t>Wakefield</t>
        </is>
      </c>
      <c r="R213" s="10" t="inlineStr">
        <is>
          <t>West Yorkshire</t>
        </is>
      </c>
      <c r="S213" s="10" t="inlineStr"/>
      <c r="T213" s="10" t="inlineStr">
        <is>
          <t>Yorkshire &amp; Humber</t>
        </is>
      </c>
      <c r="U213" s="10" t="inlineStr">
        <is>
          <t>England</t>
        </is>
      </c>
      <c r="V213" s="10" t="inlineStr"/>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vape hardware; e-liquids</t>
        </is>
      </c>
      <c r="AL213" s="10" t="inlineStr"/>
      <c r="AM213" s="10" t="inlineStr">
        <is>
          <t>Vape Shop</t>
        </is>
      </c>
      <c r="AN213" s="10" t="inlineStr"/>
      <c r="AO213" s="10" t="inlineStr">
        <is>
          <t>Wakefield branch of WOW Vape (sister shop to Castleford). Confirmed via Instagram handle and Puffing Bird directory listing; street address not found in accessible sources - needs follow-up.</t>
        </is>
      </c>
      <c r="AP213" s="10" t="inlineStr">
        <is>
          <t>High</t>
        </is>
      </c>
      <c r="AQ213" s="10" t="inlineStr">
        <is>
          <t>Multi-site retailer; Independent retailer; Core relevant category; Social presence</t>
        </is>
      </c>
      <c r="AR213" s="10" t="inlineStr">
        <is>
          <t>https://www.instagram.com/wowvapewakefield/</t>
        </is>
      </c>
      <c r="AS213" s="10" t="inlineStr">
        <is>
          <t>https://vapeshops.puffingbird.com/yorkshire-and-the-humber/wakefield/wow-vape-wakefield</t>
        </is>
      </c>
      <c r="AT213" s="10" t="inlineStr">
        <is>
          <t>2</t>
        </is>
      </c>
      <c r="AU213" s="10" t="inlineStr">
        <is>
          <t>No</t>
        </is>
      </c>
      <c r="AV213" s="10" t="inlineStr">
        <is>
          <t>No</t>
        </is>
      </c>
      <c r="AW213" s="10" t="inlineStr">
        <is>
          <t>No</t>
        </is>
      </c>
      <c r="AX213" s="10" t="inlineStr">
        <is>
          <t>No</t>
        </is>
      </c>
      <c r="AY213" s="10" t="inlineStr">
        <is>
          <t>Not Found</t>
        </is>
      </c>
      <c r="AZ213" s="10" t="inlineStr">
        <is>
          <t>Not Found</t>
        </is>
      </c>
      <c r="BA213" s="10" t="inlineStr">
        <is>
          <t>2026-09-17</t>
        </is>
      </c>
      <c r="BB213" s="10" t="inlineStr">
        <is>
          <t>Requires Verification</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2026-09-16</t>
        </is>
      </c>
      <c r="BJ213" s="10" t="inlineStr">
        <is>
          <t>New</t>
        </is>
      </c>
      <c r="BK213" s="10" t="inlineStr">
        <is>
          <t>2026-09-17</t>
        </is>
      </c>
      <c r="BL213" s="10" t="inlineStr"/>
      <c r="BM213" s="10" t="inlineStr"/>
      <c r="BN213" s="10" t="inlineStr"/>
      <c r="BO213" s="10" t="inlineStr"/>
      <c r="BP213" s="10" t="inlineStr"/>
      <c r="BQ213" s="10" t="inlineStr"/>
    </row>
    <row r="214">
      <c r="A214" s="5" t="inlineStr">
        <is>
          <t>WY-0041</t>
        </is>
      </c>
      <c r="B214" s="5" t="inlineStr">
        <is>
          <t>WEAREVAPES-01</t>
        </is>
      </c>
      <c r="C214" s="5" t="inlineStr">
        <is>
          <t>We Are Vapes</t>
        </is>
      </c>
      <c r="D214" s="5" t="inlineStr">
        <is>
          <t>We Are Vapes</t>
        </is>
      </c>
      <c r="E214" s="5" t="inlineStr">
        <is>
          <t>We Are Vapes</t>
        </is>
      </c>
      <c r="F214" s="5" t="inlineStr"/>
      <c r="G214" s="5" t="inlineStr">
        <is>
          <t>Vape Shop</t>
        </is>
      </c>
      <c r="H214" s="5" t="inlineStr">
        <is>
          <t>Vape kits, e-liquids &amp; accessories</t>
        </is>
      </c>
      <c r="I214" s="5" t="inlineStr">
        <is>
          <t>Multi-Site Independent</t>
        </is>
      </c>
      <c r="J214" s="5" t="inlineStr">
        <is>
          <t>3</t>
        </is>
      </c>
      <c r="K214" s="5" t="inlineStr">
        <is>
          <t>https://www.wearevapes.com/</t>
        </is>
      </c>
      <c r="L214" s="5" t="inlineStr"/>
      <c r="M214" s="5" t="inlineStr"/>
      <c r="N214" s="5" t="inlineStr"/>
      <c r="O214" s="5" t="inlineStr">
        <is>
          <t>287 Tong Street</t>
        </is>
      </c>
      <c r="P214" s="5" t="inlineStr"/>
      <c r="Q214" s="5" t="inlineStr">
        <is>
          <t>Bradford</t>
        </is>
      </c>
      <c r="R214" s="5" t="inlineStr">
        <is>
          <t>West Yorkshire</t>
        </is>
      </c>
      <c r="S214" s="5" t="inlineStr">
        <is>
          <t>BD4 9QJ</t>
        </is>
      </c>
      <c r="T214" s="5" t="inlineStr">
        <is>
          <t>Yorkshire &amp; Humber</t>
        </is>
      </c>
      <c r="U214" s="5" t="inlineStr">
        <is>
          <t>England</t>
        </is>
      </c>
      <c r="V214" s="5" t="inlineStr">
        <is>
          <t>01274 270773</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vape hardware; e-liquids; disposables</t>
        </is>
      </c>
      <c r="AL214" s="5" t="inlineStr"/>
      <c r="AM214" s="5" t="inlineStr">
        <is>
          <t>Vape Shop</t>
        </is>
      </c>
      <c r="AN214" s="5" t="inlineStr"/>
      <c r="AO214"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214" s="5" t="inlineStr">
        <is>
          <t>High</t>
        </is>
      </c>
      <c r="AQ214" s="5" t="inlineStr">
        <is>
          <t>Multi-site retailer; Independent retailer; Core relevant category; Active website</t>
        </is>
      </c>
      <c r="AR214" s="5" t="inlineStr">
        <is>
          <t>https://www.wearevapes.com/</t>
        </is>
      </c>
      <c r="AS214" s="5" t="inlineStr">
        <is>
          <t>https://www.yelp.co.uk/biz/we-are-vapes-bradford-3</t>
        </is>
      </c>
      <c r="AT214" s="5" t="inlineStr">
        <is>
          <t>2</t>
        </is>
      </c>
      <c r="AU214" s="5" t="inlineStr">
        <is>
          <t>No</t>
        </is>
      </c>
      <c r="AV214" s="5" t="inlineStr">
        <is>
          <t>No</t>
        </is>
      </c>
      <c r="AW214" s="5" t="inlineStr">
        <is>
          <t>No</t>
        </is>
      </c>
      <c r="AX214" s="5" t="inlineStr">
        <is>
          <t>No</t>
        </is>
      </c>
      <c r="AY214" s="5" t="inlineStr">
        <is>
          <t>Verified directory</t>
        </is>
      </c>
      <c r="AZ214" s="5" t="inlineStr">
        <is>
          <t>Website Found</t>
        </is>
      </c>
      <c r="BA214" s="5" t="inlineStr">
        <is>
          <t>2026-09-17</t>
        </is>
      </c>
      <c r="BB214" s="5" t="inlineStr">
        <is>
          <t>Requires Verification</t>
        </is>
      </c>
      <c r="BC214" s="5" t="inlineStr">
        <is>
          <t>Medium</t>
        </is>
      </c>
      <c r="BD214" s="5" t="inlineStr"/>
      <c r="BE214" s="5" t="inlineStr">
        <is>
          <t>Business (B2B)</t>
        </is>
      </c>
      <c r="BF214" s="5" t="inlineStr">
        <is>
          <t>Legitimate interest (B2B) - assess per campaign; PECR: corporate subscribers</t>
        </is>
      </c>
      <c r="BG214" s="5" t="inlineStr"/>
      <c r="BH214" s="5" t="inlineStr">
        <is>
          <t>No</t>
        </is>
      </c>
      <c r="BI214" s="5" t="inlineStr">
        <is>
          <t>2026-09-16</t>
        </is>
      </c>
      <c r="BJ214" s="5" t="inlineStr">
        <is>
          <t>New</t>
        </is>
      </c>
      <c r="BK214" s="5" t="inlineStr">
        <is>
          <t>2026-09-17</t>
        </is>
      </c>
      <c r="BL214" s="5" t="inlineStr"/>
      <c r="BM214" s="5" t="inlineStr"/>
      <c r="BN214" s="5" t="inlineStr"/>
      <c r="BO214" s="5" t="inlineStr"/>
      <c r="BP214" s="5" t="inlineStr"/>
      <c r="BQ214" s="5" t="inlineStr"/>
    </row>
    <row r="215">
      <c r="A215" s="10" t="inlineStr">
        <is>
          <t>WY-0042</t>
        </is>
      </c>
      <c r="B215" s="10" t="inlineStr">
        <is>
          <t>WEAREVAPES-02</t>
        </is>
      </c>
      <c r="C215" s="10" t="inlineStr">
        <is>
          <t>We Are Vapes</t>
        </is>
      </c>
      <c r="D215" s="10" t="inlineStr">
        <is>
          <t>We Are Vapes</t>
        </is>
      </c>
      <c r="E215" s="10" t="inlineStr">
        <is>
          <t>We Are Vapes</t>
        </is>
      </c>
      <c r="F215" s="10" t="inlineStr"/>
      <c r="G215" s="10" t="inlineStr">
        <is>
          <t>Vape Shop</t>
        </is>
      </c>
      <c r="H215" s="10" t="inlineStr">
        <is>
          <t>Vape kits, e-liquids &amp; accessories</t>
        </is>
      </c>
      <c r="I215" s="10" t="inlineStr">
        <is>
          <t>Multi-Site Independent</t>
        </is>
      </c>
      <c r="J215" s="10" t="inlineStr">
        <is>
          <t>3</t>
        </is>
      </c>
      <c r="K215" s="10" t="inlineStr">
        <is>
          <t>https://www.wearevapes.com/</t>
        </is>
      </c>
      <c r="L215" s="10" t="inlineStr"/>
      <c r="M215" s="10" t="inlineStr"/>
      <c r="N215" s="10" t="inlineStr"/>
      <c r="O215" s="10" t="inlineStr">
        <is>
          <t>220 High Street</t>
        </is>
      </c>
      <c r="P215" s="10" t="inlineStr">
        <is>
          <t>Wibsey</t>
        </is>
      </c>
      <c r="Q215" s="10" t="inlineStr">
        <is>
          <t>Bradford</t>
        </is>
      </c>
      <c r="R215" s="10" t="inlineStr">
        <is>
          <t>West Yorkshire</t>
        </is>
      </c>
      <c r="S215" s="10" t="inlineStr"/>
      <c r="T215" s="10" t="inlineStr">
        <is>
          <t>Yorkshire &amp; Humber</t>
        </is>
      </c>
      <c r="U215" s="10" t="inlineStr">
        <is>
          <t>England</t>
        </is>
      </c>
      <c r="V215" s="10" t="inlineStr">
        <is>
          <t>01274 634327</t>
        </is>
      </c>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vape hardware; e-liquids; disposables</t>
        </is>
      </c>
      <c r="AL215" s="10" t="inlineStr"/>
      <c r="AM215" s="10" t="inlineStr">
        <is>
          <t>Vape Shop</t>
        </is>
      </c>
      <c r="AN215" s="10" t="inlineStr"/>
      <c r="AO215" s="10" t="inlineStr">
        <is>
          <t>Wibsey branch of the 3-store We Are Vapes group. Phone listed against this branch in directory results.</t>
        </is>
      </c>
      <c r="AP215" s="10" t="inlineStr">
        <is>
          <t>High</t>
        </is>
      </c>
      <c r="AQ215" s="10" t="inlineStr">
        <is>
          <t>Multi-site retailer; Independent retailer; Core relevant category; Active website</t>
        </is>
      </c>
      <c r="AR215" s="10" t="inlineStr">
        <is>
          <t>https://www.wearevapes.com/</t>
        </is>
      </c>
      <c r="AS215" s="10" t="inlineStr">
        <is>
          <t>https://www.yelp.com/biz/we-are-vapes-bradford-2</t>
        </is>
      </c>
      <c r="AT215" s="10" t="inlineStr">
        <is>
          <t>2</t>
        </is>
      </c>
      <c r="AU215" s="10" t="inlineStr">
        <is>
          <t>No</t>
        </is>
      </c>
      <c r="AV215" s="10" t="inlineStr">
        <is>
          <t>No</t>
        </is>
      </c>
      <c r="AW215" s="10" t="inlineStr">
        <is>
          <t>No</t>
        </is>
      </c>
      <c r="AX215" s="10" t="inlineStr">
        <is>
          <t>No</t>
        </is>
      </c>
      <c r="AY215" s="10" t="inlineStr">
        <is>
          <t>Verified directory</t>
        </is>
      </c>
      <c r="AZ215" s="10" t="inlineStr">
        <is>
          <t>Website Found</t>
        </is>
      </c>
      <c r="BA215" s="10" t="inlineStr">
        <is>
          <t>2026-09-17</t>
        </is>
      </c>
      <c r="BB215" s="10" t="inlineStr">
        <is>
          <t>Requires Verification</t>
        </is>
      </c>
      <c r="BC215" s="10" t="inlineStr">
        <is>
          <t>Medium</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2026-09-16</t>
        </is>
      </c>
      <c r="BJ215" s="10" t="inlineStr">
        <is>
          <t>New</t>
        </is>
      </c>
      <c r="BK215" s="10" t="inlineStr">
        <is>
          <t>2026-09-17</t>
        </is>
      </c>
      <c r="BL215" s="10" t="inlineStr"/>
      <c r="BM215" s="10" t="inlineStr"/>
      <c r="BN215" s="10" t="inlineStr"/>
      <c r="BO215" s="10" t="inlineStr"/>
      <c r="BP215" s="10" t="inlineStr"/>
      <c r="BQ215" s="10" t="inlineStr"/>
    </row>
    <row r="216">
      <c r="A216" s="5" t="inlineStr">
        <is>
          <t>WY-0043</t>
        </is>
      </c>
      <c r="B216" s="5" t="inlineStr">
        <is>
          <t>WEAREVAPES-03</t>
        </is>
      </c>
      <c r="C216" s="5" t="inlineStr">
        <is>
          <t>We Are Vapes</t>
        </is>
      </c>
      <c r="D216" s="5" t="inlineStr">
        <is>
          <t>We Are Vapes</t>
        </is>
      </c>
      <c r="E216" s="5" t="inlineStr">
        <is>
          <t>We Are Vapes</t>
        </is>
      </c>
      <c r="F216" s="5" t="inlineStr"/>
      <c r="G216" s="5" t="inlineStr">
        <is>
          <t>Vape Shop</t>
        </is>
      </c>
      <c r="H216" s="5" t="inlineStr">
        <is>
          <t>Vape kits, e-liquids &amp; accessories</t>
        </is>
      </c>
      <c r="I216" s="5" t="inlineStr">
        <is>
          <t>Multi-Site Independent</t>
        </is>
      </c>
      <c r="J216" s="5" t="inlineStr">
        <is>
          <t>3</t>
        </is>
      </c>
      <c r="K216" s="5" t="inlineStr">
        <is>
          <t>https://www.wearevapes.com/</t>
        </is>
      </c>
      <c r="L216" s="5" t="inlineStr"/>
      <c r="M216" s="5" t="inlineStr"/>
      <c r="N216" s="5" t="inlineStr"/>
      <c r="O216" s="5" t="inlineStr">
        <is>
          <t>446 Killinghall Road</t>
        </is>
      </c>
      <c r="P216" s="5" t="inlineStr"/>
      <c r="Q216" s="5" t="inlineStr">
        <is>
          <t>Bradford</t>
        </is>
      </c>
      <c r="R216" s="5" t="inlineStr">
        <is>
          <t>West Yorkshire</t>
        </is>
      </c>
      <c r="S216" s="5" t="inlineStr"/>
      <c r="T216" s="5" t="inlineStr">
        <is>
          <t>Yorkshire &amp; Humber</t>
        </is>
      </c>
      <c r="U216" s="5" t="inlineStr">
        <is>
          <t>England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vape hardware; e-liquids; disposables</t>
        </is>
      </c>
      <c r="AL216" s="5" t="inlineStr"/>
      <c r="AM216" s="5" t="inlineStr">
        <is>
          <t>Vape Shop</t>
        </is>
      </c>
      <c r="AN216" s="5" t="inlineStr"/>
      <c r="AO216" s="5" t="inlineStr">
        <is>
          <t>Killinghall Road branch (Bradford Moor side of the city) of the 3-store We Are Vapes group.</t>
        </is>
      </c>
      <c r="AP216" s="5" t="inlineStr">
        <is>
          <t>High</t>
        </is>
      </c>
      <c r="AQ216" s="5" t="inlineStr">
        <is>
          <t>Multi-site retailer; Independent retailer; Core relevant category; Active website</t>
        </is>
      </c>
      <c r="AR216" s="5" t="inlineStr">
        <is>
          <t>https://www.wearevapes.com/</t>
        </is>
      </c>
      <c r="AS216" s="5" t="inlineStr">
        <is>
          <t>https://www.yelp.com/biz/we-are-vapes-bradford</t>
        </is>
      </c>
      <c r="AT216" s="5" t="inlineStr">
        <is>
          <t>2</t>
        </is>
      </c>
      <c r="AU216" s="5" t="inlineStr">
        <is>
          <t>No</t>
        </is>
      </c>
      <c r="AV216" s="5" t="inlineStr">
        <is>
          <t>No</t>
        </is>
      </c>
      <c r="AW216" s="5" t="inlineStr">
        <is>
          <t>No</t>
        </is>
      </c>
      <c r="AX216" s="5" t="inlineStr">
        <is>
          <t>No</t>
        </is>
      </c>
      <c r="AY216" s="5" t="inlineStr">
        <is>
          <t>Not Found</t>
        </is>
      </c>
      <c r="AZ216" s="5" t="inlineStr">
        <is>
          <t>Website Found</t>
        </is>
      </c>
      <c r="BA216" s="5" t="inlineStr">
        <is>
          <t>2026-09-17</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2026-09-16</t>
        </is>
      </c>
      <c r="BJ216" s="5" t="inlineStr">
        <is>
          <t>New</t>
        </is>
      </c>
      <c r="BK216" s="5" t="inlineStr">
        <is>
          <t>2026-09-17</t>
        </is>
      </c>
      <c r="BL216" s="5" t="inlineStr"/>
      <c r="BM216" s="5" t="inlineStr"/>
      <c r="BN216" s="5" t="inlineStr"/>
      <c r="BO216" s="5" t="inlineStr"/>
      <c r="BP216" s="5" t="inlineStr"/>
      <c r="BQ216" s="5" t="inlineStr"/>
    </row>
    <row r="217">
      <c r="A217" s="10" t="inlineStr">
        <is>
          <t>UK-000750</t>
        </is>
      </c>
      <c r="B217" s="10" t="inlineStr">
        <is>
          <t>WOODWINTER-01</t>
        </is>
      </c>
      <c r="C217" s="10" t="inlineStr">
        <is>
          <t>WoodWinters</t>
        </is>
      </c>
      <c r="D217" s="10" t="inlineStr">
        <is>
          <t>WoodWinters Wines &amp; Whiskies</t>
        </is>
      </c>
      <c r="E217" s="10" t="inlineStr">
        <is>
          <t>WoodWinters</t>
        </is>
      </c>
      <c r="F217" s="10" t="inlineStr"/>
      <c r="G217" s="10" t="inlineStr">
        <is>
          <t>Off-Licence</t>
        </is>
      </c>
      <c r="H217" s="10" t="inlineStr">
        <is>
          <t>Wine &amp; whisky merchant</t>
        </is>
      </c>
      <c r="I217" s="10" t="inlineStr">
        <is>
          <t>Multi-Site Independent</t>
        </is>
      </c>
      <c r="J217" s="10" t="inlineStr">
        <is>
          <t>1</t>
        </is>
      </c>
      <c r="K217" s="10" t="inlineStr"/>
      <c r="L217" s="10" t="inlineStr"/>
      <c r="M217" s="10" t="inlineStr"/>
      <c r="N217" s="10" t="inlineStr"/>
      <c r="O217" s="10" t="inlineStr">
        <is>
          <t>2c Springbank Road</t>
        </is>
      </c>
      <c r="P217" s="10" t="inlineStr"/>
      <c r="Q217" s="10" t="inlineStr">
        <is>
          <t>Stirling</t>
        </is>
      </c>
      <c r="R217" s="10" t="inlineStr">
        <is>
          <t>Stirling</t>
        </is>
      </c>
      <c r="S217" s="10" t="inlineStr">
        <is>
          <t>FK7 7WR</t>
        </is>
      </c>
      <c r="T217" s="10" t="inlineStr">
        <is>
          <t>Scotland</t>
        </is>
      </c>
      <c r="U217" s="10" t="inlineStr">
        <is>
          <t>Scotland</t>
        </is>
      </c>
      <c r="V217" s="10" t="inlineStr">
        <is>
          <t>01786 448687</t>
        </is>
      </c>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wine; whisky; spirits</t>
        </is>
      </c>
      <c r="AL217" s="10" t="inlineStr"/>
      <c r="AM217" s="10" t="inlineStr">
        <is>
          <t>Off-Licence</t>
        </is>
      </c>
      <c r="AN217" s="10" t="inlineStr"/>
      <c r="AO217" s="10" t="inlineStr">
        <is>
          <t>Independent wine &amp; whisky merchant in Stirling (Springbank Road); WoodWinters also has an Edinburgh branch. Details from Cylex/Yell off-licence snippet.</t>
        </is>
      </c>
      <c r="AP217" s="10" t="inlineStr">
        <is>
          <t>Medium</t>
        </is>
      </c>
      <c r="AQ217" s="10" t="inlineStr">
        <is>
          <t>Multi-site retailer; Independent retailer; Relevant category</t>
        </is>
      </c>
      <c r="AR217" s="10" t="inlineStr">
        <is>
          <t>https://falkirk.cylex-uk.co.uk/off-licence.html</t>
        </is>
      </c>
      <c r="AS217" s="10" t="inlineStr"/>
      <c r="AT217" s="10" t="inlineStr">
        <is>
          <t>1</t>
        </is>
      </c>
      <c r="AU217" s="10" t="inlineStr">
        <is>
          <t>No</t>
        </is>
      </c>
      <c r="AV217" s="10" t="inlineStr">
        <is>
          <t>No</t>
        </is>
      </c>
      <c r="AW217" s="10" t="inlineStr">
        <is>
          <t>No</t>
        </is>
      </c>
      <c r="AX217" s="10" t="inlineStr">
        <is>
          <t>No</t>
        </is>
      </c>
      <c r="AY217" s="10" t="inlineStr">
        <is>
          <t>Verified directory</t>
        </is>
      </c>
      <c r="AZ217" s="10" t="inlineStr">
        <is>
          <t>Not Found</t>
        </is>
      </c>
      <c r="BA217" s="10" t="inlineStr">
        <is>
          <t>2026-09-17</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2026-09-17</t>
        </is>
      </c>
      <c r="BJ217" s="10" t="inlineStr">
        <is>
          <t>New</t>
        </is>
      </c>
      <c r="BK217" s="10" t="inlineStr">
        <is>
          <t>2026-09-17</t>
        </is>
      </c>
      <c r="BL217" s="10" t="inlineStr"/>
      <c r="BM217" s="10" t="inlineStr"/>
      <c r="BN217" s="10" t="inlineStr"/>
      <c r="BO217" s="10" t="inlineStr"/>
      <c r="BP217" s="10" t="inlineStr"/>
      <c r="BQ217" s="10" t="inlineStr"/>
    </row>
    <row r="218">
      <c r="A218" s="5" t="inlineStr">
        <is>
          <t>UK-000328</t>
        </is>
      </c>
      <c r="B218" s="5" t="inlineStr">
        <is>
          <t>WORLDWIDEF-01</t>
        </is>
      </c>
      <c r="C218" s="5" t="inlineStr">
        <is>
          <t>Worldwide Foods</t>
        </is>
      </c>
      <c r="D218" s="5" t="inlineStr">
        <is>
          <t>Worldwide Foods (Cheetham Hill)</t>
        </is>
      </c>
      <c r="E218" s="5" t="inlineStr">
        <is>
          <t>Worldwide Foods</t>
        </is>
      </c>
      <c r="F218" s="5" t="inlineStr"/>
      <c r="G218" s="5" t="inlineStr">
        <is>
          <t>Independent Supermarket</t>
        </is>
      </c>
      <c r="H218" s="5" t="inlineStr">
        <is>
          <t>World/ethnic food supermarket (halal)</t>
        </is>
      </c>
      <c r="I218" s="5" t="inlineStr">
        <is>
          <t>Multi-Site Independent</t>
        </is>
      </c>
      <c r="J218" s="5" t="inlineStr">
        <is>
          <t>4</t>
        </is>
      </c>
      <c r="K218" s="5" t="inlineStr">
        <is>
          <t>https://worldwidefoods.co.uk/</t>
        </is>
      </c>
      <c r="L218" s="5" t="inlineStr"/>
      <c r="M218" s="5" t="inlineStr"/>
      <c r="N218" s="5" t="inlineStr"/>
      <c r="O218" s="5" t="inlineStr">
        <is>
          <t>Crescent Road</t>
        </is>
      </c>
      <c r="P218" s="5" t="inlineStr">
        <is>
          <t>Cheetham Hill</t>
        </is>
      </c>
      <c r="Q218" s="5" t="inlineStr">
        <is>
          <t>Manchester</t>
        </is>
      </c>
      <c r="R218" s="5" t="inlineStr">
        <is>
          <t>Greater Manchester</t>
        </is>
      </c>
      <c r="S218" s="5" t="inlineStr">
        <is>
          <t>M8 9JX</t>
        </is>
      </c>
      <c r="T218" s="5" t="inlineStr">
        <is>
          <t>North West</t>
        </is>
      </c>
      <c r="U218" s="5" t="inlineStr">
        <is>
          <t>England</t>
        </is>
      </c>
      <c r="V218" s="5" t="inlineStr">
        <is>
          <t>0161 740 2690</t>
        </is>
      </c>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world/ethnic groceries; halal meat; fruit &amp; veg; spices; frozen; household</t>
        </is>
      </c>
      <c r="AL218" s="5" t="inlineStr"/>
      <c r="AM218" s="5" t="inlineStr">
        <is>
          <t>Independent Supermarket</t>
        </is>
      </c>
      <c r="AN218" s="5" t="inlineStr"/>
      <c r="AO218" s="5" t="inlineStr">
        <is>
          <t>Family-owned multi-site world-food supermarket group (worldwidefoods.co.uk 'Family Foodstores'). Cheetham Hill branch. Related group entity WORLDWIDE FOODS GROUP LTD (Companies House 13793968). Website has contact form only; no email published in snippet.</t>
        </is>
      </c>
      <c r="AP218" s="5" t="inlineStr">
        <is>
          <t>Medium</t>
        </is>
      </c>
      <c r="AQ218" s="5" t="inlineStr">
        <is>
          <t>Multi-site retailer; Independent retailer; Relevant category; Active website</t>
        </is>
      </c>
      <c r="AR218" s="5" t="inlineStr">
        <is>
          <t>https://worldwidefoods.co.uk/locations/</t>
        </is>
      </c>
      <c r="AS218" s="5" t="inlineStr">
        <is>
          <t>https://find-open.co.uk/manchester/worldwide-foods-cheetham-hill-ltd-1759022</t>
        </is>
      </c>
      <c r="AT218" s="5" t="inlineStr">
        <is>
          <t>2</t>
        </is>
      </c>
      <c r="AU218" s="5" t="inlineStr">
        <is>
          <t>No</t>
        </is>
      </c>
      <c r="AV218" s="5" t="inlineStr">
        <is>
          <t>No</t>
        </is>
      </c>
      <c r="AW218" s="5" t="inlineStr">
        <is>
          <t>No</t>
        </is>
      </c>
      <c r="AX218" s="5" t="inlineStr">
        <is>
          <t>No</t>
        </is>
      </c>
      <c r="AY218" s="5" t="inlineStr">
        <is>
          <t>Verified directory</t>
        </is>
      </c>
      <c r="AZ218" s="5" t="inlineStr">
        <is>
          <t>Website Found</t>
        </is>
      </c>
      <c r="BA218" s="5" t="inlineStr">
        <is>
          <t>2026-09-17</t>
        </is>
      </c>
      <c r="BB218" s="5" t="inlineStr">
        <is>
          <t>Requires Verification</t>
        </is>
      </c>
      <c r="BC218" s="5" t="inlineStr">
        <is>
          <t>Medium</t>
        </is>
      </c>
      <c r="BD218" s="5" t="inlineStr"/>
      <c r="BE218" s="5" t="inlineStr">
        <is>
          <t>Business (B2B)</t>
        </is>
      </c>
      <c r="BF218" s="5" t="inlineStr">
        <is>
          <t>Legitimate interest (B2B) - assess per campaign; PECR: corporate subscribers</t>
        </is>
      </c>
      <c r="BG218" s="5" t="inlineStr"/>
      <c r="BH218" s="5" t="inlineStr">
        <is>
          <t>No</t>
        </is>
      </c>
      <c r="BI218" s="5" t="inlineStr">
        <is>
          <t>2026-09-17</t>
        </is>
      </c>
      <c r="BJ218" s="5" t="inlineStr">
        <is>
          <t>New</t>
        </is>
      </c>
      <c r="BK218" s="5" t="inlineStr">
        <is>
          <t>2026-09-17</t>
        </is>
      </c>
      <c r="BL218" s="5" t="inlineStr"/>
      <c r="BM218" s="5" t="inlineStr"/>
      <c r="BN218" s="5" t="inlineStr"/>
      <c r="BO218" s="5" t="inlineStr"/>
      <c r="BP218" s="5" t="inlineStr"/>
      <c r="BQ218" s="5" t="inlineStr"/>
    </row>
    <row r="219">
      <c r="A219" s="10" t="inlineStr">
        <is>
          <t>UK-000329</t>
        </is>
      </c>
      <c r="B219" s="10" t="inlineStr">
        <is>
          <t>WORLDWIDEF-02</t>
        </is>
      </c>
      <c r="C219" s="10" t="inlineStr">
        <is>
          <t>Worldwide Foods</t>
        </is>
      </c>
      <c r="D219" s="10" t="inlineStr">
        <is>
          <t>Worldwide Foods (Longsight)</t>
        </is>
      </c>
      <c r="E219" s="10" t="inlineStr">
        <is>
          <t>Worldwide Foods</t>
        </is>
      </c>
      <c r="F219" s="10" t="inlineStr"/>
      <c r="G219" s="10" t="inlineStr">
        <is>
          <t>Independent Supermarket</t>
        </is>
      </c>
      <c r="H219" s="10" t="inlineStr">
        <is>
          <t>World/ethnic food supermarket (halal)</t>
        </is>
      </c>
      <c r="I219" s="10" t="inlineStr">
        <is>
          <t>Multi-Site Independent</t>
        </is>
      </c>
      <c r="J219" s="10" t="inlineStr">
        <is>
          <t>4</t>
        </is>
      </c>
      <c r="K219" s="10" t="inlineStr">
        <is>
          <t>https://worldwidefoods.co.uk/</t>
        </is>
      </c>
      <c r="L219" s="10" t="inlineStr"/>
      <c r="M219" s="10" t="inlineStr"/>
      <c r="N219" s="10" t="inlineStr"/>
      <c r="O219" s="10" t="inlineStr">
        <is>
          <t>24 Slade Lane</t>
        </is>
      </c>
      <c r="P219" s="10" t="inlineStr">
        <is>
          <t>Longsight</t>
        </is>
      </c>
      <c r="Q219" s="10" t="inlineStr">
        <is>
          <t>Manchester</t>
        </is>
      </c>
      <c r="R219" s="10" t="inlineStr">
        <is>
          <t>Greater Manchester</t>
        </is>
      </c>
      <c r="S219" s="10" t="inlineStr">
        <is>
          <t>M13 0QE</t>
        </is>
      </c>
      <c r="T219" s="10" t="inlineStr">
        <is>
          <t>North West</t>
        </is>
      </c>
      <c r="U219" s="10" t="inlineStr">
        <is>
          <t>England</t>
        </is>
      </c>
      <c r="V219" s="10" t="inlineStr">
        <is>
          <t>0161 256 2985</t>
        </is>
      </c>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world/ethnic groceries; halal meat; fruit &amp; veg; spices; frozen; household</t>
        </is>
      </c>
      <c r="AL219" s="10" t="inlineStr"/>
      <c r="AM219" s="10" t="inlineStr">
        <is>
          <t>Independent Supermarket</t>
        </is>
      </c>
      <c r="AN219" s="10" t="inlineStr"/>
      <c r="AO219" s="10" t="inlineStr">
        <is>
          <t>Longsight branch of Worldwide Foods multi-site group (shared parent_company). Address/phone from Yelp &amp; Big Red Directory.</t>
        </is>
      </c>
      <c r="AP219" s="10" t="inlineStr">
        <is>
          <t>Medium</t>
        </is>
      </c>
      <c r="AQ219" s="10" t="inlineStr">
        <is>
          <t>Multi-site retailer; Independent retailer; Relevant category; Active website</t>
        </is>
      </c>
      <c r="AR219" s="10" t="inlineStr">
        <is>
          <t>https://www.bigreddirectory.com/worldwide-foods-manchester-longsight</t>
        </is>
      </c>
      <c r="AS219" s="10" t="inlineStr">
        <is>
          <t>https://m.yelp.com/biz/worldwide-foods-manchester</t>
        </is>
      </c>
      <c r="AT219" s="10" t="inlineStr">
        <is>
          <t>2</t>
        </is>
      </c>
      <c r="AU219" s="10" t="inlineStr">
        <is>
          <t>No</t>
        </is>
      </c>
      <c r="AV219" s="10" t="inlineStr">
        <is>
          <t>No</t>
        </is>
      </c>
      <c r="AW219" s="10" t="inlineStr">
        <is>
          <t>No</t>
        </is>
      </c>
      <c r="AX219" s="10" t="inlineStr">
        <is>
          <t>No</t>
        </is>
      </c>
      <c r="AY219" s="10" t="inlineStr">
        <is>
          <t>Verified directory</t>
        </is>
      </c>
      <c r="AZ219" s="10" t="inlineStr">
        <is>
          <t>Website Found</t>
        </is>
      </c>
      <c r="BA219" s="10" t="inlineStr">
        <is>
          <t>2026-09-17</t>
        </is>
      </c>
      <c r="BB219" s="10" t="inlineStr">
        <is>
          <t>Requires Verification</t>
        </is>
      </c>
      <c r="BC219" s="10" t="inlineStr">
        <is>
          <t>Medium</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2026-09-17</t>
        </is>
      </c>
      <c r="BJ219" s="10" t="inlineStr">
        <is>
          <t>New</t>
        </is>
      </c>
      <c r="BK219" s="10" t="inlineStr">
        <is>
          <t>2026-09-17</t>
        </is>
      </c>
      <c r="BL219" s="10" t="inlineStr"/>
      <c r="BM219" s="10" t="inlineStr"/>
      <c r="BN219" s="10" t="inlineStr"/>
      <c r="BO219" s="10" t="inlineStr"/>
      <c r="BP219" s="10" t="inlineStr"/>
      <c r="BQ219" s="10" t="inlineStr"/>
    </row>
    <row r="220">
      <c r="A220" s="5" t="inlineStr">
        <is>
          <t>UK-000330</t>
        </is>
      </c>
      <c r="B220" s="5" t="inlineStr">
        <is>
          <t>WORLDWIDEF-03</t>
        </is>
      </c>
      <c r="C220" s="5" t="inlineStr">
        <is>
          <t>Worldwide Foods</t>
        </is>
      </c>
      <c r="D220" s="5" t="inlineStr">
        <is>
          <t>Worldwide Foods (Old Trafford)</t>
        </is>
      </c>
      <c r="E220" s="5" t="inlineStr">
        <is>
          <t>Worldwide Foods</t>
        </is>
      </c>
      <c r="F220" s="5" t="inlineStr"/>
      <c r="G220" s="5" t="inlineStr">
        <is>
          <t>Independent Supermarket</t>
        </is>
      </c>
      <c r="H220" s="5" t="inlineStr">
        <is>
          <t>World/ethnic food supermarket (halal)</t>
        </is>
      </c>
      <c r="I220" s="5" t="inlineStr">
        <is>
          <t>Multi-Site Independent</t>
        </is>
      </c>
      <c r="J220" s="5" t="inlineStr">
        <is>
          <t>4</t>
        </is>
      </c>
      <c r="K220" s="5" t="inlineStr">
        <is>
          <t>https://worldwidefoods.co.uk/</t>
        </is>
      </c>
      <c r="L220" s="5" t="inlineStr"/>
      <c r="M220" s="5" t="inlineStr"/>
      <c r="N220" s="5" t="inlineStr"/>
      <c r="O220" s="5" t="inlineStr">
        <is>
          <t>2 Tennis Street</t>
        </is>
      </c>
      <c r="P220" s="5" t="inlineStr">
        <is>
          <t>Seymour Grove, Old Trafford</t>
        </is>
      </c>
      <c r="Q220" s="5" t="inlineStr">
        <is>
          <t>Manchester</t>
        </is>
      </c>
      <c r="R220" s="5" t="inlineStr">
        <is>
          <t>Greater Manchester</t>
        </is>
      </c>
      <c r="S220" s="5" t="inlineStr">
        <is>
          <t>M16 0LH</t>
        </is>
      </c>
      <c r="T220" s="5" t="inlineStr">
        <is>
          <t>North West</t>
        </is>
      </c>
      <c r="U220" s="5" t="inlineStr">
        <is>
          <t>England</t>
        </is>
      </c>
      <c r="V220" s="5" t="inlineStr"/>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world/ethnic groceries; halal meat; fruit &amp; veg; spices; frozen; household</t>
        </is>
      </c>
      <c r="AL220" s="5" t="inlineStr"/>
      <c r="AM220" s="5" t="inlineStr">
        <is>
          <t>Independent Supermarket</t>
        </is>
      </c>
      <c r="AN220" s="5" t="inlineStr"/>
      <c r="AO220" s="5" t="inlineStr">
        <is>
          <t>Old Trafford branch of Worldwide Foods multi-site group (shared parent_company). Address from Uber Eats/own listings; phone not captured.</t>
        </is>
      </c>
      <c r="AP220" s="5" t="inlineStr">
        <is>
          <t>Medium</t>
        </is>
      </c>
      <c r="AQ220" s="5" t="inlineStr">
        <is>
          <t>Multi-site retailer; Independent retailer; Relevant category; Active website</t>
        </is>
      </c>
      <c r="AR220" s="5" t="inlineStr">
        <is>
          <t>https://worldwidefoods.co.uk/locations/</t>
        </is>
      </c>
      <c r="AS220" s="5" t="inlineStr"/>
      <c r="AT220" s="5" t="inlineStr">
        <is>
          <t>1</t>
        </is>
      </c>
      <c r="AU220" s="5" t="inlineStr">
        <is>
          <t>No</t>
        </is>
      </c>
      <c r="AV220" s="5" t="inlineStr">
        <is>
          <t>No</t>
        </is>
      </c>
      <c r="AW220" s="5" t="inlineStr">
        <is>
          <t>No</t>
        </is>
      </c>
      <c r="AX220" s="5" t="inlineStr">
        <is>
          <t>No</t>
        </is>
      </c>
      <c r="AY220" s="5" t="inlineStr">
        <is>
          <t>Not Found</t>
        </is>
      </c>
      <c r="AZ220" s="5" t="inlineStr">
        <is>
          <t>Website Found</t>
        </is>
      </c>
      <c r="BA220" s="5" t="inlineStr">
        <is>
          <t>2026-09-17</t>
        </is>
      </c>
      <c r="BB220" s="5" t="inlineStr">
        <is>
          <t>Requires Verification</t>
        </is>
      </c>
      <c r="BC220" s="5" t="inlineStr">
        <is>
          <t>Low</t>
        </is>
      </c>
      <c r="BD220" s="5" t="inlineStr"/>
      <c r="BE220" s="5" t="inlineStr">
        <is>
          <t>Business (B2B)</t>
        </is>
      </c>
      <c r="BF220" s="5" t="inlineStr">
        <is>
          <t>Legitimate interest (B2B) - assess per campaign; PECR: corporate subscribers</t>
        </is>
      </c>
      <c r="BG220" s="5" t="inlineStr"/>
      <c r="BH220" s="5" t="inlineStr">
        <is>
          <t>No</t>
        </is>
      </c>
      <c r="BI220" s="5" t="inlineStr">
        <is>
          <t>2026-09-17</t>
        </is>
      </c>
      <c r="BJ220" s="5" t="inlineStr">
        <is>
          <t>New</t>
        </is>
      </c>
      <c r="BK220" s="5" t="inlineStr">
        <is>
          <t>2026-09-17</t>
        </is>
      </c>
      <c r="BL220" s="5" t="inlineStr"/>
      <c r="BM220" s="5" t="inlineStr"/>
      <c r="BN220" s="5" t="inlineStr"/>
      <c r="BO220" s="5" t="inlineStr"/>
      <c r="BP220" s="5" t="inlineStr"/>
      <c r="BQ220" s="5" t="inlineStr"/>
    </row>
    <row r="221">
      <c r="A221" s="10" t="inlineStr">
        <is>
          <t>UK-000331</t>
        </is>
      </c>
      <c r="B221" s="10" t="inlineStr">
        <is>
          <t>WORLDWIDEF-04</t>
        </is>
      </c>
      <c r="C221" s="10" t="inlineStr">
        <is>
          <t>Worldwide Foods</t>
        </is>
      </c>
      <c r="D221" s="10" t="inlineStr">
        <is>
          <t>Worldwide Foods (Rusholme)</t>
        </is>
      </c>
      <c r="E221" s="10" t="inlineStr">
        <is>
          <t>Worldwide Foods</t>
        </is>
      </c>
      <c r="F221" s="10" t="inlineStr"/>
      <c r="G221" s="10" t="inlineStr">
        <is>
          <t>Independent Supermarket</t>
        </is>
      </c>
      <c r="H221" s="10" t="inlineStr">
        <is>
          <t>World/ethnic food supermarket (halal)</t>
        </is>
      </c>
      <c r="I221" s="10" t="inlineStr">
        <is>
          <t>Multi-Site Independent</t>
        </is>
      </c>
      <c r="J221" s="10" t="inlineStr">
        <is>
          <t>4</t>
        </is>
      </c>
      <c r="K221" s="10" t="inlineStr">
        <is>
          <t>https://worldwidefoods.co.uk/</t>
        </is>
      </c>
      <c r="L221" s="10" t="inlineStr"/>
      <c r="M221" s="10" t="inlineStr"/>
      <c r="N221" s="10" t="inlineStr"/>
      <c r="O221" s="10" t="inlineStr">
        <is>
          <t>401 Great Western Street</t>
        </is>
      </c>
      <c r="P221" s="10" t="inlineStr">
        <is>
          <t>Rusholme</t>
        </is>
      </c>
      <c r="Q221" s="10" t="inlineStr">
        <is>
          <t>Manchester</t>
        </is>
      </c>
      <c r="R221" s="10" t="inlineStr">
        <is>
          <t>Greater Manchester</t>
        </is>
      </c>
      <c r="S221" s="10" t="inlineStr">
        <is>
          <t>M14 4AH</t>
        </is>
      </c>
      <c r="T221" s="10" t="inlineStr">
        <is>
          <t>North West</t>
        </is>
      </c>
      <c r="U221" s="10" t="inlineStr">
        <is>
          <t>England</t>
        </is>
      </c>
      <c r="V221" s="10" t="inlineStr">
        <is>
          <t>0161 248 6727</t>
        </is>
      </c>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world/ethnic groceries; halal meat; fruit &amp; veg; spices; frozen; household</t>
        </is>
      </c>
      <c r="AL221" s="10" t="inlineStr"/>
      <c r="AM221" s="10" t="inlineStr">
        <is>
          <t>Independent Supermarket</t>
        </is>
      </c>
      <c r="AN221" s="10" t="inlineStr"/>
      <c r="AO221" s="10" t="inlineStr">
        <is>
          <t>Rusholme branch of Worldwide Foods multi-site group (shared parent_company). Address/phone from Yelp &amp; own locations page.</t>
        </is>
      </c>
      <c r="AP221" s="10" t="inlineStr">
        <is>
          <t>Medium</t>
        </is>
      </c>
      <c r="AQ221" s="10" t="inlineStr">
        <is>
          <t>Multi-site retailer; Independent retailer; Relevant category; Active website</t>
        </is>
      </c>
      <c r="AR221" s="10" t="inlineStr">
        <is>
          <t>https://worldwidefoods.co.uk/worldwide-manchester-rusholme/</t>
        </is>
      </c>
      <c r="AS221" s="10" t="inlineStr">
        <is>
          <t>https://www.yelp.co.uk/biz/worldwide-foods-manchester-2</t>
        </is>
      </c>
      <c r="AT221" s="10" t="inlineStr">
        <is>
          <t>2</t>
        </is>
      </c>
      <c r="AU221" s="10" t="inlineStr">
        <is>
          <t>No</t>
        </is>
      </c>
      <c r="AV221" s="10" t="inlineStr">
        <is>
          <t>No</t>
        </is>
      </c>
      <c r="AW221" s="10" t="inlineStr">
        <is>
          <t>No</t>
        </is>
      </c>
      <c r="AX221" s="10" t="inlineStr">
        <is>
          <t>No</t>
        </is>
      </c>
      <c r="AY221" s="10" t="inlineStr">
        <is>
          <t>Verified directory</t>
        </is>
      </c>
      <c r="AZ221" s="10" t="inlineStr">
        <is>
          <t>Website Found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WY-0044</t>
        </is>
      </c>
      <c r="B222" s="5" t="inlineStr">
        <is>
          <t>WORLDWIDEF-01</t>
        </is>
      </c>
      <c r="C222" s="5" t="inlineStr">
        <is>
          <t>Worldwide Foods Group</t>
        </is>
      </c>
      <c r="D222" s="5" t="inlineStr">
        <is>
          <t>Worldwide Foods Bradford (Great Horton Road)</t>
        </is>
      </c>
      <c r="E222" s="5" t="inlineStr">
        <is>
          <t>Worldwide Foods</t>
        </is>
      </c>
      <c r="F222" s="5" t="inlineStr">
        <is>
          <t>Worldwide Foods (Bradford) Limited</t>
        </is>
      </c>
      <c r="G222" s="5" t="inlineStr">
        <is>
          <t>Independent Supermarket</t>
        </is>
      </c>
      <c r="H222" s="5" t="inlineStr">
        <is>
          <t>Halal / world food supermarket</t>
        </is>
      </c>
      <c r="I222" s="5" t="inlineStr">
        <is>
          <t>Regional Chain</t>
        </is>
      </c>
      <c r="J222" s="5" t="inlineStr"/>
      <c r="K222" s="5" t="inlineStr">
        <is>
          <t>https://worldwidefoods.co.uk/</t>
        </is>
      </c>
      <c r="L222" s="5" t="inlineStr">
        <is>
          <t>https://www.facebook.com/worldwidefoods/</t>
        </is>
      </c>
      <c r="M222" s="5" t="inlineStr"/>
      <c r="N222" s="5" t="inlineStr"/>
      <c r="O222" s="5" t="inlineStr">
        <is>
          <t>607 Great Horton Road</t>
        </is>
      </c>
      <c r="P222" s="5" t="inlineStr">
        <is>
          <t>Great Horton</t>
        </is>
      </c>
      <c r="Q222" s="5" t="inlineStr">
        <is>
          <t>Bradford</t>
        </is>
      </c>
      <c r="R222" s="5" t="inlineStr">
        <is>
          <t>West Yorkshire</t>
        </is>
      </c>
      <c r="S222" s="5" t="inlineStr">
        <is>
          <t>BD7 4ED</t>
        </is>
      </c>
      <c r="T222" s="5" t="inlineStr">
        <is>
          <t>Yorkshire &amp; Humber</t>
        </is>
      </c>
      <c r="U222" s="5" t="inlineStr">
        <is>
          <t>England</t>
        </is>
      </c>
      <c r="V222" s="5" t="inlineStr">
        <is>
          <t>01274 572661</t>
        </is>
      </c>
      <c r="W222" s="5" t="inlineStr"/>
      <c r="X222" s="5" t="inlineStr"/>
      <c r="Y222" s="5" t="inlineStr">
        <is>
          <t>info@worldwidefoods.co.uk</t>
        </is>
      </c>
      <c r="Z222" s="5" t="inlineStr"/>
      <c r="AA222" s="5" t="inlineStr"/>
      <c r="AB222" s="5" t="inlineStr"/>
      <c r="AC222" s="5" t="inlineStr"/>
      <c r="AD222" s="5" t="inlineStr"/>
      <c r="AE222" s="5" t="inlineStr">
        <is>
          <t>04179487</t>
        </is>
      </c>
      <c r="AF222" s="5" t="inlineStr"/>
      <c r="AG222" s="5" t="inlineStr">
        <is>
          <t>WORLDWIDE FOODS (BRADFORD) LIMITED</t>
        </is>
      </c>
      <c r="AH222" s="5" t="inlineStr"/>
      <c r="AI222" s="5" t="inlineStr"/>
      <c r="AJ222" s="5" t="inlineStr"/>
      <c r="AK222" s="5" t="inlineStr">
        <is>
          <t>halal meat; fresh produce; spices; world foods; groceries</t>
        </is>
      </c>
      <c r="AL222" s="5" t="inlineStr"/>
      <c r="AM222" s="5" t="inlineStr">
        <is>
          <t>Independent Supermarket</t>
        </is>
      </c>
      <c r="AN222" s="5" t="inlineStr"/>
      <c r="AO222" s="5" t="inlineStr">
        <is>
          <t>Second Bradford store of the Worldwide Foods group. Two phone numbers seen in listings: 01274 572661 and 01274 572673.</t>
        </is>
      </c>
      <c r="AP222" s="5" t="inlineStr">
        <is>
          <t>High</t>
        </is>
      </c>
      <c r="AQ222" s="5" t="inlineStr">
        <is>
          <t>Multi-site retailer; Relevant category; Public email available; Active website; Social presence</t>
        </is>
      </c>
      <c r="AR222" s="5" t="inlineStr">
        <is>
          <t>https://worldwidefoods.co.uk/worldwide-bradford-great-horton-road/</t>
        </is>
      </c>
      <c r="AS222" s="5" t="inlineStr">
        <is>
          <t>https://worldwidefoods.co.uk/contact-us/</t>
        </is>
      </c>
      <c r="AT222" s="5" t="inlineStr">
        <is>
          <t>3</t>
        </is>
      </c>
      <c r="AU222" s="5" t="inlineStr">
        <is>
          <t>No</t>
        </is>
      </c>
      <c r="AV222" s="5" t="inlineStr">
        <is>
          <t>No</t>
        </is>
      </c>
      <c r="AW222" s="5" t="inlineStr">
        <is>
          <t>Yes</t>
        </is>
      </c>
      <c r="AX222" s="5" t="inlineStr">
        <is>
          <t>Yes</t>
        </is>
      </c>
      <c r="AY222" s="5" t="inlineStr">
        <is>
          <t>Verified directory</t>
        </is>
      </c>
      <c r="AZ222" s="5" t="inlineStr">
        <is>
          <t>Website Found</t>
        </is>
      </c>
      <c r="BA222" s="5" t="inlineStr">
        <is>
          <t>2026-09-17</t>
        </is>
      </c>
      <c r="BB222" s="5" t="inlineStr">
        <is>
          <t>Partially Verified</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2026-09-17</t>
        </is>
      </c>
      <c r="BL222" s="5" t="inlineStr"/>
      <c r="BM222" s="5" t="inlineStr"/>
      <c r="BN222" s="5" t="inlineStr"/>
      <c r="BO222" s="5" t="inlineStr"/>
      <c r="BP222" s="5" t="inlineStr"/>
      <c r="BQ222" s="5" t="inlineStr"/>
    </row>
    <row r="223">
      <c r="A223" s="10" t="inlineStr">
        <is>
          <t>WY-0045</t>
        </is>
      </c>
      <c r="B223" s="10" t="inlineStr">
        <is>
          <t>WORLDWIDEF-02</t>
        </is>
      </c>
      <c r="C223" s="10" t="inlineStr">
        <is>
          <t>Worldwide Foods Group</t>
        </is>
      </c>
      <c r="D223" s="10" t="inlineStr">
        <is>
          <t>Worldwide Foods Bradford (Leeds Road)</t>
        </is>
      </c>
      <c r="E223" s="10" t="inlineStr">
        <is>
          <t>Al Halal Worldwide Foods</t>
        </is>
      </c>
      <c r="F223" s="10" t="inlineStr">
        <is>
          <t>Worldwide Foods (Bradford) Limited</t>
        </is>
      </c>
      <c r="G223" s="10" t="inlineStr">
        <is>
          <t>Independent Supermarket</t>
        </is>
      </c>
      <c r="H223" s="10" t="inlineStr">
        <is>
          <t>Halal / world food supermarket (24 hours)</t>
        </is>
      </c>
      <c r="I223" s="10" t="inlineStr">
        <is>
          <t>Regional Chain</t>
        </is>
      </c>
      <c r="J223" s="10" t="inlineStr"/>
      <c r="K223" s="10" t="inlineStr">
        <is>
          <t>https://worldwidefoods.co.uk/</t>
        </is>
      </c>
      <c r="L223" s="10" t="inlineStr">
        <is>
          <t>https://www.facebook.com/worldwidefoods/</t>
        </is>
      </c>
      <c r="M223" s="10" t="inlineStr"/>
      <c r="N223" s="10" t="inlineStr"/>
      <c r="O223" s="10" t="inlineStr">
        <is>
          <t>1001 Leeds Road</t>
        </is>
      </c>
      <c r="P223" s="10" t="inlineStr"/>
      <c r="Q223" s="10" t="inlineStr">
        <is>
          <t>Bradford</t>
        </is>
      </c>
      <c r="R223" s="10" t="inlineStr">
        <is>
          <t>West Yorkshire</t>
        </is>
      </c>
      <c r="S223" s="10" t="inlineStr">
        <is>
          <t>BD3 7NH</t>
        </is>
      </c>
      <c r="T223" s="10" t="inlineStr">
        <is>
          <t>Yorkshire &amp; Humber</t>
        </is>
      </c>
      <c r="U223" s="10" t="inlineStr">
        <is>
          <t>England</t>
        </is>
      </c>
      <c r="V223" s="10" t="inlineStr">
        <is>
          <t>01274 656638</t>
        </is>
      </c>
      <c r="W223" s="10" t="inlineStr"/>
      <c r="X223" s="10" t="inlineStr"/>
      <c r="Y223" s="10" t="inlineStr"/>
      <c r="Z223" s="10" t="inlineStr"/>
      <c r="AA223" s="10" t="inlineStr"/>
      <c r="AB223" s="10" t="inlineStr"/>
      <c r="AC223" s="10" t="inlineStr"/>
      <c r="AD223" s="10" t="inlineStr"/>
      <c r="AE223" s="10" t="inlineStr">
        <is>
          <t>04179487</t>
        </is>
      </c>
      <c r="AF223" s="10" t="inlineStr"/>
      <c r="AG223" s="10" t="inlineStr">
        <is>
          <t>WORLDWIDE FOODS (BRADFORD) LIMITED</t>
        </is>
      </c>
      <c r="AH223" s="10" t="inlineStr"/>
      <c r="AI223" s="10" t="inlineStr"/>
      <c r="AJ223" s="10" t="inlineStr"/>
      <c r="AK223" s="10" t="inlineStr">
        <is>
          <t>halal meat; fresh produce; spices; world foods; groceries</t>
        </is>
      </c>
      <c r="AL223" s="10" t="inlineStr"/>
      <c r="AM223" s="10" t="inlineStr">
        <is>
          <t>Independent Supermarket</t>
        </is>
      </c>
      <c r="AN223" s="10" t="inlineStr"/>
      <c r="AO223" s="10"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223" s="10" t="inlineStr">
        <is>
          <t>Medium</t>
        </is>
      </c>
      <c r="AQ223" s="10" t="inlineStr">
        <is>
          <t>Multi-site retailer; Relevant category; Active website; Social presence</t>
        </is>
      </c>
      <c r="AR223" s="10" t="inlineStr">
        <is>
          <t>https://worldwidefoods.co.uk/worldwide-bradford-leeds-road/</t>
        </is>
      </c>
      <c r="AS223" s="10" t="inlineStr">
        <is>
          <t>https://find-and-update.company-information.service.gov.uk/company/04179487</t>
        </is>
      </c>
      <c r="AT223" s="10" t="inlineStr">
        <is>
          <t>3</t>
        </is>
      </c>
      <c r="AU223" s="10" t="inlineStr">
        <is>
          <t>No</t>
        </is>
      </c>
      <c r="AV223" s="10" t="inlineStr">
        <is>
          <t>No</t>
        </is>
      </c>
      <c r="AW223" s="10" t="inlineStr">
        <is>
          <t>No</t>
        </is>
      </c>
      <c r="AX223" s="10" t="inlineStr">
        <is>
          <t>Yes</t>
        </is>
      </c>
      <c r="AY223" s="10" t="inlineStr">
        <is>
          <t>Verified directory</t>
        </is>
      </c>
      <c r="AZ223" s="10" t="inlineStr">
        <is>
          <t>Website Found</t>
        </is>
      </c>
      <c r="BA223" s="10" t="inlineStr">
        <is>
          <t>2026-09-17</t>
        </is>
      </c>
      <c r="BB223" s="10" t="inlineStr">
        <is>
          <t>Partially Verified</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2026-09-16</t>
        </is>
      </c>
      <c r="BJ223" s="10" t="inlineStr">
        <is>
          <t>New</t>
        </is>
      </c>
      <c r="BK223" s="10" t="inlineStr">
        <is>
          <t>2026-09-17</t>
        </is>
      </c>
      <c r="BL223" s="10" t="inlineStr"/>
      <c r="BM223" s="10" t="inlineStr"/>
      <c r="BN223" s="10" t="inlineStr"/>
      <c r="BO223" s="10" t="inlineStr"/>
      <c r="BP223" s="10" t="inlineStr"/>
      <c r="BQ223" s="10" t="inlineStr"/>
    </row>
    <row r="224">
      <c r="A224" s="5" t="inlineStr">
        <is>
          <t>WY-0046</t>
        </is>
      </c>
      <c r="B224" s="5" t="inlineStr">
        <is>
          <t>WORLDWIDEF-03</t>
        </is>
      </c>
      <c r="C224" s="5" t="inlineStr">
        <is>
          <t>Worldwide Foods Group</t>
        </is>
      </c>
      <c r="D224" s="5" t="inlineStr">
        <is>
          <t>Worldwide Foods Bradford (Woodhead Road)</t>
        </is>
      </c>
      <c r="E224" s="5" t="inlineStr">
        <is>
          <t>Al Halal Supermarket</t>
        </is>
      </c>
      <c r="F224" s="5" t="inlineStr">
        <is>
          <t>Worldwide Foods (Bradford) Limited</t>
        </is>
      </c>
      <c r="G224" s="5" t="inlineStr">
        <is>
          <t>Independent Supermarket</t>
        </is>
      </c>
      <c r="H224" s="5" t="inlineStr">
        <is>
          <t>Halal / world food supermarket</t>
        </is>
      </c>
      <c r="I224" s="5" t="inlineStr">
        <is>
          <t>Regional Chain</t>
        </is>
      </c>
      <c r="J224" s="5" t="inlineStr"/>
      <c r="K224" s="5" t="inlineStr">
        <is>
          <t>https://worldwidefoods.co.uk/</t>
        </is>
      </c>
      <c r="L224" s="5" t="inlineStr">
        <is>
          <t>https://www.facebook.com/worldwidefoods/</t>
        </is>
      </c>
      <c r="M224" s="5" t="inlineStr"/>
      <c r="N224" s="5" t="inlineStr"/>
      <c r="O224" s="5" t="inlineStr">
        <is>
          <t>Woodhead Road</t>
        </is>
      </c>
      <c r="P224" s="5" t="inlineStr"/>
      <c r="Q224" s="5" t="inlineStr">
        <is>
          <t>Bradford</t>
        </is>
      </c>
      <c r="R224" s="5" t="inlineStr">
        <is>
          <t>West Yorkshire</t>
        </is>
      </c>
      <c r="S224" s="5" t="inlineStr"/>
      <c r="T224" s="5" t="inlineStr">
        <is>
          <t>Yorkshire &amp; Humber</t>
        </is>
      </c>
      <c r="U224" s="5" t="inlineStr">
        <is>
          <t>England</t>
        </is>
      </c>
      <c r="V224" s="5" t="inlineStr"/>
      <c r="W224" s="5" t="inlineStr"/>
      <c r="X224" s="5" t="inlineStr"/>
      <c r="Y224" s="5" t="inlineStr"/>
      <c r="Z224" s="5" t="inlineStr"/>
      <c r="AA224" s="5" t="inlineStr"/>
      <c r="AB224" s="5" t="inlineStr"/>
      <c r="AC224" s="5" t="inlineStr"/>
      <c r="AD224" s="5" t="inlineStr"/>
      <c r="AE224" s="5" t="inlineStr">
        <is>
          <t>04179487</t>
        </is>
      </c>
      <c r="AF224" s="5" t="inlineStr"/>
      <c r="AG224" s="5" t="inlineStr">
        <is>
          <t>WORLDWIDE FOODS (BRADFORD) LIMITED</t>
        </is>
      </c>
      <c r="AH224" s="5" t="inlineStr"/>
      <c r="AI224" s="5" t="inlineStr"/>
      <c r="AJ224" s="5" t="inlineStr"/>
      <c r="AK224" s="5" t="inlineStr">
        <is>
          <t>halal meat; fresh produce; world foods; groceries</t>
        </is>
      </c>
      <c r="AL224" s="5" t="inlineStr"/>
      <c r="AM224" s="5" t="inlineStr">
        <is>
          <t>Independent Supermarket</t>
        </is>
      </c>
      <c r="AN224" s="5" t="inlineStr"/>
      <c r="AO224" s="5" t="inlineStr">
        <is>
          <t>Third Bradford location cited in group locations list (search snippet) and on Yelp as Al Halal Supermarket, Woodhead Road. Postcode/phone not captured - needs enrichment.</t>
        </is>
      </c>
      <c r="AP224" s="5" t="inlineStr">
        <is>
          <t>Medium</t>
        </is>
      </c>
      <c r="AQ224" s="5" t="inlineStr">
        <is>
          <t>Multi-site retailer; Relevant category; Active website; Social presence</t>
        </is>
      </c>
      <c r="AR224" s="5" t="inlineStr">
        <is>
          <t>https://worldwidefoods.co.uk/locations/</t>
        </is>
      </c>
      <c r="AS224" s="5" t="inlineStr">
        <is>
          <t>https://www.yelp.co.uk/biz/al-halal-supermarket-bradford</t>
        </is>
      </c>
      <c r="AT224" s="5" t="inlineStr">
        <is>
          <t>2</t>
        </is>
      </c>
      <c r="AU224" s="5" t="inlineStr">
        <is>
          <t>No</t>
        </is>
      </c>
      <c r="AV224" s="5" t="inlineStr">
        <is>
          <t>No</t>
        </is>
      </c>
      <c r="AW224" s="5" t="inlineStr">
        <is>
          <t>No</t>
        </is>
      </c>
      <c r="AX224" s="5" t="inlineStr">
        <is>
          <t>Yes</t>
        </is>
      </c>
      <c r="AY224" s="5" t="inlineStr">
        <is>
          <t>Not Found</t>
        </is>
      </c>
      <c r="AZ224" s="5" t="inlineStr">
        <is>
          <t>Website Found</t>
        </is>
      </c>
      <c r="BA224" s="5" t="inlineStr">
        <is>
          <t>2026-09-17</t>
        </is>
      </c>
      <c r="BB224" s="5" t="inlineStr">
        <is>
          <t>Partially Verified</t>
        </is>
      </c>
      <c r="BC224" s="5" t="inlineStr">
        <is>
          <t>Low</t>
        </is>
      </c>
      <c r="BD224" s="5" t="inlineStr"/>
      <c r="BE224" s="5" t="inlineStr">
        <is>
          <t>Business (B2B)</t>
        </is>
      </c>
      <c r="BF224" s="5" t="inlineStr">
        <is>
          <t>Legitimate interest (B2B) - assess per campaign; PECR: corporate subscribers</t>
        </is>
      </c>
      <c r="BG224" s="5" t="inlineStr"/>
      <c r="BH224" s="5" t="inlineStr">
        <is>
          <t>No</t>
        </is>
      </c>
      <c r="BI224" s="5" t="inlineStr">
        <is>
          <t>2026-09-16</t>
        </is>
      </c>
      <c r="BJ224" s="5" t="inlineStr">
        <is>
          <t>New</t>
        </is>
      </c>
      <c r="BK224" s="5" t="inlineStr">
        <is>
          <t>2026-09-17</t>
        </is>
      </c>
      <c r="BL224" s="5" t="inlineStr"/>
      <c r="BM224" s="5" t="inlineStr"/>
      <c r="BN224" s="5" t="inlineStr"/>
      <c r="BO224" s="5" t="inlineStr"/>
      <c r="BP224" s="5" t="inlineStr"/>
      <c r="BQ224" s="5" t="inlineStr"/>
    </row>
    <row r="225">
      <c r="A225" s="10" t="inlineStr">
        <is>
          <t>UK-000332</t>
        </is>
      </c>
      <c r="B225" s="10" t="inlineStr">
        <is>
          <t>WORLDWIDEF-01</t>
        </is>
      </c>
      <c r="C225" s="10" t="inlineStr">
        <is>
          <t>Worldwide Foodstores</t>
        </is>
      </c>
      <c r="D225" s="10" t="inlineStr">
        <is>
          <t>Worldwide Foods Rochdale</t>
        </is>
      </c>
      <c r="E225" s="10" t="inlineStr">
        <is>
          <t>Worldwide Foods</t>
        </is>
      </c>
      <c r="F225" s="10" t="inlineStr">
        <is>
          <t>WORLDWIDE FOODS (ROCHDALE) LIMITED</t>
        </is>
      </c>
      <c r="G225" s="10" t="inlineStr">
        <is>
          <t>Independent Supermarket</t>
        </is>
      </c>
      <c r="H225" s="10" t="inlineStr">
        <is>
          <t>Ethnic / world foods supermarket</t>
        </is>
      </c>
      <c r="I225" s="10" t="inlineStr">
        <is>
          <t>Multi-Site Independent</t>
        </is>
      </c>
      <c r="J225" s="10" t="inlineStr">
        <is>
          <t>1</t>
        </is>
      </c>
      <c r="K225" s="10" t="inlineStr">
        <is>
          <t>https://worldwidefoods.co.uk/worldwide-rochdale/</t>
        </is>
      </c>
      <c r="L225" s="10" t="inlineStr"/>
      <c r="M225" s="10" t="inlineStr"/>
      <c r="N225" s="10" t="inlineStr"/>
      <c r="O225" s="10" t="inlineStr">
        <is>
          <t>Lower Tweedale Street</t>
        </is>
      </c>
      <c r="P225" s="10" t="inlineStr"/>
      <c r="Q225" s="10" t="inlineStr">
        <is>
          <t>Rochdale</t>
        </is>
      </c>
      <c r="R225" s="10" t="inlineStr">
        <is>
          <t>Greater Manchester</t>
        </is>
      </c>
      <c r="S225" s="10" t="inlineStr">
        <is>
          <t>OL11 1HG</t>
        </is>
      </c>
      <c r="T225" s="10" t="inlineStr">
        <is>
          <t>North West</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is>
          <t>04065792</t>
        </is>
      </c>
      <c r="AF225" s="10" t="inlineStr"/>
      <c r="AG225" s="10" t="inlineStr">
        <is>
          <t>WORLDWIDE FOODS (ROCHDALE) LIMITED</t>
        </is>
      </c>
      <c r="AH225" s="10" t="inlineStr"/>
      <c r="AI225" s="10" t="inlineStr"/>
      <c r="AJ225" s="10" t="inlineStr"/>
      <c r="AK225" s="10" t="inlineStr">
        <is>
          <t>world foods; groceries; fresh produce; halal</t>
        </is>
      </c>
      <c r="AL225" s="10" t="inlineStr"/>
      <c r="AM225" s="10" t="inlineStr">
        <is>
          <t>Independent Supermarket</t>
        </is>
      </c>
      <c r="AN225" s="10" t="inlineStr"/>
      <c r="AO225" s="10" t="inlineStr">
        <is>
          <t>Family-owned world/ethnic foods supermarket chain; Rochdale store on Lower Tweedale Street. Companies House 04065792.</t>
        </is>
      </c>
      <c r="AP225" s="10" t="inlineStr">
        <is>
          <t>Medium</t>
        </is>
      </c>
      <c r="AQ225" s="10" t="inlineStr">
        <is>
          <t>Multi-site retailer; Independent retailer; Relevant category; Active website</t>
        </is>
      </c>
      <c r="AR225" s="10" t="inlineStr">
        <is>
          <t>https://worldwidefoods.co.uk/worldwide-rochdale/</t>
        </is>
      </c>
      <c r="AS225" s="10" t="inlineStr">
        <is>
          <t>https://find-and-update.company-information.service.gov.uk/company/04065792</t>
        </is>
      </c>
      <c r="AT225" s="10" t="inlineStr">
        <is>
          <t>2</t>
        </is>
      </c>
      <c r="AU225" s="10" t="inlineStr">
        <is>
          <t>No</t>
        </is>
      </c>
      <c r="AV225" s="10" t="inlineStr">
        <is>
          <t>No</t>
        </is>
      </c>
      <c r="AW225" s="10" t="inlineStr">
        <is>
          <t>No</t>
        </is>
      </c>
      <c r="AX225" s="10" t="inlineStr">
        <is>
          <t>Yes</t>
        </is>
      </c>
      <c r="AY225" s="10" t="inlineStr">
        <is>
          <t>Not Found</t>
        </is>
      </c>
      <c r="AZ225" s="10" t="inlineStr">
        <is>
          <t>Website Found</t>
        </is>
      </c>
      <c r="BA225" s="10" t="inlineStr">
        <is>
          <t>2026-09-17</t>
        </is>
      </c>
      <c r="BB225" s="10" t="inlineStr">
        <is>
          <t>Partially Verified</t>
        </is>
      </c>
      <c r="BC225" s="10" t="inlineStr">
        <is>
          <t>Medium</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UK-000226</t>
        </is>
      </c>
      <c r="B226" s="5" t="inlineStr">
        <is>
          <t>YORKSHIREA-01</t>
        </is>
      </c>
      <c r="C226" s="5" t="inlineStr">
        <is>
          <t>Yorkshire Agricultural Society</t>
        </is>
      </c>
      <c r="D226" s="5" t="inlineStr">
        <is>
          <t>Fodder</t>
        </is>
      </c>
      <c r="E226" s="5" t="inlineStr">
        <is>
          <t>Fodder</t>
        </is>
      </c>
      <c r="F226" s="5" t="inlineStr"/>
      <c r="G226" s="5" t="inlineStr">
        <is>
          <t>Independent Supermarket</t>
        </is>
      </c>
      <c r="H226" s="5" t="inlineStr">
        <is>
          <t>Farm shop, food hall &amp; cafe</t>
        </is>
      </c>
      <c r="I226" s="5" t="inlineStr">
        <is>
          <t>Independent</t>
        </is>
      </c>
      <c r="J226" s="5" t="inlineStr">
        <is>
          <t>1</t>
        </is>
      </c>
      <c r="K226" s="5" t="inlineStr">
        <is>
          <t>https://fodder.co.uk/</t>
        </is>
      </c>
      <c r="L226" s="5" t="inlineStr"/>
      <c r="M226" s="5" t="inlineStr"/>
      <c r="N226" s="5" t="inlineStr"/>
      <c r="O226" s="5" t="inlineStr">
        <is>
          <t>Great Yorkshire Showground</t>
        </is>
      </c>
      <c r="P226" s="5" t="inlineStr">
        <is>
          <t>Railway Road</t>
        </is>
      </c>
      <c r="Q226" s="5" t="inlineStr">
        <is>
          <t>Harrogate</t>
        </is>
      </c>
      <c r="R226" s="5" t="inlineStr">
        <is>
          <t>North Yorkshire</t>
        </is>
      </c>
      <c r="S226" s="5" t="inlineStr">
        <is>
          <t>HG2 8NZ</t>
        </is>
      </c>
      <c r="T226" s="5" t="inlineStr">
        <is>
          <t>Yorkshire &amp; Humber</t>
        </is>
      </c>
      <c r="U226" s="5" t="inlineStr">
        <is>
          <t>England</t>
        </is>
      </c>
      <c r="V226" s="5" t="inlineStr">
        <is>
          <t>01423 546111</t>
        </is>
      </c>
      <c r="W226" s="5" t="inlineStr"/>
      <c r="X226" s="5" t="inlineStr"/>
      <c r="Y226" s="5" t="inlineStr">
        <is>
          <t>enquiries@fodder.co.uk</t>
        </is>
      </c>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fresh produce; butchery; deli; bakery; Yorkshire cheese; groceries</t>
        </is>
      </c>
      <c r="AL226" s="5" t="inlineStr"/>
      <c r="AM226" s="5" t="inlineStr">
        <is>
          <t>Independent Supermarket</t>
        </is>
      </c>
      <c r="AN226" s="5" t="inlineStr">
        <is>
          <t>Works with 430+ Yorkshire farmers/producers; ~85% of stock sourced from Yorkshire</t>
        </is>
      </c>
      <c r="AO226" s="5"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226" s="5" t="inlineStr">
        <is>
          <t>High</t>
        </is>
      </c>
      <c r="AQ226" s="5" t="inlineStr">
        <is>
          <t>Multi-site retailer; Independent retailer; Relevant category; Public email available; Active website; Phone verified on official website</t>
        </is>
      </c>
      <c r="AR226" s="5" t="inlineStr">
        <is>
          <t>https://fodder.co.uk/</t>
        </is>
      </c>
      <c r="AS226" s="5" t="inlineStr">
        <is>
          <t>https://visitharrogate.co.uk/business-directory/fodder-farm-shop-and-cafe</t>
        </is>
      </c>
      <c r="AT226" s="5" t="inlineStr">
        <is>
          <t>3</t>
        </is>
      </c>
      <c r="AU226" s="5" t="inlineStr">
        <is>
          <t>No</t>
        </is>
      </c>
      <c r="AV226" s="5" t="inlineStr">
        <is>
          <t>No</t>
        </is>
      </c>
      <c r="AW226" s="5" t="inlineStr">
        <is>
          <t>No</t>
        </is>
      </c>
      <c r="AX226" s="5" t="inlineStr">
        <is>
          <t>No</t>
        </is>
      </c>
      <c r="AY226" s="5" t="inlineStr">
        <is>
          <t>Verified on official website</t>
        </is>
      </c>
      <c r="AZ226" s="5" t="inlineStr">
        <is>
          <t>Publicly Listed</t>
        </is>
      </c>
      <c r="BA226" s="5" t="inlineStr">
        <is>
          <t>2026-09-17</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2026-09-16</t>
        </is>
      </c>
      <c r="BJ226" s="5" t="inlineStr">
        <is>
          <t>New</t>
        </is>
      </c>
      <c r="BK226" s="5" t="inlineStr">
        <is>
          <t>2026-09-17</t>
        </is>
      </c>
      <c r="BL226" s="5" t="inlineStr"/>
      <c r="BM226" s="5" t="inlineStr"/>
      <c r="BN226" s="5" t="inlineStr"/>
      <c r="BO226" s="5" t="inlineStr"/>
      <c r="BP226" s="5" t="inlineStr"/>
      <c r="BQ226" s="5" t="inlineStr"/>
    </row>
    <row r="227">
      <c r="A227" s="10" t="inlineStr">
        <is>
          <t>UK-000751</t>
        </is>
      </c>
      <c r="B227" s="10" t="inlineStr">
        <is>
          <t>ECIGARUS-01</t>
        </is>
      </c>
      <c r="C227" s="10" t="inlineStr">
        <is>
          <t>e.cig.a.rus</t>
        </is>
      </c>
      <c r="D227" s="10" t="inlineStr">
        <is>
          <t>e.cig.a.rus Hamilton</t>
        </is>
      </c>
      <c r="E227" s="10" t="inlineStr">
        <is>
          <t>e.cig.a.rus</t>
        </is>
      </c>
      <c r="F227" s="10" t="inlineStr"/>
      <c r="G227" s="10" t="inlineStr">
        <is>
          <t>Vape Shop</t>
        </is>
      </c>
      <c r="H227" s="10" t="inlineStr">
        <is>
          <t>Vape shop</t>
        </is>
      </c>
      <c r="I227" s="10" t="inlineStr">
        <is>
          <t>Multi-Site Independent</t>
        </is>
      </c>
      <c r="J227" s="10" t="inlineStr">
        <is>
          <t>2</t>
        </is>
      </c>
      <c r="K227" s="10" t="inlineStr"/>
      <c r="L227" s="10" t="inlineStr"/>
      <c r="M227" s="10" t="inlineStr"/>
      <c r="N227" s="10" t="inlineStr"/>
      <c r="O227" s="10" t="inlineStr">
        <is>
          <t>28 Quarry Street</t>
        </is>
      </c>
      <c r="P227" s="10" t="inlineStr"/>
      <c r="Q227" s="10" t="inlineStr">
        <is>
          <t>Hamilton</t>
        </is>
      </c>
      <c r="R227" s="10" t="inlineStr">
        <is>
          <t>South Lanarkshire</t>
        </is>
      </c>
      <c r="S227" s="10" t="inlineStr">
        <is>
          <t>ML3 7AR</t>
        </is>
      </c>
      <c r="T227" s="10" t="inlineStr">
        <is>
          <t>Scotland</t>
        </is>
      </c>
      <c r="U227" s="10" t="inlineStr">
        <is>
          <t>Scotland</t>
        </is>
      </c>
      <c r="V227" s="10" t="inlineStr">
        <is>
          <t>01698 420068</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vape hardware; e-liquids</t>
        </is>
      </c>
      <c r="AL227" s="10" t="inlineStr"/>
      <c r="AM227" s="10" t="inlineStr">
        <is>
          <t>Vape Shop</t>
        </is>
      </c>
      <c r="AN227" s="10" t="inlineStr"/>
      <c r="AO227" s="10" t="inlineStr">
        <is>
          <t>e.cig.a.rus Hamilton store at 28 Quarry Street (Hamilton town centre). Same parent as e.cig.a.rus Wishaw.</t>
        </is>
      </c>
      <c r="AP227" s="10" t="inlineStr">
        <is>
          <t>Medium</t>
        </is>
      </c>
      <c r="AQ227" s="10" t="inlineStr">
        <is>
          <t>Multi-site retailer; Independent retailer; Core relevant category</t>
        </is>
      </c>
      <c r="AR227" s="10" t="inlineStr">
        <is>
          <t>https://ecigdirectory.co.uk/vape-shop/listing/e-cig-a-rus-hamilton</t>
        </is>
      </c>
      <c r="AS227" s="10" t="inlineStr"/>
      <c r="AT227" s="10" t="inlineStr">
        <is>
          <t>1</t>
        </is>
      </c>
      <c r="AU227" s="10" t="inlineStr">
        <is>
          <t>No</t>
        </is>
      </c>
      <c r="AV227" s="10" t="inlineStr">
        <is>
          <t>No</t>
        </is>
      </c>
      <c r="AW227" s="10" t="inlineStr">
        <is>
          <t>No</t>
        </is>
      </c>
      <c r="AX227" s="10" t="inlineStr">
        <is>
          <t>No</t>
        </is>
      </c>
      <c r="AY227" s="10" t="inlineStr">
        <is>
          <t>Verified directory</t>
        </is>
      </c>
      <c r="AZ227" s="10" t="inlineStr">
        <is>
          <t>Not Found</t>
        </is>
      </c>
      <c r="BA227" s="10" t="inlineStr">
        <is>
          <t>2026-09-17</t>
        </is>
      </c>
      <c r="BB227" s="10" t="inlineStr">
        <is>
          <t>Requires Verification</t>
        </is>
      </c>
      <c r="BC227" s="10" t="inlineStr">
        <is>
          <t>Medium</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UK-000752</t>
        </is>
      </c>
      <c r="B228" s="5" t="inlineStr">
        <is>
          <t>ECIGARUS-02</t>
        </is>
      </c>
      <c r="C228" s="5" t="inlineStr">
        <is>
          <t>e.cig.a.rus</t>
        </is>
      </c>
      <c r="D228" s="5" t="inlineStr">
        <is>
          <t>e.cig.a.rus Wishaw</t>
        </is>
      </c>
      <c r="E228" s="5" t="inlineStr">
        <is>
          <t>e.cig.a.rus</t>
        </is>
      </c>
      <c r="F228" s="5" t="inlineStr"/>
      <c r="G228" s="5" t="inlineStr">
        <is>
          <t>Vape Shop</t>
        </is>
      </c>
      <c r="H228" s="5" t="inlineStr">
        <is>
          <t>Vape shop</t>
        </is>
      </c>
      <c r="I228" s="5" t="inlineStr">
        <is>
          <t>Multi-Site Independent</t>
        </is>
      </c>
      <c r="J228" s="5" t="inlineStr">
        <is>
          <t>2</t>
        </is>
      </c>
      <c r="K228" s="5" t="inlineStr"/>
      <c r="L228" s="5" t="inlineStr"/>
      <c r="M228" s="5" t="inlineStr"/>
      <c r="N228" s="5" t="inlineStr"/>
      <c r="O228" s="5" t="inlineStr">
        <is>
          <t>97 Main Street</t>
        </is>
      </c>
      <c r="P228" s="5" t="inlineStr"/>
      <c r="Q228" s="5" t="inlineStr">
        <is>
          <t>Wishaw</t>
        </is>
      </c>
      <c r="R228" s="5" t="inlineStr">
        <is>
          <t>North Lanarkshire</t>
        </is>
      </c>
      <c r="S228" s="5" t="inlineStr">
        <is>
          <t>ML2 7AU</t>
        </is>
      </c>
      <c r="T228" s="5" t="inlineStr">
        <is>
          <t>Scotland</t>
        </is>
      </c>
      <c r="U228" s="5" t="inlineStr">
        <is>
          <t>Scotland</t>
        </is>
      </c>
      <c r="V228" s="5" t="inlineStr">
        <is>
          <t>01698 296440</t>
        </is>
      </c>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vape hardware; e-liquids</t>
        </is>
      </c>
      <c r="AL228" s="5" t="inlineStr"/>
      <c r="AM228" s="5" t="inlineStr">
        <is>
          <t>Vape Shop</t>
        </is>
      </c>
      <c r="AN228" s="5" t="inlineStr"/>
      <c r="AO228" s="5" t="inlineStr">
        <is>
          <t>e.cig.a.rus is a small Lanarkshire vape chain with stores in Wishaw and Hamilton (shared parent_company). Wishaw store at 97 Main Street.</t>
        </is>
      </c>
      <c r="AP228" s="5" t="inlineStr">
        <is>
          <t>Medium</t>
        </is>
      </c>
      <c r="AQ228" s="5" t="inlineStr">
        <is>
          <t>Multi-site retailer; Independent retailer; Core relevant category</t>
        </is>
      </c>
      <c r="AR228" s="5" t="inlineStr">
        <is>
          <t>https://ecigdirectory.co.uk/vape-shop/listing/e-cig-a-rus-wishaw</t>
        </is>
      </c>
      <c r="AS228" s="5" t="inlineStr"/>
      <c r="AT228" s="5" t="inlineStr">
        <is>
          <t>1</t>
        </is>
      </c>
      <c r="AU228" s="5" t="inlineStr">
        <is>
          <t>No</t>
        </is>
      </c>
      <c r="AV228" s="5" t="inlineStr">
        <is>
          <t>No</t>
        </is>
      </c>
      <c r="AW228" s="5" t="inlineStr">
        <is>
          <t>No</t>
        </is>
      </c>
      <c r="AX228" s="5" t="inlineStr">
        <is>
          <t>No</t>
        </is>
      </c>
      <c r="AY228" s="5" t="inlineStr">
        <is>
          <t>Verified directory</t>
        </is>
      </c>
      <c r="AZ228" s="5" t="inlineStr">
        <is>
          <t>Not Found</t>
        </is>
      </c>
      <c r="BA228" s="5" t="inlineStr">
        <is>
          <t>2026-09-17</t>
        </is>
      </c>
      <c r="BB228" s="5" t="inlineStr">
        <is>
          <t>Requires Verification</t>
        </is>
      </c>
      <c r="BC228" s="5" t="inlineStr">
        <is>
          <t>Medium</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UK-000227</t>
        </is>
      </c>
      <c r="B229" s="10" t="inlineStr">
        <is>
          <t>ECIGARETTE-01</t>
        </is>
      </c>
      <c r="C229" s="10" t="inlineStr">
        <is>
          <t>eCigarette Outlet</t>
        </is>
      </c>
      <c r="D229" s="10" t="inlineStr">
        <is>
          <t>eCigarette Outlet</t>
        </is>
      </c>
      <c r="E229" s="10" t="inlineStr">
        <is>
          <t>eCigarette Outlet</t>
        </is>
      </c>
      <c r="F229" s="10" t="inlineStr"/>
      <c r="G229" s="10" t="inlineStr">
        <is>
          <t>Vape Shop</t>
        </is>
      </c>
      <c r="H229" s="10" t="inlineStr">
        <is>
          <t>E-cigarette specialist chain</t>
        </is>
      </c>
      <c r="I229" s="10" t="inlineStr">
        <is>
          <t>Regional Chain</t>
        </is>
      </c>
      <c r="J229" s="10" t="inlineStr">
        <is>
          <t>6</t>
        </is>
      </c>
      <c r="K229" s="10" t="inlineStr">
        <is>
          <t>https://ecigaretteoutlet.co.uk</t>
        </is>
      </c>
      <c r="L229" s="10" t="inlineStr">
        <is>
          <t>https://www.facebook.com/EcigaretteoutletHull/</t>
        </is>
      </c>
      <c r="M229" s="10" t="inlineStr"/>
      <c r="N229" s="10" t="inlineStr"/>
      <c r="O229" s="10" t="inlineStr">
        <is>
          <t>53 Jameson Street</t>
        </is>
      </c>
      <c r="P229" s="10" t="inlineStr">
        <is>
          <t>City Centre</t>
        </is>
      </c>
      <c r="Q229" s="10" t="inlineStr">
        <is>
          <t>Kingston upon Hull</t>
        </is>
      </c>
      <c r="R229" s="10" t="inlineStr">
        <is>
          <t>East Riding of Yorkshire</t>
        </is>
      </c>
      <c r="S229" s="10" t="inlineStr"/>
      <c r="T229" s="10" t="inlineStr">
        <is>
          <t>Yorkshire &amp; Humber</t>
        </is>
      </c>
      <c r="U229" s="10" t="inlineStr">
        <is>
          <t>England</t>
        </is>
      </c>
      <c r="V229" s="10" t="inlineStr"/>
      <c r="W229" s="10" t="inlineStr"/>
      <c r="X229" s="10" t="inlineStr"/>
      <c r="Y229" s="10" t="inlineStr">
        <is>
          <t>customer.service@ecigaretteoutlet.co.uk</t>
        </is>
      </c>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e-cigarettes; e-liquids; disposables; hardware</t>
        </is>
      </c>
      <c r="AL229" s="10" t="inlineStr"/>
      <c r="AM229" s="10" t="inlineStr">
        <is>
          <t>Vape Shop</t>
        </is>
      </c>
      <c r="AN229" s="10" t="inlineStr"/>
      <c r="AO229" s="10"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229" s="10" t="inlineStr">
        <is>
          <t>High</t>
        </is>
      </c>
      <c r="AQ229" s="10" t="inlineStr">
        <is>
          <t>Multi-site retailer; Core relevant category; Public email available; Active website; Social presence</t>
        </is>
      </c>
      <c r="AR229" s="10" t="inlineStr">
        <is>
          <t>https://www.facebook.com/EcigaretteoutletHull/</t>
        </is>
      </c>
      <c r="AS229" s="10" t="inlineStr">
        <is>
          <t>https://ecigdirectory.co.uk/vape-shop-hull-listings/</t>
        </is>
      </c>
      <c r="AT229" s="10" t="inlineStr">
        <is>
          <t>2</t>
        </is>
      </c>
      <c r="AU229" s="10" t="inlineStr">
        <is>
          <t>Yes</t>
        </is>
      </c>
      <c r="AV229" s="10" t="inlineStr">
        <is>
          <t>No</t>
        </is>
      </c>
      <c r="AW229" s="10" t="inlineStr">
        <is>
          <t>No</t>
        </is>
      </c>
      <c r="AX229" s="10" t="inlineStr">
        <is>
          <t>No</t>
        </is>
      </c>
      <c r="AY229" s="10" t="inlineStr">
        <is>
          <t>Not Found</t>
        </is>
      </c>
      <c r="AZ229" s="10" t="inlineStr">
        <is>
          <t>Publicly Listed</t>
        </is>
      </c>
      <c r="BA229" s="10" t="inlineStr">
        <is>
          <t>2026-09-17</t>
        </is>
      </c>
      <c r="BB229" s="10" t="inlineStr">
        <is>
          <t>Partially Verified</t>
        </is>
      </c>
      <c r="BC229" s="10" t="inlineStr">
        <is>
          <t>Medium</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2026-09-16</t>
        </is>
      </c>
      <c r="BJ229" s="10" t="inlineStr">
        <is>
          <t>New</t>
        </is>
      </c>
      <c r="BK229" s="10" t="inlineStr">
        <is>
          <t>2026-09-17</t>
        </is>
      </c>
      <c r="BL229" s="10" t="inlineStr"/>
      <c r="BM229" s="10" t="inlineStr"/>
      <c r="BN229" s="10" t="inlineStr"/>
      <c r="BO229" s="10" t="inlineStr"/>
      <c r="BP229" s="10" t="inlineStr"/>
      <c r="BQ229" s="10" t="inlineStr"/>
    </row>
    <row r="230">
      <c r="A230" s="5" t="inlineStr">
        <is>
          <t>UK-000228</t>
        </is>
      </c>
      <c r="B230" s="5" t="inlineStr">
        <is>
          <t>ECIGARETTE-02</t>
        </is>
      </c>
      <c r="C230" s="5" t="inlineStr">
        <is>
          <t>eCigarette Outlet</t>
        </is>
      </c>
      <c r="D230" s="5" t="inlineStr">
        <is>
          <t>eCigarette Outlet Cleethorpes</t>
        </is>
      </c>
      <c r="E230" s="5" t="inlineStr">
        <is>
          <t>eCigarette Outlet</t>
        </is>
      </c>
      <c r="F230" s="5" t="inlineStr"/>
      <c r="G230" s="5" t="inlineStr">
        <is>
          <t>Vape Shop</t>
        </is>
      </c>
      <c r="H230" s="5" t="inlineStr">
        <is>
          <t>E-cigarette specialist chain</t>
        </is>
      </c>
      <c r="I230" s="5" t="inlineStr">
        <is>
          <t>Regional Chain</t>
        </is>
      </c>
      <c r="J230" s="5" t="inlineStr">
        <is>
          <t>1</t>
        </is>
      </c>
      <c r="K230" s="5" t="inlineStr">
        <is>
          <t>https://ecigaretteoutlet.co.uk</t>
        </is>
      </c>
      <c r="L230" s="5" t="inlineStr"/>
      <c r="M230" s="5" t="inlineStr"/>
      <c r="N230" s="5" t="inlineStr"/>
      <c r="O230" s="5" t="inlineStr">
        <is>
          <t>3 St Peter's Avenue</t>
        </is>
      </c>
      <c r="P230" s="5" t="inlineStr"/>
      <c r="Q230" s="5" t="inlineStr">
        <is>
          <t>Cleethorpes</t>
        </is>
      </c>
      <c r="R230" s="5" t="inlineStr">
        <is>
          <t>Lincolnshire</t>
        </is>
      </c>
      <c r="S230" s="5" t="inlineStr">
        <is>
          <t>DN35 8HQ</t>
        </is>
      </c>
      <c r="T230" s="5" t="inlineStr">
        <is>
          <t>Yorkshire &amp; Humber</t>
        </is>
      </c>
      <c r="U230" s="5" t="inlineStr">
        <is>
          <t>England</t>
        </is>
      </c>
      <c r="V230" s="5" t="inlineStr">
        <is>
          <t>01472 694619</t>
        </is>
      </c>
      <c r="W230" s="5" t="inlineStr"/>
      <c r="X230" s="5" t="inlineStr"/>
      <c r="Y230" s="5" t="inlineStr">
        <is>
          <t>customer.service@ecigaretteoutlet.co.uk</t>
        </is>
      </c>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e-cigarettes; e-liquids; disposables; hardware</t>
        </is>
      </c>
      <c r="AL230" s="5" t="inlineStr"/>
      <c r="AM230" s="5" t="inlineStr">
        <is>
          <t>Vape Shop</t>
        </is>
      </c>
      <c r="AN230" s="5" t="inlineStr"/>
      <c r="AO230" s="5" t="inlineStr">
        <is>
          <t>Cleethorpes branch of eCigarette Outlet regional chain. Shared brand email and website.</t>
        </is>
      </c>
      <c r="AP230" s="5" t="inlineStr">
        <is>
          <t>High</t>
        </is>
      </c>
      <c r="AQ230" s="5" t="inlineStr">
        <is>
          <t>Multi-site retailer; Core relevant category; Public email available; Active website</t>
        </is>
      </c>
      <c r="AR230" s="5" t="inlineStr">
        <is>
          <t>https://vapeshop-nearme.com/listing/ecigarette-outlet-cleethorpes/</t>
        </is>
      </c>
      <c r="AS230" s="5" t="inlineStr"/>
      <c r="AT230" s="5" t="inlineStr">
        <is>
          <t>1</t>
        </is>
      </c>
      <c r="AU230" s="5" t="inlineStr">
        <is>
          <t>Yes</t>
        </is>
      </c>
      <c r="AV230" s="5" t="inlineStr">
        <is>
          <t>No</t>
        </is>
      </c>
      <c r="AW230" s="5" t="inlineStr">
        <is>
          <t>No</t>
        </is>
      </c>
      <c r="AX230" s="5" t="inlineStr">
        <is>
          <t>No</t>
        </is>
      </c>
      <c r="AY230" s="5" t="inlineStr">
        <is>
          <t>Verified directory</t>
        </is>
      </c>
      <c r="AZ230" s="5" t="inlineStr">
        <is>
          <t>Publicly Listed</t>
        </is>
      </c>
      <c r="BA230" s="5" t="inlineStr">
        <is>
          <t>2026-09-17</t>
        </is>
      </c>
      <c r="BB230" s="5" t="inlineStr">
        <is>
          <t>Partially Verified</t>
        </is>
      </c>
      <c r="BC230" s="5" t="inlineStr">
        <is>
          <t>Medium</t>
        </is>
      </c>
      <c r="BD230" s="5" t="inlineStr"/>
      <c r="BE230" s="5" t="inlineStr">
        <is>
          <t>Business (B2B)</t>
        </is>
      </c>
      <c r="BF230" s="5" t="inlineStr">
        <is>
          <t>Legitimate interest (B2B) - assess per campaign; PECR: corporate subscribers</t>
        </is>
      </c>
      <c r="BG230" s="5" t="inlineStr"/>
      <c r="BH230" s="5" t="inlineStr">
        <is>
          <t>No</t>
        </is>
      </c>
      <c r="BI230" s="5" t="inlineStr">
        <is>
          <t>2026-09-16</t>
        </is>
      </c>
      <c r="BJ230" s="5" t="inlineStr">
        <is>
          <t>New</t>
        </is>
      </c>
      <c r="BK230" s="5" t="inlineStr">
        <is>
          <t>2026-09-17</t>
        </is>
      </c>
      <c r="BL230" s="5" t="inlineStr"/>
      <c r="BM230" s="5" t="inlineStr"/>
      <c r="BN230" s="5" t="inlineStr"/>
      <c r="BO230" s="5" t="inlineStr"/>
      <c r="BP230" s="5" t="inlineStr"/>
      <c r="BQ230" s="5" t="inlineStr"/>
    </row>
    <row r="231">
      <c r="A231" s="10" t="inlineStr">
        <is>
          <t>UK-000229</t>
        </is>
      </c>
      <c r="B231" s="10" t="inlineStr">
        <is>
          <t>ECIGARETTE-03</t>
        </is>
      </c>
      <c r="C231" s="10" t="inlineStr">
        <is>
          <t>eCigarette Outlet</t>
        </is>
      </c>
      <c r="D231" s="10" t="inlineStr">
        <is>
          <t>eCigarette Outlet Scunthorpe</t>
        </is>
      </c>
      <c r="E231" s="10" t="inlineStr">
        <is>
          <t>eCigarette Outlet</t>
        </is>
      </c>
      <c r="F231" s="10" t="inlineStr"/>
      <c r="G231" s="10" t="inlineStr">
        <is>
          <t>Vape Shop</t>
        </is>
      </c>
      <c r="H231" s="10" t="inlineStr">
        <is>
          <t>E-cigarette specialist chain</t>
        </is>
      </c>
      <c r="I231" s="10" t="inlineStr">
        <is>
          <t>Regional Chain</t>
        </is>
      </c>
      <c r="J231" s="10" t="inlineStr">
        <is>
          <t>1</t>
        </is>
      </c>
      <c r="K231" s="10" t="inlineStr">
        <is>
          <t>https://ecigaretteoutlet.co.uk</t>
        </is>
      </c>
      <c r="L231" s="10" t="inlineStr">
        <is>
          <t>https://www.facebook.com/Ecigaretteoutlet/</t>
        </is>
      </c>
      <c r="M231" s="10" t="inlineStr"/>
      <c r="N231" s="10" t="inlineStr"/>
      <c r="O231" s="10" t="inlineStr">
        <is>
          <t>14 Laneham Street</t>
        </is>
      </c>
      <c r="P231" s="10" t="inlineStr"/>
      <c r="Q231" s="10" t="inlineStr">
        <is>
          <t>Scunthorpe</t>
        </is>
      </c>
      <c r="R231" s="10" t="inlineStr">
        <is>
          <t>Lincolnshire</t>
        </is>
      </c>
      <c r="S231" s="10" t="inlineStr">
        <is>
          <t>DN15 6LJ</t>
        </is>
      </c>
      <c r="T231" s="10" t="inlineStr">
        <is>
          <t>Yorkshire &amp; Humber</t>
        </is>
      </c>
      <c r="U231" s="10" t="inlineStr">
        <is>
          <t>England</t>
        </is>
      </c>
      <c r="V231" s="10" t="inlineStr"/>
      <c r="W231" s="10" t="inlineStr"/>
      <c r="X231" s="10" t="inlineStr"/>
      <c r="Y231" s="10" t="inlineStr">
        <is>
          <t>customer.service@ecigaretteoutlet.co.uk</t>
        </is>
      </c>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e-cigarettes; e-liquids; disposables; hardware</t>
        </is>
      </c>
      <c r="AL231" s="10" t="inlineStr"/>
      <c r="AM231" s="10" t="inlineStr">
        <is>
          <t>Vape Shop</t>
        </is>
      </c>
      <c r="AN231" s="10" t="inlineStr"/>
      <c r="AO231" s="10" t="inlineStr">
        <is>
          <t>Scunthorpe branch of the eCigarette Outlet regional chain (High Street / Laneham St). Shared brand email and website.</t>
        </is>
      </c>
      <c r="AP231" s="10" t="inlineStr">
        <is>
          <t>High</t>
        </is>
      </c>
      <c r="AQ231" s="10" t="inlineStr">
        <is>
          <t>Multi-site retailer; Core relevant category; Public email available; Active website; Social presence</t>
        </is>
      </c>
      <c r="AR231" s="10" t="inlineStr">
        <is>
          <t>https://www.facebook.com/Ecigaretteoutlet/</t>
        </is>
      </c>
      <c r="AS231" s="10" t="inlineStr">
        <is>
          <t>https://vapeshop-nearme.com/listing/ecigarette-outlet-scunthorpe/</t>
        </is>
      </c>
      <c r="AT231" s="10" t="inlineStr">
        <is>
          <t>2</t>
        </is>
      </c>
      <c r="AU231" s="10" t="inlineStr">
        <is>
          <t>Yes</t>
        </is>
      </c>
      <c r="AV231" s="10" t="inlineStr">
        <is>
          <t>No</t>
        </is>
      </c>
      <c r="AW231" s="10" t="inlineStr">
        <is>
          <t>No</t>
        </is>
      </c>
      <c r="AX231" s="10" t="inlineStr">
        <is>
          <t>No</t>
        </is>
      </c>
      <c r="AY231" s="10" t="inlineStr">
        <is>
          <t>Not Found</t>
        </is>
      </c>
      <c r="AZ231" s="10" t="inlineStr">
        <is>
          <t>Publicly Listed</t>
        </is>
      </c>
      <c r="BA231" s="10" t="inlineStr">
        <is>
          <t>2026-09-17</t>
        </is>
      </c>
      <c r="BB231" s="10" t="inlineStr">
        <is>
          <t>Partially Verified</t>
        </is>
      </c>
      <c r="BC231" s="10" t="inlineStr">
        <is>
          <t>Medium</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2026-09-16</t>
        </is>
      </c>
      <c r="BJ231" s="10" t="inlineStr">
        <is>
          <t>New</t>
        </is>
      </c>
      <c r="BK231" s="10" t="inlineStr">
        <is>
          <t>2026-09-17</t>
        </is>
      </c>
      <c r="BL231" s="10" t="inlineStr"/>
      <c r="BM231" s="10" t="inlineStr"/>
      <c r="BN231" s="10" t="inlineStr"/>
      <c r="BO231" s="10" t="inlineStr"/>
      <c r="BP231" s="10" t="inlineStr"/>
      <c r="BQ231" s="10" t="inlineStr"/>
    </row>
    <row r="232">
      <c r="A232" s="5" t="inlineStr">
        <is>
          <t>UK-000230</t>
        </is>
      </c>
      <c r="B232" s="5" t="inlineStr">
        <is>
          <t>IVAPESTORE-01</t>
        </is>
      </c>
      <c r="C232" s="5" t="inlineStr">
        <is>
          <t>iVape Store</t>
        </is>
      </c>
      <c r="D232" s="5" t="inlineStr">
        <is>
          <t>iVape Harrogate</t>
        </is>
      </c>
      <c r="E232" s="5" t="inlineStr">
        <is>
          <t>iVape Store</t>
        </is>
      </c>
      <c r="F232" s="5" t="inlineStr"/>
      <c r="G232" s="5" t="inlineStr">
        <is>
          <t>Vape Shop</t>
        </is>
      </c>
      <c r="H232" s="5" t="inlineStr">
        <is>
          <t>Disposables, e-liquids &amp; devices</t>
        </is>
      </c>
      <c r="I232" s="5" t="inlineStr">
        <is>
          <t>Regional Chain</t>
        </is>
      </c>
      <c r="J232" s="5" t="inlineStr"/>
      <c r="K232" s="5" t="inlineStr">
        <is>
          <t>https://ivapestore.co.uk/stores/ivape-harrogate</t>
        </is>
      </c>
      <c r="L232" s="5" t="inlineStr">
        <is>
          <t>https://www.facebook.com/iVapeHarrogateUK/</t>
        </is>
      </c>
      <c r="M232" s="5" t="inlineStr"/>
      <c r="N232" s="5" t="inlineStr"/>
      <c r="O232" s="5" t="inlineStr">
        <is>
          <t>8 Beulah Street</t>
        </is>
      </c>
      <c r="P232" s="5" t="inlineStr"/>
      <c r="Q232" s="5" t="inlineStr">
        <is>
          <t>Harrogate</t>
        </is>
      </c>
      <c r="R232" s="5" t="inlineStr">
        <is>
          <t>North Yorkshire</t>
        </is>
      </c>
      <c r="S232" s="5" t="inlineStr">
        <is>
          <t>HG1 1QQ</t>
        </is>
      </c>
      <c r="T232" s="5" t="inlineStr">
        <is>
          <t>Yorkshire &amp; Humber</t>
        </is>
      </c>
      <c r="U232" s="5" t="inlineStr">
        <is>
          <t>England</t>
        </is>
      </c>
      <c r="V232" s="5" t="inlineStr">
        <is>
          <t>01423 509009</t>
        </is>
      </c>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disposable vapes; e-liquids; devices; accessories</t>
        </is>
      </c>
      <c r="AL232" s="5" t="inlineStr"/>
      <c r="AM232" s="5" t="inlineStr">
        <is>
          <t>Vape Shop</t>
        </is>
      </c>
      <c r="AN232" s="5" t="inlineStr"/>
      <c r="AO232" s="5" t="inlineStr">
        <is>
          <t>Harrogate branch of the iVape Store chain (ivapestore.co.uk). Address 8 Beulah Street, phone from chain store page and iBegin/Yelp listings via search snippets. Note VPZ operates at 10 Beulah Street next door (national multiple, excluded).</t>
        </is>
      </c>
      <c r="AP232" s="5" t="inlineStr">
        <is>
          <t>High</t>
        </is>
      </c>
      <c r="AQ232" s="5" t="inlineStr">
        <is>
          <t>Multi-site retailer; Core relevant category; Active website; Social presence</t>
        </is>
      </c>
      <c r="AR232" s="5" t="inlineStr">
        <is>
          <t>https://ivapestore.co.uk/stores/ivape-harrogate</t>
        </is>
      </c>
      <c r="AS232" s="5" t="inlineStr">
        <is>
          <t>https://harrogate.cylex-uk.co.uk/vape-shops/</t>
        </is>
      </c>
      <c r="AT232" s="5" t="inlineStr">
        <is>
          <t>2</t>
        </is>
      </c>
      <c r="AU232" s="5" t="inlineStr">
        <is>
          <t>No</t>
        </is>
      </c>
      <c r="AV232" s="5" t="inlineStr">
        <is>
          <t>No</t>
        </is>
      </c>
      <c r="AW232" s="5" t="inlineStr">
        <is>
          <t>No</t>
        </is>
      </c>
      <c r="AX232" s="5" t="inlineStr">
        <is>
          <t>No</t>
        </is>
      </c>
      <c r="AY232" s="5" t="inlineStr">
        <is>
          <t>Verified directory</t>
        </is>
      </c>
      <c r="AZ232" s="5" t="inlineStr">
        <is>
          <t>Website Found</t>
        </is>
      </c>
      <c r="BA232" s="5" t="inlineStr">
        <is>
          <t>2026-09-17</t>
        </is>
      </c>
      <c r="BB232" s="5" t="inlineStr">
        <is>
          <t>Requires Verification</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2026-09-16</t>
        </is>
      </c>
      <c r="BJ232" s="5" t="inlineStr">
        <is>
          <t>New</t>
        </is>
      </c>
      <c r="BK232" s="5" t="inlineStr">
        <is>
          <t>2026-09-17</t>
        </is>
      </c>
      <c r="BL232" s="5" t="inlineStr"/>
      <c r="BM232" s="5" t="inlineStr"/>
      <c r="BN232" s="5" t="inlineStr"/>
      <c r="BO232" s="5" t="inlineStr"/>
      <c r="BP232" s="5" t="inlineStr"/>
      <c r="BQ232" s="5" t="inlineStr"/>
    </row>
    <row r="233">
      <c r="A233" s="10" t="inlineStr">
        <is>
          <t>UK-000565</t>
        </is>
      </c>
      <c r="B233" s="10" t="inlineStr">
        <is>
          <t>MYCIGARA-01</t>
        </is>
      </c>
      <c r="C233" s="10" t="inlineStr">
        <is>
          <t>myCigara</t>
        </is>
      </c>
      <c r="D233" s="10" t="inlineStr">
        <is>
          <t>myCigara - Hammersmith (King Street)</t>
        </is>
      </c>
      <c r="E233" s="10" t="inlineStr">
        <is>
          <t>myCigara</t>
        </is>
      </c>
      <c r="F233" s="10" t="inlineStr"/>
      <c r="G233" s="10" t="inlineStr">
        <is>
          <t>Vape Shop</t>
        </is>
      </c>
      <c r="H233" s="10" t="inlineStr">
        <is>
          <t>Vape store &amp; e-liquids</t>
        </is>
      </c>
      <c r="I233" s="10" t="inlineStr">
        <is>
          <t>Regional Chain</t>
        </is>
      </c>
      <c r="J233" s="10" t="inlineStr">
        <is>
          <t>1</t>
        </is>
      </c>
      <c r="K233" s="10" t="inlineStr">
        <is>
          <t>https://www.mycigara.com/</t>
        </is>
      </c>
      <c r="L233" s="10" t="inlineStr"/>
      <c r="M233" s="10" t="inlineStr"/>
      <c r="N233" s="10" t="inlineStr"/>
      <c r="O233" s="10" t="inlineStr">
        <is>
          <t>106 King Street</t>
        </is>
      </c>
      <c r="P233" s="10" t="inlineStr">
        <is>
          <t>Hammersmith</t>
        </is>
      </c>
      <c r="Q233" s="10" t="inlineStr">
        <is>
          <t>London</t>
        </is>
      </c>
      <c r="R233" s="10" t="inlineStr">
        <is>
          <t>Greater London</t>
        </is>
      </c>
      <c r="S233" s="10" t="inlineStr">
        <is>
          <t>W6 0QP</t>
        </is>
      </c>
      <c r="T233" s="10" t="inlineStr">
        <is>
          <t>London</t>
        </is>
      </c>
      <c r="U233" s="10" t="inlineStr">
        <is>
          <t>England</t>
        </is>
      </c>
      <c r="V233" s="10" t="inlineStr"/>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vape hardware; e-liquids</t>
        </is>
      </c>
      <c r="AL233" s="10" t="inlineStr"/>
      <c r="AM233" s="10" t="inlineStr">
        <is>
          <t>Vape Shop</t>
        </is>
      </c>
      <c r="AN233" s="10" t="inlineStr"/>
      <c r="AO233" s="10" t="inlineStr">
        <is>
          <t>Hammersmith King Street branch of myCigara (listed on Yell as 'Cigara'). Address/postcode from Yell listing snippet; phone not published in accessible snippet.</t>
        </is>
      </c>
      <c r="AP233" s="10" t="inlineStr">
        <is>
          <t>Medium</t>
        </is>
      </c>
      <c r="AQ233" s="10" t="inlineStr">
        <is>
          <t>Multi-site retailer; Core relevant category; Active website</t>
        </is>
      </c>
      <c r="AR233" s="10" t="inlineStr">
        <is>
          <t>https://www.yell.com/biz/cigara-hammersmith-and-fulham-london-8957652/</t>
        </is>
      </c>
      <c r="AS233" s="10" t="inlineStr"/>
      <c r="AT233" s="10" t="inlineStr">
        <is>
          <t>1</t>
        </is>
      </c>
      <c r="AU233" s="10" t="inlineStr">
        <is>
          <t>No</t>
        </is>
      </c>
      <c r="AV233" s="10" t="inlineStr">
        <is>
          <t>No</t>
        </is>
      </c>
      <c r="AW233" s="10" t="inlineStr">
        <is>
          <t>No</t>
        </is>
      </c>
      <c r="AX233" s="10" t="inlineStr">
        <is>
          <t>No</t>
        </is>
      </c>
      <c r="AY233" s="10" t="inlineStr">
        <is>
          <t>Not Found</t>
        </is>
      </c>
      <c r="AZ233" s="10" t="inlineStr">
        <is>
          <t>Not Found</t>
        </is>
      </c>
      <c r="BA233" s="10" t="inlineStr">
        <is>
          <t>2026-09-17</t>
        </is>
      </c>
      <c r="BB233" s="10" t="inlineStr">
        <is>
          <t>Requires Verification</t>
        </is>
      </c>
      <c r="BC233" s="10" t="inlineStr">
        <is>
          <t>Low</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2026-09-17</t>
        </is>
      </c>
      <c r="BJ233" s="10" t="inlineStr">
        <is>
          <t>New</t>
        </is>
      </c>
      <c r="BK233" s="10" t="inlineStr">
        <is>
          <t>2026-09-17</t>
        </is>
      </c>
      <c r="BL233" s="10" t="inlineStr"/>
      <c r="BM233" s="10" t="inlineStr"/>
      <c r="BN233" s="10" t="inlineStr"/>
      <c r="BO233" s="10" t="inlineStr"/>
      <c r="BP233" s="10" t="inlineStr"/>
      <c r="BQ233" s="10" t="inlineStr"/>
    </row>
    <row r="234">
      <c r="A234" s="5" t="inlineStr">
        <is>
          <t>UK-000566</t>
        </is>
      </c>
      <c r="B234" s="5" t="inlineStr">
        <is>
          <t>MYCIGARA-02</t>
        </is>
      </c>
      <c r="C234" s="5" t="inlineStr">
        <is>
          <t>myCigara</t>
        </is>
      </c>
      <c r="D234" s="5" t="inlineStr">
        <is>
          <t>myCigara - Holborn (Theobald's Road)</t>
        </is>
      </c>
      <c r="E234" s="5" t="inlineStr">
        <is>
          <t>myCigara</t>
        </is>
      </c>
      <c r="F234" s="5" t="inlineStr"/>
      <c r="G234" s="5" t="inlineStr">
        <is>
          <t>Vape Shop</t>
        </is>
      </c>
      <c r="H234" s="5" t="inlineStr">
        <is>
          <t>Vape store &amp; e-liquids</t>
        </is>
      </c>
      <c r="I234" s="5" t="inlineStr">
        <is>
          <t>Regional Chain</t>
        </is>
      </c>
      <c r="J234" s="5" t="inlineStr">
        <is>
          <t>1</t>
        </is>
      </c>
      <c r="K234" s="5" t="inlineStr">
        <is>
          <t>https://www.mycigara.com/</t>
        </is>
      </c>
      <c r="L234" s="5" t="inlineStr"/>
      <c r="M234" s="5" t="inlineStr"/>
      <c r="N234" s="5" t="inlineStr"/>
      <c r="O234" s="5" t="inlineStr">
        <is>
          <t>41 Theobald's Road</t>
        </is>
      </c>
      <c r="P234" s="5" t="inlineStr">
        <is>
          <t>Holborn</t>
        </is>
      </c>
      <c r="Q234" s="5" t="inlineStr">
        <is>
          <t>London</t>
        </is>
      </c>
      <c r="R234" s="5" t="inlineStr">
        <is>
          <t>Greater London</t>
        </is>
      </c>
      <c r="S234" s="5" t="inlineStr">
        <is>
          <t>WC1X 8SP</t>
        </is>
      </c>
      <c r="T234" s="5" t="inlineStr">
        <is>
          <t>London</t>
        </is>
      </c>
      <c r="U234" s="5" t="inlineStr">
        <is>
          <t>England</t>
        </is>
      </c>
      <c r="V234" s="5" t="inlineStr">
        <is>
          <t>020 7242 0800</t>
        </is>
      </c>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vape hardware; e-liquids</t>
        </is>
      </c>
      <c r="AL234" s="5" t="inlineStr"/>
      <c r="AM234" s="5" t="inlineStr">
        <is>
          <t>Vape Shop</t>
        </is>
      </c>
      <c r="AN234" s="5" t="inlineStr"/>
      <c r="AO234" s="5" t="inlineStr">
        <is>
          <t>Holborn branch of myCigara, a multi-branch London vape retailer with its own store network. Address/postcode/phone from AllInLondon directory snippet; brand website mycigara.com.</t>
        </is>
      </c>
      <c r="AP234" s="5" t="inlineStr">
        <is>
          <t>Medium</t>
        </is>
      </c>
      <c r="AQ234" s="5" t="inlineStr">
        <is>
          <t>Multi-site retailer; Core relevant category; Active website</t>
        </is>
      </c>
      <c r="AR234" s="5" t="inlineStr">
        <is>
          <t>https://www.mycigara.com/pages/mycigara-vape-shop-store-locator</t>
        </is>
      </c>
      <c r="AS234" s="5" t="inlineStr">
        <is>
          <t>https://www.allinlondon.co.uk/directory/tobacconists/253177-my-cigara-vape-store</t>
        </is>
      </c>
      <c r="AT234" s="5" t="inlineStr">
        <is>
          <t>2</t>
        </is>
      </c>
      <c r="AU234" s="5" t="inlineStr">
        <is>
          <t>No</t>
        </is>
      </c>
      <c r="AV234" s="5" t="inlineStr">
        <is>
          <t>No</t>
        </is>
      </c>
      <c r="AW234" s="5" t="inlineStr">
        <is>
          <t>No</t>
        </is>
      </c>
      <c r="AX234" s="5" t="inlineStr">
        <is>
          <t>No</t>
        </is>
      </c>
      <c r="AY234" s="5" t="inlineStr">
        <is>
          <t>Verified directory</t>
        </is>
      </c>
      <c r="AZ234" s="5" t="inlineStr">
        <is>
          <t>Not Found</t>
        </is>
      </c>
      <c r="BA234" s="5" t="inlineStr">
        <is>
          <t>2026-09-17</t>
        </is>
      </c>
      <c r="BB234" s="5" t="inlineStr">
        <is>
          <t>Requires Verification</t>
        </is>
      </c>
      <c r="BC234" s="5" t="inlineStr">
        <is>
          <t>Medium</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WY-0047</t>
        </is>
      </c>
      <c r="B235" s="10" t="inlineStr">
        <is>
          <t>WY-0047-01</t>
        </is>
      </c>
      <c r="C235" s="10" t="inlineStr"/>
      <c r="D235" s="10" t="inlineStr">
        <is>
          <t>A &amp; B Stores</t>
        </is>
      </c>
      <c r="E235" s="10" t="inlineStr">
        <is>
          <t>A &amp; B Stores</t>
        </is>
      </c>
      <c r="F235" s="10" t="inlineStr"/>
      <c r="G235" s="10" t="inlineStr">
        <is>
          <t>Off-Licence</t>
        </is>
      </c>
      <c r="H235" s="10" t="inlineStr">
        <is>
          <t>Off-licence / convenience</t>
        </is>
      </c>
      <c r="I235" s="10" t="inlineStr">
        <is>
          <t>Independent</t>
        </is>
      </c>
      <c r="J235" s="10" t="inlineStr">
        <is>
          <t>1</t>
        </is>
      </c>
      <c r="K235" s="10" t="inlineStr"/>
      <c r="L235" s="10" t="inlineStr"/>
      <c r="M235" s="10" t="inlineStr"/>
      <c r="N235" s="10" t="inlineStr"/>
      <c r="O235" s="10" t="inlineStr"/>
      <c r="P235" s="10" t="inlineStr"/>
      <c r="Q235" s="10" t="inlineStr">
        <is>
          <t>Bingley</t>
        </is>
      </c>
      <c r="R235" s="10" t="inlineStr">
        <is>
          <t>West Yorkshire</t>
        </is>
      </c>
      <c r="S235" s="10" t="inlineStr"/>
      <c r="T235" s="10" t="inlineStr">
        <is>
          <t>Yorkshire &amp; Humber</t>
        </is>
      </c>
      <c r="U235" s="10" t="inlineStr">
        <is>
          <t>England</t>
        </is>
      </c>
      <c r="V235" s="10" t="inlineStr"/>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beers; wines; spirits; convenience lines</t>
        </is>
      </c>
      <c r="AL235" s="10" t="inlineStr"/>
      <c r="AM235" s="10" t="inlineStr">
        <is>
          <t>Off-Licence</t>
        </is>
      </c>
      <c r="AN235" s="10" t="inlineStr"/>
      <c r="AO235" s="10" t="inlineStr">
        <is>
          <t>Off-licence listed for Bingley; street address not captured - needs enrichment.</t>
        </is>
      </c>
      <c r="AP235" s="10" t="inlineStr">
        <is>
          <t>Low</t>
        </is>
      </c>
      <c r="AQ235" s="10" t="inlineStr">
        <is>
          <t>Independent retailer; Relevant category</t>
        </is>
      </c>
      <c r="AR235" s="10" t="inlineStr">
        <is>
          <t>https://www.yorkshire.com/bingley/shopping/off-license/a-b-stores</t>
        </is>
      </c>
      <c r="AS235" s="10" t="inlineStr"/>
      <c r="AT235" s="10" t="inlineStr">
        <is>
          <t>1</t>
        </is>
      </c>
      <c r="AU235" s="10" t="inlineStr">
        <is>
          <t>No</t>
        </is>
      </c>
      <c r="AV235" s="10" t="inlineStr">
        <is>
          <t>No</t>
        </is>
      </c>
      <c r="AW235" s="10" t="inlineStr">
        <is>
          <t>No</t>
        </is>
      </c>
      <c r="AX235" s="10" t="inlineStr">
        <is>
          <t>No</t>
        </is>
      </c>
      <c r="AY235" s="10" t="inlineStr">
        <is>
          <t>Not Found</t>
        </is>
      </c>
      <c r="AZ235" s="10" t="inlineStr">
        <is>
          <t>Not Found</t>
        </is>
      </c>
      <c r="BA235" s="10" t="inlineStr">
        <is>
          <t>2026-09-17</t>
        </is>
      </c>
      <c r="BB235" s="10" t="inlineStr">
        <is>
          <t>Requires Verification</t>
        </is>
      </c>
      <c r="BC235" s="10" t="inlineStr">
        <is>
          <t>Low</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2026-09-16</t>
        </is>
      </c>
      <c r="BJ235" s="10" t="inlineStr">
        <is>
          <t>New</t>
        </is>
      </c>
      <c r="BK235" s="10" t="inlineStr">
        <is>
          <t>2026-09-17</t>
        </is>
      </c>
      <c r="BL235" s="10" t="inlineStr"/>
      <c r="BM235" s="10" t="inlineStr"/>
      <c r="BN235" s="10" t="inlineStr"/>
      <c r="BO235" s="10" t="inlineStr"/>
      <c r="BP235" s="10" t="inlineStr"/>
      <c r="BQ235" s="10" t="inlineStr"/>
    </row>
    <row r="236">
      <c r="A236" s="5" t="inlineStr">
        <is>
          <t>UK-000567</t>
        </is>
      </c>
      <c r="B236" s="5" t="inlineStr">
        <is>
          <t>UK-000567-01</t>
        </is>
      </c>
      <c r="C236" s="5" t="inlineStr"/>
      <c r="D236" s="5" t="inlineStr">
        <is>
          <t>A &amp; J Minimarket</t>
        </is>
      </c>
      <c r="E236" s="5" t="inlineStr">
        <is>
          <t>A &amp; J Minimarket</t>
        </is>
      </c>
      <c r="F236" s="5" t="inlineStr"/>
      <c r="G236" s="5" t="inlineStr">
        <is>
          <t>Convenience Store</t>
        </is>
      </c>
      <c r="H236" s="5" t="inlineStr"/>
      <c r="I236" s="5" t="inlineStr">
        <is>
          <t>Independent</t>
        </is>
      </c>
      <c r="J236" s="5" t="inlineStr">
        <is>
          <t>1</t>
        </is>
      </c>
      <c r="K236" s="5" t="inlineStr"/>
      <c r="L236" s="5" t="inlineStr"/>
      <c r="M236" s="5" t="inlineStr"/>
      <c r="N236" s="5" t="inlineStr"/>
      <c r="O236" s="5" t="inlineStr">
        <is>
          <t>68 London Road</t>
        </is>
      </c>
      <c r="P236" s="5" t="inlineStr">
        <is>
          <t>Mitcham Junction</t>
        </is>
      </c>
      <c r="Q236" s="5" t="inlineStr">
        <is>
          <t>Mitcham</t>
        </is>
      </c>
      <c r="R236" s="5" t="inlineStr">
        <is>
          <t>Greater London</t>
        </is>
      </c>
      <c r="S236" s="5" t="inlineStr">
        <is>
          <t>CR4 4JB</t>
        </is>
      </c>
      <c r="T236" s="5" t="inlineStr">
        <is>
          <t>London</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grocery; off-licence; convenience</t>
        </is>
      </c>
      <c r="AL236" s="5" t="inlineStr"/>
      <c r="AM236" s="5" t="inlineStr">
        <is>
          <t>Convenience Store</t>
        </is>
      </c>
      <c r="AN236" s="5" t="inlineStr"/>
      <c r="AO236" s="5" t="inlineStr">
        <is>
          <t>Independent minimarket at Mitcham Junction. Address from Yell listing; phone not confirmed.</t>
        </is>
      </c>
      <c r="AP236" s="5" t="inlineStr">
        <is>
          <t>Low</t>
        </is>
      </c>
      <c r="AQ236" s="5" t="inlineStr">
        <is>
          <t>Independent retailer; Relevant category</t>
        </is>
      </c>
      <c r="AR236" s="5" t="inlineStr">
        <is>
          <t>https://www.yell.com/biz/a-and-j-minimarket-mitcham-6620726/</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Low</t>
        </is>
      </c>
      <c r="BD236" s="5" t="inlineStr"/>
      <c r="BE236" s="5" t="inlineStr">
        <is>
          <t>Business (B2B)</t>
        </is>
      </c>
      <c r="BF236" s="5" t="inlineStr">
        <is>
          <t>Legitimate interest (B2B) - assess per campaign; PECR: corporate subscribers</t>
        </is>
      </c>
      <c r="BG236" s="5" t="inlineStr"/>
      <c r="BH236" s="5" t="inlineStr">
        <is>
          <t>No</t>
        </is>
      </c>
      <c r="BI236" s="5" t="inlineStr">
        <is>
          <t>2026-09-17</t>
        </is>
      </c>
      <c r="BJ236" s="5" t="inlineStr">
        <is>
          <t>New</t>
        </is>
      </c>
      <c r="BK236" s="5" t="inlineStr">
        <is>
          <t>2026-09-17</t>
        </is>
      </c>
      <c r="BL236" s="5" t="inlineStr"/>
      <c r="BM236" s="5" t="inlineStr"/>
      <c r="BN236" s="5" t="inlineStr"/>
      <c r="BO236" s="5" t="inlineStr"/>
      <c r="BP236" s="5" t="inlineStr"/>
      <c r="BQ236" s="5" t="inlineStr"/>
    </row>
    <row r="237">
      <c r="A237" s="10" t="inlineStr">
        <is>
          <t>UK-000568</t>
        </is>
      </c>
      <c r="B237" s="10" t="inlineStr">
        <is>
          <t>UK-000568-01</t>
        </is>
      </c>
      <c r="C237" s="10" t="inlineStr"/>
      <c r="D237" s="10" t="inlineStr">
        <is>
          <t>A Cash &amp; Carry</t>
        </is>
      </c>
      <c r="E237" s="10" t="inlineStr">
        <is>
          <t>A Cash &amp; Carry</t>
        </is>
      </c>
      <c r="F237" s="10" t="inlineStr"/>
      <c r="G237" s="10" t="inlineStr">
        <is>
          <t>Cash &amp; Carry</t>
        </is>
      </c>
      <c r="H237" s="10" t="inlineStr">
        <is>
          <t>Wholesale cash &amp; carry</t>
        </is>
      </c>
      <c r="I237" s="10" t="inlineStr">
        <is>
          <t>Independent</t>
        </is>
      </c>
      <c r="J237" s="10" t="inlineStr">
        <is>
          <t>1</t>
        </is>
      </c>
      <c r="K237" s="10" t="inlineStr"/>
      <c r="L237" s="10" t="inlineStr"/>
      <c r="M237" s="10" t="inlineStr"/>
      <c r="N237" s="10" t="inlineStr"/>
      <c r="O237" s="10" t="inlineStr">
        <is>
          <t>10a Carlton Terrace, Green Street</t>
        </is>
      </c>
      <c r="P237" s="10" t="inlineStr"/>
      <c r="Q237" s="10" t="inlineStr">
        <is>
          <t>Upton Park</t>
        </is>
      </c>
      <c r="R237" s="10" t="inlineStr">
        <is>
          <t>Greater London</t>
        </is>
      </c>
      <c r="S237" s="10" t="inlineStr">
        <is>
          <t>E7 8LH</t>
        </is>
      </c>
      <c r="T237" s="10" t="inlineStr">
        <is>
          <t>London</t>
        </is>
      </c>
      <c r="U237" s="10" t="inlineStr">
        <is>
          <t>England</t>
        </is>
      </c>
      <c r="V237" s="10" t="inlineStr">
        <is>
          <t>020 8471 7722</t>
        </is>
      </c>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wholesale groceries; world foods; drinks; confectionery</t>
        </is>
      </c>
      <c r="AL237" s="10" t="inlineStr"/>
      <c r="AM237" s="10" t="inlineStr">
        <is>
          <t>Cash &amp; Carry</t>
        </is>
      </c>
      <c r="AN237" s="10" t="inlineStr"/>
      <c r="AO237" s="10" t="inlineStr">
        <is>
          <t>Wholesale cash &amp; carry on Green Street (Carlton Terrace), Upton Park/Newham. Address/postcode/phone from Yell/192 directory.</t>
        </is>
      </c>
      <c r="AP237" s="10" t="inlineStr">
        <is>
          <t>Medium</t>
        </is>
      </c>
      <c r="AQ237" s="10" t="inlineStr">
        <is>
          <t>Independent retailer; Core relevant category</t>
        </is>
      </c>
      <c r="AR237" s="10" t="inlineStr">
        <is>
          <t>https://www.yell.com/s/cash+and+carry-london+borough+of+newham.html</t>
        </is>
      </c>
      <c r="AS237" s="10" t="inlineStr"/>
      <c r="AT237" s="10" t="inlineStr">
        <is>
          <t>1</t>
        </is>
      </c>
      <c r="AU237" s="10" t="inlineStr">
        <is>
          <t>No</t>
        </is>
      </c>
      <c r="AV237" s="10" t="inlineStr">
        <is>
          <t>No</t>
        </is>
      </c>
      <c r="AW237" s="10" t="inlineStr">
        <is>
          <t>No</t>
        </is>
      </c>
      <c r="AX237" s="10" t="inlineStr">
        <is>
          <t>No</t>
        </is>
      </c>
      <c r="AY237" s="10" t="inlineStr">
        <is>
          <t>Verified directory</t>
        </is>
      </c>
      <c r="AZ237" s="10" t="inlineStr">
        <is>
          <t>Not Found</t>
        </is>
      </c>
      <c r="BA237" s="10" t="inlineStr">
        <is>
          <t>2026-09-17</t>
        </is>
      </c>
      <c r="BB237" s="10" t="inlineStr">
        <is>
          <t>Requires Verification</t>
        </is>
      </c>
      <c r="BC237" s="10" t="inlineStr">
        <is>
          <t>Medium</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2026-09-17</t>
        </is>
      </c>
      <c r="BJ237" s="10" t="inlineStr">
        <is>
          <t>New</t>
        </is>
      </c>
      <c r="BK237" s="10" t="inlineStr">
        <is>
          <t>2026-09-17</t>
        </is>
      </c>
      <c r="BL237" s="10" t="inlineStr"/>
      <c r="BM237" s="10" t="inlineStr"/>
      <c r="BN237" s="10" t="inlineStr"/>
      <c r="BO237" s="10" t="inlineStr"/>
      <c r="BP237" s="10" t="inlineStr"/>
      <c r="BQ237" s="10" t="inlineStr"/>
    </row>
    <row r="238">
      <c r="A238" s="5" t="inlineStr">
        <is>
          <t>UK-000569</t>
        </is>
      </c>
      <c r="B238" s="5" t="inlineStr">
        <is>
          <t>UK-000569-01</t>
        </is>
      </c>
      <c r="C238" s="5" t="inlineStr"/>
      <c r="D238" s="5" t="inlineStr">
        <is>
          <t>A K S U Food Centre</t>
        </is>
      </c>
      <c r="E238" s="5" t="inlineStr">
        <is>
          <t>Aksu Food Centre</t>
        </is>
      </c>
      <c r="F238" s="5" t="inlineStr"/>
      <c r="G238" s="5" t="inlineStr">
        <is>
          <t>Independent Supermarket</t>
        </is>
      </c>
      <c r="H238" s="5" t="inlineStr">
        <is>
          <t>Turkish / world-food supermarket</t>
        </is>
      </c>
      <c r="I238" s="5" t="inlineStr">
        <is>
          <t>Independent</t>
        </is>
      </c>
      <c r="J238" s="5" t="inlineStr">
        <is>
          <t>1</t>
        </is>
      </c>
      <c r="K238" s="5" t="inlineStr"/>
      <c r="L238" s="5" t="inlineStr"/>
      <c r="M238" s="5" t="inlineStr"/>
      <c r="N238" s="5" t="inlineStr"/>
      <c r="O238" s="5" t="inlineStr"/>
      <c r="P238" s="5" t="inlineStr"/>
      <c r="Q238" s="5" t="inlineStr">
        <is>
          <t>Palmers Green</t>
        </is>
      </c>
      <c r="R238" s="5" t="inlineStr">
        <is>
          <t>Greater London</t>
        </is>
      </c>
      <c r="S238" s="5" t="inlineStr">
        <is>
          <t>N13 6JU</t>
        </is>
      </c>
      <c r="T238" s="5" t="inlineStr">
        <is>
          <t>London</t>
        </is>
      </c>
      <c r="U238" s="5" t="inlineStr">
        <is>
          <t>England</t>
        </is>
      </c>
      <c r="V238" s="5" t="inlineStr"/>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Turkish groceries; world foods; fresh produce</t>
        </is>
      </c>
      <c r="AL238" s="5" t="inlineStr"/>
      <c r="AM238" s="5" t="inlineStr">
        <is>
          <t>Independent Supermarket</t>
        </is>
      </c>
      <c r="AN238" s="5" t="inlineStr"/>
      <c r="AO238" s="5" t="inlineStr">
        <is>
          <t>Turkish/world-food supermarket in Palmers Green (N13) listed on 192.com. Street address and phone not in accessible snippet.</t>
        </is>
      </c>
      <c r="AP238" s="5" t="inlineStr">
        <is>
          <t>Low</t>
        </is>
      </c>
      <c r="AQ238" s="5" t="inlineStr">
        <is>
          <t>Independent retailer; Relevant category</t>
        </is>
      </c>
      <c r="AR238" s="5" t="inlineStr">
        <is>
          <t>https://www.192.com/atoz/business/london-n13/supermarkets/a-k-s-u-food-centre/650ad9767a1cc003a2d7c86973b2b2e67b5e7976/ml/</t>
        </is>
      </c>
      <c r="AS238" s="5" t="inlineStr"/>
      <c r="AT238" s="5" t="inlineStr">
        <is>
          <t>1</t>
        </is>
      </c>
      <c r="AU238" s="5" t="inlineStr">
        <is>
          <t>No</t>
        </is>
      </c>
      <c r="AV238" s="5" t="inlineStr">
        <is>
          <t>No</t>
        </is>
      </c>
      <c r="AW238" s="5" t="inlineStr">
        <is>
          <t>No</t>
        </is>
      </c>
      <c r="AX238" s="5" t="inlineStr">
        <is>
          <t>No</t>
        </is>
      </c>
      <c r="AY238" s="5" t="inlineStr">
        <is>
          <t>Not Found</t>
        </is>
      </c>
      <c r="AZ238" s="5" t="inlineStr">
        <is>
          <t>Not Found</t>
        </is>
      </c>
      <c r="BA238" s="5" t="inlineStr">
        <is>
          <t>2026-09-17</t>
        </is>
      </c>
      <c r="BB238" s="5" t="inlineStr">
        <is>
          <t>Requires Verification</t>
        </is>
      </c>
      <c r="BC238" s="5" t="inlineStr">
        <is>
          <t>Low</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UK-000333</t>
        </is>
      </c>
      <c r="B239" s="10" t="inlineStr">
        <is>
          <t>UK-000333-01</t>
        </is>
      </c>
      <c r="C239" s="10" t="inlineStr"/>
      <c r="D239" s="10" t="inlineStr">
        <is>
          <t>A S M Cash &amp; Carry</t>
        </is>
      </c>
      <c r="E239" s="10" t="inlineStr">
        <is>
          <t>A S M Cash &amp; Carry</t>
        </is>
      </c>
      <c r="F239" s="10" t="inlineStr"/>
      <c r="G239" s="10" t="inlineStr">
        <is>
          <t>Cash &amp; Carry</t>
        </is>
      </c>
      <c r="H239" s="10" t="inlineStr">
        <is>
          <t>Asian grocery wholesale</t>
        </is>
      </c>
      <c r="I239" s="10" t="inlineStr">
        <is>
          <t>Independent</t>
        </is>
      </c>
      <c r="J239" s="10" t="inlineStr">
        <is>
          <t>1</t>
        </is>
      </c>
      <c r="K239" s="10" t="inlineStr"/>
      <c r="L239" s="10" t="inlineStr"/>
      <c r="M239" s="10" t="inlineStr"/>
      <c r="N239" s="10" t="inlineStr"/>
      <c r="O239" s="10" t="inlineStr">
        <is>
          <t>75-83 Oldham Road</t>
        </is>
      </c>
      <c r="P239" s="10" t="inlineStr"/>
      <c r="Q239" s="10" t="inlineStr">
        <is>
          <t>Ashton-under-Lyne</t>
        </is>
      </c>
      <c r="R239" s="10" t="inlineStr">
        <is>
          <t>Greater Manchester</t>
        </is>
      </c>
      <c r="S239" s="10" t="inlineStr">
        <is>
          <t>OL6 7DF</t>
        </is>
      </c>
      <c r="T239" s="10" t="inlineStr">
        <is>
          <t>North West</t>
        </is>
      </c>
      <c r="U239" s="10" t="inlineStr">
        <is>
          <t>England</t>
        </is>
      </c>
      <c r="V239" s="10" t="inlineStr">
        <is>
          <t>0161 339 4744</t>
        </is>
      </c>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Asian groceries; spices; wholesale; cash and carry</t>
        </is>
      </c>
      <c r="AL239" s="10" t="inlineStr"/>
      <c r="AM239" s="10" t="inlineStr">
        <is>
          <t>Cash &amp; Carry</t>
        </is>
      </c>
      <c r="AN239" s="10" t="inlineStr"/>
      <c r="AO239" s="10" t="inlineStr">
        <is>
          <t>Cash &amp; carry / Indian grocery store on Oldham Road, Ashton-under-Lyne; retail and wholesale.</t>
        </is>
      </c>
      <c r="AP239" s="10" t="inlineStr">
        <is>
          <t>Medium</t>
        </is>
      </c>
      <c r="AQ239" s="10" t="inlineStr">
        <is>
          <t>Independent retailer; Core relevant category</t>
        </is>
      </c>
      <c r="AR239" s="10" t="inlineStr">
        <is>
          <t>https://www.thomsonlocal.com/search/supermarkets/tameside/a-s-m-cash-carry/1150471/01613394744</t>
        </is>
      </c>
      <c r="AS239" s="10" t="inlineStr"/>
      <c r="AT239" s="10" t="inlineStr">
        <is>
          <t>1</t>
        </is>
      </c>
      <c r="AU239" s="10" t="inlineStr">
        <is>
          <t>No</t>
        </is>
      </c>
      <c r="AV239" s="10" t="inlineStr">
        <is>
          <t>No</t>
        </is>
      </c>
      <c r="AW239" s="10" t="inlineStr">
        <is>
          <t>No</t>
        </is>
      </c>
      <c r="AX239" s="10" t="inlineStr">
        <is>
          <t>No</t>
        </is>
      </c>
      <c r="AY239" s="10" t="inlineStr">
        <is>
          <t>Verified directory</t>
        </is>
      </c>
      <c r="AZ239" s="10" t="inlineStr">
        <is>
          <t>Not Found</t>
        </is>
      </c>
      <c r="BA239" s="10" t="inlineStr">
        <is>
          <t>2026-09-17</t>
        </is>
      </c>
      <c r="BB239" s="10" t="inlineStr">
        <is>
          <t>Requires Verification</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UK-000231</t>
        </is>
      </c>
      <c r="B240" s="5" t="inlineStr">
        <is>
          <t>UK-000231-01</t>
        </is>
      </c>
      <c r="C240" s="5" t="inlineStr"/>
      <c r="D240" s="5" t="inlineStr">
        <is>
          <t>A Touch of Glass</t>
        </is>
      </c>
      <c r="E240" s="5" t="inlineStr">
        <is>
          <t>A Touch of Glass</t>
        </is>
      </c>
      <c r="F240" s="5" t="inlineStr"/>
      <c r="G240" s="5" t="inlineStr">
        <is>
          <t>Vape Shop</t>
        </is>
      </c>
      <c r="H240" s="5" t="inlineStr">
        <is>
          <t>E-cig and e-liquid shop</t>
        </is>
      </c>
      <c r="I240" s="5" t="inlineStr">
        <is>
          <t>Independent</t>
        </is>
      </c>
      <c r="J240" s="5" t="inlineStr">
        <is>
          <t>1</t>
        </is>
      </c>
      <c r="K240" s="5" t="inlineStr"/>
      <c r="L240" s="5" t="inlineStr"/>
      <c r="M240" s="5" t="inlineStr"/>
      <c r="N240" s="5" t="inlineStr"/>
      <c r="O240" s="5" t="inlineStr">
        <is>
          <t>2 Chapel Street</t>
        </is>
      </c>
      <c r="P240" s="5" t="inlineStr"/>
      <c r="Q240" s="5" t="inlineStr">
        <is>
          <t>Bridlington</t>
        </is>
      </c>
      <c r="R240" s="5" t="inlineStr">
        <is>
          <t>East Riding of Yorkshire</t>
        </is>
      </c>
      <c r="S240" s="5" t="inlineStr">
        <is>
          <t>YO15 2DW</t>
        </is>
      </c>
      <c r="T240" s="5" t="inlineStr">
        <is>
          <t>Yorkshire &amp; Humber</t>
        </is>
      </c>
      <c r="U240" s="5" t="inlineStr">
        <is>
          <t>England</t>
        </is>
      </c>
      <c r="V240" s="5" t="inlineStr">
        <is>
          <t>01262 677677</t>
        </is>
      </c>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is>
          <t>Totally Wicked</t>
        </is>
      </c>
      <c r="AK240" s="5" t="inlineStr">
        <is>
          <t>e-cigarettes; e-liquids; hardware</t>
        </is>
      </c>
      <c r="AL240" s="5" t="inlineStr"/>
      <c r="AM240" s="5" t="inlineStr">
        <is>
          <t>Vape Shop</t>
        </is>
      </c>
      <c r="AN240" s="5" t="inlineStr"/>
      <c r="AO240" s="5" t="inlineStr">
        <is>
          <t>Independent Bridlington vape shop; listed as a Totally Wicked stockist/affiliated store. Address 2 Chapel Street YO15 2DW.</t>
        </is>
      </c>
      <c r="AP240" s="5" t="inlineStr">
        <is>
          <t>Medium</t>
        </is>
      </c>
      <c r="AQ240" s="5" t="inlineStr">
        <is>
          <t>Independent retailer; Core relevant category</t>
        </is>
      </c>
      <c r="AR240" s="5" t="inlineStr">
        <is>
          <t>https://ecigdirectory.co.uk/vape-shop/listing/a-touch-of-class-bridlington</t>
        </is>
      </c>
      <c r="AS240" s="5" t="inlineStr">
        <is>
          <t>https://www.totallywicked-eliquid.co.uk/stores/bridlington-e-cigs-e-liquid-touch-of-glass</t>
        </is>
      </c>
      <c r="AT240" s="5" t="inlineStr">
        <is>
          <t>2</t>
        </is>
      </c>
      <c r="AU240" s="5" t="inlineStr">
        <is>
          <t>No</t>
        </is>
      </c>
      <c r="AV240" s="5" t="inlineStr">
        <is>
          <t>No</t>
        </is>
      </c>
      <c r="AW240" s="5" t="inlineStr">
        <is>
          <t>No</t>
        </is>
      </c>
      <c r="AX240" s="5" t="inlineStr">
        <is>
          <t>No</t>
        </is>
      </c>
      <c r="AY240" s="5" t="inlineStr">
        <is>
          <t>Verified directory</t>
        </is>
      </c>
      <c r="AZ240" s="5" t="inlineStr">
        <is>
          <t>Not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2026-09-16</t>
        </is>
      </c>
      <c r="BJ240" s="5" t="inlineStr">
        <is>
          <t>New</t>
        </is>
      </c>
      <c r="BK240" s="5" t="inlineStr">
        <is>
          <t>2026-09-17</t>
        </is>
      </c>
      <c r="BL240" s="5" t="inlineStr"/>
      <c r="BM240" s="5" t="inlineStr"/>
      <c r="BN240" s="5" t="inlineStr"/>
      <c r="BO240" s="5" t="inlineStr"/>
      <c r="BP240" s="5" t="inlineStr"/>
      <c r="BQ240" s="5" t="inlineStr"/>
    </row>
    <row r="241">
      <c r="A241" s="10" t="inlineStr">
        <is>
          <t>UK-000232</t>
        </is>
      </c>
      <c r="B241" s="10" t="inlineStr">
        <is>
          <t>UK-000232-01</t>
        </is>
      </c>
      <c r="C241" s="10" t="inlineStr"/>
      <c r="D241" s="10" t="inlineStr">
        <is>
          <t>AA Off Licence</t>
        </is>
      </c>
      <c r="E241" s="10" t="inlineStr">
        <is>
          <t>AA Off Licence</t>
        </is>
      </c>
      <c r="F241" s="10" t="inlineStr"/>
      <c r="G241" s="10" t="inlineStr">
        <is>
          <t>Off-Licence</t>
        </is>
      </c>
      <c r="H241" s="10" t="inlineStr">
        <is>
          <t>Off-licence / convenience</t>
        </is>
      </c>
      <c r="I241" s="10" t="inlineStr">
        <is>
          <t>Independent</t>
        </is>
      </c>
      <c r="J241" s="10" t="inlineStr">
        <is>
          <t>1</t>
        </is>
      </c>
      <c r="K241" s="10" t="inlineStr"/>
      <c r="L241" s="10" t="inlineStr"/>
      <c r="M241" s="10" t="inlineStr"/>
      <c r="N241" s="10" t="inlineStr"/>
      <c r="O241" s="10" t="inlineStr">
        <is>
          <t>Hessle Road</t>
        </is>
      </c>
      <c r="P241" s="10" t="inlineStr"/>
      <c r="Q241" s="10" t="inlineStr">
        <is>
          <t>Kingston upon Hull</t>
        </is>
      </c>
      <c r="R241" s="10" t="inlineStr">
        <is>
          <t>East Riding of Yorkshire</t>
        </is>
      </c>
      <c r="S241" s="10" t="inlineStr"/>
      <c r="T241" s="10" t="inlineStr">
        <is>
          <t>Yorkshire &amp; Humber</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beers, wines &amp; spirits; groceries; snacks</t>
        </is>
      </c>
      <c r="AL241" s="10" t="inlineStr"/>
      <c r="AM241" s="10" t="inlineStr">
        <is>
          <t>Off-Licence</t>
        </is>
      </c>
      <c r="AN241" s="10" t="inlineStr"/>
      <c r="AO241" s="10" t="inlineStr">
        <is>
          <t>Independent off-licence/convenience store on Hessle Road, Hull; open 06:00-01:00 daily per listing. No postcode/phone in search results.</t>
        </is>
      </c>
      <c r="AP241" s="10" t="inlineStr">
        <is>
          <t>Low</t>
        </is>
      </c>
      <c r="AQ241" s="10" t="inlineStr">
        <is>
          <t>Independent retailer; Relevant category</t>
        </is>
      </c>
      <c r="AR241" s="10" t="inlineStr">
        <is>
          <t>https://www.yorkshire.com/hull/shopping/off-license/aa-off-licence</t>
        </is>
      </c>
      <c r="AS241" s="10" t="inlineStr"/>
      <c r="AT241" s="10" t="inlineStr">
        <is>
          <t>1</t>
        </is>
      </c>
      <c r="AU241" s="10" t="inlineStr">
        <is>
          <t>No</t>
        </is>
      </c>
      <c r="AV241" s="10" t="inlineStr">
        <is>
          <t>No</t>
        </is>
      </c>
      <c r="AW241" s="10" t="inlineStr">
        <is>
          <t>No</t>
        </is>
      </c>
      <c r="AX241" s="10" t="inlineStr">
        <is>
          <t>No</t>
        </is>
      </c>
      <c r="AY241" s="10" t="inlineStr">
        <is>
          <t>Not Found</t>
        </is>
      </c>
      <c r="AZ241" s="10" t="inlineStr">
        <is>
          <t>Not Found</t>
        </is>
      </c>
      <c r="BA241" s="10" t="inlineStr">
        <is>
          <t>2026-09-17</t>
        </is>
      </c>
      <c r="BB241" s="10" t="inlineStr">
        <is>
          <t>Requires Verification</t>
        </is>
      </c>
      <c r="BC241" s="10" t="inlineStr">
        <is>
          <t>Low</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2026-09-16</t>
        </is>
      </c>
      <c r="BJ241" s="10" t="inlineStr">
        <is>
          <t>New</t>
        </is>
      </c>
      <c r="BK241" s="10" t="inlineStr">
        <is>
          <t>2026-09-17</t>
        </is>
      </c>
      <c r="BL241" s="10" t="inlineStr"/>
      <c r="BM241" s="10" t="inlineStr"/>
      <c r="BN241" s="10" t="inlineStr"/>
      <c r="BO241" s="10" t="inlineStr"/>
      <c r="BP241" s="10" t="inlineStr"/>
      <c r="BQ241" s="10" t="inlineStr"/>
    </row>
    <row r="242">
      <c r="A242" s="5" t="inlineStr">
        <is>
          <t>UK-000334</t>
        </is>
      </c>
      <c r="B242" s="5" t="inlineStr">
        <is>
          <t>UK-000334-01</t>
        </is>
      </c>
      <c r="C242" s="5" t="inlineStr"/>
      <c r="D242" s="5" t="inlineStr">
        <is>
          <t>ADZ Food Distribution Ltd</t>
        </is>
      </c>
      <c r="E242" s="5" t="inlineStr">
        <is>
          <t>ADZ Food Distribution</t>
        </is>
      </c>
      <c r="F242" s="5" t="inlineStr">
        <is>
          <t>ADZ Food Distribution Ltd</t>
        </is>
      </c>
      <c r="G242" s="5" t="inlineStr">
        <is>
          <t>Cash &amp; Carry</t>
        </is>
      </c>
      <c r="H242" s="5" t="inlineStr">
        <is>
          <t>Wholesale food distribution</t>
        </is>
      </c>
      <c r="I242" s="5" t="inlineStr">
        <is>
          <t>Independent</t>
        </is>
      </c>
      <c r="J242" s="5" t="inlineStr">
        <is>
          <t>1</t>
        </is>
      </c>
      <c r="K242" s="5" t="inlineStr"/>
      <c r="L242" s="5" t="inlineStr"/>
      <c r="M242" s="5" t="inlineStr"/>
      <c r="N242" s="5" t="inlineStr"/>
      <c r="O242" s="5" t="inlineStr">
        <is>
          <t>Unit 3, Cambrian Business Park</t>
        </is>
      </c>
      <c r="P242" s="5" t="inlineStr">
        <is>
          <t>215 Derby Street</t>
        </is>
      </c>
      <c r="Q242" s="5" t="inlineStr">
        <is>
          <t>Bolton</t>
        </is>
      </c>
      <c r="R242" s="5" t="inlineStr">
        <is>
          <t>Greater Manchester</t>
        </is>
      </c>
      <c r="S242" s="5" t="inlineStr">
        <is>
          <t>BL3 6JF</t>
        </is>
      </c>
      <c r="T242" s="5" t="inlineStr">
        <is>
          <t>North West</t>
        </is>
      </c>
      <c r="U242" s="5" t="inlineStr">
        <is>
          <t>England</t>
        </is>
      </c>
      <c r="V242" s="5" t="inlineStr">
        <is>
          <t>01204 365573</t>
        </is>
      </c>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wholesale grocery; confectionery; soft drinks; food distribution</t>
        </is>
      </c>
      <c r="AL242" s="5" t="inlineStr"/>
      <c r="AM242" s="5" t="inlineStr">
        <is>
          <t>Cash &amp; Carry</t>
        </is>
      </c>
      <c r="AN242" s="5" t="inlineStr">
        <is>
          <t>Independent wholesale food distributor / cash &amp; carry</t>
        </is>
      </c>
      <c r="AO242" s="5" t="inlineStr">
        <is>
          <t>Independent wholesale food distributor / cash &amp; carry, Cambrian Business Park, Derby Street, Bolton (BL3 6JF).</t>
        </is>
      </c>
      <c r="AP242" s="5" t="inlineStr">
        <is>
          <t>Medium</t>
        </is>
      </c>
      <c r="AQ242" s="5" t="inlineStr">
        <is>
          <t>Independent retailer; Core relevant category</t>
        </is>
      </c>
      <c r="AR242" s="5" t="inlineStr">
        <is>
          <t>https://adz-food-distribution-ltd.wheree.com/</t>
        </is>
      </c>
      <c r="AS242" s="5" t="inlineStr"/>
      <c r="AT242" s="5" t="inlineStr">
        <is>
          <t>1</t>
        </is>
      </c>
      <c r="AU242" s="5" t="inlineStr">
        <is>
          <t>No</t>
        </is>
      </c>
      <c r="AV242" s="5" t="inlineStr">
        <is>
          <t>No</t>
        </is>
      </c>
      <c r="AW242" s="5" t="inlineStr">
        <is>
          <t>No</t>
        </is>
      </c>
      <c r="AX242" s="5" t="inlineStr">
        <is>
          <t>No</t>
        </is>
      </c>
      <c r="AY242" s="5" t="inlineStr">
        <is>
          <t>Verified directory</t>
        </is>
      </c>
      <c r="AZ242" s="5" t="inlineStr">
        <is>
          <t>Not Found</t>
        </is>
      </c>
      <c r="BA242" s="5" t="inlineStr">
        <is>
          <t>2026-09-17</t>
        </is>
      </c>
      <c r="BB242" s="5" t="inlineStr">
        <is>
          <t>Requires Verification</t>
        </is>
      </c>
      <c r="BC242" s="5" t="inlineStr">
        <is>
          <t>Low</t>
        </is>
      </c>
      <c r="BD242" s="5" t="inlineStr"/>
      <c r="BE242" s="5" t="inlineStr">
        <is>
          <t>Business (B2B)</t>
        </is>
      </c>
      <c r="BF242" s="5" t="inlineStr">
        <is>
          <t>Legitimate interest (B2B) - assess per campaign; PECR: corporate subscribers</t>
        </is>
      </c>
      <c r="BG242" s="5" t="inlineStr"/>
      <c r="BH242" s="5" t="inlineStr">
        <is>
          <t>No</t>
        </is>
      </c>
      <c r="BI242" s="5" t="inlineStr">
        <is>
          <t>2026-09-17</t>
        </is>
      </c>
      <c r="BJ242" s="5" t="inlineStr">
        <is>
          <t>New</t>
        </is>
      </c>
      <c r="BK242" s="5" t="inlineStr">
        <is>
          <t>2026-09-17</t>
        </is>
      </c>
      <c r="BL242" s="5" t="inlineStr"/>
      <c r="BM242" s="5" t="inlineStr"/>
      <c r="BN242" s="5" t="inlineStr"/>
      <c r="BO242" s="5" t="inlineStr"/>
      <c r="BP242" s="5" t="inlineStr"/>
      <c r="BQ242" s="5" t="inlineStr"/>
    </row>
    <row r="243">
      <c r="A243" s="10" t="inlineStr">
        <is>
          <t>UK-000570</t>
        </is>
      </c>
      <c r="B243" s="10" t="inlineStr">
        <is>
          <t>UK-000570-01</t>
        </is>
      </c>
      <c r="C243" s="10" t="inlineStr"/>
      <c r="D243" s="10" t="inlineStr">
        <is>
          <t>AJ Bros Express</t>
        </is>
      </c>
      <c r="E243" s="10" t="inlineStr">
        <is>
          <t>AJ Bros Express</t>
        </is>
      </c>
      <c r="F243" s="10" t="inlineStr"/>
      <c r="G243" s="10" t="inlineStr">
        <is>
          <t>Convenience Store</t>
        </is>
      </c>
      <c r="H243" s="10" t="inlineStr"/>
      <c r="I243" s="10" t="inlineStr">
        <is>
          <t>Independent</t>
        </is>
      </c>
      <c r="J243" s="10" t="inlineStr">
        <is>
          <t>1</t>
        </is>
      </c>
      <c r="K243" s="10" t="inlineStr"/>
      <c r="L243" s="10" t="inlineStr"/>
      <c r="M243" s="10" t="inlineStr"/>
      <c r="N243" s="10" t="inlineStr"/>
      <c r="O243" s="10" t="inlineStr">
        <is>
          <t>274 Mitcham Road</t>
        </is>
      </c>
      <c r="P243" s="10" t="inlineStr"/>
      <c r="Q243" s="10" t="inlineStr">
        <is>
          <t>London</t>
        </is>
      </c>
      <c r="R243" s="10" t="inlineStr">
        <is>
          <t>Greater London</t>
        </is>
      </c>
      <c r="S243" s="10" t="inlineStr">
        <is>
          <t>SW17 9NT</t>
        </is>
      </c>
      <c r="T243" s="10" t="inlineStr">
        <is>
          <t>London</t>
        </is>
      </c>
      <c r="U243" s="10" t="inlineStr">
        <is>
          <t>England</t>
        </is>
      </c>
      <c r="V243" s="10" t="inlineStr">
        <is>
          <t>020 8251 7848</t>
        </is>
      </c>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grocery; off-licence; convenience</t>
        </is>
      </c>
      <c r="AL243" s="10" t="inlineStr"/>
      <c r="AM243" s="10" t="inlineStr">
        <is>
          <t>Convenience Store</t>
        </is>
      </c>
      <c r="AN243" s="10" t="inlineStr"/>
      <c r="AO243" s="10" t="inlineStr">
        <is>
          <t>Independent convenience store on Mitcham Road, Tooting. Address and phone from Yell directory.</t>
        </is>
      </c>
      <c r="AP243" s="10" t="inlineStr">
        <is>
          <t>Low</t>
        </is>
      </c>
      <c r="AQ243" s="10" t="inlineStr">
        <is>
          <t>Independent retailer; Relevant category</t>
        </is>
      </c>
      <c r="AR243" s="10" t="inlineStr">
        <is>
          <t>https://www.yell.com/s/off+licences-tooting-south+west+london.html</t>
        </is>
      </c>
      <c r="AS243" s="10" t="inlineStr"/>
      <c r="AT243" s="10" t="inlineStr">
        <is>
          <t>1</t>
        </is>
      </c>
      <c r="AU243" s="10" t="inlineStr">
        <is>
          <t>No</t>
        </is>
      </c>
      <c r="AV243" s="10" t="inlineStr">
        <is>
          <t>No</t>
        </is>
      </c>
      <c r="AW243" s="10" t="inlineStr">
        <is>
          <t>No</t>
        </is>
      </c>
      <c r="AX243" s="10" t="inlineStr">
        <is>
          <t>No</t>
        </is>
      </c>
      <c r="AY243" s="10" t="inlineStr">
        <is>
          <t>Verified directory</t>
        </is>
      </c>
      <c r="AZ243" s="10" t="inlineStr">
        <is>
          <t>Not Found</t>
        </is>
      </c>
      <c r="BA243" s="10" t="inlineStr">
        <is>
          <t>2026-09-17</t>
        </is>
      </c>
      <c r="BB243" s="10" t="inlineStr">
        <is>
          <t>Requires Verification</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UK-000335</t>
        </is>
      </c>
      <c r="B244" s="5" t="inlineStr">
        <is>
          <t>UK-000335-01</t>
        </is>
      </c>
      <c r="C244" s="5" t="inlineStr"/>
      <c r="D244" s="5" t="inlineStr">
        <is>
          <t>AJ Food &amp; Wine</t>
        </is>
      </c>
      <c r="E244" s="5" t="inlineStr">
        <is>
          <t>AJ Food &amp; Wine</t>
        </is>
      </c>
      <c r="F244" s="5" t="inlineStr"/>
      <c r="G244" s="5" t="inlineStr">
        <is>
          <t>Off-Licence</t>
        </is>
      </c>
      <c r="H244" s="5" t="inlineStr">
        <is>
          <t>Convenience &amp; off-licence</t>
        </is>
      </c>
      <c r="I244" s="5" t="inlineStr">
        <is>
          <t>Independent</t>
        </is>
      </c>
      <c r="J244" s="5" t="inlineStr">
        <is>
          <t>1</t>
        </is>
      </c>
      <c r="K244" s="5" t="inlineStr"/>
      <c r="L244" s="5" t="inlineStr"/>
      <c r="M244" s="5" t="inlineStr"/>
      <c r="N244" s="5" t="inlineStr"/>
      <c r="O244" s="5" t="inlineStr">
        <is>
          <t>215 Stockport Road</t>
        </is>
      </c>
      <c r="P244" s="5" t="inlineStr"/>
      <c r="Q244" s="5" t="inlineStr">
        <is>
          <t>Stockport</t>
        </is>
      </c>
      <c r="R244" s="5" t="inlineStr">
        <is>
          <t>Greater Manchester</t>
        </is>
      </c>
      <c r="S244" s="5" t="inlineStr">
        <is>
          <t>SK3 0RH</t>
        </is>
      </c>
      <c r="T244" s="5" t="inlineStr">
        <is>
          <t>North West</t>
        </is>
      </c>
      <c r="U244" s="5" t="inlineStr">
        <is>
          <t>England</t>
        </is>
      </c>
      <c r="V244" s="5" t="inlineStr">
        <is>
          <t>0161 428 2312</t>
        </is>
      </c>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alcohol; groceries; convenience</t>
        </is>
      </c>
      <c r="AL244" s="5" t="inlineStr"/>
      <c r="AM244" s="5" t="inlineStr">
        <is>
          <t>Off-Licence</t>
        </is>
      </c>
      <c r="AN244" s="5" t="inlineStr"/>
      <c r="AO244" s="5" t="inlineStr">
        <is>
          <t>Independent off-licence/convenience store on Stockport Road, licensed 6am-2am daily.</t>
        </is>
      </c>
      <c r="AP244" s="5" t="inlineStr">
        <is>
          <t>Low</t>
        </is>
      </c>
      <c r="AQ244" s="5" t="inlineStr">
        <is>
          <t>Independent retailer; Relevant category</t>
        </is>
      </c>
      <c r="AR244" s="5" t="inlineStr">
        <is>
          <t>https://www.24houralcohol.co.uk/stockport-off-licences</t>
        </is>
      </c>
      <c r="AS244" s="5" t="inlineStr"/>
      <c r="AT244" s="5" t="inlineStr">
        <is>
          <t>1</t>
        </is>
      </c>
      <c r="AU244" s="5" t="inlineStr">
        <is>
          <t>No</t>
        </is>
      </c>
      <c r="AV244" s="5" t="inlineStr">
        <is>
          <t>No</t>
        </is>
      </c>
      <c r="AW244" s="5" t="inlineStr">
        <is>
          <t>No</t>
        </is>
      </c>
      <c r="AX244" s="5" t="inlineStr">
        <is>
          <t>No</t>
        </is>
      </c>
      <c r="AY244" s="5" t="inlineStr">
        <is>
          <t>Verified directory</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2026-09-17</t>
        </is>
      </c>
      <c r="BJ244" s="5" t="inlineStr">
        <is>
          <t>New</t>
        </is>
      </c>
      <c r="BK244" s="5" t="inlineStr">
        <is>
          <t>2026-09-17</t>
        </is>
      </c>
      <c r="BL244" s="5" t="inlineStr"/>
      <c r="BM244" s="5" t="inlineStr"/>
      <c r="BN244" s="5" t="inlineStr"/>
      <c r="BO244" s="5" t="inlineStr"/>
      <c r="BP244" s="5" t="inlineStr"/>
      <c r="BQ244" s="5" t="inlineStr"/>
    </row>
    <row r="245">
      <c r="A245" s="10" t="inlineStr">
        <is>
          <t>UK-000452</t>
        </is>
      </c>
      <c r="B245" s="10" t="inlineStr">
        <is>
          <t>UK-000452-01</t>
        </is>
      </c>
      <c r="C245" s="10" t="inlineStr"/>
      <c r="D245" s="10" t="inlineStr">
        <is>
          <t>AT Wholesale Ltd</t>
        </is>
      </c>
      <c r="E245" s="10" t="inlineStr">
        <is>
          <t>AT Wholesale Cash &amp; Carry</t>
        </is>
      </c>
      <c r="F245" s="10" t="inlineStr"/>
      <c r="G245" s="10" t="inlineStr">
        <is>
          <t>Cash &amp; Carry</t>
        </is>
      </c>
      <c r="H245" s="10" t="inlineStr">
        <is>
          <t>Grocery wholesale</t>
        </is>
      </c>
      <c r="I245" s="10" t="inlineStr">
        <is>
          <t>Independent</t>
        </is>
      </c>
      <c r="J245" s="10" t="inlineStr">
        <is>
          <t>1</t>
        </is>
      </c>
      <c r="K245" s="10" t="inlineStr"/>
      <c r="L245" s="10" t="inlineStr">
        <is>
          <t>https://www.facebook.com/100092335630510</t>
        </is>
      </c>
      <c r="M245" s="10" t="inlineStr"/>
      <c r="N245" s="10" t="inlineStr"/>
      <c r="O245" s="10" t="inlineStr">
        <is>
          <t>Unit 13 Webner Estate</t>
        </is>
      </c>
      <c r="P245" s="10" t="inlineStr"/>
      <c r="Q245" s="10" t="inlineStr">
        <is>
          <t>Wolverhampton</t>
        </is>
      </c>
      <c r="R245" s="10" t="inlineStr">
        <is>
          <t>West Midlands</t>
        </is>
      </c>
      <c r="S245" s="10" t="inlineStr"/>
      <c r="T245" s="10" t="inlineStr">
        <is>
          <t>West Midlands</t>
        </is>
      </c>
      <c r="U245" s="10" t="inlineStr">
        <is>
          <t>England</t>
        </is>
      </c>
      <c r="V245" s="10" t="inlineStr">
        <is>
          <t>07939 332902</t>
        </is>
      </c>
      <c r="W245" s="10" t="inlineStr"/>
      <c r="X245" s="10" t="inlineStr"/>
      <c r="Y245" s="10" t="inlineStr">
        <is>
          <t>admin@atwholesale.uk</t>
        </is>
      </c>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grocery; wholesale; cash &amp; carry</t>
        </is>
      </c>
      <c r="AL245" s="10" t="inlineStr"/>
      <c r="AM245" s="10" t="inlineStr">
        <is>
          <t>Cash &amp; Carry</t>
        </is>
      </c>
      <c r="AN245" s="10" t="inlineStr"/>
      <c r="AO245" s="10" t="inlineStr">
        <is>
          <t>Independent cash &amp; carry, Webner Estate, Wolverhampton. Postcode not confirmed in snippets.</t>
        </is>
      </c>
      <c r="AP245" s="10" t="inlineStr">
        <is>
          <t>Medium</t>
        </is>
      </c>
      <c r="AQ245" s="10" t="inlineStr">
        <is>
          <t>Independent retailer; Core relevant category; Public email available; Social presence</t>
        </is>
      </c>
      <c r="AR245" s="10" t="inlineStr">
        <is>
          <t>https://www.yell.com/biz/at-wholesale-ltd-wolverhampton-10672948/</t>
        </is>
      </c>
      <c r="AS245" s="10" t="inlineStr"/>
      <c r="AT245" s="10" t="inlineStr">
        <is>
          <t>1</t>
        </is>
      </c>
      <c r="AU245" s="10" t="inlineStr">
        <is>
          <t>No</t>
        </is>
      </c>
      <c r="AV245" s="10" t="inlineStr">
        <is>
          <t>No</t>
        </is>
      </c>
      <c r="AW245" s="10" t="inlineStr">
        <is>
          <t>No</t>
        </is>
      </c>
      <c r="AX245" s="10" t="inlineStr">
        <is>
          <t>No</t>
        </is>
      </c>
      <c r="AY245" s="10" t="inlineStr">
        <is>
          <t>Verified directory</t>
        </is>
      </c>
      <c r="AZ245" s="10" t="inlineStr">
        <is>
          <t>Publicly Listed</t>
        </is>
      </c>
      <c r="BA245" s="10" t="inlineStr">
        <is>
          <t>2026-09-17</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WY-0048</t>
        </is>
      </c>
      <c r="B246" s="5" t="inlineStr">
        <is>
          <t>WY-0048-01</t>
        </is>
      </c>
      <c r="C246" s="5" t="inlineStr"/>
      <c r="D246" s="5" t="inlineStr">
        <is>
          <t>AV &amp; JI Stores</t>
        </is>
      </c>
      <c r="E246" s="5" t="inlineStr">
        <is>
          <t>Premier AV &amp; JI Stores (Sowerby Off Licence)</t>
        </is>
      </c>
      <c r="F246" s="5" t="inlineStr"/>
      <c r="G246" s="5" t="inlineStr">
        <is>
          <t>Convenience Store</t>
        </is>
      </c>
      <c r="H246" s="5" t="inlineStr">
        <is>
          <t>Premier symbol group convenience store and off-licence</t>
        </is>
      </c>
      <c r="I246" s="5" t="inlineStr">
        <is>
          <t>Franchise / Symbol Group</t>
        </is>
      </c>
      <c r="J246" s="5" t="inlineStr">
        <is>
          <t>1</t>
        </is>
      </c>
      <c r="K246" s="5" t="inlineStr"/>
      <c r="L246" s="5" t="inlineStr">
        <is>
          <t>https://www.facebook.com/people/Premier-AV-JI-Stores/61567311514140/</t>
        </is>
      </c>
      <c r="M246" s="5" t="inlineStr"/>
      <c r="N246" s="5" t="inlineStr"/>
      <c r="O246" s="5" t="inlineStr">
        <is>
          <t>12 Albert Road</t>
        </is>
      </c>
      <c r="P246" s="5" t="inlineStr"/>
      <c r="Q246" s="5" t="inlineStr">
        <is>
          <t>Sowerby Bridge</t>
        </is>
      </c>
      <c r="R246" s="5" t="inlineStr">
        <is>
          <t>West Yorkshire</t>
        </is>
      </c>
      <c r="S246" s="5" t="inlineStr">
        <is>
          <t>HX6 2PA</t>
        </is>
      </c>
      <c r="T246" s="5" t="inlineStr">
        <is>
          <t>Yorkshire &amp; Humber</t>
        </is>
      </c>
      <c r="U246" s="5" t="inlineStr">
        <is>
          <t>England</t>
        </is>
      </c>
      <c r="V246" s="5" t="inlineStr"/>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convenience; beers, wines and spirits</t>
        </is>
      </c>
      <c r="AL246" s="5" t="inlineStr"/>
      <c r="AM246" s="5" t="inlineStr">
        <is>
          <t>Convenience Store</t>
        </is>
      </c>
      <c r="AN246" s="5" t="inlineStr">
        <is>
          <t>Premier symbol group (Booker)</t>
        </is>
      </c>
      <c r="AO246" s="5" t="inlineStr">
        <is>
          <t>Independently owned store trading under the Premier fascia.</t>
        </is>
      </c>
      <c r="AP246" s="5" t="inlineStr">
        <is>
          <t>Medium</t>
        </is>
      </c>
      <c r="AQ246" s="5" t="inlineStr">
        <is>
          <t>Independent retailer; Relevant category; Social presence</t>
        </is>
      </c>
      <c r="AR246" s="5" t="inlineStr">
        <is>
          <t>https://www.facebook.com/people/Premier-AV-JI-Stores/61567311514140/</t>
        </is>
      </c>
      <c r="AS246" s="5" t="inlineStr">
        <is>
          <t>https://www.yorkshire.com/sowerby-bridge/shopping/corner-shops/av-ji-stores-premier-sowerby-off-licence-</t>
        </is>
      </c>
      <c r="AT246" s="5" t="inlineStr">
        <is>
          <t>3</t>
        </is>
      </c>
      <c r="AU246" s="5" t="inlineStr">
        <is>
          <t>No</t>
        </is>
      </c>
      <c r="AV246" s="5" t="inlineStr">
        <is>
          <t>No</t>
        </is>
      </c>
      <c r="AW246" s="5" t="inlineStr">
        <is>
          <t>No</t>
        </is>
      </c>
      <c r="AX246" s="5" t="inlineStr">
        <is>
          <t>No</t>
        </is>
      </c>
      <c r="AY246" s="5" t="inlineStr">
        <is>
          <t>Not Found</t>
        </is>
      </c>
      <c r="AZ246" s="5" t="inlineStr">
        <is>
          <t>Not Found</t>
        </is>
      </c>
      <c r="BA246" s="5" t="inlineStr">
        <is>
          <t>2026-09-17</t>
        </is>
      </c>
      <c r="BB246" s="5" t="inlineStr">
        <is>
          <t>Requires Verification</t>
        </is>
      </c>
      <c r="BC246" s="5" t="inlineStr">
        <is>
          <t>Medium</t>
        </is>
      </c>
      <c r="BD246" s="5" t="inlineStr"/>
      <c r="BE246" s="5" t="inlineStr">
        <is>
          <t>Business (B2B)</t>
        </is>
      </c>
      <c r="BF246" s="5" t="inlineStr">
        <is>
          <t>Legitimate interest (B2B) - assess per campaign; PECR: corporate subscribers</t>
        </is>
      </c>
      <c r="BG246" s="5" t="inlineStr"/>
      <c r="BH246" s="5" t="inlineStr">
        <is>
          <t>No</t>
        </is>
      </c>
      <c r="BI246" s="5" t="inlineStr">
        <is>
          <t>2026-09-16</t>
        </is>
      </c>
      <c r="BJ246" s="5" t="inlineStr">
        <is>
          <t>New</t>
        </is>
      </c>
      <c r="BK246" s="5" t="inlineStr">
        <is>
          <t>2026-09-17</t>
        </is>
      </c>
      <c r="BL246" s="5" t="inlineStr"/>
      <c r="BM246" s="5" t="inlineStr"/>
      <c r="BN246" s="5" t="inlineStr"/>
      <c r="BO246" s="5" t="inlineStr"/>
      <c r="BP246" s="5" t="inlineStr"/>
      <c r="BQ246" s="5" t="inlineStr"/>
    </row>
    <row r="247">
      <c r="A247" s="10" t="inlineStr">
        <is>
          <t>UK-000753</t>
        </is>
      </c>
      <c r="B247" s="10" t="inlineStr">
        <is>
          <t>UK-000753-01</t>
        </is>
      </c>
      <c r="C247" s="10" t="inlineStr"/>
      <c r="D247" s="10" t="inlineStr">
        <is>
          <t>Ace of Vapes Wirral</t>
        </is>
      </c>
      <c r="E247" s="10" t="inlineStr">
        <is>
          <t>Ace of Vapes Wirral</t>
        </is>
      </c>
      <c r="F247" s="10" t="inlineStr"/>
      <c r="G247" s="10" t="inlineStr">
        <is>
          <t>Vape Shop</t>
        </is>
      </c>
      <c r="H247" s="10" t="inlineStr">
        <is>
          <t>Vape shop</t>
        </is>
      </c>
      <c r="I247" s="10" t="inlineStr">
        <is>
          <t>Independent</t>
        </is>
      </c>
      <c r="J247" s="10" t="inlineStr">
        <is>
          <t>1</t>
        </is>
      </c>
      <c r="K247" s="10" t="inlineStr">
        <is>
          <t>https://www.aceofvapeswirral.co.uk/</t>
        </is>
      </c>
      <c r="L247" s="10" t="inlineStr">
        <is>
          <t>https://www.facebook.com/people/Ace-Of-Vapes-Wirral/61565129616661/</t>
        </is>
      </c>
      <c r="M247" s="10" t="inlineStr"/>
      <c r="N247" s="10" t="inlineStr"/>
      <c r="O247" s="10" t="inlineStr">
        <is>
          <t>10a Seaview Road</t>
        </is>
      </c>
      <c r="P247" s="10" t="inlineStr">
        <is>
          <t>Liscard</t>
        </is>
      </c>
      <c r="Q247" s="10" t="inlineStr">
        <is>
          <t>Wallasey</t>
        </is>
      </c>
      <c r="R247" s="10" t="inlineStr">
        <is>
          <t>Merseyside</t>
        </is>
      </c>
      <c r="S247" s="10" t="inlineStr">
        <is>
          <t>CH45 4TH</t>
        </is>
      </c>
      <c r="T247" s="10" t="inlineStr">
        <is>
          <t>North West</t>
        </is>
      </c>
      <c r="U247" s="10" t="inlineStr">
        <is>
          <t>England</t>
        </is>
      </c>
      <c r="V247" s="10" t="inlineStr">
        <is>
          <t>0151 638 5076</t>
        </is>
      </c>
      <c r="W247" s="10" t="inlineStr"/>
      <c r="X247" s="10" t="inlineStr"/>
      <c r="Y247" s="10" t="inlineStr">
        <is>
          <t>aceofvapeswirral@gmail.com</t>
        </is>
      </c>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vape hardware; e-liquids</t>
        </is>
      </c>
      <c r="AL247" s="10" t="inlineStr"/>
      <c r="AM247" s="10" t="inlineStr">
        <is>
          <t>Vape Shop</t>
        </is>
      </c>
      <c r="AN247" s="10" t="inlineStr"/>
      <c r="AO247" s="10" t="inlineStr">
        <is>
          <t>Independent vape shop on Seaview Road, Liscard, Wallasey. Own website and Gmail contact. Postcode appears as CH45 4TH (directory) / CH45 4LA in earlier listing - CH45 4TH used from the more detailed Birmingham Post/Thomson listing.</t>
        </is>
      </c>
      <c r="AP247" s="10" t="inlineStr">
        <is>
          <t>High</t>
        </is>
      </c>
      <c r="AQ247" s="10" t="inlineStr">
        <is>
          <t>Independent retailer; Core relevant category; Public email available; Active website; Social presence</t>
        </is>
      </c>
      <c r="AR247" s="10" t="inlineStr">
        <is>
          <t>https://www.aceofvapeswirral.co.uk/contact/</t>
        </is>
      </c>
      <c r="AS247" s="10" t="inlineStr">
        <is>
          <t>https://www.thomsonlocal.com/search/smoking-cessation/wirral/ace-of-vapes-wirral/3026300/01516385076</t>
        </is>
      </c>
      <c r="AT247" s="10" t="inlineStr">
        <is>
          <t>3</t>
        </is>
      </c>
      <c r="AU247" s="10" t="inlineStr">
        <is>
          <t>No</t>
        </is>
      </c>
      <c r="AV247" s="10" t="inlineStr">
        <is>
          <t>No</t>
        </is>
      </c>
      <c r="AW247" s="10" t="inlineStr">
        <is>
          <t>No</t>
        </is>
      </c>
      <c r="AX247" s="10" t="inlineStr">
        <is>
          <t>No</t>
        </is>
      </c>
      <c r="AY247" s="10" t="inlineStr">
        <is>
          <t>Verified directory</t>
        </is>
      </c>
      <c r="AZ247" s="10" t="inlineStr">
        <is>
          <t>Publicly Listed</t>
        </is>
      </c>
      <c r="BA247" s="10" t="inlineStr">
        <is>
          <t>2026-09-17</t>
        </is>
      </c>
      <c r="BB247" s="10" t="inlineStr">
        <is>
          <t>Requires Verification</t>
        </is>
      </c>
      <c r="BC247" s="10" t="inlineStr">
        <is>
          <t>High</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2026-09-17</t>
        </is>
      </c>
      <c r="BJ247" s="10" t="inlineStr">
        <is>
          <t>New</t>
        </is>
      </c>
      <c r="BK247" s="10" t="inlineStr">
        <is>
          <t>2026-09-17</t>
        </is>
      </c>
      <c r="BL247" s="10" t="inlineStr"/>
      <c r="BM247" s="10" t="inlineStr"/>
      <c r="BN247" s="10" t="inlineStr"/>
      <c r="BO247" s="10" t="inlineStr"/>
      <c r="BP247" s="10" t="inlineStr"/>
      <c r="BQ247" s="10" t="inlineStr"/>
    </row>
    <row r="248">
      <c r="A248" s="5" t="inlineStr">
        <is>
          <t>UK-000571</t>
        </is>
      </c>
      <c r="B248" s="5" t="inlineStr">
        <is>
          <t>UK-000571-01</t>
        </is>
      </c>
      <c r="C248" s="5" t="inlineStr"/>
      <c r="D248" s="5" t="inlineStr">
        <is>
          <t>Adil Cash &amp; Carry</t>
        </is>
      </c>
      <c r="E248" s="5" t="inlineStr">
        <is>
          <t>Adil Cash &amp; Carry</t>
        </is>
      </c>
      <c r="F248" s="5" t="inlineStr"/>
      <c r="G248" s="5" t="inlineStr">
        <is>
          <t>Cash &amp; Carry</t>
        </is>
      </c>
      <c r="H248" s="5" t="inlineStr">
        <is>
          <t>Wholesale cash &amp; carry</t>
        </is>
      </c>
      <c r="I248" s="5" t="inlineStr">
        <is>
          <t>Independent</t>
        </is>
      </c>
      <c r="J248" s="5" t="inlineStr">
        <is>
          <t>1</t>
        </is>
      </c>
      <c r="K248" s="5" t="inlineStr"/>
      <c r="L248" s="5" t="inlineStr"/>
      <c r="M248" s="5" t="inlineStr"/>
      <c r="N248" s="5" t="inlineStr"/>
      <c r="O248" s="5" t="inlineStr">
        <is>
          <t>824 High Road</t>
        </is>
      </c>
      <c r="P248" s="5" t="inlineStr"/>
      <c r="Q248" s="5" t="inlineStr">
        <is>
          <t>Leyton</t>
        </is>
      </c>
      <c r="R248" s="5" t="inlineStr">
        <is>
          <t>Greater London</t>
        </is>
      </c>
      <c r="S248" s="5" t="inlineStr">
        <is>
          <t>E10 6AE</t>
        </is>
      </c>
      <c r="T248" s="5" t="inlineStr">
        <is>
          <t>London</t>
        </is>
      </c>
      <c r="U248" s="5" t="inlineStr">
        <is>
          <t>England</t>
        </is>
      </c>
      <c r="V248" s="5" t="inlineStr"/>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wholesale groceries; world foods; drinks; confectionery</t>
        </is>
      </c>
      <c r="AL248" s="5" t="inlineStr"/>
      <c r="AM248" s="5" t="inlineStr">
        <is>
          <t>Cash &amp; Carry</t>
        </is>
      </c>
      <c r="AN248" s="5" t="inlineStr"/>
      <c r="AO248" s="5" t="inlineStr">
        <is>
          <t>Wholesale cash &amp; carry on High Road, Leyton. Address/postcode from Yell/192 Edmonton grocers directory. Phone not in snippet.</t>
        </is>
      </c>
      <c r="AP248" s="5" t="inlineStr">
        <is>
          <t>Medium</t>
        </is>
      </c>
      <c r="AQ248" s="5" t="inlineStr">
        <is>
          <t>Independent retailer; Core relevant category</t>
        </is>
      </c>
      <c r="AR248" s="5" t="inlineStr">
        <is>
          <t>https://www.yell.com/s/grocers+and+convenience+stores-edmonton-north+london.html</t>
        </is>
      </c>
      <c r="AS248" s="5" t="inlineStr"/>
      <c r="AT248" s="5" t="inlineStr">
        <is>
          <t>1</t>
        </is>
      </c>
      <c r="AU248" s="5" t="inlineStr">
        <is>
          <t>No</t>
        </is>
      </c>
      <c r="AV248" s="5" t="inlineStr">
        <is>
          <t>No</t>
        </is>
      </c>
      <c r="AW248" s="5" t="inlineStr">
        <is>
          <t>No</t>
        </is>
      </c>
      <c r="AX248" s="5" t="inlineStr">
        <is>
          <t>No</t>
        </is>
      </c>
      <c r="AY248" s="5" t="inlineStr">
        <is>
          <t>Not Found</t>
        </is>
      </c>
      <c r="AZ248" s="5" t="inlineStr">
        <is>
          <t>Not Found</t>
        </is>
      </c>
      <c r="BA248" s="5" t="inlineStr">
        <is>
          <t>2026-09-17</t>
        </is>
      </c>
      <c r="BB248" s="5" t="inlineStr">
        <is>
          <t>Requires Verification</t>
        </is>
      </c>
      <c r="BC248" s="5" t="inlineStr">
        <is>
          <t>Low</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UK-000233</t>
        </is>
      </c>
      <c r="B249" s="10" t="inlineStr">
        <is>
          <t>UK-000233-01</t>
        </is>
      </c>
      <c r="C249" s="10" t="inlineStr"/>
      <c r="D249" s="10" t="inlineStr">
        <is>
          <t>Agha Lounge</t>
        </is>
      </c>
      <c r="E249" s="10" t="inlineStr">
        <is>
          <t>Agha Lounge</t>
        </is>
      </c>
      <c r="F249" s="10" t="inlineStr"/>
      <c r="G249" s="10" t="inlineStr">
        <is>
          <t>Smoke / Shisha Shop</t>
        </is>
      </c>
      <c r="H249" s="10" t="inlineStr">
        <is>
          <t>Shisha bar and restaurant</t>
        </is>
      </c>
      <c r="I249" s="10" t="inlineStr">
        <is>
          <t>Independent</t>
        </is>
      </c>
      <c r="J249" s="10" t="inlineStr">
        <is>
          <t>1</t>
        </is>
      </c>
      <c r="K249" s="10" t="inlineStr">
        <is>
          <t>https://aghalounge.com/</t>
        </is>
      </c>
      <c r="L249" s="10" t="inlineStr"/>
      <c r="M249" s="10" t="inlineStr"/>
      <c r="N249" s="10" t="inlineStr"/>
      <c r="O249" s="10" t="inlineStr">
        <is>
          <t>5 North Bank</t>
        </is>
      </c>
      <c r="P249" s="10" t="inlineStr"/>
      <c r="Q249" s="10" t="inlineStr">
        <is>
          <t>Sheffield</t>
        </is>
      </c>
      <c r="R249" s="10" t="inlineStr">
        <is>
          <t>South Yorkshire</t>
        </is>
      </c>
      <c r="S249" s="10" t="inlineStr"/>
      <c r="T249" s="10" t="inlineStr">
        <is>
          <t>Yorkshire &amp; Humber</t>
        </is>
      </c>
      <c r="U249" s="10" t="inlineStr">
        <is>
          <t>England</t>
        </is>
      </c>
      <c r="V249" s="10" t="inlineStr"/>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shisha; Middle Eastern food; soft drinks</t>
        </is>
      </c>
      <c r="AL249" s="10" t="inlineStr"/>
      <c r="AM249" s="10" t="inlineStr">
        <is>
          <t>Smoke / Shisha Shop</t>
        </is>
      </c>
      <c r="AN249" s="10" t="inlineStr"/>
      <c r="AO249" s="10" t="inlineStr">
        <is>
          <t>Family-run Middle Eastern restaurant and shisha bar near Sheffield city centre (close to Victoria Quays). Postcode not captured from search results.</t>
        </is>
      </c>
      <c r="AP249" s="10" t="inlineStr">
        <is>
          <t>Medium</t>
        </is>
      </c>
      <c r="AQ249" s="10" t="inlineStr">
        <is>
          <t>Independent retailer; Core relevant category; Active website</t>
        </is>
      </c>
      <c r="AR249" s="10" t="inlineStr">
        <is>
          <t>https://aghalounge.com/about-us/</t>
        </is>
      </c>
      <c r="AS249" s="10" t="inlineStr"/>
      <c r="AT249" s="10" t="inlineStr">
        <is>
          <t>1</t>
        </is>
      </c>
      <c r="AU249" s="10" t="inlineStr">
        <is>
          <t>No</t>
        </is>
      </c>
      <c r="AV249" s="10" t="inlineStr">
        <is>
          <t>No</t>
        </is>
      </c>
      <c r="AW249" s="10" t="inlineStr">
        <is>
          <t>No</t>
        </is>
      </c>
      <c r="AX249" s="10" t="inlineStr">
        <is>
          <t>No</t>
        </is>
      </c>
      <c r="AY249" s="10" t="inlineStr">
        <is>
          <t>Not Found</t>
        </is>
      </c>
      <c r="AZ249" s="10" t="inlineStr">
        <is>
          <t>Website Found</t>
        </is>
      </c>
      <c r="BA249" s="10" t="inlineStr">
        <is>
          <t>2026-09-17</t>
        </is>
      </c>
      <c r="BB249" s="10" t="inlineStr">
        <is>
          <t>Requires Verification</t>
        </is>
      </c>
      <c r="BC249" s="10" t="inlineStr">
        <is>
          <t>Low</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2026-09-16</t>
        </is>
      </c>
      <c r="BJ249" s="10" t="inlineStr">
        <is>
          <t>New</t>
        </is>
      </c>
      <c r="BK249" s="10" t="inlineStr">
        <is>
          <t>2026-09-17</t>
        </is>
      </c>
      <c r="BL249" s="10" t="inlineStr"/>
      <c r="BM249" s="10" t="inlineStr"/>
      <c r="BN249" s="10" t="inlineStr"/>
      <c r="BO249" s="10" t="inlineStr"/>
      <c r="BP249" s="10" t="inlineStr"/>
      <c r="BQ249" s="10" t="inlineStr"/>
    </row>
    <row r="250">
      <c r="A250" s="5" t="inlineStr">
        <is>
          <t>UK-000336</t>
        </is>
      </c>
      <c r="B250" s="5" t="inlineStr">
        <is>
          <t>UK-000336-01</t>
        </is>
      </c>
      <c r="C250" s="5" t="inlineStr"/>
      <c r="D250" s="5" t="inlineStr">
        <is>
          <t>Ahmed Bros Oldham</t>
        </is>
      </c>
      <c r="E250" s="5" t="inlineStr">
        <is>
          <t>Ahmed Bros</t>
        </is>
      </c>
      <c r="F250" s="5" t="inlineStr"/>
      <c r="G250" s="5" t="inlineStr">
        <is>
          <t>Cash &amp; Carry</t>
        </is>
      </c>
      <c r="H250" s="5" t="inlineStr">
        <is>
          <t>Food &amp; catering wholesale</t>
        </is>
      </c>
      <c r="I250" s="5" t="inlineStr">
        <is>
          <t>Independent</t>
        </is>
      </c>
      <c r="J250" s="5" t="inlineStr">
        <is>
          <t>1</t>
        </is>
      </c>
      <c r="K250" s="5" t="inlineStr">
        <is>
          <t>https://abfood.co.uk/</t>
        </is>
      </c>
      <c r="L250" s="5" t="inlineStr"/>
      <c r="M250" s="5" t="inlineStr"/>
      <c r="N250" s="5" t="inlineStr"/>
      <c r="O250" s="5" t="inlineStr"/>
      <c r="P250" s="5" t="inlineStr"/>
      <c r="Q250" s="5" t="inlineStr">
        <is>
          <t>Chadderton</t>
        </is>
      </c>
      <c r="R250" s="5" t="inlineStr">
        <is>
          <t>Greater Manchester</t>
        </is>
      </c>
      <c r="S250" s="5" t="inlineStr"/>
      <c r="T250" s="5" t="inlineStr">
        <is>
          <t>North West</t>
        </is>
      </c>
      <c r="U250" s="5" t="inlineStr">
        <is>
          <t>England</t>
        </is>
      </c>
      <c r="V250" s="5" t="inlineStr"/>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wholesale food; catering supplies; cash and carry</t>
        </is>
      </c>
      <c r="AL250" s="5" t="inlineStr"/>
      <c r="AM250" s="5" t="inlineStr">
        <is>
          <t>Cash &amp; Carry</t>
        </is>
      </c>
      <c r="AN250" s="5" t="inlineStr"/>
      <c r="AO250" s="5" t="inlineStr">
        <is>
          <t>UK wholesale food &amp; catering supplies cash and carry, warehouse in Chadderton, Oldham. Street address/postcode not captured from source.</t>
        </is>
      </c>
      <c r="AP250" s="5" t="inlineStr">
        <is>
          <t>Medium</t>
        </is>
      </c>
      <c r="AQ250" s="5" t="inlineStr">
        <is>
          <t>Independent retailer; Core relevant category; Active website</t>
        </is>
      </c>
      <c r="AR250" s="5" t="inlineStr">
        <is>
          <t>https://abfood.co.uk/</t>
        </is>
      </c>
      <c r="AS250" s="5" t="inlineStr"/>
      <c r="AT250" s="5" t="inlineStr">
        <is>
          <t>1</t>
        </is>
      </c>
      <c r="AU250" s="5" t="inlineStr">
        <is>
          <t>No</t>
        </is>
      </c>
      <c r="AV250" s="5" t="inlineStr">
        <is>
          <t>No</t>
        </is>
      </c>
      <c r="AW250" s="5" t="inlineStr">
        <is>
          <t>No</t>
        </is>
      </c>
      <c r="AX250" s="5" t="inlineStr">
        <is>
          <t>No</t>
        </is>
      </c>
      <c r="AY250" s="5" t="inlineStr">
        <is>
          <t>Not Found</t>
        </is>
      </c>
      <c r="AZ250" s="5" t="inlineStr">
        <is>
          <t>Website Found</t>
        </is>
      </c>
      <c r="BA250" s="5" t="inlineStr">
        <is>
          <t>2026-09-17</t>
        </is>
      </c>
      <c r="BB250" s="5" t="inlineStr">
        <is>
          <t>Requires Verification</t>
        </is>
      </c>
      <c r="BC250" s="5" t="inlineStr">
        <is>
          <t>Low</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UK-000234</t>
        </is>
      </c>
      <c r="B251" s="10" t="inlineStr">
        <is>
          <t>UK-000234-01</t>
        </is>
      </c>
      <c r="C251" s="10" t="inlineStr"/>
      <c r="D251" s="10" t="inlineStr">
        <is>
          <t>Ainsty Farm Shop</t>
        </is>
      </c>
      <c r="E251" s="10" t="inlineStr">
        <is>
          <t>Ainsty Farm Shop</t>
        </is>
      </c>
      <c r="F251" s="10" t="inlineStr"/>
      <c r="G251" s="10" t="inlineStr">
        <is>
          <t>Independent Supermarket</t>
        </is>
      </c>
      <c r="H251" s="10" t="inlineStr">
        <is>
          <t>Farm shop, butchery, bakery &amp; deli</t>
        </is>
      </c>
      <c r="I251" s="10" t="inlineStr">
        <is>
          <t>Independent</t>
        </is>
      </c>
      <c r="J251" s="10" t="inlineStr">
        <is>
          <t>1</t>
        </is>
      </c>
      <c r="K251" s="10" t="inlineStr">
        <is>
          <t>https://www.ainstyfarmshop.co.uk/home.html</t>
        </is>
      </c>
      <c r="L251" s="10" t="inlineStr"/>
      <c r="M251" s="10" t="inlineStr"/>
      <c r="N251" s="10" t="inlineStr"/>
      <c r="O251" s="10" t="inlineStr">
        <is>
          <t>York Road</t>
        </is>
      </c>
      <c r="P251" s="10" t="inlineStr">
        <is>
          <t>Green Hammerton</t>
        </is>
      </c>
      <c r="Q251" s="10" t="inlineStr">
        <is>
          <t>York</t>
        </is>
      </c>
      <c r="R251" s="10" t="inlineStr">
        <is>
          <t>North Yorkshire</t>
        </is>
      </c>
      <c r="S251" s="10" t="inlineStr">
        <is>
          <t>YO26 8EQ</t>
        </is>
      </c>
      <c r="T251" s="10" t="inlineStr">
        <is>
          <t>Yorkshire &amp; Humber</t>
        </is>
      </c>
      <c r="U251" s="10" t="inlineStr">
        <is>
          <t>England</t>
        </is>
      </c>
      <c r="V251" s="10" t="inlineStr">
        <is>
          <t>01423 331897</t>
        </is>
      </c>
      <c r="W251" s="10" t="inlineStr"/>
      <c r="X251" s="10" t="inlineStr"/>
      <c r="Y251" s="10" t="inlineStr"/>
      <c r="Z251" s="10" t="inlineStr"/>
      <c r="AA251" s="10" t="inlineStr"/>
      <c r="AB251" s="10" t="inlineStr">
        <is>
          <t>Stuart and Lily Beaton</t>
        </is>
      </c>
      <c r="AC251" s="10" t="inlineStr">
        <is>
          <t>Owners</t>
        </is>
      </c>
      <c r="AD251" s="10" t="inlineStr">
        <is>
          <t>https://www.tripadvisor.co.uk/Restaurant_Review-g1807555-d5494230-Reviews-Ainsty_Farm_Shop-Green_Hammerton_North_Yorkshire_England.html</t>
        </is>
      </c>
      <c r="AE251" s="10" t="inlineStr"/>
      <c r="AF251" s="10" t="inlineStr"/>
      <c r="AG251" s="10" t="inlineStr"/>
      <c r="AH251" s="10" t="inlineStr"/>
      <c r="AI251" s="10" t="inlineStr"/>
      <c r="AJ251" s="10" t="inlineStr"/>
      <c r="AK251" s="10" t="inlineStr">
        <is>
          <t>butchery; bakery; deli; groceries; local produce</t>
        </is>
      </c>
      <c r="AL251" s="10" t="inlineStr"/>
      <c r="AM251" s="10" t="inlineStr">
        <is>
          <t>Independent Supermarket</t>
        </is>
      </c>
      <c r="AN251" s="10" t="inlineStr">
        <is>
          <t>Sells quality local produce; began late 1990s as farmer-direct meat sales</t>
        </is>
      </c>
      <c r="AO251" s="10"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251" s="10" t="inlineStr">
        <is>
          <t>Medium</t>
        </is>
      </c>
      <c r="AQ251" s="10" t="inlineStr">
        <is>
          <t>Independent retailer; Relevant category; Active website; Phone verified on official website</t>
        </is>
      </c>
      <c r="AR251" s="10" t="inlineStr">
        <is>
          <t>https://www.ainstyfarmshop.co.uk/home.html</t>
        </is>
      </c>
      <c r="AS251" s="10" t="inlineStr">
        <is>
          <t>https://www.farminguk.com/agricultural-directory/ainsty-farm-shop_56319.html</t>
        </is>
      </c>
      <c r="AT251" s="10" t="inlineStr">
        <is>
          <t>3</t>
        </is>
      </c>
      <c r="AU251" s="10" t="inlineStr">
        <is>
          <t>No</t>
        </is>
      </c>
      <c r="AV251" s="10" t="inlineStr">
        <is>
          <t>No</t>
        </is>
      </c>
      <c r="AW251" s="10" t="inlineStr">
        <is>
          <t>No</t>
        </is>
      </c>
      <c r="AX251" s="10" t="inlineStr">
        <is>
          <t>No</t>
        </is>
      </c>
      <c r="AY251" s="10" t="inlineStr">
        <is>
          <t>Verified on official website</t>
        </is>
      </c>
      <c r="AZ251" s="10" t="inlineStr">
        <is>
          <t>Website Found</t>
        </is>
      </c>
      <c r="BA251" s="10" t="inlineStr">
        <is>
          <t>2026-09-17</t>
        </is>
      </c>
      <c r="BB251" s="10" t="inlineStr">
        <is>
          <t>Requires Verification</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2026-09-16</t>
        </is>
      </c>
      <c r="BJ251" s="10" t="inlineStr">
        <is>
          <t>New</t>
        </is>
      </c>
      <c r="BK251" s="10" t="inlineStr">
        <is>
          <t>2026-09-17</t>
        </is>
      </c>
      <c r="BL251" s="10" t="inlineStr"/>
      <c r="BM251" s="10" t="inlineStr"/>
      <c r="BN251" s="10" t="inlineStr"/>
      <c r="BO251" s="10" t="inlineStr"/>
      <c r="BP251" s="10" t="inlineStr"/>
      <c r="BQ251" s="10" t="inlineStr"/>
    </row>
    <row r="252">
      <c r="A252" s="5" t="inlineStr">
        <is>
          <t>UK-000572</t>
        </is>
      </c>
      <c r="B252" s="5" t="inlineStr">
        <is>
          <t>UK-000572-01</t>
        </is>
      </c>
      <c r="C252" s="5" t="inlineStr"/>
      <c r="D252" s="5" t="inlineStr">
        <is>
          <t>Al Shishawi</t>
        </is>
      </c>
      <c r="E252" s="5" t="inlineStr">
        <is>
          <t>Al Shishawi</t>
        </is>
      </c>
      <c r="F252" s="5" t="inlineStr"/>
      <c r="G252" s="5" t="inlineStr">
        <is>
          <t>Smoke / Shisha Shop</t>
        </is>
      </c>
      <c r="H252" s="5" t="inlineStr">
        <is>
          <t>Shisha lounge / cafe</t>
        </is>
      </c>
      <c r="I252" s="5" t="inlineStr">
        <is>
          <t>Independent</t>
        </is>
      </c>
      <c r="J252" s="5" t="inlineStr">
        <is>
          <t>1</t>
        </is>
      </c>
      <c r="K252" s="5" t="inlineStr"/>
      <c r="L252" s="5" t="inlineStr"/>
      <c r="M252" s="5" t="inlineStr"/>
      <c r="N252" s="5" t="inlineStr"/>
      <c r="O252" s="5" t="inlineStr">
        <is>
          <t>51-53 Edgware Road</t>
        </is>
      </c>
      <c r="P252" s="5" t="inlineStr">
        <is>
          <t>Paddington</t>
        </is>
      </c>
      <c r="Q252" s="5" t="inlineStr">
        <is>
          <t>London</t>
        </is>
      </c>
      <c r="R252" s="5" t="inlineStr">
        <is>
          <t>Greater London</t>
        </is>
      </c>
      <c r="S252" s="5" t="inlineStr">
        <is>
          <t>W2 2HZ</t>
        </is>
      </c>
      <c r="T252" s="5" t="inlineStr">
        <is>
          <t>London</t>
        </is>
      </c>
      <c r="U252" s="5" t="inlineStr">
        <is>
          <t>England</t>
        </is>
      </c>
      <c r="V252" s="5" t="inlineStr">
        <is>
          <t>020 7262 6212</t>
        </is>
      </c>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shisha; tobacco; cafe</t>
        </is>
      </c>
      <c r="AL252" s="5" t="inlineStr"/>
      <c r="AM252" s="5" t="inlineStr">
        <is>
          <t>Smoke / Shisha Shop</t>
        </is>
      </c>
      <c r="AN252" s="5" t="inlineStr"/>
      <c r="AO252" s="5" t="inlineStr">
        <is>
          <t>Shisha lounge/cafe on the Edgware Road strip (W2). Address/postcode/phone from Cylex/search snippet; primarily hospitality-led but a strong shisha/tobacco retail prospect.</t>
        </is>
      </c>
      <c r="AP252" s="5" t="inlineStr">
        <is>
          <t>Medium</t>
        </is>
      </c>
      <c r="AQ252" s="5" t="inlineStr">
        <is>
          <t>Independent retailer; Core relevant category</t>
        </is>
      </c>
      <c r="AR252" s="5" t="inlineStr">
        <is>
          <t>https://london.cylex-uk.co.uk/company/vape-bar-28775714.html</t>
        </is>
      </c>
      <c r="AS252" s="5" t="inlineStr"/>
      <c r="AT252" s="5" t="inlineStr">
        <is>
          <t>1</t>
        </is>
      </c>
      <c r="AU252" s="5" t="inlineStr">
        <is>
          <t>No</t>
        </is>
      </c>
      <c r="AV252" s="5" t="inlineStr">
        <is>
          <t>No</t>
        </is>
      </c>
      <c r="AW252" s="5" t="inlineStr">
        <is>
          <t>No</t>
        </is>
      </c>
      <c r="AX252" s="5" t="inlineStr">
        <is>
          <t>No</t>
        </is>
      </c>
      <c r="AY252" s="5" t="inlineStr">
        <is>
          <t>Verified directory</t>
        </is>
      </c>
      <c r="AZ252" s="5" t="inlineStr">
        <is>
          <t>Not Found</t>
        </is>
      </c>
      <c r="BA252" s="5" t="inlineStr">
        <is>
          <t>2026-09-17</t>
        </is>
      </c>
      <c r="BB252" s="5" t="inlineStr">
        <is>
          <t>Requires Verification</t>
        </is>
      </c>
      <c r="BC252" s="5" t="inlineStr">
        <is>
          <t>Low</t>
        </is>
      </c>
      <c r="BD252" s="5" t="inlineStr"/>
      <c r="BE252" s="5" t="inlineStr">
        <is>
          <t>Business (B2B)</t>
        </is>
      </c>
      <c r="BF252" s="5" t="inlineStr">
        <is>
          <t>Legitimate interest (B2B) - assess per campaign; PECR: corporate subscribers</t>
        </is>
      </c>
      <c r="BG252" s="5" t="inlineStr"/>
      <c r="BH252" s="5" t="inlineStr">
        <is>
          <t>No</t>
        </is>
      </c>
      <c r="BI252" s="5" t="inlineStr">
        <is>
          <t>2026-09-17</t>
        </is>
      </c>
      <c r="BJ252" s="5" t="inlineStr">
        <is>
          <t>New</t>
        </is>
      </c>
      <c r="BK252" s="5" t="inlineStr">
        <is>
          <t>2026-09-17</t>
        </is>
      </c>
      <c r="BL252" s="5" t="inlineStr"/>
      <c r="BM252" s="5" t="inlineStr"/>
      <c r="BN252" s="5" t="inlineStr"/>
      <c r="BO252" s="5" t="inlineStr"/>
      <c r="BP252" s="5" t="inlineStr"/>
      <c r="BQ252" s="5" t="inlineStr"/>
    </row>
    <row r="253">
      <c r="A253" s="10" t="inlineStr">
        <is>
          <t>WY-0049</t>
        </is>
      </c>
      <c r="B253" s="10" t="inlineStr">
        <is>
          <t>WY-0049-01</t>
        </is>
      </c>
      <c r="C253" s="10" t="inlineStr"/>
      <c r="D253" s="10" t="inlineStr">
        <is>
          <t>Al-Falah Supermarket</t>
        </is>
      </c>
      <c r="E253" s="10" t="inlineStr">
        <is>
          <t>Al-Falah Supermarket</t>
        </is>
      </c>
      <c r="F253" s="10" t="inlineStr"/>
      <c r="G253" s="10" t="inlineStr">
        <is>
          <t>Independent Supermarket</t>
        </is>
      </c>
      <c r="H253" s="10" t="inlineStr">
        <is>
          <t>Halal / international supermarket</t>
        </is>
      </c>
      <c r="I253" s="10" t="inlineStr">
        <is>
          <t>Independent</t>
        </is>
      </c>
      <c r="J253" s="10" t="inlineStr">
        <is>
          <t>1</t>
        </is>
      </c>
      <c r="K253" s="10" t="inlineStr"/>
      <c r="L253" s="10" t="inlineStr">
        <is>
          <t>https://www.facebook.com/alfalahbradford/</t>
        </is>
      </c>
      <c r="M253" s="10" t="inlineStr"/>
      <c r="N253" s="10" t="inlineStr"/>
      <c r="O253" s="10" t="inlineStr">
        <is>
          <t>150 Manningham Lane</t>
        </is>
      </c>
      <c r="P253" s="10" t="inlineStr">
        <is>
          <t>Manningham</t>
        </is>
      </c>
      <c r="Q253" s="10" t="inlineStr">
        <is>
          <t>Bradford</t>
        </is>
      </c>
      <c r="R253" s="10" t="inlineStr">
        <is>
          <t>West Yorkshire</t>
        </is>
      </c>
      <c r="S253" s="10" t="inlineStr"/>
      <c r="T253" s="10" t="inlineStr">
        <is>
          <t>Yorkshire &amp; Humber</t>
        </is>
      </c>
      <c r="U253" s="10" t="inlineStr">
        <is>
          <t>England</t>
        </is>
      </c>
      <c r="V253" s="10" t="inlineStr"/>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Bangladeshi/Indian/Pakistani groceries; fresh produce; frozen; catering supplies; household</t>
        </is>
      </c>
      <c r="AL253" s="10" t="inlineStr"/>
      <c r="AM253" s="10" t="inlineStr">
        <is>
          <t>Independent Supermarket</t>
        </is>
      </c>
      <c r="AN253" s="10" t="inlineStr"/>
      <c r="AO253" s="10" t="inlineStr">
        <is>
          <t>Serving Bradford's Manningham community for over 20 years per its own Facebook description (via search snippet).</t>
        </is>
      </c>
      <c r="AP253" s="10" t="inlineStr">
        <is>
          <t>Medium</t>
        </is>
      </c>
      <c r="AQ253" s="10" t="inlineStr">
        <is>
          <t>Independent retailer; Relevant category; Social presence</t>
        </is>
      </c>
      <c r="AR253" s="10" t="inlineStr">
        <is>
          <t>https://www.facebook.com/alfalahbradford/</t>
        </is>
      </c>
      <c r="AS253" s="10" t="inlineStr">
        <is>
          <t>https://en.halalguide.me/bradford/produktoviy-magazin/al-falah-supermarket</t>
        </is>
      </c>
      <c r="AT253" s="10" t="inlineStr">
        <is>
          <t>2</t>
        </is>
      </c>
      <c r="AU253" s="10" t="inlineStr">
        <is>
          <t>No</t>
        </is>
      </c>
      <c r="AV253" s="10" t="inlineStr">
        <is>
          <t>No</t>
        </is>
      </c>
      <c r="AW253" s="10" t="inlineStr">
        <is>
          <t>No</t>
        </is>
      </c>
      <c r="AX253" s="10" t="inlineStr">
        <is>
          <t>No</t>
        </is>
      </c>
      <c r="AY253" s="10" t="inlineStr">
        <is>
          <t>Not Found</t>
        </is>
      </c>
      <c r="AZ253" s="10" t="inlineStr">
        <is>
          <t>Not Found</t>
        </is>
      </c>
      <c r="BA253" s="10" t="inlineStr">
        <is>
          <t>2026-09-17</t>
        </is>
      </c>
      <c r="BB253" s="10" t="inlineStr">
        <is>
          <t>Requires Verification</t>
        </is>
      </c>
      <c r="BC253" s="10" t="inlineStr">
        <is>
          <t>Medium</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2026-09-16</t>
        </is>
      </c>
      <c r="BJ253" s="10" t="inlineStr">
        <is>
          <t>New</t>
        </is>
      </c>
      <c r="BK253" s="10" t="inlineStr">
        <is>
          <t>2026-09-17</t>
        </is>
      </c>
      <c r="BL253" s="10" t="inlineStr"/>
      <c r="BM253" s="10" t="inlineStr"/>
      <c r="BN253" s="10" t="inlineStr"/>
      <c r="BO253" s="10" t="inlineStr"/>
      <c r="BP253" s="10" t="inlineStr"/>
      <c r="BQ253" s="10" t="inlineStr"/>
    </row>
    <row r="254">
      <c r="A254" s="5" t="inlineStr">
        <is>
          <t>UK-000337</t>
        </is>
      </c>
      <c r="B254" s="5" t="inlineStr">
        <is>
          <t>UK-000337-01</t>
        </is>
      </c>
      <c r="C254" s="5" t="inlineStr"/>
      <c r="D254" s="5" t="inlineStr">
        <is>
          <t>Al-Rayan Supermarket</t>
        </is>
      </c>
      <c r="E254" s="5" t="inlineStr">
        <is>
          <t>Al-Rayan Supermarket</t>
        </is>
      </c>
      <c r="F254" s="5" t="inlineStr"/>
      <c r="G254" s="5" t="inlineStr">
        <is>
          <t>Independent Supermarket</t>
        </is>
      </c>
      <c r="H254" s="5" t="inlineStr">
        <is>
          <t>Middle Eastern / Asian grocery</t>
        </is>
      </c>
      <c r="I254" s="5" t="inlineStr">
        <is>
          <t>Independent</t>
        </is>
      </c>
      <c r="J254" s="5" t="inlineStr">
        <is>
          <t>1</t>
        </is>
      </c>
      <c r="K254" s="5" t="inlineStr"/>
      <c r="L254" s="5" t="inlineStr">
        <is>
          <t>https://www.facebook.com/p/Al-Rayan-Supermarket-100063796310037/</t>
        </is>
      </c>
      <c r="M254" s="5" t="inlineStr"/>
      <c r="N254" s="5" t="inlineStr"/>
      <c r="O254" s="5" t="inlineStr">
        <is>
          <t>110 Drake Street</t>
        </is>
      </c>
      <c r="P254" s="5" t="inlineStr"/>
      <c r="Q254" s="5" t="inlineStr">
        <is>
          <t>Rochdale</t>
        </is>
      </c>
      <c r="R254" s="5" t="inlineStr">
        <is>
          <t>Greater Manchester</t>
        </is>
      </c>
      <c r="S254" s="5" t="inlineStr">
        <is>
          <t>OL16 1PN</t>
        </is>
      </c>
      <c r="T254" s="5" t="inlineStr">
        <is>
          <t>North West</t>
        </is>
      </c>
      <c r="U254" s="5" t="inlineStr">
        <is>
          <t>England</t>
        </is>
      </c>
      <c r="V254" s="5" t="inlineStr">
        <is>
          <t>01706 521215</t>
        </is>
      </c>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Kurdish, Arabic, Persian, Turkish &amp; Asian groceries</t>
        </is>
      </c>
      <c r="AL254" s="5" t="inlineStr"/>
      <c r="AM254" s="5" t="inlineStr">
        <is>
          <t>Independent Supermarket</t>
        </is>
      </c>
      <c r="AN254" s="5" t="inlineStr"/>
      <c r="AO254" s="5" t="inlineStr">
        <is>
          <t>Independent grocery on Drake Street, Rochdale stocking Kurdish/Arabic/Persian/Turkish/Asian continental food.</t>
        </is>
      </c>
      <c r="AP254" s="5" t="inlineStr">
        <is>
          <t>Medium</t>
        </is>
      </c>
      <c r="AQ254" s="5" t="inlineStr">
        <is>
          <t>Independent retailer; Relevant category; Social presence</t>
        </is>
      </c>
      <c r="AR254" s="5" t="inlineStr">
        <is>
          <t>https://www.chamberofcommerce.uk/business-directory/england/rochdale/supermarket/1513384-al-rayan-supermarket</t>
        </is>
      </c>
      <c r="AS254" s="5" t="inlineStr"/>
      <c r="AT254" s="5" t="inlineStr">
        <is>
          <t>1</t>
        </is>
      </c>
      <c r="AU254" s="5" t="inlineStr">
        <is>
          <t>No</t>
        </is>
      </c>
      <c r="AV254" s="5" t="inlineStr">
        <is>
          <t>No</t>
        </is>
      </c>
      <c r="AW254" s="5" t="inlineStr">
        <is>
          <t>No</t>
        </is>
      </c>
      <c r="AX254" s="5" t="inlineStr">
        <is>
          <t>No</t>
        </is>
      </c>
      <c r="AY254" s="5" t="inlineStr">
        <is>
          <t>Verified directory</t>
        </is>
      </c>
      <c r="AZ254" s="5" t="inlineStr">
        <is>
          <t>Not Found</t>
        </is>
      </c>
      <c r="BA254" s="5" t="inlineStr">
        <is>
          <t>2026-09-17</t>
        </is>
      </c>
      <c r="BB254" s="5" t="inlineStr">
        <is>
          <t>Requires Verification</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2026-09-17</t>
        </is>
      </c>
      <c r="BJ254" s="5" t="inlineStr">
        <is>
          <t>New</t>
        </is>
      </c>
      <c r="BK254" s="5" t="inlineStr">
        <is>
          <t>2026-09-17</t>
        </is>
      </c>
      <c r="BL254" s="5" t="inlineStr"/>
      <c r="BM254" s="5" t="inlineStr"/>
      <c r="BN254" s="5" t="inlineStr"/>
      <c r="BO254" s="5" t="inlineStr"/>
      <c r="BP254" s="5" t="inlineStr"/>
      <c r="BQ254" s="5" t="inlineStr"/>
    </row>
    <row r="255">
      <c r="A255" s="10" t="inlineStr">
        <is>
          <t>UK-000573</t>
        </is>
      </c>
      <c r="B255" s="10" t="inlineStr">
        <is>
          <t>UK-000573-01</t>
        </is>
      </c>
      <c r="C255" s="10" t="inlineStr"/>
      <c r="D255" s="10" t="inlineStr">
        <is>
          <t>Al-Sultan Supermarket</t>
        </is>
      </c>
      <c r="E255" s="10" t="inlineStr">
        <is>
          <t>Al-Sultan Supermarket</t>
        </is>
      </c>
      <c r="F255" s="10" t="inlineStr"/>
      <c r="G255" s="10" t="inlineStr">
        <is>
          <t>Independent Supermarket</t>
        </is>
      </c>
      <c r="H255" s="10" t="inlineStr">
        <is>
          <t>Middle Eastern grocery &amp; supermarket</t>
        </is>
      </c>
      <c r="I255" s="10" t="inlineStr">
        <is>
          <t>Independent</t>
        </is>
      </c>
      <c r="J255" s="10" t="inlineStr">
        <is>
          <t>1</t>
        </is>
      </c>
      <c r="K255" s="10" t="inlineStr"/>
      <c r="L255" s="10" t="inlineStr"/>
      <c r="M255" s="10" t="inlineStr"/>
      <c r="N255" s="10" t="inlineStr"/>
      <c r="O255" s="10" t="inlineStr">
        <is>
          <t>460 Edgware Road</t>
        </is>
      </c>
      <c r="P255" s="10" t="inlineStr">
        <is>
          <t>Paddington</t>
        </is>
      </c>
      <c r="Q255" s="10" t="inlineStr">
        <is>
          <t>London</t>
        </is>
      </c>
      <c r="R255" s="10" t="inlineStr">
        <is>
          <t>Greater London</t>
        </is>
      </c>
      <c r="S255" s="10" t="inlineStr">
        <is>
          <t>W2 1EJ</t>
        </is>
      </c>
      <c r="T255" s="10" t="inlineStr">
        <is>
          <t>London</t>
        </is>
      </c>
      <c r="U255" s="10" t="inlineStr">
        <is>
          <t>England</t>
        </is>
      </c>
      <c r="V255" s="10" t="inlineStr">
        <is>
          <t>020 7589 8614</t>
        </is>
      </c>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grocery; fresh produce; Middle Eastern foods</t>
        </is>
      </c>
      <c r="AL255" s="10" t="inlineStr"/>
      <c r="AM255" s="10" t="inlineStr">
        <is>
          <t>Independent Supermarket</t>
        </is>
      </c>
      <c r="AN255" s="10" t="inlineStr"/>
      <c r="AO255" s="10" t="inlineStr">
        <is>
          <t>Independent Middle Eastern supermarket on the Edgware Road (W2). Address/postcode/phone from Yell convenience-stores Edgware Road listing snippet. Phone number cross-check advised (long-standing local store).</t>
        </is>
      </c>
      <c r="AP255" s="10" t="inlineStr">
        <is>
          <t>Low</t>
        </is>
      </c>
      <c r="AQ255" s="10" t="inlineStr">
        <is>
          <t>Independent retailer; Relevant category</t>
        </is>
      </c>
      <c r="AR255" s="10" t="inlineStr">
        <is>
          <t>https://www.yell.com/s/convenience+stores-edgware+road+tube-paddington.html</t>
        </is>
      </c>
      <c r="AS255" s="10" t="inlineStr"/>
      <c r="AT255" s="10" t="inlineStr">
        <is>
          <t>1</t>
        </is>
      </c>
      <c r="AU255" s="10" t="inlineStr">
        <is>
          <t>No</t>
        </is>
      </c>
      <c r="AV255" s="10" t="inlineStr">
        <is>
          <t>No</t>
        </is>
      </c>
      <c r="AW255" s="10" t="inlineStr">
        <is>
          <t>No</t>
        </is>
      </c>
      <c r="AX255" s="10" t="inlineStr">
        <is>
          <t>No</t>
        </is>
      </c>
      <c r="AY255" s="10" t="inlineStr">
        <is>
          <t>Verified directory</t>
        </is>
      </c>
      <c r="AZ255" s="10" t="inlineStr">
        <is>
          <t>Not Found</t>
        </is>
      </c>
      <c r="BA255" s="10" t="inlineStr">
        <is>
          <t>2026-09-17</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2026-09-17</t>
        </is>
      </c>
      <c r="BJ255" s="10" t="inlineStr">
        <is>
          <t>New</t>
        </is>
      </c>
      <c r="BK255" s="10" t="inlineStr">
        <is>
          <t>2026-09-17</t>
        </is>
      </c>
      <c r="BL255" s="10" t="inlineStr"/>
      <c r="BM255" s="10" t="inlineStr"/>
      <c r="BN255" s="10" t="inlineStr"/>
      <c r="BO255" s="10" t="inlineStr"/>
      <c r="BP255" s="10" t="inlineStr"/>
      <c r="BQ255" s="10" t="inlineStr"/>
    </row>
    <row r="256">
      <c r="A256" s="5" t="inlineStr">
        <is>
          <t>UK-000235</t>
        </is>
      </c>
      <c r="B256" s="5" t="inlineStr">
        <is>
          <t>UK-000235-01</t>
        </is>
      </c>
      <c r="C256" s="5" t="inlineStr"/>
      <c r="D256" s="5" t="inlineStr">
        <is>
          <t>Alchemist Vape Shop Parkgate</t>
        </is>
      </c>
      <c r="E256" s="5" t="inlineStr">
        <is>
          <t>Alchemist Vape</t>
        </is>
      </c>
      <c r="F256" s="5" t="inlineStr"/>
      <c r="G256" s="5" t="inlineStr">
        <is>
          <t>Vape Shop</t>
        </is>
      </c>
      <c r="H256" s="5" t="inlineStr">
        <is>
          <t>Vape, e-liquid and CBD shop</t>
        </is>
      </c>
      <c r="I256" s="5" t="inlineStr">
        <is>
          <t>Independent</t>
        </is>
      </c>
      <c r="J256" s="5" t="inlineStr">
        <is>
          <t>1</t>
        </is>
      </c>
      <c r="K256" s="5" t="inlineStr"/>
      <c r="L256" s="5" t="inlineStr">
        <is>
          <t>https://www.facebook.com/AlchemistParkgate/</t>
        </is>
      </c>
      <c r="M256" s="5" t="inlineStr"/>
      <c r="N256" s="5" t="inlineStr"/>
      <c r="O256" s="5" t="inlineStr"/>
      <c r="P256" s="5" t="inlineStr">
        <is>
          <t>Parkgate</t>
        </is>
      </c>
      <c r="Q256" s="5" t="inlineStr">
        <is>
          <t>Rotherham</t>
        </is>
      </c>
      <c r="R256" s="5" t="inlineStr">
        <is>
          <t>South Yorkshire</t>
        </is>
      </c>
      <c r="S256" s="5" t="inlineStr"/>
      <c r="T256" s="5" t="inlineStr">
        <is>
          <t>Yorkshire &amp; Humber</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vape liquids; coils; CBD products</t>
        </is>
      </c>
      <c r="AL256" s="5" t="inlineStr"/>
      <c r="AM256" s="5" t="inlineStr">
        <is>
          <t>Vape Shop</t>
        </is>
      </c>
      <c r="AN256" s="5" t="inlineStr"/>
      <c r="AO256" s="5" t="inlineStr">
        <is>
          <t>Independent vape shop in Parkgate, Rotherham; supplies vape liquids, coils and CBD. Only a Facebook page found; street address/postcode not captured.</t>
        </is>
      </c>
      <c r="AP256" s="5" t="inlineStr">
        <is>
          <t>Medium</t>
        </is>
      </c>
      <c r="AQ256" s="5" t="inlineStr">
        <is>
          <t>Independent retailer; Core relevant category; Social presence</t>
        </is>
      </c>
      <c r="AR256" s="5" t="inlineStr">
        <is>
          <t>https://www.facebook.com/AlchemistParkgate/</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2026-09-17</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2026-09-16</t>
        </is>
      </c>
      <c r="BJ256" s="5" t="inlineStr">
        <is>
          <t>New</t>
        </is>
      </c>
      <c r="BK256" s="5" t="inlineStr">
        <is>
          <t>2026-09-17</t>
        </is>
      </c>
      <c r="BL256" s="5" t="inlineStr"/>
      <c r="BM256" s="5" t="inlineStr"/>
      <c r="BN256" s="5" t="inlineStr"/>
      <c r="BO256" s="5" t="inlineStr"/>
      <c r="BP256" s="5" t="inlineStr"/>
      <c r="BQ256" s="5" t="inlineStr"/>
    </row>
    <row r="257">
      <c r="A257" s="10" t="inlineStr">
        <is>
          <t>UK-000574</t>
        </is>
      </c>
      <c r="B257" s="10" t="inlineStr">
        <is>
          <t>UK-000574-01</t>
        </is>
      </c>
      <c r="C257" s="10" t="inlineStr"/>
      <c r="D257" s="10" t="inlineStr">
        <is>
          <t>Ali's Wine &amp; Grocery</t>
        </is>
      </c>
      <c r="E257" s="10" t="inlineStr">
        <is>
          <t>Ali's Wine &amp; Grocery</t>
        </is>
      </c>
      <c r="F257" s="10" t="inlineStr"/>
      <c r="G257" s="10" t="inlineStr">
        <is>
          <t>Off-Licence</t>
        </is>
      </c>
      <c r="H257" s="10" t="inlineStr">
        <is>
          <t>Off-licence &amp; grocery</t>
        </is>
      </c>
      <c r="I257" s="10" t="inlineStr">
        <is>
          <t>Independent</t>
        </is>
      </c>
      <c r="J257" s="10" t="inlineStr">
        <is>
          <t>1</t>
        </is>
      </c>
      <c r="K257" s="10" t="inlineStr"/>
      <c r="L257" s="10" t="inlineStr"/>
      <c r="M257" s="10" t="inlineStr"/>
      <c r="N257" s="10" t="inlineStr"/>
      <c r="O257" s="10" t="inlineStr">
        <is>
          <t>47 Southgate Road</t>
        </is>
      </c>
      <c r="P257" s="10" t="inlineStr"/>
      <c r="Q257" s="10" t="inlineStr">
        <is>
          <t>Islington</t>
        </is>
      </c>
      <c r="R257" s="10" t="inlineStr">
        <is>
          <t>Greater London</t>
        </is>
      </c>
      <c r="S257" s="10" t="inlineStr">
        <is>
          <t>N1 3JP</t>
        </is>
      </c>
      <c r="T257" s="10" t="inlineStr">
        <is>
          <t>London</t>
        </is>
      </c>
      <c r="U257" s="10" t="inlineStr">
        <is>
          <t>England</t>
        </is>
      </c>
      <c r="V257" s="10" t="inlineStr">
        <is>
          <t>020 7729 7522</t>
        </is>
      </c>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alcohol; groceries; tobacco</t>
        </is>
      </c>
      <c r="AL257" s="10" t="inlineStr"/>
      <c r="AM257" s="10" t="inlineStr">
        <is>
          <t>Off-Licence</t>
        </is>
      </c>
      <c r="AN257" s="10" t="inlineStr"/>
      <c r="AO257" s="10" t="inlineStr">
        <is>
          <t>Independent off-licence/grocery on Southgate Road, De Beauvoir/Islington border. Address/postcode/phone from Yell directory.</t>
        </is>
      </c>
      <c r="AP257" s="10" t="inlineStr">
        <is>
          <t>Low</t>
        </is>
      </c>
      <c r="AQ257" s="10" t="inlineStr">
        <is>
          <t>Independent retailer; Relevant category</t>
        </is>
      </c>
      <c r="AR257" s="10" t="inlineStr">
        <is>
          <t>https://www.yell.com/s/off+licences-dalston-east+london.html</t>
        </is>
      </c>
      <c r="AS257" s="10" t="inlineStr"/>
      <c r="AT257" s="10" t="inlineStr">
        <is>
          <t>1</t>
        </is>
      </c>
      <c r="AU257" s="10" t="inlineStr">
        <is>
          <t>No</t>
        </is>
      </c>
      <c r="AV257" s="10" t="inlineStr">
        <is>
          <t>No</t>
        </is>
      </c>
      <c r="AW257" s="10" t="inlineStr">
        <is>
          <t>No</t>
        </is>
      </c>
      <c r="AX257" s="10" t="inlineStr">
        <is>
          <t>No</t>
        </is>
      </c>
      <c r="AY257" s="10" t="inlineStr">
        <is>
          <t>Verified directory</t>
        </is>
      </c>
      <c r="AZ257" s="10" t="inlineStr">
        <is>
          <t>Not Found</t>
        </is>
      </c>
      <c r="BA257" s="10" t="inlineStr">
        <is>
          <t>2026-09-17</t>
        </is>
      </c>
      <c r="BB257" s="10" t="inlineStr">
        <is>
          <t>Requires Verification</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2026-09-17</t>
        </is>
      </c>
      <c r="BJ257" s="10" t="inlineStr">
        <is>
          <t>New</t>
        </is>
      </c>
      <c r="BK257" s="10" t="inlineStr">
        <is>
          <t>2026-09-17</t>
        </is>
      </c>
      <c r="BL257" s="10" t="inlineStr"/>
      <c r="BM257" s="10" t="inlineStr"/>
      <c r="BN257" s="10" t="inlineStr"/>
      <c r="BO257" s="10" t="inlineStr"/>
      <c r="BP257" s="10" t="inlineStr"/>
      <c r="BQ257" s="10" t="inlineStr"/>
    </row>
    <row r="258">
      <c r="A258" s="5" t="inlineStr">
        <is>
          <t>UK-000575</t>
        </is>
      </c>
      <c r="B258" s="5" t="inlineStr">
        <is>
          <t>UK-000575-01</t>
        </is>
      </c>
      <c r="C258" s="5" t="inlineStr"/>
      <c r="D258" s="5" t="inlineStr">
        <is>
          <t>All Drinks Cash &amp; Carry Ltd</t>
        </is>
      </c>
      <c r="E258" s="5" t="inlineStr">
        <is>
          <t>All Drinks Cash &amp; Carry</t>
        </is>
      </c>
      <c r="F258" s="5" t="inlineStr">
        <is>
          <t>ALL DRINKS CASH &amp; CARRY LIMITED</t>
        </is>
      </c>
      <c r="G258" s="5" t="inlineStr">
        <is>
          <t>Cash &amp; Carry</t>
        </is>
      </c>
      <c r="H258" s="5" t="inlineStr">
        <is>
          <t>Drinks wholesaler</t>
        </is>
      </c>
      <c r="I258" s="5" t="inlineStr">
        <is>
          <t>Independent</t>
        </is>
      </c>
      <c r="J258" s="5" t="inlineStr">
        <is>
          <t>1</t>
        </is>
      </c>
      <c r="K258" s="5" t="inlineStr">
        <is>
          <t>https://all-drinks.co.uk</t>
        </is>
      </c>
      <c r="L258" s="5" t="inlineStr"/>
      <c r="M258" s="5" t="inlineStr"/>
      <c r="N258" s="5" t="inlineStr"/>
      <c r="O258" s="5" t="inlineStr">
        <is>
          <t>North Hyde House</t>
        </is>
      </c>
      <c r="P258" s="5" t="inlineStr">
        <is>
          <t>North Hyde Wharf, Hayes Road</t>
        </is>
      </c>
      <c r="Q258" s="5" t="inlineStr">
        <is>
          <t>Southall</t>
        </is>
      </c>
      <c r="R258" s="5" t="inlineStr">
        <is>
          <t>Greater London</t>
        </is>
      </c>
      <c r="S258" s="5" t="inlineStr">
        <is>
          <t>UB2 5NS</t>
        </is>
      </c>
      <c r="T258" s="5" t="inlineStr">
        <is>
          <t>London</t>
        </is>
      </c>
      <c r="U258" s="5" t="inlineStr">
        <is>
          <t>England</t>
        </is>
      </c>
      <c r="V258" s="5" t="inlineStr">
        <is>
          <t>020 8893 6000</t>
        </is>
      </c>
      <c r="W258" s="5" t="inlineStr"/>
      <c r="X258" s="5" t="inlineStr"/>
      <c r="Y258" s="5" t="inlineStr"/>
      <c r="Z258" s="5" t="inlineStr"/>
      <c r="AA258" s="5" t="inlineStr"/>
      <c r="AB258" s="5" t="inlineStr"/>
      <c r="AC258" s="5" t="inlineStr"/>
      <c r="AD258" s="5" t="inlineStr"/>
      <c r="AE258" s="5" t="inlineStr">
        <is>
          <t>10267733</t>
        </is>
      </c>
      <c r="AF258" s="5" t="inlineStr"/>
      <c r="AG258" s="5" t="inlineStr">
        <is>
          <t>ALL DRINKS CASH &amp; CARRY LIMITED</t>
        </is>
      </c>
      <c r="AH258" s="5" t="inlineStr">
        <is>
          <t>Unit 2B Beaver Industrial Estate, Brent Road, Southall UB2 5FB</t>
        </is>
      </c>
      <c r="AI258" s="5" t="inlineStr"/>
      <c r="AJ258" s="5" t="inlineStr"/>
      <c r="AK258" s="5" t="inlineStr">
        <is>
          <t>beers; wines; spirits; soft drinks; drinks wholesale</t>
        </is>
      </c>
      <c r="AL258" s="5" t="inlineStr"/>
      <c r="AM258" s="5" t="inlineStr">
        <is>
          <t>Cash &amp; Carry</t>
        </is>
      </c>
      <c r="AN258" s="5" t="inlineStr">
        <is>
          <t>One-stop wholesale drinks supplier serving off-trade / off-licences and convenience retailers.</t>
        </is>
      </c>
      <c r="AO258" s="5" t="inlineStr">
        <is>
          <t>Independent drinks cash &amp; carry in Southall with own website. Companies House 10267733; registered office moved to Beaver Industrial Estate (Dec 2024).</t>
        </is>
      </c>
      <c r="AP258" s="5" t="inlineStr">
        <is>
          <t>Medium</t>
        </is>
      </c>
      <c r="AQ258" s="5" t="inlineStr">
        <is>
          <t>Independent retailer; Core relevant category; Active website; Phone verified on official website</t>
        </is>
      </c>
      <c r="AR258" s="5" t="inlineStr">
        <is>
          <t>https://all-drinks.co.uk/contact/</t>
        </is>
      </c>
      <c r="AS258" s="5" t="inlineStr">
        <is>
          <t>https://find-and-update.company-information.service.gov.uk/company/10267733</t>
        </is>
      </c>
      <c r="AT258" s="5" t="inlineStr">
        <is>
          <t>2</t>
        </is>
      </c>
      <c r="AU258" s="5" t="inlineStr">
        <is>
          <t>Yes</t>
        </is>
      </c>
      <c r="AV258" s="5" t="inlineStr">
        <is>
          <t>No</t>
        </is>
      </c>
      <c r="AW258" s="5" t="inlineStr">
        <is>
          <t>No</t>
        </is>
      </c>
      <c r="AX258" s="5" t="inlineStr">
        <is>
          <t>Yes</t>
        </is>
      </c>
      <c r="AY258" s="5" t="inlineStr">
        <is>
          <t>Verified on official website</t>
        </is>
      </c>
      <c r="AZ258" s="5" t="inlineStr">
        <is>
          <t>Not Found</t>
        </is>
      </c>
      <c r="BA258" s="5" t="inlineStr">
        <is>
          <t>2026-09-17</t>
        </is>
      </c>
      <c r="BB258" s="5" t="inlineStr">
        <is>
          <t>Verified (website + Companies House)</t>
        </is>
      </c>
      <c r="BC258" s="5" t="inlineStr">
        <is>
          <t>High</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UK-000754</t>
        </is>
      </c>
      <c r="B259" s="10" t="inlineStr">
        <is>
          <t>UK-000754-01</t>
        </is>
      </c>
      <c r="C259" s="10" t="inlineStr"/>
      <c r="D259" s="10" t="inlineStr">
        <is>
          <t>All n One Mini Convenience</t>
        </is>
      </c>
      <c r="E259" s="10" t="inlineStr">
        <is>
          <t>All n One Mini Convenience</t>
        </is>
      </c>
      <c r="F259" s="10" t="inlineStr"/>
      <c r="G259" s="10" t="inlineStr">
        <is>
          <t>Convenience Store</t>
        </is>
      </c>
      <c r="H259" s="10" t="inlineStr">
        <is>
          <t>Grocer &amp; convenience store</t>
        </is>
      </c>
      <c r="I259" s="10" t="inlineStr">
        <is>
          <t>Independent</t>
        </is>
      </c>
      <c r="J259" s="10" t="inlineStr">
        <is>
          <t>1</t>
        </is>
      </c>
      <c r="K259" s="10" t="inlineStr"/>
      <c r="L259" s="10" t="inlineStr"/>
      <c r="M259" s="10" t="inlineStr"/>
      <c r="N259" s="10" t="inlineStr"/>
      <c r="O259" s="10" t="inlineStr">
        <is>
          <t>80 Aigburth Road</t>
        </is>
      </c>
      <c r="P259" s="10" t="inlineStr">
        <is>
          <t>Aigburth</t>
        </is>
      </c>
      <c r="Q259" s="10" t="inlineStr">
        <is>
          <t>Liverpool</t>
        </is>
      </c>
      <c r="R259" s="10" t="inlineStr">
        <is>
          <t>Merseyside</t>
        </is>
      </c>
      <c r="S259" s="10" t="inlineStr">
        <is>
          <t>L17 7BN</t>
        </is>
      </c>
      <c r="T259" s="10" t="inlineStr">
        <is>
          <t>North West</t>
        </is>
      </c>
      <c r="U259" s="10" t="inlineStr">
        <is>
          <t>England</t>
        </is>
      </c>
      <c r="V259" s="10" t="inlineStr"/>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convenience groceries; tobacco; soft drinks</t>
        </is>
      </c>
      <c r="AL259" s="10" t="inlineStr"/>
      <c r="AM259" s="10" t="inlineStr">
        <is>
          <t>Convenience Store</t>
        </is>
      </c>
      <c r="AN259" s="10" t="inlineStr"/>
      <c r="AO259" s="10" t="inlineStr">
        <is>
          <t>Independent convenience store on Aigburth Road (L17).</t>
        </is>
      </c>
      <c r="AP259" s="10" t="inlineStr">
        <is>
          <t>Low</t>
        </is>
      </c>
      <c r="AQ259" s="10" t="inlineStr">
        <is>
          <t>Independent retailer; Relevant category</t>
        </is>
      </c>
      <c r="AR259" s="10" t="inlineStr">
        <is>
          <t>https://www.yell.com/biz/all-n-one-mini-convenience-liverpool-8262944/</t>
        </is>
      </c>
      <c r="AS259" s="10" t="inlineStr"/>
      <c r="AT259" s="10" t="inlineStr">
        <is>
          <t>1</t>
        </is>
      </c>
      <c r="AU259" s="10" t="inlineStr">
        <is>
          <t>No</t>
        </is>
      </c>
      <c r="AV259" s="10" t="inlineStr">
        <is>
          <t>No</t>
        </is>
      </c>
      <c r="AW259" s="10" t="inlineStr">
        <is>
          <t>No</t>
        </is>
      </c>
      <c r="AX259" s="10" t="inlineStr">
        <is>
          <t>No</t>
        </is>
      </c>
      <c r="AY259" s="10" t="inlineStr">
        <is>
          <t>Not Found</t>
        </is>
      </c>
      <c r="AZ259" s="10" t="inlineStr">
        <is>
          <t>Not Found</t>
        </is>
      </c>
      <c r="BA259" s="10" t="inlineStr">
        <is>
          <t>2026-09-17</t>
        </is>
      </c>
      <c r="BB259" s="10" t="inlineStr">
        <is>
          <t>Requires Verification</t>
        </is>
      </c>
      <c r="BC259" s="10" t="inlineStr">
        <is>
          <t>Low</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2026-09-17</t>
        </is>
      </c>
      <c r="BJ259" s="10" t="inlineStr">
        <is>
          <t>New</t>
        </is>
      </c>
      <c r="BK259" s="10" t="inlineStr">
        <is>
          <t>2026-09-17</t>
        </is>
      </c>
      <c r="BL259" s="10" t="inlineStr"/>
      <c r="BM259" s="10" t="inlineStr"/>
      <c r="BN259" s="10" t="inlineStr"/>
      <c r="BO259" s="10" t="inlineStr"/>
      <c r="BP259" s="10" t="inlineStr"/>
      <c r="BQ259" s="10" t="inlineStr"/>
    </row>
    <row r="260">
      <c r="A260" s="5" t="inlineStr">
        <is>
          <t>UK-000576</t>
        </is>
      </c>
      <c r="B260" s="5" t="inlineStr">
        <is>
          <t>UK-000576-01</t>
        </is>
      </c>
      <c r="C260" s="5" t="inlineStr"/>
      <c r="D260" s="5" t="inlineStr">
        <is>
          <t>Alpha Off Licence</t>
        </is>
      </c>
      <c r="E260" s="5" t="inlineStr">
        <is>
          <t>Alpha Off Licence</t>
        </is>
      </c>
      <c r="F260" s="5" t="inlineStr"/>
      <c r="G260" s="5" t="inlineStr">
        <is>
          <t>Off-Licence</t>
        </is>
      </c>
      <c r="H260" s="5" t="inlineStr"/>
      <c r="I260" s="5" t="inlineStr">
        <is>
          <t>Independent</t>
        </is>
      </c>
      <c r="J260" s="5" t="inlineStr">
        <is>
          <t>1</t>
        </is>
      </c>
      <c r="K260" s="5" t="inlineStr"/>
      <c r="L260" s="5" t="inlineStr"/>
      <c r="M260" s="5" t="inlineStr"/>
      <c r="N260" s="5" t="inlineStr"/>
      <c r="O260" s="5" t="inlineStr">
        <is>
          <t>24 Peckham Rye</t>
        </is>
      </c>
      <c r="P260" s="5" t="inlineStr"/>
      <c r="Q260" s="5" t="inlineStr">
        <is>
          <t>London</t>
        </is>
      </c>
      <c r="R260" s="5" t="inlineStr">
        <is>
          <t>Greater London</t>
        </is>
      </c>
      <c r="S260" s="5" t="inlineStr">
        <is>
          <t>SE15 4JR</t>
        </is>
      </c>
      <c r="T260" s="5" t="inlineStr">
        <is>
          <t>London</t>
        </is>
      </c>
      <c r="U260" s="5" t="inlineStr">
        <is>
          <t>England</t>
        </is>
      </c>
      <c r="V260" s="5" t="inlineStr">
        <is>
          <t>020 7639 5124</t>
        </is>
      </c>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beers; wines; spirits; tobacco; convenience</t>
        </is>
      </c>
      <c r="AL260" s="5" t="inlineStr"/>
      <c r="AM260" s="5" t="inlineStr">
        <is>
          <t>Off-Licence</t>
        </is>
      </c>
      <c r="AN260" s="5" t="inlineStr"/>
      <c r="AO260" s="5" t="inlineStr">
        <is>
          <t>Independent off-licence on Peckham Rye. Address and phone from Yell directory listing.</t>
        </is>
      </c>
      <c r="AP260" s="5" t="inlineStr">
        <is>
          <t>Low</t>
        </is>
      </c>
      <c r="AQ260" s="5" t="inlineStr">
        <is>
          <t>Independent retailer; Relevant category</t>
        </is>
      </c>
      <c r="AR260" s="5" t="inlineStr">
        <is>
          <t>https://www.yell.com/s/off+licences-se15.html</t>
        </is>
      </c>
      <c r="AS260" s="5" t="inlineStr"/>
      <c r="AT260" s="5" t="inlineStr">
        <is>
          <t>1</t>
        </is>
      </c>
      <c r="AU260" s="5" t="inlineStr">
        <is>
          <t>No</t>
        </is>
      </c>
      <c r="AV260" s="5" t="inlineStr">
        <is>
          <t>No</t>
        </is>
      </c>
      <c r="AW260" s="5" t="inlineStr">
        <is>
          <t>No</t>
        </is>
      </c>
      <c r="AX260" s="5" t="inlineStr">
        <is>
          <t>No</t>
        </is>
      </c>
      <c r="AY260" s="5" t="inlineStr">
        <is>
          <t>Verified directory</t>
        </is>
      </c>
      <c r="AZ260" s="5" t="inlineStr">
        <is>
          <t>Not Found</t>
        </is>
      </c>
      <c r="BA260" s="5" t="inlineStr">
        <is>
          <t>2026-09-17</t>
        </is>
      </c>
      <c r="BB260" s="5" t="inlineStr">
        <is>
          <t>Requires Verification</t>
        </is>
      </c>
      <c r="BC260" s="5" t="inlineStr">
        <is>
          <t>Medium</t>
        </is>
      </c>
      <c r="BD260" s="5" t="inlineStr"/>
      <c r="BE260" s="5" t="inlineStr">
        <is>
          <t>Business (B2B)</t>
        </is>
      </c>
      <c r="BF260" s="5" t="inlineStr">
        <is>
          <t>Legitimate interest (B2B) - assess per campaign; PECR: corporate subscribers</t>
        </is>
      </c>
      <c r="BG260" s="5" t="inlineStr"/>
      <c r="BH260" s="5" t="inlineStr">
        <is>
          <t>No</t>
        </is>
      </c>
      <c r="BI260" s="5" t="inlineStr">
        <is>
          <t>2026-09-17</t>
        </is>
      </c>
      <c r="BJ260" s="5" t="inlineStr">
        <is>
          <t>New</t>
        </is>
      </c>
      <c r="BK260" s="5" t="inlineStr">
        <is>
          <t>2026-09-17</t>
        </is>
      </c>
      <c r="BL260" s="5" t="inlineStr"/>
      <c r="BM260" s="5" t="inlineStr"/>
      <c r="BN260" s="5" t="inlineStr"/>
      <c r="BO260" s="5" t="inlineStr"/>
      <c r="BP260" s="5" t="inlineStr"/>
      <c r="BQ260" s="5" t="inlineStr"/>
    </row>
    <row r="261">
      <c r="A261" s="10" t="inlineStr">
        <is>
          <t>UK-000577</t>
        </is>
      </c>
      <c r="B261" s="10" t="inlineStr">
        <is>
          <t>UK-000577-01</t>
        </is>
      </c>
      <c r="C261" s="10" t="inlineStr"/>
      <c r="D261" s="10" t="inlineStr">
        <is>
          <t>Amy News &amp; Off Licence</t>
        </is>
      </c>
      <c r="E261" s="10" t="inlineStr">
        <is>
          <t>Amy News &amp; Off Licence</t>
        </is>
      </c>
      <c r="F261" s="10" t="inlineStr"/>
      <c r="G261" s="10" t="inlineStr">
        <is>
          <t>Newsagent</t>
        </is>
      </c>
      <c r="H261" s="10" t="inlineStr">
        <is>
          <t>Newsagent &amp; off-licence</t>
        </is>
      </c>
      <c r="I261" s="10" t="inlineStr">
        <is>
          <t>Independent</t>
        </is>
      </c>
      <c r="J261" s="10" t="inlineStr">
        <is>
          <t>1</t>
        </is>
      </c>
      <c r="K261" s="10" t="inlineStr"/>
      <c r="L261" s="10" t="inlineStr"/>
      <c r="M261" s="10" t="inlineStr"/>
      <c r="N261" s="10" t="inlineStr"/>
      <c r="O261" s="10" t="inlineStr">
        <is>
          <t>165 Central Park Road</t>
        </is>
      </c>
      <c r="P261" s="10" t="inlineStr"/>
      <c r="Q261" s="10" t="inlineStr">
        <is>
          <t>East Ham</t>
        </is>
      </c>
      <c r="R261" s="10" t="inlineStr">
        <is>
          <t>Greater London</t>
        </is>
      </c>
      <c r="S261" s="10" t="inlineStr">
        <is>
          <t>E6 3DJ</t>
        </is>
      </c>
      <c r="T261" s="10" t="inlineStr">
        <is>
          <t>London</t>
        </is>
      </c>
      <c r="U261" s="10" t="inlineStr">
        <is>
          <t>England</t>
        </is>
      </c>
      <c r="V261" s="10" t="inlineStr"/>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newspapers; confectionery; tobacco; alcohol</t>
        </is>
      </c>
      <c r="AL261" s="10" t="inlineStr"/>
      <c r="AM261" s="10" t="inlineStr">
        <is>
          <t>Newsagent</t>
        </is>
      </c>
      <c r="AN261" s="10" t="inlineStr"/>
      <c r="AO261" s="10" t="inlineStr">
        <is>
          <t>Independent newsagent and off-licence, East Ham. Address/postcode from 192.com business listing.</t>
        </is>
      </c>
      <c r="AP261" s="10" t="inlineStr">
        <is>
          <t>Low</t>
        </is>
      </c>
      <c r="AQ261" s="10" t="inlineStr">
        <is>
          <t>Independent retailer; Relevant category</t>
        </is>
      </c>
      <c r="AR261" s="10" t="inlineStr">
        <is>
          <t>https://www.192.com/atoz/business/london-e6/general-and-convenience-stores/amy-news-off-licence/e7b06111de0d8805b7965e40fd9036212d59479d/ml/</t>
        </is>
      </c>
      <c r="AS261" s="10" t="inlineStr"/>
      <c r="AT261" s="10" t="inlineStr">
        <is>
          <t>1</t>
        </is>
      </c>
      <c r="AU261" s="10" t="inlineStr">
        <is>
          <t>No</t>
        </is>
      </c>
      <c r="AV261" s="10" t="inlineStr">
        <is>
          <t>No</t>
        </is>
      </c>
      <c r="AW261" s="10" t="inlineStr">
        <is>
          <t>No</t>
        </is>
      </c>
      <c r="AX261" s="10" t="inlineStr">
        <is>
          <t>No</t>
        </is>
      </c>
      <c r="AY261" s="10" t="inlineStr">
        <is>
          <t>Not Found</t>
        </is>
      </c>
      <c r="AZ261" s="10" t="inlineStr">
        <is>
          <t>Not Found</t>
        </is>
      </c>
      <c r="BA261" s="10" t="inlineStr">
        <is>
          <t>2026-09-17</t>
        </is>
      </c>
      <c r="BB261" s="10" t="inlineStr">
        <is>
          <t>Requires Verification</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UK-000236</t>
        </is>
      </c>
      <c r="B262" s="5" t="inlineStr">
        <is>
          <t>UK-000236-01</t>
        </is>
      </c>
      <c r="C262" s="5" t="inlineStr"/>
      <c r="D262" s="5" t="inlineStr">
        <is>
          <t>Angel Smoke e-Cigarettes</t>
        </is>
      </c>
      <c r="E262" s="5" t="inlineStr">
        <is>
          <t>Angel Smoke</t>
        </is>
      </c>
      <c r="F262" s="5" t="inlineStr"/>
      <c r="G262" s="5" t="inlineStr">
        <is>
          <t>Vape Shop</t>
        </is>
      </c>
      <c r="H262" s="5" t="inlineStr">
        <is>
          <t>E-cigarette shop (also fireworks)</t>
        </is>
      </c>
      <c r="I262" s="5" t="inlineStr">
        <is>
          <t>Independent</t>
        </is>
      </c>
      <c r="J262" s="5" t="inlineStr">
        <is>
          <t>1</t>
        </is>
      </c>
      <c r="K262" s="5" t="inlineStr">
        <is>
          <t>https://angelsmoke.co.uk</t>
        </is>
      </c>
      <c r="L262" s="5" t="inlineStr">
        <is>
          <t>https://www.facebook.com/angelsmokeshop/</t>
        </is>
      </c>
      <c r="M262" s="5" t="inlineStr"/>
      <c r="N262" s="5" t="inlineStr"/>
      <c r="O262" s="5" t="inlineStr">
        <is>
          <t>62-64 Rawmarsh Hill</t>
        </is>
      </c>
      <c r="P262" s="5" t="inlineStr">
        <is>
          <t>Rawmarsh</t>
        </is>
      </c>
      <c r="Q262" s="5" t="inlineStr">
        <is>
          <t>Rotherham</t>
        </is>
      </c>
      <c r="R262" s="5" t="inlineStr">
        <is>
          <t>South Yorkshire</t>
        </is>
      </c>
      <c r="S262" s="5" t="inlineStr">
        <is>
          <t>S62 6EU</t>
        </is>
      </c>
      <c r="T262" s="5" t="inlineStr">
        <is>
          <t>Yorkshire &amp; Humber</t>
        </is>
      </c>
      <c r="U262" s="5" t="inlineStr">
        <is>
          <t>England</t>
        </is>
      </c>
      <c r="V262" s="5" t="inlineStr">
        <is>
          <t>01709 322634</t>
        </is>
      </c>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e-cigarettes; e-liquids; vape kits; fireworks</t>
        </is>
      </c>
      <c r="AL262" s="5" t="inlineStr"/>
      <c r="AM262" s="5" t="inlineStr">
        <is>
          <t>Vape Shop</t>
        </is>
      </c>
      <c r="AN262" s="5" t="inlineStr"/>
      <c r="AO262" s="5" t="inlineStr">
        <is>
          <t>Independent vape shop (trades as Angel Smoke Vape Shop &amp; Rotherham Fireworks) in Rawmarsh, Rotherham. Address/postcode/phone from Chamber of Commerce and Wheree directory listings.</t>
        </is>
      </c>
      <c r="AP262" s="5" t="inlineStr">
        <is>
          <t>Medium</t>
        </is>
      </c>
      <c r="AQ262" s="5" t="inlineStr">
        <is>
          <t>Independent retailer; Core relevant category; Active website; Social presence</t>
        </is>
      </c>
      <c r="AR262" s="5" t="inlineStr">
        <is>
          <t>https://www.chamberofcommerce.uk/business-directory/england/sheffield/miscellaneous/307306-angel-smoke-vape-shop-rotherham-fireworks</t>
        </is>
      </c>
      <c r="AS262" s="5" t="inlineStr">
        <is>
          <t>https://angel-smoke-vape-shop-rotherham-fireworks.wheree.com/</t>
        </is>
      </c>
      <c r="AT262" s="5" t="inlineStr">
        <is>
          <t>2</t>
        </is>
      </c>
      <c r="AU262" s="5" t="inlineStr">
        <is>
          <t>No</t>
        </is>
      </c>
      <c r="AV262" s="5" t="inlineStr">
        <is>
          <t>No</t>
        </is>
      </c>
      <c r="AW262" s="5" t="inlineStr">
        <is>
          <t>No</t>
        </is>
      </c>
      <c r="AX262" s="5" t="inlineStr">
        <is>
          <t>No</t>
        </is>
      </c>
      <c r="AY262" s="5" t="inlineStr">
        <is>
          <t>Verified directory</t>
        </is>
      </c>
      <c r="AZ262" s="5" t="inlineStr">
        <is>
          <t>Website Found</t>
        </is>
      </c>
      <c r="BA262" s="5" t="inlineStr">
        <is>
          <t>2026-09-17</t>
        </is>
      </c>
      <c r="BB262" s="5" t="inlineStr">
        <is>
          <t>Requires Verification</t>
        </is>
      </c>
      <c r="BC262" s="5" t="inlineStr">
        <is>
          <t>Medium</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2026-09-17</t>
        </is>
      </c>
      <c r="BL262" s="5" t="inlineStr"/>
      <c r="BM262" s="5" t="inlineStr"/>
      <c r="BN262" s="5" t="inlineStr"/>
      <c r="BO262" s="5" t="inlineStr"/>
      <c r="BP262" s="5" t="inlineStr"/>
      <c r="BQ262" s="5" t="inlineStr"/>
    </row>
    <row r="263">
      <c r="A263" s="10" t="inlineStr">
        <is>
          <t>UK-000578</t>
        </is>
      </c>
      <c r="B263" s="10" t="inlineStr">
        <is>
          <t>UK-000578-01</t>
        </is>
      </c>
      <c r="C263" s="10" t="inlineStr"/>
      <c r="D263" s="10" t="inlineStr">
        <is>
          <t>Anglo Asian Cash &amp; Carry Ltd</t>
        </is>
      </c>
      <c r="E263" s="10" t="inlineStr">
        <is>
          <t>Anglo Asian Cash &amp; Carry</t>
        </is>
      </c>
      <c r="F263" s="10" t="inlineStr"/>
      <c r="G263" s="10" t="inlineStr">
        <is>
          <t>Cash &amp; Carry</t>
        </is>
      </c>
      <c r="H263" s="10" t="inlineStr"/>
      <c r="I263" s="10" t="inlineStr">
        <is>
          <t>Independent</t>
        </is>
      </c>
      <c r="J263" s="10" t="inlineStr">
        <is>
          <t>1</t>
        </is>
      </c>
      <c r="K263" s="10" t="inlineStr"/>
      <c r="L263" s="10" t="inlineStr"/>
      <c r="M263" s="10" t="inlineStr"/>
      <c r="N263" s="10" t="inlineStr"/>
      <c r="O263" s="10" t="inlineStr">
        <is>
          <t>539 High Road</t>
        </is>
      </c>
      <c r="P263" s="10" t="inlineStr"/>
      <c r="Q263" s="10" t="inlineStr">
        <is>
          <t>Wembley</t>
        </is>
      </c>
      <c r="R263" s="10" t="inlineStr">
        <is>
          <t>Greater London</t>
        </is>
      </c>
      <c r="S263" s="10" t="inlineStr">
        <is>
          <t>HA0 2DJ</t>
        </is>
      </c>
      <c r="T263" s="10" t="inlineStr">
        <is>
          <t>London</t>
        </is>
      </c>
      <c r="U263" s="10" t="inlineStr">
        <is>
          <t>England</t>
        </is>
      </c>
      <c r="V263" s="10" t="inlineStr"/>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grocery wholesale; world foods; ambient goods</t>
        </is>
      </c>
      <c r="AL263" s="10" t="inlineStr"/>
      <c r="AM263" s="10" t="inlineStr">
        <is>
          <t>Cash &amp; Carry</t>
        </is>
      </c>
      <c r="AN263" s="10" t="inlineStr"/>
      <c r="AO263" s="10" t="inlineStr">
        <is>
          <t>Independent cash &amp; carry on Wembley High Road. Address from Yell listing; phone not confirmed in snippet.</t>
        </is>
      </c>
      <c r="AP263" s="10" t="inlineStr">
        <is>
          <t>Medium</t>
        </is>
      </c>
      <c r="AQ263" s="10" t="inlineStr">
        <is>
          <t>Independent retailer; Core relevant category</t>
        </is>
      </c>
      <c r="AR263" s="10" t="inlineStr">
        <is>
          <t>https://www.yell.com/biz/anglo-asian-cash-and-carry-ltd-wembley-3390439/</t>
        </is>
      </c>
      <c r="AS263" s="10" t="inlineStr"/>
      <c r="AT263" s="10" t="inlineStr">
        <is>
          <t>1</t>
        </is>
      </c>
      <c r="AU263" s="10" t="inlineStr">
        <is>
          <t>No</t>
        </is>
      </c>
      <c r="AV263" s="10" t="inlineStr">
        <is>
          <t>No</t>
        </is>
      </c>
      <c r="AW263" s="10" t="inlineStr">
        <is>
          <t>No</t>
        </is>
      </c>
      <c r="AX263" s="10" t="inlineStr">
        <is>
          <t>No</t>
        </is>
      </c>
      <c r="AY263" s="10" t="inlineStr">
        <is>
          <t>Not Found</t>
        </is>
      </c>
      <c r="AZ263" s="10" t="inlineStr">
        <is>
          <t>Not Found</t>
        </is>
      </c>
      <c r="BA263" s="10" t="inlineStr">
        <is>
          <t>2026-09-17</t>
        </is>
      </c>
      <c r="BB263" s="10" t="inlineStr">
        <is>
          <t>Requires Verification</t>
        </is>
      </c>
      <c r="BC263" s="10" t="inlineStr">
        <is>
          <t>Low</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2026-09-17</t>
        </is>
      </c>
      <c r="BJ263" s="10" t="inlineStr">
        <is>
          <t>New</t>
        </is>
      </c>
      <c r="BK263" s="10" t="inlineStr">
        <is>
          <t>2026-09-17</t>
        </is>
      </c>
      <c r="BL263" s="10" t="inlineStr"/>
      <c r="BM263" s="10" t="inlineStr"/>
      <c r="BN263" s="10" t="inlineStr"/>
      <c r="BO263" s="10" t="inlineStr"/>
      <c r="BP263" s="10" t="inlineStr"/>
      <c r="BQ263" s="10" t="inlineStr"/>
    </row>
    <row r="264">
      <c r="A264" s="5" t="inlineStr">
        <is>
          <t>UK-000338</t>
        </is>
      </c>
      <c r="B264" s="5" t="inlineStr">
        <is>
          <t>UK-000338-01</t>
        </is>
      </c>
      <c r="C264" s="5" t="inlineStr"/>
      <c r="D264" s="5" t="inlineStr">
        <is>
          <t>Anil's Off Licence</t>
        </is>
      </c>
      <c r="E264" s="5" t="inlineStr">
        <is>
          <t>Anil's Off Licence</t>
        </is>
      </c>
      <c r="F264" s="5" t="inlineStr"/>
      <c r="G264" s="5" t="inlineStr">
        <is>
          <t>Off-Licence</t>
        </is>
      </c>
      <c r="H264" s="5" t="inlineStr"/>
      <c r="I264" s="5" t="inlineStr">
        <is>
          <t>Independent</t>
        </is>
      </c>
      <c r="J264" s="5" t="inlineStr">
        <is>
          <t>1</t>
        </is>
      </c>
      <c r="K264" s="5" t="inlineStr"/>
      <c r="L264" s="5" t="inlineStr"/>
      <c r="M264" s="5" t="inlineStr"/>
      <c r="N264" s="5" t="inlineStr"/>
      <c r="O264" s="5" t="inlineStr">
        <is>
          <t>427 Chorley Old Road</t>
        </is>
      </c>
      <c r="P264" s="5" t="inlineStr"/>
      <c r="Q264" s="5" t="inlineStr">
        <is>
          <t>Bolton</t>
        </is>
      </c>
      <c r="R264" s="5" t="inlineStr">
        <is>
          <t>Greater Manchester</t>
        </is>
      </c>
      <c r="S264" s="5" t="inlineStr">
        <is>
          <t>BL1 6AH</t>
        </is>
      </c>
      <c r="T264" s="5" t="inlineStr">
        <is>
          <t>North West</t>
        </is>
      </c>
      <c r="U264" s="5" t="inlineStr">
        <is>
          <t>England</t>
        </is>
      </c>
      <c r="V264" s="5" t="inlineStr"/>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beer; wine; spirits; convenience</t>
        </is>
      </c>
      <c r="AL264" s="5" t="inlineStr"/>
      <c r="AM264" s="5" t="inlineStr">
        <is>
          <t>Off-Licence</t>
        </is>
      </c>
      <c r="AN264" s="5" t="inlineStr"/>
      <c r="AO264" s="5" t="inlineStr">
        <is>
          <t>Independent off-licence on Chorley Old Road, Bolton (BL1 6AH).</t>
        </is>
      </c>
      <c r="AP264" s="5" t="inlineStr">
        <is>
          <t>Low</t>
        </is>
      </c>
      <c r="AQ264" s="5" t="inlineStr">
        <is>
          <t>Independent retailer; Relevant category</t>
        </is>
      </c>
      <c r="AR264" s="5" t="inlineStr">
        <is>
          <t>https://www.britaine.co.uk/anil-s-off-licence-F1B07C40413</t>
        </is>
      </c>
      <c r="AS264" s="5" t="inlineStr"/>
      <c r="AT264" s="5" t="inlineStr">
        <is>
          <t>1</t>
        </is>
      </c>
      <c r="AU264" s="5" t="inlineStr">
        <is>
          <t>No</t>
        </is>
      </c>
      <c r="AV264" s="5" t="inlineStr">
        <is>
          <t>No</t>
        </is>
      </c>
      <c r="AW264" s="5" t="inlineStr">
        <is>
          <t>No</t>
        </is>
      </c>
      <c r="AX264" s="5" t="inlineStr">
        <is>
          <t>No</t>
        </is>
      </c>
      <c r="AY264" s="5" t="inlineStr">
        <is>
          <t>Not Found</t>
        </is>
      </c>
      <c r="AZ264" s="5" t="inlineStr">
        <is>
          <t>Not Found</t>
        </is>
      </c>
      <c r="BA264" s="5" t="inlineStr">
        <is>
          <t>2026-09-17</t>
        </is>
      </c>
      <c r="BB264" s="5" t="inlineStr">
        <is>
          <t>Requires Verification</t>
        </is>
      </c>
      <c r="BC264" s="5" t="inlineStr">
        <is>
          <t>Low</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WY-0050</t>
        </is>
      </c>
      <c r="B265" s="10" t="inlineStr">
        <is>
          <t>WY-0050-01</t>
        </is>
      </c>
      <c r="C265" s="10" t="inlineStr"/>
      <c r="D265" s="10" t="inlineStr">
        <is>
          <t>Anwarsons Newsagency</t>
        </is>
      </c>
      <c r="E265" s="10" t="inlineStr">
        <is>
          <t>Anwarsons Quality Tobacconists</t>
        </is>
      </c>
      <c r="F265" s="10" t="inlineStr"/>
      <c r="G265" s="10" t="inlineStr">
        <is>
          <t>Newsagent</t>
        </is>
      </c>
      <c r="H265" s="10" t="inlineStr">
        <is>
          <t>Newsagent and tobacconist</t>
        </is>
      </c>
      <c r="I265" s="10" t="inlineStr">
        <is>
          <t>Independent</t>
        </is>
      </c>
      <c r="J265" s="10" t="inlineStr">
        <is>
          <t>1</t>
        </is>
      </c>
      <c r="K265" s="10" t="inlineStr"/>
      <c r="L265" s="10" t="inlineStr"/>
      <c r="M265" s="10" t="inlineStr"/>
      <c r="N265" s="10" t="inlineStr"/>
      <c r="O265" s="10" t="inlineStr">
        <is>
          <t>41 Bethel Street</t>
        </is>
      </c>
      <c r="P265" s="10" t="inlineStr"/>
      <c r="Q265" s="10" t="inlineStr">
        <is>
          <t>Brighouse</t>
        </is>
      </c>
      <c r="R265" s="10" t="inlineStr">
        <is>
          <t>West Yorkshire</t>
        </is>
      </c>
      <c r="S265" s="10" t="inlineStr">
        <is>
          <t>HD6 1JR</t>
        </is>
      </c>
      <c r="T265" s="10" t="inlineStr">
        <is>
          <t>Yorkshire &amp; Humber</t>
        </is>
      </c>
      <c r="U265" s="10" t="inlineStr">
        <is>
          <t>England</t>
        </is>
      </c>
      <c r="V265" s="10" t="inlineStr">
        <is>
          <t>01484 717622</t>
        </is>
      </c>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news; tobacco; cigars; confectionery</t>
        </is>
      </c>
      <c r="AL265" s="10" t="inlineStr"/>
      <c r="AM265" s="10" t="inlineStr">
        <is>
          <t>Newsagent</t>
        </is>
      </c>
      <c r="AN265" s="10" t="inlineStr"/>
      <c r="AO265" s="10" t="inlineStr">
        <is>
          <t>Also listed as 'Anwarsons Quality Tobacconists' (MisterWhat) - dual newsagent/tobacconist offer.</t>
        </is>
      </c>
      <c r="AP265" s="10" t="inlineStr">
        <is>
          <t>Low</t>
        </is>
      </c>
      <c r="AQ265" s="10" t="inlineStr">
        <is>
          <t>Independent retailer; Relevant category</t>
        </is>
      </c>
      <c r="AR265" s="10" t="inlineStr">
        <is>
          <t>https://thomsonlocal.com/search/Newsagents/Wyke-West-Yorkshire/Anwarsons-Newsagency/2652959/01484717622</t>
        </is>
      </c>
      <c r="AS265" s="10" t="inlineStr">
        <is>
          <t>https://www.misterwhat.co.uk/company/540928-anwarsons-quality-tobacconists-brighouse</t>
        </is>
      </c>
      <c r="AT265" s="10" t="inlineStr">
        <is>
          <t>3</t>
        </is>
      </c>
      <c r="AU265" s="10" t="inlineStr">
        <is>
          <t>No</t>
        </is>
      </c>
      <c r="AV265" s="10" t="inlineStr">
        <is>
          <t>No</t>
        </is>
      </c>
      <c r="AW265" s="10" t="inlineStr">
        <is>
          <t>No</t>
        </is>
      </c>
      <c r="AX265" s="10" t="inlineStr">
        <is>
          <t>No</t>
        </is>
      </c>
      <c r="AY265" s="10" t="inlineStr">
        <is>
          <t>Verified directory</t>
        </is>
      </c>
      <c r="AZ265" s="10" t="inlineStr">
        <is>
          <t>Not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2026-09-16</t>
        </is>
      </c>
      <c r="BJ265" s="10" t="inlineStr">
        <is>
          <t>New</t>
        </is>
      </c>
      <c r="BK265" s="10" t="inlineStr">
        <is>
          <t>2026-09-17</t>
        </is>
      </c>
      <c r="BL265" s="10" t="inlineStr"/>
      <c r="BM265" s="10" t="inlineStr"/>
      <c r="BN265" s="10" t="inlineStr"/>
      <c r="BO265" s="10" t="inlineStr"/>
      <c r="BP265" s="10" t="inlineStr"/>
      <c r="BQ265" s="10" t="inlineStr"/>
    </row>
    <row r="266">
      <c r="A266" s="5" t="inlineStr">
        <is>
          <t>UK-000339</t>
        </is>
      </c>
      <c r="B266" s="5" t="inlineStr">
        <is>
          <t>UK-000339-01</t>
        </is>
      </c>
      <c r="C266" s="5" t="inlineStr"/>
      <c r="D266" s="5" t="inlineStr">
        <is>
          <t>Arif Grocers</t>
        </is>
      </c>
      <c r="E266" s="5" t="inlineStr">
        <is>
          <t>Arif Grocers</t>
        </is>
      </c>
      <c r="F266" s="5" t="inlineStr"/>
      <c r="G266" s="5" t="inlineStr">
        <is>
          <t>Independent Supermarket</t>
        </is>
      </c>
      <c r="H266" s="5" t="inlineStr">
        <is>
          <t>Asian grocery</t>
        </is>
      </c>
      <c r="I266" s="5" t="inlineStr">
        <is>
          <t>Independent</t>
        </is>
      </c>
      <c r="J266" s="5" t="inlineStr">
        <is>
          <t>1</t>
        </is>
      </c>
      <c r="K266" s="5" t="inlineStr"/>
      <c r="L266" s="5" t="inlineStr"/>
      <c r="M266" s="5" t="inlineStr">
        <is>
          <t>https://www.instagram.com/arifgrocers/</t>
        </is>
      </c>
      <c r="N266" s="5" t="inlineStr"/>
      <c r="O266" s="5" t="inlineStr">
        <is>
          <t>49 Ramsey Street</t>
        </is>
      </c>
      <c r="P266" s="5" t="inlineStr"/>
      <c r="Q266" s="5" t="inlineStr">
        <is>
          <t>Rochdale</t>
        </is>
      </c>
      <c r="R266" s="5" t="inlineStr">
        <is>
          <t>Greater Manchester</t>
        </is>
      </c>
      <c r="S266" s="5" t="inlineStr">
        <is>
          <t>OL16 2BX</t>
        </is>
      </c>
      <c r="T266" s="5" t="inlineStr">
        <is>
          <t>North West</t>
        </is>
      </c>
      <c r="U266" s="5" t="inlineStr">
        <is>
          <t>England</t>
        </is>
      </c>
      <c r="V266" s="5" t="inlineStr"/>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Asian groceries; fresh produce</t>
        </is>
      </c>
      <c r="AL266" s="5" t="inlineStr"/>
      <c r="AM266" s="5" t="inlineStr">
        <is>
          <t>Independent Supermarket</t>
        </is>
      </c>
      <c r="AN266" s="5" t="inlineStr"/>
      <c r="AO266" s="5" t="inlineStr">
        <is>
          <t>Family-run Asian grocery serving Rochdale for ~30 years.</t>
        </is>
      </c>
      <c r="AP266" s="5" t="inlineStr">
        <is>
          <t>Medium</t>
        </is>
      </c>
      <c r="AQ266" s="5" t="inlineStr">
        <is>
          <t>Independent retailer; Relevant category; Social presence</t>
        </is>
      </c>
      <c r="AR266" s="5" t="inlineStr">
        <is>
          <t>https://www.instagram.com/arifgrocers/</t>
        </is>
      </c>
      <c r="AS266" s="5" t="inlineStr"/>
      <c r="AT266" s="5" t="inlineStr">
        <is>
          <t>1</t>
        </is>
      </c>
      <c r="AU266" s="5" t="inlineStr">
        <is>
          <t>No</t>
        </is>
      </c>
      <c r="AV266" s="5" t="inlineStr">
        <is>
          <t>No</t>
        </is>
      </c>
      <c r="AW266" s="5" t="inlineStr">
        <is>
          <t>No</t>
        </is>
      </c>
      <c r="AX266" s="5" t="inlineStr">
        <is>
          <t>No</t>
        </is>
      </c>
      <c r="AY266" s="5" t="inlineStr">
        <is>
          <t>Not Found</t>
        </is>
      </c>
      <c r="AZ266" s="5" t="inlineStr">
        <is>
          <t>Not Found</t>
        </is>
      </c>
      <c r="BA266" s="5" t="inlineStr">
        <is>
          <t>2026-09-17</t>
        </is>
      </c>
      <c r="BB266" s="5" t="inlineStr">
        <is>
          <t>Requires Verification</t>
        </is>
      </c>
      <c r="BC266" s="5" t="inlineStr">
        <is>
          <t>Low</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WY-0051</t>
        </is>
      </c>
      <c r="B267" s="10" t="inlineStr">
        <is>
          <t>WY-0051-01</t>
        </is>
      </c>
      <c r="C267" s="10" t="inlineStr"/>
      <c r="D267" s="10" t="inlineStr">
        <is>
          <t>Armley Ridge Road Convenience Store &amp; Off-Licence</t>
        </is>
      </c>
      <c r="E267" s="10" t="inlineStr">
        <is>
          <t>Armley Ridge Road Convenience Store &amp; Off-Licence</t>
        </is>
      </c>
      <c r="F267" s="10" t="inlineStr"/>
      <c r="G267" s="10" t="inlineStr">
        <is>
          <t>Convenience Store</t>
        </is>
      </c>
      <c r="H267" s="10" t="inlineStr">
        <is>
          <t>Convenience store with off-licence</t>
        </is>
      </c>
      <c r="I267" s="10" t="inlineStr">
        <is>
          <t>Independent</t>
        </is>
      </c>
      <c r="J267" s="10" t="inlineStr">
        <is>
          <t>1</t>
        </is>
      </c>
      <c r="K267" s="10" t="inlineStr"/>
      <c r="L267" s="10" t="inlineStr">
        <is>
          <t>https://www.facebook.com/NoProblemArmley/</t>
        </is>
      </c>
      <c r="M267" s="10" t="inlineStr"/>
      <c r="N267" s="10" t="inlineStr"/>
      <c r="O267" s="10" t="inlineStr">
        <is>
          <t>Armley Ridge Road</t>
        </is>
      </c>
      <c r="P267" s="10" t="inlineStr">
        <is>
          <t>Armley</t>
        </is>
      </c>
      <c r="Q267" s="10" t="inlineStr">
        <is>
          <t>Leeds</t>
        </is>
      </c>
      <c r="R267" s="10" t="inlineStr">
        <is>
          <t>West Yorkshire</t>
        </is>
      </c>
      <c r="S267" s="10" t="inlineStr"/>
      <c r="T267" s="10" t="inlineStr">
        <is>
          <t>Yorkshire &amp; Humber</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groceries; alcohol</t>
        </is>
      </c>
      <c r="AL267" s="10" t="inlineStr"/>
      <c r="AM267" s="10" t="inlineStr">
        <is>
          <t>Convenience Store</t>
        </is>
      </c>
      <c r="AN267" s="10" t="inlineStr"/>
      <c r="AO267" s="10" t="inlineStr">
        <is>
          <t>Active Facebook business page for an Armley convenience store and off-licence; street number not published in sources found.</t>
        </is>
      </c>
      <c r="AP267" s="10" t="inlineStr">
        <is>
          <t>Medium</t>
        </is>
      </c>
      <c r="AQ267" s="10" t="inlineStr">
        <is>
          <t>Independent retailer; Relevant category; Social presence</t>
        </is>
      </c>
      <c r="AR267" s="10" t="inlineStr">
        <is>
          <t>https://www.facebook.com/NoProblemArmley/</t>
        </is>
      </c>
      <c r="AS267" s="10" t="inlineStr"/>
      <c r="AT267" s="10" t="inlineStr">
        <is>
          <t>1</t>
        </is>
      </c>
      <c r="AU267" s="10" t="inlineStr">
        <is>
          <t>No</t>
        </is>
      </c>
      <c r="AV267" s="10" t="inlineStr">
        <is>
          <t>No</t>
        </is>
      </c>
      <c r="AW267" s="10" t="inlineStr">
        <is>
          <t>No</t>
        </is>
      </c>
      <c r="AX267" s="10" t="inlineStr">
        <is>
          <t>No</t>
        </is>
      </c>
      <c r="AY267" s="10" t="inlineStr">
        <is>
          <t>Not Found</t>
        </is>
      </c>
      <c r="AZ267" s="10" t="inlineStr">
        <is>
          <t>Not Found</t>
        </is>
      </c>
      <c r="BA267" s="10" t="inlineStr">
        <is>
          <t>2026-09-17</t>
        </is>
      </c>
      <c r="BB267" s="10" t="inlineStr">
        <is>
          <t>Requires Verification</t>
        </is>
      </c>
      <c r="BC267" s="10" t="inlineStr">
        <is>
          <t>Low</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2026-09-16</t>
        </is>
      </c>
      <c r="BJ267" s="10" t="inlineStr">
        <is>
          <t>New</t>
        </is>
      </c>
      <c r="BK267" s="10" t="inlineStr">
        <is>
          <t>2026-09-17</t>
        </is>
      </c>
      <c r="BL267" s="10" t="inlineStr"/>
      <c r="BM267" s="10" t="inlineStr"/>
      <c r="BN267" s="10" t="inlineStr"/>
      <c r="BO267" s="10" t="inlineStr"/>
      <c r="BP267" s="10" t="inlineStr"/>
      <c r="BQ267" s="10" t="inlineStr"/>
    </row>
    <row r="268">
      <c r="A268" s="5" t="inlineStr">
        <is>
          <t>UK-000340</t>
        </is>
      </c>
      <c r="B268" s="5" t="inlineStr">
        <is>
          <t>UK-000340-01</t>
        </is>
      </c>
      <c r="C268" s="5" t="inlineStr"/>
      <c r="D268" s="5" t="inlineStr">
        <is>
          <t>Arthur Morris Tobacconists</t>
        </is>
      </c>
      <c r="E268" s="5" t="inlineStr">
        <is>
          <t>Arthur Morris Tobacconists</t>
        </is>
      </c>
      <c r="F268" s="5" t="inlineStr">
        <is>
          <t>Arthur Morris Tobacconists Plc Ltd</t>
        </is>
      </c>
      <c r="G268" s="5" t="inlineStr">
        <is>
          <t>Tobacco Specialist</t>
        </is>
      </c>
      <c r="H268" s="5" t="inlineStr">
        <is>
          <t>Tobacconist and cigar specialist</t>
        </is>
      </c>
      <c r="I268" s="5" t="inlineStr">
        <is>
          <t>Independent</t>
        </is>
      </c>
      <c r="J268" s="5" t="inlineStr">
        <is>
          <t>1</t>
        </is>
      </c>
      <c r="K268" s="5" t="inlineStr"/>
      <c r="L268" s="5" t="inlineStr"/>
      <c r="M268" s="5" t="inlineStr"/>
      <c r="N268" s="5" t="inlineStr"/>
      <c r="O268" s="5" t="inlineStr">
        <is>
          <t>71 Bradshawgate</t>
        </is>
      </c>
      <c r="P268" s="5" t="inlineStr"/>
      <c r="Q268" s="5" t="inlineStr">
        <is>
          <t>Bolton</t>
        </is>
      </c>
      <c r="R268" s="5" t="inlineStr">
        <is>
          <t>Greater Manchester</t>
        </is>
      </c>
      <c r="S268" s="5" t="inlineStr"/>
      <c r="T268" s="5" t="inlineStr">
        <is>
          <t>North West</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tobacco; cigars; pipes; smoking accessories</t>
        </is>
      </c>
      <c r="AL268" s="5" t="inlineStr"/>
      <c r="AM268" s="5" t="inlineStr">
        <is>
          <t>Tobacco Specialist</t>
        </is>
      </c>
      <c r="AN268" s="5" t="inlineStr"/>
      <c r="AO268" s="5" t="inlineStr">
        <is>
          <t>Long-established independent tobacconist and cigar specialist, 71 Bradshawgate, Bolton town centre. Postcode not confirmed in snippet.</t>
        </is>
      </c>
      <c r="AP268" s="5" t="inlineStr">
        <is>
          <t>Medium</t>
        </is>
      </c>
      <c r="AQ268" s="5" t="inlineStr">
        <is>
          <t>Independent retailer; Core relevant category</t>
        </is>
      </c>
      <c r="AR268" s="5" t="inlineStr">
        <is>
          <t>https://www.yelp.com/biz/arthur-morris-tobacconists-bolton</t>
        </is>
      </c>
      <c r="AS268" s="5" t="inlineStr">
        <is>
          <t>https://wegetyoufound.co.uk/listings/arthur-morris-tobacconists-plc-ltd/bolton/tobacco-shop</t>
        </is>
      </c>
      <c r="AT268" s="5" t="inlineStr">
        <is>
          <t>2</t>
        </is>
      </c>
      <c r="AU268" s="5" t="inlineStr">
        <is>
          <t>No</t>
        </is>
      </c>
      <c r="AV268" s="5" t="inlineStr">
        <is>
          <t>No</t>
        </is>
      </c>
      <c r="AW268" s="5" t="inlineStr">
        <is>
          <t>No</t>
        </is>
      </c>
      <c r="AX268" s="5" t="inlineStr">
        <is>
          <t>No</t>
        </is>
      </c>
      <c r="AY268" s="5" t="inlineStr">
        <is>
          <t>Not Found</t>
        </is>
      </c>
      <c r="AZ268" s="5" t="inlineStr">
        <is>
          <t>Not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2026-09-17</t>
        </is>
      </c>
      <c r="BJ268" s="5" t="inlineStr">
        <is>
          <t>New</t>
        </is>
      </c>
      <c r="BK268" s="5" t="inlineStr">
        <is>
          <t>2026-09-17</t>
        </is>
      </c>
      <c r="BL268" s="5" t="inlineStr"/>
      <c r="BM268" s="5" t="inlineStr"/>
      <c r="BN268" s="5" t="inlineStr"/>
      <c r="BO268" s="5" t="inlineStr"/>
      <c r="BP268" s="5" t="inlineStr"/>
      <c r="BQ268" s="5" t="inlineStr"/>
    </row>
    <row r="269">
      <c r="A269" s="10" t="inlineStr">
        <is>
          <t>UK-000453</t>
        </is>
      </c>
      <c r="B269" s="10" t="inlineStr">
        <is>
          <t>UK-000453-01</t>
        </is>
      </c>
      <c r="C269" s="10" t="inlineStr"/>
      <c r="D269" s="10" t="inlineStr">
        <is>
          <t>Artisan Vapor Oldbury</t>
        </is>
      </c>
      <c r="E269" s="10" t="inlineStr">
        <is>
          <t>Artisan Vapor</t>
        </is>
      </c>
      <c r="F269" s="10" t="inlineStr"/>
      <c r="G269" s="10" t="inlineStr">
        <is>
          <t>Vape Shop</t>
        </is>
      </c>
      <c r="H269" s="10" t="inlineStr">
        <is>
          <t>Personal vaporisers, e-liquid &amp; e-cigarettes</t>
        </is>
      </c>
      <c r="I269" s="10" t="inlineStr">
        <is>
          <t>Independent</t>
        </is>
      </c>
      <c r="J269" s="10" t="inlineStr">
        <is>
          <t>1</t>
        </is>
      </c>
      <c r="K269" s="10" t="inlineStr"/>
      <c r="L269" s="10" t="inlineStr"/>
      <c r="M269" s="10" t="inlineStr"/>
      <c r="N269" s="10" t="inlineStr"/>
      <c r="O269" s="10" t="inlineStr"/>
      <c r="P269" s="10" t="inlineStr"/>
      <c r="Q269" s="10" t="inlineStr">
        <is>
          <t>Oldbury</t>
        </is>
      </c>
      <c r="R269" s="10" t="inlineStr">
        <is>
          <t>West Midlands</t>
        </is>
      </c>
      <c r="S269" s="10" t="inlineStr"/>
      <c r="T269" s="10" t="inlineStr">
        <is>
          <t>West Midlands</t>
        </is>
      </c>
      <c r="U269" s="10" t="inlineStr">
        <is>
          <t>England</t>
        </is>
      </c>
      <c r="V269" s="10" t="inlineStr"/>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vape hardware; e-liquids; e-cigarettes</t>
        </is>
      </c>
      <c r="AL269" s="10" t="inlineStr"/>
      <c r="AM269" s="10" t="inlineStr">
        <is>
          <t>Vape Shop</t>
        </is>
      </c>
      <c r="AN269" s="10" t="inlineStr"/>
      <c r="AO269" s="10" t="inlineStr">
        <is>
          <t>Independent vape shop in Oldbury supplying personal vaporisers, e-liquid and e-cigarette supplies. Listed on eCig Directory UK; exact address not in snippet.</t>
        </is>
      </c>
      <c r="AP269" s="10" t="inlineStr">
        <is>
          <t>Medium</t>
        </is>
      </c>
      <c r="AQ269" s="10" t="inlineStr">
        <is>
          <t>Independent retailer; Core relevant category</t>
        </is>
      </c>
      <c r="AR269" s="10" t="inlineStr">
        <is>
          <t>https://ecigdirectory.co.uk/vape-shop/listing/artisan-vapor-oldbury</t>
        </is>
      </c>
      <c r="AS269" s="10" t="inlineStr"/>
      <c r="AT269" s="10" t="inlineStr">
        <is>
          <t>1</t>
        </is>
      </c>
      <c r="AU269" s="10" t="inlineStr">
        <is>
          <t>No</t>
        </is>
      </c>
      <c r="AV269" s="10" t="inlineStr">
        <is>
          <t>No</t>
        </is>
      </c>
      <c r="AW269" s="10" t="inlineStr">
        <is>
          <t>No</t>
        </is>
      </c>
      <c r="AX269" s="10" t="inlineStr">
        <is>
          <t>No</t>
        </is>
      </c>
      <c r="AY269" s="10" t="inlineStr">
        <is>
          <t>Not Found</t>
        </is>
      </c>
      <c r="AZ269" s="10" t="inlineStr">
        <is>
          <t>Not Found</t>
        </is>
      </c>
      <c r="BA269" s="10" t="inlineStr">
        <is>
          <t>2026-09-17</t>
        </is>
      </c>
      <c r="BB269" s="10" t="inlineStr">
        <is>
          <t>Requires Verification</t>
        </is>
      </c>
      <c r="BC269" s="10" t="inlineStr">
        <is>
          <t>Low</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2026-09-17</t>
        </is>
      </c>
      <c r="BJ269" s="10" t="inlineStr">
        <is>
          <t>New</t>
        </is>
      </c>
      <c r="BK269" s="10" t="inlineStr">
        <is>
          <t>2026-09-17</t>
        </is>
      </c>
      <c r="BL269" s="10" t="inlineStr"/>
      <c r="BM269" s="10" t="inlineStr"/>
      <c r="BN269" s="10" t="inlineStr"/>
      <c r="BO269" s="10" t="inlineStr"/>
      <c r="BP269" s="10" t="inlineStr"/>
      <c r="BQ269" s="10" t="inlineStr"/>
    </row>
    <row r="270">
      <c r="A270" s="5" t="inlineStr">
        <is>
          <t>UK-000755</t>
        </is>
      </c>
      <c r="B270" s="5" t="inlineStr">
        <is>
          <t>UK-000755-01</t>
        </is>
      </c>
      <c r="C270" s="5" t="inlineStr"/>
      <c r="D270" s="5" t="inlineStr">
        <is>
          <t>Ashok &amp; Vanita House</t>
        </is>
      </c>
      <c r="E270" s="5" t="inlineStr">
        <is>
          <t>Ashok &amp; Vanita House</t>
        </is>
      </c>
      <c r="F270" s="5" t="inlineStr"/>
      <c r="G270" s="5" t="inlineStr">
        <is>
          <t>Off-Licence</t>
        </is>
      </c>
      <c r="H270" s="5" t="inlineStr">
        <is>
          <t>Off-licence / convenience</t>
        </is>
      </c>
      <c r="I270" s="5" t="inlineStr">
        <is>
          <t>Independent</t>
        </is>
      </c>
      <c r="J270" s="5" t="inlineStr">
        <is>
          <t>1</t>
        </is>
      </c>
      <c r="K270" s="5" t="inlineStr"/>
      <c r="L270" s="5" t="inlineStr"/>
      <c r="M270" s="5" t="inlineStr"/>
      <c r="N270" s="5" t="inlineStr"/>
      <c r="O270" s="5" t="inlineStr">
        <is>
          <t>87 Anfield Road</t>
        </is>
      </c>
      <c r="P270" s="5" t="inlineStr">
        <is>
          <t>Anfield</t>
        </is>
      </c>
      <c r="Q270" s="5" t="inlineStr">
        <is>
          <t>Liverpool</t>
        </is>
      </c>
      <c r="R270" s="5" t="inlineStr">
        <is>
          <t>Merseyside</t>
        </is>
      </c>
      <c r="S270" s="5" t="inlineStr">
        <is>
          <t>L4 0TJ</t>
        </is>
      </c>
      <c r="T270" s="5" t="inlineStr">
        <is>
          <t>North West</t>
        </is>
      </c>
      <c r="U270" s="5" t="inlineStr">
        <is>
          <t>England</t>
        </is>
      </c>
      <c r="V270" s="5" t="inlineStr">
        <is>
          <t>07956 121045</t>
        </is>
      </c>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wines; beers; spirits; convenience groceries</t>
        </is>
      </c>
      <c r="AL270" s="5" t="inlineStr"/>
      <c r="AM270" s="5" t="inlineStr">
        <is>
          <t>Off-Licence</t>
        </is>
      </c>
      <c r="AN270" s="5" t="inlineStr"/>
      <c r="AO270" s="5" t="inlineStr">
        <is>
          <t>Independent off-licence on Anfield Road (L4), near Anfield stadium.</t>
        </is>
      </c>
      <c r="AP270" s="5" t="inlineStr">
        <is>
          <t>Low</t>
        </is>
      </c>
      <c r="AQ270" s="5" t="inlineStr">
        <is>
          <t>Independent retailer; Relevant category</t>
        </is>
      </c>
      <c r="AR270" s="5" t="inlineStr">
        <is>
          <t>https://anfield.cylex-uk.co.uk/off-licence.html</t>
        </is>
      </c>
      <c r="AS270" s="5" t="inlineStr"/>
      <c r="AT270" s="5" t="inlineStr">
        <is>
          <t>1</t>
        </is>
      </c>
      <c r="AU270" s="5" t="inlineStr">
        <is>
          <t>No</t>
        </is>
      </c>
      <c r="AV270" s="5" t="inlineStr">
        <is>
          <t>No</t>
        </is>
      </c>
      <c r="AW270" s="5" t="inlineStr">
        <is>
          <t>No</t>
        </is>
      </c>
      <c r="AX270" s="5" t="inlineStr">
        <is>
          <t>No</t>
        </is>
      </c>
      <c r="AY270" s="5" t="inlineStr">
        <is>
          <t>Verified directory</t>
        </is>
      </c>
      <c r="AZ270" s="5" t="inlineStr">
        <is>
          <t>Not Found</t>
        </is>
      </c>
      <c r="BA270" s="5" t="inlineStr">
        <is>
          <t>2026-09-17</t>
        </is>
      </c>
      <c r="BB270" s="5" t="inlineStr">
        <is>
          <t>Requires Verification</t>
        </is>
      </c>
      <c r="BC270" s="5" t="inlineStr">
        <is>
          <t>Low</t>
        </is>
      </c>
      <c r="BD270" s="5" t="inlineStr"/>
      <c r="BE270" s="5" t="inlineStr">
        <is>
          <t>Business (B2B)</t>
        </is>
      </c>
      <c r="BF270" s="5" t="inlineStr">
        <is>
          <t>Legitimate interest (B2B) - assess per campaign; PECR: corporate subscribers</t>
        </is>
      </c>
      <c r="BG270" s="5" t="inlineStr"/>
      <c r="BH270" s="5" t="inlineStr">
        <is>
          <t>No</t>
        </is>
      </c>
      <c r="BI270" s="5" t="inlineStr">
        <is>
          <t>2026-09-17</t>
        </is>
      </c>
      <c r="BJ270" s="5" t="inlineStr">
        <is>
          <t>New</t>
        </is>
      </c>
      <c r="BK270" s="5" t="inlineStr">
        <is>
          <t>2026-09-17</t>
        </is>
      </c>
      <c r="BL270" s="5" t="inlineStr"/>
      <c r="BM270" s="5" t="inlineStr"/>
      <c r="BN270" s="5" t="inlineStr"/>
      <c r="BO270" s="5" t="inlineStr"/>
      <c r="BP270" s="5" t="inlineStr"/>
      <c r="BQ270" s="5" t="inlineStr"/>
    </row>
    <row r="271">
      <c r="A271" s="10" t="inlineStr">
        <is>
          <t>WY-0052</t>
        </is>
      </c>
      <c r="B271" s="10" t="inlineStr">
        <is>
          <t>WY-0052-01</t>
        </is>
      </c>
      <c r="C271" s="10" t="inlineStr"/>
      <c r="D271" s="10" t="inlineStr">
        <is>
          <t>Asia Foods</t>
        </is>
      </c>
      <c r="E271" s="10" t="inlineStr">
        <is>
          <t>Asia Foods</t>
        </is>
      </c>
      <c r="F271" s="10" t="inlineStr"/>
      <c r="G271" s="10" t="inlineStr">
        <is>
          <t>Independent Supermarket</t>
        </is>
      </c>
      <c r="H271" s="10" t="inlineStr">
        <is>
          <t>Asian grocery and halal meat store</t>
        </is>
      </c>
      <c r="I271" s="10" t="inlineStr">
        <is>
          <t>Independent</t>
        </is>
      </c>
      <c r="J271" s="10" t="inlineStr">
        <is>
          <t>1</t>
        </is>
      </c>
      <c r="K271" s="10" t="inlineStr"/>
      <c r="L271" s="10" t="inlineStr"/>
      <c r="M271" s="10" t="inlineStr"/>
      <c r="N271" s="10" t="inlineStr"/>
      <c r="O271" s="10" t="inlineStr">
        <is>
          <t>97-99 Yews Hill Road</t>
        </is>
      </c>
      <c r="P271" s="10" t="inlineStr">
        <is>
          <t>Lockwood</t>
        </is>
      </c>
      <c r="Q271" s="10" t="inlineStr">
        <is>
          <t>Huddersfield</t>
        </is>
      </c>
      <c r="R271" s="10" t="inlineStr">
        <is>
          <t>West Yorkshire</t>
        </is>
      </c>
      <c r="S271" s="10" t="inlineStr">
        <is>
          <t>HD1 3SG</t>
        </is>
      </c>
      <c r="T271" s="10" t="inlineStr">
        <is>
          <t>Yorkshire &amp; Humber</t>
        </is>
      </c>
      <c r="U271" s="10" t="inlineStr">
        <is>
          <t>England</t>
        </is>
      </c>
      <c r="V271" s="10" t="inlineStr">
        <is>
          <t>01484 514828</t>
        </is>
      </c>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Asian groceries; halal meat; fresh produce</t>
        </is>
      </c>
      <c r="AL271" s="10" t="inlineStr"/>
      <c r="AM271" s="10" t="inlineStr">
        <is>
          <t>Independent Supermarket</t>
        </is>
      </c>
      <c r="AN271" s="10" t="inlineStr"/>
      <c r="AO271" s="10" t="inlineStr"/>
      <c r="AP271" s="10" t="inlineStr">
        <is>
          <t>Low</t>
        </is>
      </c>
      <c r="AQ271" s="10" t="inlineStr">
        <is>
          <t>Independent retailer; Relevant category</t>
        </is>
      </c>
      <c r="AR271" s="10" t="inlineStr">
        <is>
          <t>https://asia-foods-huddersfield.edan.io/</t>
        </is>
      </c>
      <c r="AS271" s="10" t="inlineStr">
        <is>
          <t>https://www.yorkshire.com/huddersfield/shopping/grocers/asia-foods</t>
        </is>
      </c>
      <c r="AT271" s="10" t="inlineStr">
        <is>
          <t>2</t>
        </is>
      </c>
      <c r="AU271" s="10" t="inlineStr">
        <is>
          <t>No</t>
        </is>
      </c>
      <c r="AV271" s="10" t="inlineStr">
        <is>
          <t>No</t>
        </is>
      </c>
      <c r="AW271" s="10" t="inlineStr">
        <is>
          <t>No</t>
        </is>
      </c>
      <c r="AX271" s="10" t="inlineStr">
        <is>
          <t>No</t>
        </is>
      </c>
      <c r="AY271" s="10" t="inlineStr">
        <is>
          <t>Verified directory</t>
        </is>
      </c>
      <c r="AZ271" s="10" t="inlineStr">
        <is>
          <t>Not Found</t>
        </is>
      </c>
      <c r="BA271" s="10" t="inlineStr">
        <is>
          <t>2026-09-17</t>
        </is>
      </c>
      <c r="BB271" s="10" t="inlineStr">
        <is>
          <t>Requires Verification</t>
        </is>
      </c>
      <c r="BC271" s="10" t="inlineStr">
        <is>
          <t>Medium</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2026-09-16</t>
        </is>
      </c>
      <c r="BJ271" s="10" t="inlineStr">
        <is>
          <t>New</t>
        </is>
      </c>
      <c r="BK271" s="10" t="inlineStr">
        <is>
          <t>2026-09-17</t>
        </is>
      </c>
      <c r="BL271" s="10" t="inlineStr"/>
      <c r="BM271" s="10" t="inlineStr"/>
      <c r="BN271" s="10" t="inlineStr"/>
      <c r="BO271" s="10" t="inlineStr"/>
      <c r="BP271" s="10" t="inlineStr"/>
      <c r="BQ271" s="10" t="inlineStr"/>
    </row>
    <row r="272">
      <c r="A272" s="5" t="inlineStr">
        <is>
          <t>UK-000341</t>
        </is>
      </c>
      <c r="B272" s="5" t="inlineStr">
        <is>
          <t>UK-000341-01</t>
        </is>
      </c>
      <c r="C272" s="5" t="inlineStr"/>
      <c r="D272" s="5" t="inlineStr">
        <is>
          <t>Aston's of Manchester</t>
        </is>
      </c>
      <c r="E272" s="5" t="inlineStr">
        <is>
          <t>Aston's of Manchester</t>
        </is>
      </c>
      <c r="F272" s="5" t="inlineStr"/>
      <c r="G272" s="5" t="inlineStr">
        <is>
          <t>Tobacco Specialist</t>
        </is>
      </c>
      <c r="H272" s="5" t="inlineStr">
        <is>
          <t>Cigars, tobacco, pipes, spirits &amp; accessories</t>
        </is>
      </c>
      <c r="I272" s="5" t="inlineStr">
        <is>
          <t>Independent</t>
        </is>
      </c>
      <c r="J272" s="5" t="inlineStr">
        <is>
          <t>1</t>
        </is>
      </c>
      <c r="K272" s="5" t="inlineStr">
        <is>
          <t>https://astonsofmanchester.co.uk/</t>
        </is>
      </c>
      <c r="L272" s="5" t="inlineStr">
        <is>
          <t>https://www.facebook.com/astonsofmanchester/</t>
        </is>
      </c>
      <c r="M272" s="5" t="inlineStr"/>
      <c r="N272" s="5" t="inlineStr"/>
      <c r="O272" s="5" t="inlineStr">
        <is>
          <t>12 Royal Exchange Arcade</t>
        </is>
      </c>
      <c r="P272" s="5" t="inlineStr"/>
      <c r="Q272" s="5" t="inlineStr">
        <is>
          <t>Manchester</t>
        </is>
      </c>
      <c r="R272" s="5" t="inlineStr">
        <is>
          <t>Greater Manchester</t>
        </is>
      </c>
      <c r="S272" s="5" t="inlineStr">
        <is>
          <t>M2 7EA</t>
        </is>
      </c>
      <c r="T272" s="5" t="inlineStr">
        <is>
          <t>North West</t>
        </is>
      </c>
      <c r="U272" s="5" t="inlineStr">
        <is>
          <t>England</t>
        </is>
      </c>
      <c r="V272" s="5" t="inlineStr">
        <is>
          <t>0161 832 7895</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cigars; cigarettes; pipe tobacco; smoking accessories; whisky/spirits</t>
        </is>
      </c>
      <c r="AL272" s="5" t="inlineStr"/>
      <c r="AM272" s="5" t="inlineStr">
        <is>
          <t>Tobacco Specialist</t>
        </is>
      </c>
      <c r="AN272" s="5" t="inlineStr">
        <is>
          <t>Listed Hunters &amp; Frankau (C.E.J.M. Aston) cigar stockist</t>
        </is>
      </c>
      <c r="AO272" s="5" t="inlineStr">
        <is>
          <t>Long-established Manchester city-centre tobacconist (est. 1978) in Royal Exchange Arcade; own website exists. Hunters &amp; Frankau accredited cigar merchant. Email not published in accessible snippet.</t>
        </is>
      </c>
      <c r="AP272" s="5" t="inlineStr">
        <is>
          <t>Medium</t>
        </is>
      </c>
      <c r="AQ272" s="5" t="inlineStr">
        <is>
          <t>Independent retailer; Core relevant category; Active website; Social presence</t>
        </is>
      </c>
      <c r="AR272" s="5" t="inlineStr">
        <is>
          <t>https://astonsofmanchester.co.uk/</t>
        </is>
      </c>
      <c r="AS272" s="5" t="inlineStr">
        <is>
          <t>https://www.yelp.co.uk/biz/astons-of-manchester-manchester-2</t>
        </is>
      </c>
      <c r="AT272" s="5" t="inlineStr">
        <is>
          <t>3</t>
        </is>
      </c>
      <c r="AU272" s="5" t="inlineStr">
        <is>
          <t>No</t>
        </is>
      </c>
      <c r="AV272" s="5" t="inlineStr">
        <is>
          <t>No</t>
        </is>
      </c>
      <c r="AW272" s="5" t="inlineStr">
        <is>
          <t>No</t>
        </is>
      </c>
      <c r="AX272" s="5" t="inlineStr">
        <is>
          <t>No</t>
        </is>
      </c>
      <c r="AY272" s="5" t="inlineStr">
        <is>
          <t>Verified directory</t>
        </is>
      </c>
      <c r="AZ272" s="5" t="inlineStr">
        <is>
          <t>Website Found</t>
        </is>
      </c>
      <c r="BA272" s="5" t="inlineStr">
        <is>
          <t>2026-09-17</t>
        </is>
      </c>
      <c r="BB272" s="5" t="inlineStr">
        <is>
          <t>Requires Verification</t>
        </is>
      </c>
      <c r="BC272" s="5" t="inlineStr">
        <is>
          <t>Medium</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UK-000579</t>
        </is>
      </c>
      <c r="B273" s="10" t="inlineStr">
        <is>
          <t>UK-000579-01</t>
        </is>
      </c>
      <c r="C273" s="10" t="inlineStr"/>
      <c r="D273" s="10" t="inlineStr">
        <is>
          <t>Aswat &amp; Sons</t>
        </is>
      </c>
      <c r="E273" s="10" t="inlineStr">
        <is>
          <t>Aswat &amp; Sons</t>
        </is>
      </c>
      <c r="F273" s="10" t="inlineStr"/>
      <c r="G273" s="10" t="inlineStr">
        <is>
          <t>Convenience Store</t>
        </is>
      </c>
      <c r="H273" s="10" t="inlineStr">
        <is>
          <t>Convenience &amp; grocery</t>
        </is>
      </c>
      <c r="I273" s="10" t="inlineStr">
        <is>
          <t>Independent</t>
        </is>
      </c>
      <c r="J273" s="10" t="inlineStr">
        <is>
          <t>1</t>
        </is>
      </c>
      <c r="K273" s="10" t="inlineStr"/>
      <c r="L273" s="10" t="inlineStr"/>
      <c r="M273" s="10" t="inlineStr"/>
      <c r="N273" s="10" t="inlineStr"/>
      <c r="O273" s="10" t="inlineStr">
        <is>
          <t>170 Green Street</t>
        </is>
      </c>
      <c r="P273" s="10" t="inlineStr"/>
      <c r="Q273" s="10" t="inlineStr">
        <is>
          <t>Forest Gate</t>
        </is>
      </c>
      <c r="R273" s="10" t="inlineStr">
        <is>
          <t>Greater London</t>
        </is>
      </c>
      <c r="S273" s="10" t="inlineStr">
        <is>
          <t>E7 8JT</t>
        </is>
      </c>
      <c r="T273" s="10" t="inlineStr">
        <is>
          <t>London</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groceries; world foods; tobacco</t>
        </is>
      </c>
      <c r="AL273" s="10" t="inlineStr"/>
      <c r="AM273" s="10" t="inlineStr">
        <is>
          <t>Convenience Store</t>
        </is>
      </c>
      <c r="AN273" s="10" t="inlineStr"/>
      <c r="AO273" s="10" t="inlineStr">
        <is>
          <t>Grocery/convenience store on Green Street, Forest Gate. Address/postcode from Cylex Upton Park grocery listings.</t>
        </is>
      </c>
      <c r="AP273" s="10" t="inlineStr">
        <is>
          <t>Low</t>
        </is>
      </c>
      <c r="AQ273" s="10" t="inlineStr">
        <is>
          <t>Independent retailer; Relevant category</t>
        </is>
      </c>
      <c r="AR273" s="10" t="inlineStr">
        <is>
          <t>https://london.cylex-uk.co.uk/upton-park/grocery%20stores.html</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Not Found</t>
        </is>
      </c>
      <c r="BA273" s="10" t="inlineStr">
        <is>
          <t>2026-09-17</t>
        </is>
      </c>
      <c r="BB273" s="10" t="inlineStr">
        <is>
          <t>Requires Verification</t>
        </is>
      </c>
      <c r="BC273" s="10" t="inlineStr">
        <is>
          <t>Low</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UK-000342</t>
        </is>
      </c>
      <c r="B274" s="5" t="inlineStr">
        <is>
          <t>UK-000342-01</t>
        </is>
      </c>
      <c r="C274" s="5" t="inlineStr"/>
      <c r="D274" s="5" t="inlineStr">
        <is>
          <t>Aytac Foods Distribution</t>
        </is>
      </c>
      <c r="E274" s="5" t="inlineStr">
        <is>
          <t>Aytac Foods Distribution</t>
        </is>
      </c>
      <c r="F274" s="5" t="inlineStr"/>
      <c r="G274" s="5" t="inlineStr">
        <is>
          <t>Cash &amp; Carry</t>
        </is>
      </c>
      <c r="H274" s="5" t="inlineStr">
        <is>
          <t>Restaurant wholesale</t>
        </is>
      </c>
      <c r="I274" s="5" t="inlineStr">
        <is>
          <t>Independent</t>
        </is>
      </c>
      <c r="J274" s="5" t="inlineStr">
        <is>
          <t>1</t>
        </is>
      </c>
      <c r="K274" s="5" t="inlineStr"/>
      <c r="L274" s="5" t="inlineStr"/>
      <c r="M274" s="5" t="inlineStr"/>
      <c r="N274" s="5" t="inlineStr"/>
      <c r="O274" s="5" t="inlineStr">
        <is>
          <t>Unit 1, Whitelands Road</t>
        </is>
      </c>
      <c r="P274" s="5" t="inlineStr"/>
      <c r="Q274" s="5" t="inlineStr">
        <is>
          <t>Ashton-under-Lyne</t>
        </is>
      </c>
      <c r="R274" s="5" t="inlineStr">
        <is>
          <t>Greater Manchester</t>
        </is>
      </c>
      <c r="S274" s="5" t="inlineStr">
        <is>
          <t>OL6 6UX</t>
        </is>
      </c>
      <c r="T274" s="5" t="inlineStr">
        <is>
          <t>North West</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wholesale food; restaurant supplies; cash and carry</t>
        </is>
      </c>
      <c r="AL274" s="5" t="inlineStr"/>
      <c r="AM274" s="5" t="inlineStr">
        <is>
          <t>Cash &amp; Carry</t>
        </is>
      </c>
      <c r="AN274" s="5" t="inlineStr"/>
      <c r="AO274" s="5" t="inlineStr">
        <is>
          <t>Cash &amp; carry restaurant wholesaler on Whitelands Road, Ashton-under-Lyne.</t>
        </is>
      </c>
      <c r="AP274" s="5" t="inlineStr">
        <is>
          <t>Medium</t>
        </is>
      </c>
      <c r="AQ274" s="5" t="inlineStr">
        <is>
          <t>Independent retailer; Core relevant category</t>
        </is>
      </c>
      <c r="AR274" s="5" t="inlineStr">
        <is>
          <t>https://ashton-under-lyne.cylex-uk.co.uk/company/aytac-foods-distribution-ltd---cash---carry---restaurant-wholesaler-27682099.html</t>
        </is>
      </c>
      <c r="AS274" s="5" t="inlineStr"/>
      <c r="AT274" s="5" t="inlineStr">
        <is>
          <t>1</t>
        </is>
      </c>
      <c r="AU274" s="5" t="inlineStr">
        <is>
          <t>No</t>
        </is>
      </c>
      <c r="AV274" s="5" t="inlineStr">
        <is>
          <t>No</t>
        </is>
      </c>
      <c r="AW274" s="5" t="inlineStr">
        <is>
          <t>No</t>
        </is>
      </c>
      <c r="AX274" s="5" t="inlineStr">
        <is>
          <t>No</t>
        </is>
      </c>
      <c r="AY274" s="5" t="inlineStr">
        <is>
          <t>Not Found</t>
        </is>
      </c>
      <c r="AZ274" s="5" t="inlineStr">
        <is>
          <t>Not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WY-0053</t>
        </is>
      </c>
      <c r="B275" s="10" t="inlineStr">
        <is>
          <t>WY-0053-01</t>
        </is>
      </c>
      <c r="C275" s="10" t="inlineStr"/>
      <c r="D275" s="10" t="inlineStr">
        <is>
          <t>Azeem's Vape Shop</t>
        </is>
      </c>
      <c r="E275" s="10" t="inlineStr">
        <is>
          <t>Azeem's Vape Shop</t>
        </is>
      </c>
      <c r="F275" s="10" t="inlineStr">
        <is>
          <t>Azeems Vape Shop Ltd</t>
        </is>
      </c>
      <c r="G275" s="10" t="inlineStr">
        <is>
          <t>Vape Shop</t>
        </is>
      </c>
      <c r="H275" s="10" t="inlineStr">
        <is>
          <t>Vape shop with CBD, e-liquids, drinks</t>
        </is>
      </c>
      <c r="I275" s="10" t="inlineStr">
        <is>
          <t>Independent</t>
        </is>
      </c>
      <c r="J275" s="10" t="inlineStr">
        <is>
          <t>1</t>
        </is>
      </c>
      <c r="K275" s="10" t="inlineStr">
        <is>
          <t>https://azeemsvapeshop.co.uk/</t>
        </is>
      </c>
      <c r="L275" s="10" t="inlineStr">
        <is>
          <t>https://www.facebook.com/azeemskeighley1/</t>
        </is>
      </c>
      <c r="M275" s="10" t="inlineStr">
        <is>
          <t>https://www.instagram.com/azeems_vape_shop/</t>
        </is>
      </c>
      <c r="N275" s="10" t="inlineStr"/>
      <c r="O275" s="10" t="inlineStr">
        <is>
          <t>130 Lawkholme Lane</t>
        </is>
      </c>
      <c r="P275" s="10" t="inlineStr"/>
      <c r="Q275" s="10" t="inlineStr">
        <is>
          <t>Keighley</t>
        </is>
      </c>
      <c r="R275" s="10" t="inlineStr">
        <is>
          <t>West Yorkshire</t>
        </is>
      </c>
      <c r="S275" s="10" t="inlineStr">
        <is>
          <t>BD21 3LU</t>
        </is>
      </c>
      <c r="T275" s="10" t="inlineStr">
        <is>
          <t>Yorkshire &amp; Humber</t>
        </is>
      </c>
      <c r="U275" s="10" t="inlineStr">
        <is>
          <t>England</t>
        </is>
      </c>
      <c r="V275" s="10" t="inlineStr">
        <is>
          <t>01535 213920</t>
        </is>
      </c>
      <c r="W275" s="10" t="inlineStr"/>
      <c r="X275" s="10" t="inlineStr"/>
      <c r="Y275" s="10" t="inlineStr">
        <is>
          <t>info@azeemsvapeshop.co.uk</t>
        </is>
      </c>
      <c r="Z275" s="10" t="inlineStr"/>
      <c r="AA275" s="10" t="inlineStr"/>
      <c r="AB275" s="10" t="inlineStr"/>
      <c r="AC275" s="10" t="inlineStr"/>
      <c r="AD275" s="10" t="inlineStr"/>
      <c r="AE275" s="10" t="inlineStr">
        <is>
          <t>13574720</t>
        </is>
      </c>
      <c r="AF275" s="10" t="inlineStr">
        <is>
          <t>Dissolved</t>
        </is>
      </c>
      <c r="AG275" s="10" t="inlineStr">
        <is>
          <t>AZEEMS VAPE SHOP LTD</t>
        </is>
      </c>
      <c r="AH275" s="10" t="inlineStr"/>
      <c r="AI275" s="10" t="inlineStr"/>
      <c r="AJ275" s="10" t="inlineStr"/>
      <c r="AK275" s="10" t="inlineStr">
        <is>
          <t>vapes; e-liquids; CBD; drinks; electronics</t>
        </is>
      </c>
      <c r="AL275" s="10" t="inlineStr"/>
      <c r="AM275" s="10" t="inlineStr">
        <is>
          <t>Vape Shop</t>
        </is>
      </c>
      <c r="AN275" s="10" t="inlineStr"/>
      <c r="AO275" s="10" t="inlineStr">
        <is>
          <t>Open 7 days 10am-10pm, 100+ e-liquid flavours. CAUTION: Companies House shows Azeems Vape Shop Ltd (13574720) dissolved 7 July 2026 per search snippet - shop may continue trading under a different entity; verify current trading status before contact.</t>
        </is>
      </c>
      <c r="AP275" s="10" t="inlineStr">
        <is>
          <t>High</t>
        </is>
      </c>
      <c r="AQ275" s="10" t="inlineStr">
        <is>
          <t>Independent retailer; Core relevant category; Public email available; Active website; Social presence</t>
        </is>
      </c>
      <c r="AR275" s="10" t="inlineStr">
        <is>
          <t>https://azeemsvapeshop.co.uk/contact/</t>
        </is>
      </c>
      <c r="AS275" s="10" t="inlineStr">
        <is>
          <t>https://find-and-update.company-information.service.gov.uk/company/13574720</t>
        </is>
      </c>
      <c r="AT275" s="10" t="inlineStr">
        <is>
          <t>3</t>
        </is>
      </c>
      <c r="AU275" s="10" t="inlineStr">
        <is>
          <t>No</t>
        </is>
      </c>
      <c r="AV275" s="10" t="inlineStr">
        <is>
          <t>No</t>
        </is>
      </c>
      <c r="AW275" s="10" t="inlineStr">
        <is>
          <t>Yes</t>
        </is>
      </c>
      <c r="AX275" s="10" t="inlineStr">
        <is>
          <t>Yes</t>
        </is>
      </c>
      <c r="AY275" s="10" t="inlineStr">
        <is>
          <t>Verified directory</t>
        </is>
      </c>
      <c r="AZ275" s="10" t="inlineStr">
        <is>
          <t>Website Found</t>
        </is>
      </c>
      <c r="BA275" s="10" t="inlineStr">
        <is>
          <t>2026-09-17</t>
        </is>
      </c>
      <c r="BB275" s="10" t="inlineStr">
        <is>
          <t>Partially Verified</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2026-09-16</t>
        </is>
      </c>
      <c r="BJ275" s="10" t="inlineStr">
        <is>
          <t>New</t>
        </is>
      </c>
      <c r="BK275" s="10" t="inlineStr">
        <is>
          <t>2026-09-17</t>
        </is>
      </c>
      <c r="BL275" s="10" t="inlineStr"/>
      <c r="BM275" s="10" t="inlineStr"/>
      <c r="BN275" s="10" t="inlineStr"/>
      <c r="BO275" s="10" t="inlineStr"/>
      <c r="BP275" s="10" t="inlineStr"/>
      <c r="BQ275" s="10" t="inlineStr"/>
    </row>
    <row r="276">
      <c r="A276" s="5" t="inlineStr">
        <is>
          <t>WY-0054</t>
        </is>
      </c>
      <c r="B276" s="5" t="inlineStr">
        <is>
          <t>WY-0054-01</t>
        </is>
      </c>
      <c r="C276" s="5" t="inlineStr"/>
      <c r="D276" s="5" t="inlineStr">
        <is>
          <t>Azeem's Vape Shop</t>
        </is>
      </c>
      <c r="E276" s="5" t="inlineStr">
        <is>
          <t>Azeem's Vape Shop</t>
        </is>
      </c>
      <c r="F276" s="5" t="inlineStr"/>
      <c r="G276" s="5" t="inlineStr">
        <is>
          <t>Vape Shop</t>
        </is>
      </c>
      <c r="H276" s="5" t="inlineStr"/>
      <c r="I276" s="5" t="inlineStr">
        <is>
          <t>Independent</t>
        </is>
      </c>
      <c r="J276" s="5" t="inlineStr">
        <is>
          <t>1</t>
        </is>
      </c>
      <c r="K276" s="5" t="inlineStr"/>
      <c r="L276" s="5" t="inlineStr"/>
      <c r="M276" s="5" t="inlineStr"/>
      <c r="N276" s="5" t="inlineStr"/>
      <c r="O276" s="5" t="inlineStr"/>
      <c r="P276" s="5" t="inlineStr"/>
      <c r="Q276" s="5" t="inlineStr">
        <is>
          <t>Todmorden</t>
        </is>
      </c>
      <c r="R276" s="5" t="inlineStr">
        <is>
          <t>West Yorkshire</t>
        </is>
      </c>
      <c r="S276" s="5" t="inlineStr"/>
      <c r="T276" s="5" t="inlineStr">
        <is>
          <t>Yorkshire &amp; Humber</t>
        </is>
      </c>
      <c r="U276" s="5" t="inlineStr">
        <is>
          <t>England</t>
        </is>
      </c>
      <c r="V276" s="5" t="inlineStr"/>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vapes</t>
        </is>
      </c>
      <c r="AL276" s="5" t="inlineStr"/>
      <c r="AM276" s="5" t="inlineStr">
        <is>
          <t>Vape Shop</t>
        </is>
      </c>
      <c r="AN276" s="5" t="inlineStr"/>
      <c r="AO276" s="5" t="inlineStr">
        <is>
          <t>Listed among Todmorden vape shops on Yelp and on tobaccoshops.co.uk; street address not captured before search budget was exhausted.</t>
        </is>
      </c>
      <c r="AP276" s="5" t="inlineStr">
        <is>
          <t>Medium</t>
        </is>
      </c>
      <c r="AQ276" s="5" t="inlineStr">
        <is>
          <t>Independent retailer; Core relevant category</t>
        </is>
      </c>
      <c r="AR276" s="5" t="inlineStr">
        <is>
          <t>https://tobaccoshops.co.uk/05958051/Azeem%E2%80%99s_vape_shop</t>
        </is>
      </c>
      <c r="AS276" s="5" t="inlineStr">
        <is>
          <t>https://www.yelp.com/search?cflt=vapeshops&amp;find_loc=Todmorden%2C+West+Yorkshire</t>
        </is>
      </c>
      <c r="AT276" s="5" t="inlineStr">
        <is>
          <t>2</t>
        </is>
      </c>
      <c r="AU276" s="5" t="inlineStr">
        <is>
          <t>No</t>
        </is>
      </c>
      <c r="AV276" s="5" t="inlineStr">
        <is>
          <t>No</t>
        </is>
      </c>
      <c r="AW276" s="5" t="inlineStr">
        <is>
          <t>No</t>
        </is>
      </c>
      <c r="AX276" s="5" t="inlineStr">
        <is>
          <t>No</t>
        </is>
      </c>
      <c r="AY276" s="5" t="inlineStr">
        <is>
          <t>Not Found</t>
        </is>
      </c>
      <c r="AZ276" s="5" t="inlineStr">
        <is>
          <t>Not Found</t>
        </is>
      </c>
      <c r="BA276" s="5" t="inlineStr">
        <is>
          <t>2026-09-17</t>
        </is>
      </c>
      <c r="BB276" s="5" t="inlineStr">
        <is>
          <t>Requires Verification</t>
        </is>
      </c>
      <c r="BC276" s="5" t="inlineStr">
        <is>
          <t>Low</t>
        </is>
      </c>
      <c r="BD276" s="5" t="inlineStr"/>
      <c r="BE276" s="5" t="inlineStr">
        <is>
          <t>Business (B2B)</t>
        </is>
      </c>
      <c r="BF276" s="5" t="inlineStr">
        <is>
          <t>Legitimate interest (B2B) - assess per campaign; PECR: corporate subscribers</t>
        </is>
      </c>
      <c r="BG276" s="5" t="inlineStr"/>
      <c r="BH276" s="5" t="inlineStr">
        <is>
          <t>No</t>
        </is>
      </c>
      <c r="BI276" s="5" t="inlineStr">
        <is>
          <t>2026-09-16</t>
        </is>
      </c>
      <c r="BJ276" s="5" t="inlineStr">
        <is>
          <t>New</t>
        </is>
      </c>
      <c r="BK276" s="5" t="inlineStr">
        <is>
          <t>2026-09-17</t>
        </is>
      </c>
      <c r="BL276" s="5" t="inlineStr"/>
      <c r="BM276" s="5" t="inlineStr"/>
      <c r="BN276" s="5" t="inlineStr"/>
      <c r="BO276" s="5" t="inlineStr"/>
      <c r="BP276" s="5" t="inlineStr"/>
      <c r="BQ276" s="5" t="inlineStr"/>
    </row>
    <row r="277">
      <c r="A277" s="10" t="inlineStr">
        <is>
          <t>UK-000454</t>
        </is>
      </c>
      <c r="B277" s="10" t="inlineStr">
        <is>
          <t>UK-000454-01</t>
        </is>
      </c>
      <c r="C277" s="10" t="inlineStr"/>
      <c r="D277" s="10" t="inlineStr">
        <is>
          <t>B &amp; G Liquor Ltd</t>
        </is>
      </c>
      <c r="E277" s="10" t="inlineStr">
        <is>
          <t>B &amp; G Liquor</t>
        </is>
      </c>
      <c r="F277" s="10" t="inlineStr">
        <is>
          <t>B &amp; G Liquor Ltd</t>
        </is>
      </c>
      <c r="G277" s="10" t="inlineStr">
        <is>
          <t>Off-Licence</t>
        </is>
      </c>
      <c r="H277" s="10" t="inlineStr">
        <is>
          <t>Off-licence &amp; convenience</t>
        </is>
      </c>
      <c r="I277" s="10" t="inlineStr">
        <is>
          <t>Independent</t>
        </is>
      </c>
      <c r="J277" s="10" t="inlineStr">
        <is>
          <t>1</t>
        </is>
      </c>
      <c r="K277" s="10" t="inlineStr"/>
      <c r="L277" s="10" t="inlineStr"/>
      <c r="M277" s="10" t="inlineStr"/>
      <c r="N277" s="10" t="inlineStr"/>
      <c r="O277" s="10" t="inlineStr">
        <is>
          <t>334 Londonderry Road</t>
        </is>
      </c>
      <c r="P277" s="10" t="inlineStr"/>
      <c r="Q277" s="10" t="inlineStr">
        <is>
          <t>Oldbury</t>
        </is>
      </c>
      <c r="R277" s="10" t="inlineStr">
        <is>
          <t>West Midlands</t>
        </is>
      </c>
      <c r="S277" s="10" t="inlineStr">
        <is>
          <t>B68 9NB</t>
        </is>
      </c>
      <c r="T277" s="10" t="inlineStr">
        <is>
          <t>West Midlands</t>
        </is>
      </c>
      <c r="U277" s="10" t="inlineStr">
        <is>
          <t>England</t>
        </is>
      </c>
      <c r="V277" s="10" t="inlineStr">
        <is>
          <t>0121 552 3270</t>
        </is>
      </c>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beers; wines; spirits; convenience</t>
        </is>
      </c>
      <c r="AL277" s="10" t="inlineStr"/>
      <c r="AM277" s="10" t="inlineStr">
        <is>
          <t>Off-Licence</t>
        </is>
      </c>
      <c r="AN277" s="10" t="inlineStr"/>
      <c r="AO277" s="10" t="inlineStr">
        <is>
          <t>Independent off-licence trading as a limited company, 334 Londonderry Road, Oldbury. Address and phone from Yell Oldbury off-licences listing snippet.</t>
        </is>
      </c>
      <c r="AP277" s="10" t="inlineStr">
        <is>
          <t>Low</t>
        </is>
      </c>
      <c r="AQ277" s="10" t="inlineStr">
        <is>
          <t>Independent retailer; Relevant category</t>
        </is>
      </c>
      <c r="AR277" s="10" t="inlineStr">
        <is>
          <t>https://www.yell.com/s/off+licences+and+wine+merchants-oldbury-west+midlands.html</t>
        </is>
      </c>
      <c r="AS277" s="10" t="inlineStr"/>
      <c r="AT277" s="10" t="inlineStr">
        <is>
          <t>1</t>
        </is>
      </c>
      <c r="AU277" s="10" t="inlineStr">
        <is>
          <t>No</t>
        </is>
      </c>
      <c r="AV277" s="10" t="inlineStr">
        <is>
          <t>No</t>
        </is>
      </c>
      <c r="AW277" s="10" t="inlineStr">
        <is>
          <t>No</t>
        </is>
      </c>
      <c r="AX277" s="10" t="inlineStr">
        <is>
          <t>No</t>
        </is>
      </c>
      <c r="AY277" s="10" t="inlineStr">
        <is>
          <t>Verified directory</t>
        </is>
      </c>
      <c r="AZ277" s="10" t="inlineStr">
        <is>
          <t>Not Found</t>
        </is>
      </c>
      <c r="BA277" s="10" t="inlineStr">
        <is>
          <t>2026-09-17</t>
        </is>
      </c>
      <c r="BB277" s="10" t="inlineStr">
        <is>
          <t>Requires Verification</t>
        </is>
      </c>
      <c r="BC277" s="10" t="inlineStr">
        <is>
          <t>Medium</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UK-000756</t>
        </is>
      </c>
      <c r="B278" s="5" t="inlineStr">
        <is>
          <t>UK-000756-01</t>
        </is>
      </c>
      <c r="C278" s="5" t="inlineStr"/>
      <c r="D278" s="5" t="inlineStr">
        <is>
          <t>BBBBooze</t>
        </is>
      </c>
      <c r="E278" s="5" t="inlineStr">
        <is>
          <t>BBBBooze</t>
        </is>
      </c>
      <c r="F278" s="5" t="inlineStr"/>
      <c r="G278" s="5" t="inlineStr">
        <is>
          <t>Off-Licence</t>
        </is>
      </c>
      <c r="H278" s="5" t="inlineStr">
        <is>
          <t>Off-licence / wines &amp; spirits</t>
        </is>
      </c>
      <c r="I278" s="5" t="inlineStr">
        <is>
          <t>Independent</t>
        </is>
      </c>
      <c r="J278" s="5" t="inlineStr">
        <is>
          <t>1</t>
        </is>
      </c>
      <c r="K278" s="5" t="inlineStr"/>
      <c r="L278" s="5" t="inlineStr"/>
      <c r="M278" s="5" t="inlineStr"/>
      <c r="N278" s="5" t="inlineStr"/>
      <c r="O278" s="5" t="inlineStr">
        <is>
          <t>Workshop B5, 66b Long Lane</t>
        </is>
      </c>
      <c r="P278" s="5" t="inlineStr">
        <is>
          <t>Walton</t>
        </is>
      </c>
      <c r="Q278" s="5" t="inlineStr">
        <is>
          <t>Liverpool</t>
        </is>
      </c>
      <c r="R278" s="5" t="inlineStr">
        <is>
          <t>Merseyside</t>
        </is>
      </c>
      <c r="S278" s="5" t="inlineStr">
        <is>
          <t>L9 7BN</t>
        </is>
      </c>
      <c r="T278" s="5" t="inlineStr">
        <is>
          <t>North West</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wines; beers; spirits</t>
        </is>
      </c>
      <c r="AL278" s="5" t="inlineStr"/>
      <c r="AM278" s="5" t="inlineStr">
        <is>
          <t>Off-Licence</t>
        </is>
      </c>
      <c r="AN278" s="5" t="inlineStr"/>
      <c r="AO278" s="5" t="inlineStr">
        <is>
          <t>Independent off-licence on Long Lane, Walton (L9).</t>
        </is>
      </c>
      <c r="AP278" s="5" t="inlineStr">
        <is>
          <t>Low</t>
        </is>
      </c>
      <c r="AQ278" s="5" t="inlineStr">
        <is>
          <t>Independent retailer; Relevant category</t>
        </is>
      </c>
      <c r="AR278" s="5" t="inlineStr">
        <is>
          <t>https://liverpool.cylex-uk.co.uk/off-licence-4.html</t>
        </is>
      </c>
      <c r="AS278" s="5" t="inlineStr"/>
      <c r="AT278" s="5" t="inlineStr">
        <is>
          <t>1</t>
        </is>
      </c>
      <c r="AU278" s="5" t="inlineStr">
        <is>
          <t>No</t>
        </is>
      </c>
      <c r="AV278" s="5" t="inlineStr">
        <is>
          <t>No</t>
        </is>
      </c>
      <c r="AW278" s="5" t="inlineStr">
        <is>
          <t>No</t>
        </is>
      </c>
      <c r="AX278" s="5" t="inlineStr">
        <is>
          <t>No</t>
        </is>
      </c>
      <c r="AY278" s="5" t="inlineStr">
        <is>
          <t>Not Found</t>
        </is>
      </c>
      <c r="AZ278" s="5" t="inlineStr">
        <is>
          <t>Not Found</t>
        </is>
      </c>
      <c r="BA278" s="5" t="inlineStr">
        <is>
          <t>2026-09-17</t>
        </is>
      </c>
      <c r="BB278" s="5" t="inlineStr">
        <is>
          <t>Requires Verification</t>
        </is>
      </c>
      <c r="BC278" s="5" t="inlineStr">
        <is>
          <t>Low</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WY-0055</t>
        </is>
      </c>
      <c r="B279" s="10" t="inlineStr">
        <is>
          <t>WY-0055-01</t>
        </is>
      </c>
      <c r="C279" s="10" t="inlineStr"/>
      <c r="D279" s="10" t="inlineStr">
        <is>
          <t>BGC Wholesale</t>
        </is>
      </c>
      <c r="E279" s="10" t="inlineStr">
        <is>
          <t>BGC Wholesale (rebranding to Tiger Feet)</t>
        </is>
      </c>
      <c r="F279" s="10" t="inlineStr">
        <is>
          <t>BGC Wholesale Ltd</t>
        </is>
      </c>
      <c r="G279" s="10" t="inlineStr">
        <is>
          <t>Cash &amp; Carry</t>
        </is>
      </c>
      <c r="H279" s="10" t="inlineStr">
        <is>
          <t>Greeting cards, gifts &amp; retail sundries wholesaler</t>
        </is>
      </c>
      <c r="I279" s="10" t="inlineStr">
        <is>
          <t>Independent</t>
        </is>
      </c>
      <c r="J279" s="10" t="inlineStr">
        <is>
          <t>1</t>
        </is>
      </c>
      <c r="K279" s="10" t="inlineStr">
        <is>
          <t>https://bgcwholesale.com/locations/bradford</t>
        </is>
      </c>
      <c r="L279" s="10" t="inlineStr"/>
      <c r="M279" s="10" t="inlineStr"/>
      <c r="N279" s="10" t="inlineStr"/>
      <c r="O279" s="10" t="inlineStr">
        <is>
          <t>12 Roydsdale Way</t>
        </is>
      </c>
      <c r="P279" s="10" t="inlineStr">
        <is>
          <t>Euroway Estate</t>
        </is>
      </c>
      <c r="Q279" s="10" t="inlineStr">
        <is>
          <t>Bradford</t>
        </is>
      </c>
      <c r="R279" s="10" t="inlineStr">
        <is>
          <t>West Yorkshire</t>
        </is>
      </c>
      <c r="S279" s="10" t="inlineStr">
        <is>
          <t>BD4 6SE</t>
        </is>
      </c>
      <c r="T279" s="10" t="inlineStr">
        <is>
          <t>Yorkshire &amp; Humber</t>
        </is>
      </c>
      <c r="U279" s="10" t="inlineStr">
        <is>
          <t>England</t>
        </is>
      </c>
      <c r="V279" s="10" t="inlineStr">
        <is>
          <t>01274 651059</t>
        </is>
      </c>
      <c r="W279" s="10" t="inlineStr"/>
      <c r="X279" s="10" t="inlineStr"/>
      <c r="Y279" s="10" t="inlineStr"/>
      <c r="Z279" s="10" t="inlineStr"/>
      <c r="AA279" s="10" t="inlineStr"/>
      <c r="AB279" s="10" t="inlineStr"/>
      <c r="AC279" s="10" t="inlineStr"/>
      <c r="AD279" s="10" t="inlineStr"/>
      <c r="AE279" s="10" t="inlineStr">
        <is>
          <t>12428420</t>
        </is>
      </c>
      <c r="AF279" s="10" t="inlineStr"/>
      <c r="AG279" s="10" t="inlineStr">
        <is>
          <t>BGC WHOLESALE LTD</t>
        </is>
      </c>
      <c r="AH279" s="10" t="inlineStr"/>
      <c r="AI279" s="10" t="inlineStr"/>
      <c r="AJ279" s="10" t="inlineStr"/>
      <c r="AK279" s="10" t="inlineStr">
        <is>
          <t>greeting cards; gifts; retail sundries</t>
        </is>
      </c>
      <c r="AL279" s="10" t="inlineStr"/>
      <c r="AM279" s="10" t="inlineStr">
        <is>
          <t>Cash &amp; Carry</t>
        </is>
      </c>
      <c r="AN279" s="10" t="inlineStr"/>
      <c r="AO279" s="10" t="inlineStr">
        <is>
          <t>Supplies independent retailers with cards/gifts at competitive prices. Recent listings show a rebrand to 'Tiger Feet Limited (previously BGC Wholesale)' - confirm current trading name. Linked historically to Budget Greeting Cards Ltd, Bradford.</t>
        </is>
      </c>
      <c r="AP279" s="10" t="inlineStr">
        <is>
          <t>Medium</t>
        </is>
      </c>
      <c r="AQ279" s="10" t="inlineStr">
        <is>
          <t>Independent retailer; Core relevant category; Active website</t>
        </is>
      </c>
      <c r="AR279" s="10" t="inlineStr">
        <is>
          <t>https://find-and-update.company-information.service.gov.uk/company/12428420/officers</t>
        </is>
      </c>
      <c r="AS279" s="10" t="inlineStr">
        <is>
          <t>https://bradford.cylex-uk.co.uk/company/bgc-wholesale-ltd-27159538.html</t>
        </is>
      </c>
      <c r="AT279" s="10" t="inlineStr">
        <is>
          <t>3</t>
        </is>
      </c>
      <c r="AU279" s="10" t="inlineStr">
        <is>
          <t>No</t>
        </is>
      </c>
      <c r="AV279" s="10" t="inlineStr">
        <is>
          <t>No</t>
        </is>
      </c>
      <c r="AW279" s="10" t="inlineStr">
        <is>
          <t>No</t>
        </is>
      </c>
      <c r="AX279" s="10" t="inlineStr">
        <is>
          <t>Yes</t>
        </is>
      </c>
      <c r="AY279" s="10" t="inlineStr">
        <is>
          <t>Verified directory</t>
        </is>
      </c>
      <c r="AZ279" s="10" t="inlineStr">
        <is>
          <t>Website Found</t>
        </is>
      </c>
      <c r="BA279" s="10" t="inlineStr">
        <is>
          <t>2026-09-17</t>
        </is>
      </c>
      <c r="BB279" s="10" t="inlineStr">
        <is>
          <t>Partially Verified</t>
        </is>
      </c>
      <c r="BC279" s="10" t="inlineStr">
        <is>
          <t>Medium</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2026-09-16</t>
        </is>
      </c>
      <c r="BJ279" s="10" t="inlineStr">
        <is>
          <t>New</t>
        </is>
      </c>
      <c r="BK279" s="10" t="inlineStr">
        <is>
          <t>2026-09-17</t>
        </is>
      </c>
      <c r="BL279" s="10" t="inlineStr"/>
      <c r="BM279" s="10" t="inlineStr"/>
      <c r="BN279" s="10" t="inlineStr"/>
      <c r="BO279" s="10" t="inlineStr"/>
      <c r="BP279" s="10" t="inlineStr"/>
      <c r="BQ279" s="10" t="inlineStr"/>
    </row>
    <row r="280">
      <c r="A280" s="5" t="inlineStr">
        <is>
          <t>UK-000343</t>
        </is>
      </c>
      <c r="B280" s="5" t="inlineStr">
        <is>
          <t>UK-000343-01</t>
        </is>
      </c>
      <c r="C280" s="5" t="inlineStr"/>
      <c r="D280" s="5" t="inlineStr">
        <is>
          <t>BK Off Licence (Salford)</t>
        </is>
      </c>
      <c r="E280" s="5" t="inlineStr">
        <is>
          <t>BK Off Licence</t>
        </is>
      </c>
      <c r="F280" s="5" t="inlineStr"/>
      <c r="G280" s="5" t="inlineStr">
        <is>
          <t>Off-Licence</t>
        </is>
      </c>
      <c r="H280" s="5" t="inlineStr">
        <is>
          <t>Off-licence &amp; convenience</t>
        </is>
      </c>
      <c r="I280" s="5" t="inlineStr">
        <is>
          <t>Independent</t>
        </is>
      </c>
      <c r="J280" s="5" t="inlineStr">
        <is>
          <t>1</t>
        </is>
      </c>
      <c r="K280" s="5" t="inlineStr"/>
      <c r="L280" s="5" t="inlineStr"/>
      <c r="M280" s="5" t="inlineStr"/>
      <c r="N280" s="5" t="inlineStr"/>
      <c r="O280" s="5" t="inlineStr">
        <is>
          <t>4 Islington Street</t>
        </is>
      </c>
      <c r="P280" s="5" t="inlineStr"/>
      <c r="Q280" s="5" t="inlineStr">
        <is>
          <t>Salford</t>
        </is>
      </c>
      <c r="R280" s="5" t="inlineStr">
        <is>
          <t>Greater Manchester</t>
        </is>
      </c>
      <c r="S280" s="5" t="inlineStr">
        <is>
          <t>M5 3LG</t>
        </is>
      </c>
      <c r="T280" s="5" t="inlineStr">
        <is>
          <t>North West</t>
        </is>
      </c>
      <c r="U280" s="5" t="inlineStr">
        <is>
          <t>England</t>
        </is>
      </c>
      <c r="V280" s="5" t="inlineStr"/>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off-licence; tobacco; groceries; soft drinks</t>
        </is>
      </c>
      <c r="AL280" s="5" t="inlineStr"/>
      <c r="AM280" s="5" t="inlineStr">
        <is>
          <t>Off-Licence</t>
        </is>
      </c>
      <c r="AN280" s="5" t="inlineStr"/>
      <c r="AO280" s="5" t="inlineStr">
        <is>
          <t>Salford independent off-licence; premises named in Salford City Council licensing notice. Phone not published.</t>
        </is>
      </c>
      <c r="AP280" s="5" t="inlineStr">
        <is>
          <t>Low</t>
        </is>
      </c>
      <c r="AQ280" s="5" t="inlineStr">
        <is>
          <t>Independent retailer; Relevant category</t>
        </is>
      </c>
      <c r="AR280" s="5" t="inlineStr">
        <is>
          <t>https://www.salford.gov.uk/licensing-and-permits/licensing-notice-of-application/bk-off-licence</t>
        </is>
      </c>
      <c r="AS280" s="5" t="inlineStr"/>
      <c r="AT280" s="5" t="inlineStr">
        <is>
          <t>1</t>
        </is>
      </c>
      <c r="AU280" s="5" t="inlineStr">
        <is>
          <t>No</t>
        </is>
      </c>
      <c r="AV280" s="5" t="inlineStr">
        <is>
          <t>No</t>
        </is>
      </c>
      <c r="AW280" s="5" t="inlineStr">
        <is>
          <t>No</t>
        </is>
      </c>
      <c r="AX280" s="5" t="inlineStr">
        <is>
          <t>No</t>
        </is>
      </c>
      <c r="AY280" s="5" t="inlineStr">
        <is>
          <t>Not Found</t>
        </is>
      </c>
      <c r="AZ280" s="5" t="inlineStr">
        <is>
          <t>Not Found</t>
        </is>
      </c>
      <c r="BA280" s="5" t="inlineStr">
        <is>
          <t>2026-09-17</t>
        </is>
      </c>
      <c r="BB280" s="5" t="inlineStr">
        <is>
          <t>Requires Verification</t>
        </is>
      </c>
      <c r="BC280" s="5" t="inlineStr">
        <is>
          <t>Low</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UK-000344</t>
        </is>
      </c>
      <c r="B281" s="10" t="inlineStr">
        <is>
          <t>UK-000344-01</t>
        </is>
      </c>
      <c r="C281" s="10" t="inlineStr"/>
      <c r="D281" s="10" t="inlineStr">
        <is>
          <t>Babylon Night Shisha Lounge</t>
        </is>
      </c>
      <c r="E281" s="10" t="inlineStr">
        <is>
          <t>Babylon Night Shisha Lounge</t>
        </is>
      </c>
      <c r="F281" s="10" t="inlineStr"/>
      <c r="G281" s="10" t="inlineStr">
        <is>
          <t>Smoke / Shisha Shop</t>
        </is>
      </c>
      <c r="H281" s="10" t="inlineStr">
        <is>
          <t>Shisha lounge</t>
        </is>
      </c>
      <c r="I281" s="10" t="inlineStr">
        <is>
          <t>Independent</t>
        </is>
      </c>
      <c r="J281" s="10" t="inlineStr">
        <is>
          <t>1</t>
        </is>
      </c>
      <c r="K281" s="10" t="inlineStr"/>
      <c r="L281" s="10" t="inlineStr"/>
      <c r="M281" s="10" t="inlineStr"/>
      <c r="N281" s="10" t="inlineStr"/>
      <c r="O281" s="10" t="inlineStr">
        <is>
          <t>Manchester Street</t>
        </is>
      </c>
      <c r="P281" s="10" t="inlineStr">
        <is>
          <t>Werneth</t>
        </is>
      </c>
      <c r="Q281" s="10" t="inlineStr">
        <is>
          <t>Oldham</t>
        </is>
      </c>
      <c r="R281" s="10" t="inlineStr">
        <is>
          <t>Greater Manchester</t>
        </is>
      </c>
      <c r="S281" s="10" t="inlineStr">
        <is>
          <t>OL8 1UF</t>
        </is>
      </c>
      <c r="T281" s="10" t="inlineStr">
        <is>
          <t>North West</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shisha; hookah</t>
        </is>
      </c>
      <c r="AL281" s="10" t="inlineStr"/>
      <c r="AM281" s="10" t="inlineStr">
        <is>
          <t>Smoke / Shisha Shop</t>
        </is>
      </c>
      <c r="AN281" s="10" t="inlineStr"/>
      <c r="AO281" s="10" t="inlineStr">
        <is>
          <t>Shisha lounge in Werneth, Oldham.</t>
        </is>
      </c>
      <c r="AP281" s="10" t="inlineStr">
        <is>
          <t>Medium</t>
        </is>
      </c>
      <c r="AQ281" s="10" t="inlineStr">
        <is>
          <t>Independent retailer; Core relevant category</t>
        </is>
      </c>
      <c r="AR281" s="10" t="inlineStr">
        <is>
          <t>https://babylon-night-shisha-lounge.wheree.com/</t>
        </is>
      </c>
      <c r="AS281" s="10" t="inlineStr"/>
      <c r="AT281" s="10" t="inlineStr">
        <is>
          <t>1</t>
        </is>
      </c>
      <c r="AU281" s="10" t="inlineStr">
        <is>
          <t>No</t>
        </is>
      </c>
      <c r="AV281" s="10" t="inlineStr">
        <is>
          <t>No</t>
        </is>
      </c>
      <c r="AW281" s="10" t="inlineStr">
        <is>
          <t>No</t>
        </is>
      </c>
      <c r="AX281" s="10" t="inlineStr">
        <is>
          <t>No</t>
        </is>
      </c>
      <c r="AY281" s="10" t="inlineStr">
        <is>
          <t>Not Found</t>
        </is>
      </c>
      <c r="AZ281" s="10" t="inlineStr">
        <is>
          <t>Not Found</t>
        </is>
      </c>
      <c r="BA281" s="10" t="inlineStr">
        <is>
          <t>2026-09-17</t>
        </is>
      </c>
      <c r="BB281" s="10" t="inlineStr">
        <is>
          <t>Requires Verification</t>
        </is>
      </c>
      <c r="BC281" s="10" t="inlineStr">
        <is>
          <t>Low</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WY-0056</t>
        </is>
      </c>
      <c r="B282" s="5" t="inlineStr">
        <is>
          <t>WY-0056-01</t>
        </is>
      </c>
      <c r="C282" s="5" t="inlineStr"/>
      <c r="D282" s="5" t="inlineStr">
        <is>
          <t>Baildon Green Convenience Store</t>
        </is>
      </c>
      <c r="E282" s="5" t="inlineStr">
        <is>
          <t>Baildon Green Convenience Store</t>
        </is>
      </c>
      <c r="F282" s="5" t="inlineStr"/>
      <c r="G282" s="5" t="inlineStr">
        <is>
          <t>Convenience Store</t>
        </is>
      </c>
      <c r="H282" s="5" t="inlineStr">
        <is>
          <t>Neighbourhood convenience store</t>
        </is>
      </c>
      <c r="I282" s="5" t="inlineStr">
        <is>
          <t>Independent</t>
        </is>
      </c>
      <c r="J282" s="5" t="inlineStr">
        <is>
          <t>1</t>
        </is>
      </c>
      <c r="K282" s="5" t="inlineStr"/>
      <c r="L282" s="5" t="inlineStr"/>
      <c r="M282" s="5" t="inlineStr"/>
      <c r="N282" s="5" t="inlineStr"/>
      <c r="O282" s="5" t="inlineStr">
        <is>
          <t>Cliffe Lane West</t>
        </is>
      </c>
      <c r="P282" s="5" t="inlineStr">
        <is>
          <t>Baildon</t>
        </is>
      </c>
      <c r="Q282" s="5" t="inlineStr">
        <is>
          <t>Shipley</t>
        </is>
      </c>
      <c r="R282" s="5" t="inlineStr">
        <is>
          <t>West Yorkshire</t>
        </is>
      </c>
      <c r="S282" s="5" t="inlineStr"/>
      <c r="T282" s="5" t="inlineStr">
        <is>
          <t>Yorkshire &amp; Humber</t>
        </is>
      </c>
      <c r="U282" s="5" t="inlineStr">
        <is>
          <t>England</t>
        </is>
      </c>
      <c r="V282" s="5" t="inlineStr"/>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convenience lines; groceries</t>
        </is>
      </c>
      <c r="AL282" s="5" t="inlineStr"/>
      <c r="AM282" s="5" t="inlineStr">
        <is>
          <t>Convenience Store</t>
        </is>
      </c>
      <c r="AN282" s="5" t="inlineStr"/>
      <c r="AO282" s="5" t="inlineStr">
        <is>
          <t>Open 7 days, 7am-11pm per listing snippet.</t>
        </is>
      </c>
      <c r="AP282" s="5" t="inlineStr">
        <is>
          <t>Low</t>
        </is>
      </c>
      <c r="AQ282" s="5" t="inlineStr">
        <is>
          <t>Independent retailer; Relevant category</t>
        </is>
      </c>
      <c r="AR282" s="5" t="inlineStr">
        <is>
          <t>https://www.yorkshire.com/shipley/shopping/corner-shops/baildon-green-convenience-store</t>
        </is>
      </c>
      <c r="AS282" s="5" t="inlineStr"/>
      <c r="AT282" s="5" t="inlineStr">
        <is>
          <t>1</t>
        </is>
      </c>
      <c r="AU282" s="5" t="inlineStr">
        <is>
          <t>No</t>
        </is>
      </c>
      <c r="AV282" s="5" t="inlineStr">
        <is>
          <t>No</t>
        </is>
      </c>
      <c r="AW282" s="5" t="inlineStr">
        <is>
          <t>No</t>
        </is>
      </c>
      <c r="AX282" s="5" t="inlineStr">
        <is>
          <t>No</t>
        </is>
      </c>
      <c r="AY282" s="5" t="inlineStr">
        <is>
          <t>Not Found</t>
        </is>
      </c>
      <c r="AZ282" s="5" t="inlineStr">
        <is>
          <t>Not Found</t>
        </is>
      </c>
      <c r="BA282" s="5" t="inlineStr">
        <is>
          <t>2026-09-17</t>
        </is>
      </c>
      <c r="BB282" s="5" t="inlineStr">
        <is>
          <t>Requires Verification</t>
        </is>
      </c>
      <c r="BC282" s="5" t="inlineStr">
        <is>
          <t>Low</t>
        </is>
      </c>
      <c r="BD282" s="5" t="inlineStr"/>
      <c r="BE282" s="5" t="inlineStr">
        <is>
          <t>Business (B2B)</t>
        </is>
      </c>
      <c r="BF282" s="5" t="inlineStr">
        <is>
          <t>Legitimate interest (B2B) - assess per campaign; PECR: corporate subscribers</t>
        </is>
      </c>
      <c r="BG282" s="5" t="inlineStr"/>
      <c r="BH282" s="5" t="inlineStr">
        <is>
          <t>No</t>
        </is>
      </c>
      <c r="BI282" s="5" t="inlineStr">
        <is>
          <t>2026-09-16</t>
        </is>
      </c>
      <c r="BJ282" s="5" t="inlineStr">
        <is>
          <t>New</t>
        </is>
      </c>
      <c r="BK282" s="5" t="inlineStr">
        <is>
          <t>2026-09-17</t>
        </is>
      </c>
      <c r="BL282" s="5" t="inlineStr"/>
      <c r="BM282" s="5" t="inlineStr"/>
      <c r="BN282" s="5" t="inlineStr"/>
      <c r="BO282" s="5" t="inlineStr"/>
      <c r="BP282" s="5" t="inlineStr"/>
      <c r="BQ282" s="5" t="inlineStr"/>
    </row>
    <row r="283">
      <c r="A283" s="10" t="inlineStr">
        <is>
          <t>WY-0057</t>
        </is>
      </c>
      <c r="B283" s="10" t="inlineStr">
        <is>
          <t>WY-0057-01</t>
        </is>
      </c>
      <c r="C283" s="10" t="inlineStr"/>
      <c r="D283" s="10" t="inlineStr">
        <is>
          <t>Baildon Off Licence</t>
        </is>
      </c>
      <c r="E283" s="10" t="inlineStr">
        <is>
          <t>Baildon Off Licence</t>
        </is>
      </c>
      <c r="F283" s="10" t="inlineStr"/>
      <c r="G283" s="10" t="inlineStr">
        <is>
          <t>Off-Licence</t>
        </is>
      </c>
      <c r="H283" s="10" t="inlineStr">
        <is>
          <t>Neighbourhood off-licence</t>
        </is>
      </c>
      <c r="I283" s="10" t="inlineStr">
        <is>
          <t>Independent</t>
        </is>
      </c>
      <c r="J283" s="10" t="inlineStr">
        <is>
          <t>1</t>
        </is>
      </c>
      <c r="K283" s="10" t="inlineStr"/>
      <c r="L283" s="10" t="inlineStr"/>
      <c r="M283" s="10" t="inlineStr"/>
      <c r="N283" s="10" t="inlineStr"/>
      <c r="O283" s="10" t="inlineStr">
        <is>
          <t>Coach Road</t>
        </is>
      </c>
      <c r="P283" s="10" t="inlineStr">
        <is>
          <t>Baildon</t>
        </is>
      </c>
      <c r="Q283" s="10" t="inlineStr">
        <is>
          <t>Shipley</t>
        </is>
      </c>
      <c r="R283" s="10" t="inlineStr">
        <is>
          <t>West Yorkshire</t>
        </is>
      </c>
      <c r="S283" s="10" t="inlineStr"/>
      <c r="T283" s="10" t="inlineStr">
        <is>
          <t>Yorkshire &amp; Humber</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beers; wines; spirits; convenience lines</t>
        </is>
      </c>
      <c r="AL283" s="10" t="inlineStr"/>
      <c r="AM283" s="10" t="inlineStr">
        <is>
          <t>Off-Licence</t>
        </is>
      </c>
      <c r="AN283" s="10" t="inlineStr"/>
      <c r="AO283" s="10" t="inlineStr">
        <is>
          <t>Coach Road, Baildon (Saltaire side). Google rating 4.3; open Mon-Sat 9am-8pm, Sun 10am-6pm per listing snippet.</t>
        </is>
      </c>
      <c r="AP283" s="10" t="inlineStr">
        <is>
          <t>Low</t>
        </is>
      </c>
      <c r="AQ283" s="10" t="inlineStr">
        <is>
          <t>Independent retailer; Relevant category</t>
        </is>
      </c>
      <c r="AR283" s="10" t="inlineStr">
        <is>
          <t>https://www.yorkshire.com/saltaire/shopping/off-license/baildon-off-licence</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2026-09-16</t>
        </is>
      </c>
      <c r="BJ283" s="10" t="inlineStr">
        <is>
          <t>New</t>
        </is>
      </c>
      <c r="BK283" s="10" t="inlineStr">
        <is>
          <t>2026-09-17</t>
        </is>
      </c>
      <c r="BL283" s="10" t="inlineStr"/>
      <c r="BM283" s="10" t="inlineStr"/>
      <c r="BN283" s="10" t="inlineStr"/>
      <c r="BO283" s="10" t="inlineStr"/>
      <c r="BP283" s="10" t="inlineStr"/>
      <c r="BQ283" s="10" t="inlineStr"/>
    </row>
    <row r="284">
      <c r="A284" s="5" t="inlineStr">
        <is>
          <t>WY-0058</t>
        </is>
      </c>
      <c r="B284" s="5" t="inlineStr">
        <is>
          <t>WY-0058-01</t>
        </is>
      </c>
      <c r="C284" s="5" t="inlineStr"/>
      <c r="D284" s="5" t="inlineStr">
        <is>
          <t>Bar Market</t>
        </is>
      </c>
      <c r="E284" s="5" t="inlineStr">
        <is>
          <t>Bar Market Ltd</t>
        </is>
      </c>
      <c r="F284" s="5" t="inlineStr"/>
      <c r="G284" s="5" t="inlineStr">
        <is>
          <t>Off-Licence</t>
        </is>
      </c>
      <c r="H284" s="5" t="inlineStr">
        <is>
          <t>24-hour off-licence</t>
        </is>
      </c>
      <c r="I284" s="5" t="inlineStr">
        <is>
          <t>Independent</t>
        </is>
      </c>
      <c r="J284" s="5" t="inlineStr">
        <is>
          <t>1</t>
        </is>
      </c>
      <c r="K284" s="5" t="inlineStr"/>
      <c r="L284" s="5" t="inlineStr"/>
      <c r="M284" s="5" t="inlineStr"/>
      <c r="N284" s="5" t="inlineStr"/>
      <c r="O284" s="5" t="inlineStr">
        <is>
          <t>Crown Street</t>
        </is>
      </c>
      <c r="P284" s="5" t="inlineStr"/>
      <c r="Q284" s="5" t="inlineStr">
        <is>
          <t>Halifax</t>
        </is>
      </c>
      <c r="R284" s="5" t="inlineStr">
        <is>
          <t>West Yorkshire</t>
        </is>
      </c>
      <c r="S284" s="5" t="inlineStr"/>
      <c r="T284" s="5" t="inlineStr">
        <is>
          <t>Yorkshire &amp; Humber</t>
        </is>
      </c>
      <c r="U284" s="5" t="inlineStr">
        <is>
          <t>England</t>
        </is>
      </c>
      <c r="V284" s="5" t="inlineStr"/>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beers, wines and spirits</t>
        </is>
      </c>
      <c r="AL284" s="5" t="inlineStr"/>
      <c r="AM284" s="5" t="inlineStr">
        <is>
          <t>Off-Licence</t>
        </is>
      </c>
      <c r="AN284" s="5" t="inlineStr"/>
      <c r="AO284" s="5" t="inlineStr">
        <is>
          <t>Described as open 24/7. Directory name suggests a limited company but no Companies House match was verified; street number and postcode not captured.</t>
        </is>
      </c>
      <c r="AP284" s="5" t="inlineStr">
        <is>
          <t>Low</t>
        </is>
      </c>
      <c r="AQ284" s="5" t="inlineStr">
        <is>
          <t>Independent retailer; Relevant category</t>
        </is>
      </c>
      <c r="AR284" s="5" t="inlineStr">
        <is>
          <t>https://www.yorkshire.com/halifax/shopping/off-license/bar-market-ltd</t>
        </is>
      </c>
      <c r="AS284" s="5" t="inlineStr"/>
      <c r="AT284" s="5" t="inlineStr">
        <is>
          <t>1</t>
        </is>
      </c>
      <c r="AU284" s="5" t="inlineStr">
        <is>
          <t>No</t>
        </is>
      </c>
      <c r="AV284" s="5" t="inlineStr">
        <is>
          <t>No</t>
        </is>
      </c>
      <c r="AW284" s="5" t="inlineStr">
        <is>
          <t>No</t>
        </is>
      </c>
      <c r="AX284" s="5" t="inlineStr">
        <is>
          <t>No</t>
        </is>
      </c>
      <c r="AY284" s="5" t="inlineStr">
        <is>
          <t>Not Found</t>
        </is>
      </c>
      <c r="AZ284" s="5" t="inlineStr">
        <is>
          <t>Not Found</t>
        </is>
      </c>
      <c r="BA284" s="5" t="inlineStr">
        <is>
          <t>2026-09-17</t>
        </is>
      </c>
      <c r="BB284" s="5" t="inlineStr">
        <is>
          <t>Requires Verification</t>
        </is>
      </c>
      <c r="BC284" s="5" t="inlineStr">
        <is>
          <t>Low</t>
        </is>
      </c>
      <c r="BD284" s="5" t="inlineStr"/>
      <c r="BE284" s="5" t="inlineStr">
        <is>
          <t>Business (B2B)</t>
        </is>
      </c>
      <c r="BF284" s="5" t="inlineStr">
        <is>
          <t>Legitimate interest (B2B) - assess per campaign; PECR: corporate subscribers</t>
        </is>
      </c>
      <c r="BG284" s="5" t="inlineStr"/>
      <c r="BH284" s="5" t="inlineStr">
        <is>
          <t>No</t>
        </is>
      </c>
      <c r="BI284" s="5" t="inlineStr">
        <is>
          <t>2026-09-16</t>
        </is>
      </c>
      <c r="BJ284" s="5" t="inlineStr">
        <is>
          <t>New</t>
        </is>
      </c>
      <c r="BK284" s="5" t="inlineStr">
        <is>
          <t>2026-09-17</t>
        </is>
      </c>
      <c r="BL284" s="5" t="inlineStr"/>
      <c r="BM284" s="5" t="inlineStr"/>
      <c r="BN284" s="5" t="inlineStr"/>
      <c r="BO284" s="5" t="inlineStr"/>
      <c r="BP284" s="5" t="inlineStr"/>
      <c r="BQ284" s="5" t="inlineStr"/>
    </row>
    <row r="285">
      <c r="A285" s="10" t="inlineStr">
        <is>
          <t>UK-000345</t>
        </is>
      </c>
      <c r="B285" s="10" t="inlineStr">
        <is>
          <t>UK-000345-01</t>
        </is>
      </c>
      <c r="C285" s="10" t="inlineStr"/>
      <c r="D285" s="10" t="inlineStr">
        <is>
          <t>Bargain Brand Food</t>
        </is>
      </c>
      <c r="E285" s="10" t="inlineStr">
        <is>
          <t>Bargain Brand Food</t>
        </is>
      </c>
      <c r="F285" s="10" t="inlineStr"/>
      <c r="G285" s="10" t="inlineStr">
        <is>
          <t>Independent Supermarket</t>
        </is>
      </c>
      <c r="H285" s="10" t="inlineStr">
        <is>
          <t>Discount grocery</t>
        </is>
      </c>
      <c r="I285" s="10" t="inlineStr">
        <is>
          <t>Independent</t>
        </is>
      </c>
      <c r="J285" s="10" t="inlineStr">
        <is>
          <t>1</t>
        </is>
      </c>
      <c r="K285" s="10" t="inlineStr"/>
      <c r="L285" s="10" t="inlineStr"/>
      <c r="M285" s="10" t="inlineStr"/>
      <c r="N285" s="10" t="inlineStr"/>
      <c r="O285" s="10" t="inlineStr">
        <is>
          <t>Unit 32A, Grand Arcade Shopping Centre</t>
        </is>
      </c>
      <c r="P285" s="10" t="inlineStr">
        <is>
          <t>23 Crompton Street</t>
        </is>
      </c>
      <c r="Q285" s="10" t="inlineStr">
        <is>
          <t>Wigan</t>
        </is>
      </c>
      <c r="R285" s="10" t="inlineStr">
        <is>
          <t>Greater Manchester</t>
        </is>
      </c>
      <c r="S285" s="10" t="inlineStr">
        <is>
          <t>WN1 1BH</t>
        </is>
      </c>
      <c r="T285" s="10" t="inlineStr">
        <is>
          <t>North West</t>
        </is>
      </c>
      <c r="U285" s="10" t="inlineStr">
        <is>
          <t>England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branded discount groceries; soft drinks; household</t>
        </is>
      </c>
      <c r="AL285" s="10" t="inlineStr"/>
      <c r="AM285" s="10" t="inlineStr">
        <is>
          <t>Independent Supermarket</t>
        </is>
      </c>
      <c r="AN285" s="10" t="inlineStr"/>
      <c r="AO285" s="10" t="inlineStr">
        <is>
          <t>Independent discount grocery/international food store in Grand Arcade, Wigan (WN1 1BH).</t>
        </is>
      </c>
      <c r="AP285" s="10" t="inlineStr">
        <is>
          <t>Low</t>
        </is>
      </c>
      <c r="AQ285" s="10" t="inlineStr">
        <is>
          <t>Independent retailer; Relevant category</t>
        </is>
      </c>
      <c r="AR285" s="10" t="inlineStr">
        <is>
          <t>https://bargain-brand-food.wheree.com/</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2026-09-17</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UK-000237</t>
        </is>
      </c>
      <c r="B286" s="5" t="inlineStr">
        <is>
          <t>UK-000237-01</t>
        </is>
      </c>
      <c r="C286" s="5" t="inlineStr"/>
      <c r="D286" s="5" t="inlineStr">
        <is>
          <t>Bargains Cash &amp; Carry Ltd</t>
        </is>
      </c>
      <c r="E286" s="5" t="inlineStr">
        <is>
          <t>Bargains Cash &amp; Carry</t>
        </is>
      </c>
      <c r="F286" s="5" t="inlineStr"/>
      <c r="G286" s="5" t="inlineStr">
        <is>
          <t>Cash &amp; Carry</t>
        </is>
      </c>
      <c r="H286" s="5" t="inlineStr">
        <is>
          <t>Cash &amp; carry wholesaler</t>
        </is>
      </c>
      <c r="I286" s="5" t="inlineStr">
        <is>
          <t>Independent</t>
        </is>
      </c>
      <c r="J286" s="5" t="inlineStr">
        <is>
          <t>1</t>
        </is>
      </c>
      <c r="K286" s="5" t="inlineStr"/>
      <c r="L286" s="5" t="inlineStr"/>
      <c r="M286" s="5" t="inlineStr"/>
      <c r="N286" s="5" t="inlineStr"/>
      <c r="O286" s="5" t="inlineStr"/>
      <c r="P286" s="5" t="inlineStr"/>
      <c r="Q286" s="5" t="inlineStr">
        <is>
          <t>Sheffield</t>
        </is>
      </c>
      <c r="R286" s="5" t="inlineStr">
        <is>
          <t>South Yorkshire</t>
        </is>
      </c>
      <c r="S286" s="5" t="inlineStr"/>
      <c r="T286" s="5" t="inlineStr">
        <is>
          <t>Yorkshire &amp; Humber</t>
        </is>
      </c>
      <c r="U286" s="5" t="inlineStr">
        <is>
          <t>England</t>
        </is>
      </c>
      <c r="V286" s="5" t="inlineStr"/>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grocery wholesale; confectionery; soft drinks; household</t>
        </is>
      </c>
      <c r="AL286" s="5" t="inlineStr"/>
      <c r="AM286" s="5" t="inlineStr">
        <is>
          <t>Cash &amp; Carry</t>
        </is>
      </c>
      <c r="AN286" s="5" t="inlineStr"/>
      <c r="AO286" s="5" t="inlineStr">
        <is>
          <t>Independent cash &amp; carry wholesaler in Sheffield listed on Cylex; street address/postcode not captured from search snippet.</t>
        </is>
      </c>
      <c r="AP286" s="5" t="inlineStr">
        <is>
          <t>Medium</t>
        </is>
      </c>
      <c r="AQ286" s="5" t="inlineStr">
        <is>
          <t>Independent retailer; Core relevant category</t>
        </is>
      </c>
      <c r="AR286" s="5" t="inlineStr">
        <is>
          <t>https://sheffield.cylex-uk.co.uk/company/bargains-cash---carry-ltd-27419816.html</t>
        </is>
      </c>
      <c r="AS286" s="5" t="inlineStr"/>
      <c r="AT286" s="5" t="inlineStr">
        <is>
          <t>1</t>
        </is>
      </c>
      <c r="AU286" s="5" t="inlineStr">
        <is>
          <t>No</t>
        </is>
      </c>
      <c r="AV286" s="5" t="inlineStr">
        <is>
          <t>No</t>
        </is>
      </c>
      <c r="AW286" s="5" t="inlineStr">
        <is>
          <t>No</t>
        </is>
      </c>
      <c r="AX286" s="5" t="inlineStr">
        <is>
          <t>No</t>
        </is>
      </c>
      <c r="AY286" s="5" t="inlineStr">
        <is>
          <t>Not Found</t>
        </is>
      </c>
      <c r="AZ286" s="5" t="inlineStr">
        <is>
          <t>Not Found</t>
        </is>
      </c>
      <c r="BA286" s="5" t="inlineStr">
        <is>
          <t>2026-09-17</t>
        </is>
      </c>
      <c r="BB286" s="5" t="inlineStr">
        <is>
          <t>Requires Verification</t>
        </is>
      </c>
      <c r="BC286" s="5" t="inlineStr">
        <is>
          <t>Low</t>
        </is>
      </c>
      <c r="BD286" s="5" t="inlineStr"/>
      <c r="BE286" s="5" t="inlineStr">
        <is>
          <t>Business (B2B)</t>
        </is>
      </c>
      <c r="BF286" s="5" t="inlineStr">
        <is>
          <t>Legitimate interest (B2B) - assess per campaign; PECR: corporate subscribers</t>
        </is>
      </c>
      <c r="BG286" s="5" t="inlineStr"/>
      <c r="BH286" s="5" t="inlineStr">
        <is>
          <t>No</t>
        </is>
      </c>
      <c r="BI286" s="5" t="inlineStr">
        <is>
          <t>2026-09-16</t>
        </is>
      </c>
      <c r="BJ286" s="5" t="inlineStr">
        <is>
          <t>New</t>
        </is>
      </c>
      <c r="BK286" s="5" t="inlineStr">
        <is>
          <t>2026-09-17</t>
        </is>
      </c>
      <c r="BL286" s="5" t="inlineStr"/>
      <c r="BM286" s="5" t="inlineStr"/>
      <c r="BN286" s="5" t="inlineStr"/>
      <c r="BO286" s="5" t="inlineStr"/>
      <c r="BP286" s="5" t="inlineStr"/>
      <c r="BQ286" s="5" t="inlineStr"/>
    </row>
    <row r="287">
      <c r="A287" s="10" t="inlineStr">
        <is>
          <t>UK-000346</t>
        </is>
      </c>
      <c r="B287" s="10" t="inlineStr">
        <is>
          <t>UK-000346-01</t>
        </is>
      </c>
      <c r="C287" s="10" t="inlineStr"/>
      <c r="D287" s="10" t="inlineStr">
        <is>
          <t>Barkway Newsagents (Stretford)</t>
        </is>
      </c>
      <c r="E287" s="10" t="inlineStr">
        <is>
          <t>Barkway Newsagents</t>
        </is>
      </c>
      <c r="F287" s="10" t="inlineStr"/>
      <c r="G287" s="10" t="inlineStr">
        <is>
          <t>Newsagent</t>
        </is>
      </c>
      <c r="H287" s="10" t="inlineStr">
        <is>
          <t>Newsagent &amp; convenience</t>
        </is>
      </c>
      <c r="I287" s="10" t="inlineStr">
        <is>
          <t>Independent</t>
        </is>
      </c>
      <c r="J287" s="10" t="inlineStr">
        <is>
          <t>1</t>
        </is>
      </c>
      <c r="K287" s="10" t="inlineStr"/>
      <c r="L287" s="10" t="inlineStr"/>
      <c r="M287" s="10" t="inlineStr"/>
      <c r="N287" s="10" t="inlineStr"/>
      <c r="O287" s="10" t="inlineStr">
        <is>
          <t>143 Barkway Road</t>
        </is>
      </c>
      <c r="P287" s="10" t="inlineStr">
        <is>
          <t>Stretford</t>
        </is>
      </c>
      <c r="Q287" s="10" t="inlineStr">
        <is>
          <t>Stretford</t>
        </is>
      </c>
      <c r="R287" s="10" t="inlineStr">
        <is>
          <t>Greater Manchester</t>
        </is>
      </c>
      <c r="S287" s="10" t="inlineStr">
        <is>
          <t>M32 9DX</t>
        </is>
      </c>
      <c r="T287" s="10" t="inlineStr">
        <is>
          <t>North West</t>
        </is>
      </c>
      <c r="U287" s="10" t="inlineStr">
        <is>
          <t>England</t>
        </is>
      </c>
      <c r="V287" s="10" t="inlineStr">
        <is>
          <t>0161 865 0169</t>
        </is>
      </c>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newspapers; magazines; tobacco; confectionery; groceries</t>
        </is>
      </c>
      <c r="AL287" s="10" t="inlineStr"/>
      <c r="AM287" s="10" t="inlineStr">
        <is>
          <t>Newsagent</t>
        </is>
      </c>
      <c r="AN287" s="10" t="inlineStr"/>
      <c r="AO287" s="10" t="inlineStr">
        <is>
          <t>Stretford independent newsagent/convenience store; address/phone from Cylex Stretford.</t>
        </is>
      </c>
      <c r="AP287" s="10" t="inlineStr">
        <is>
          <t>Low</t>
        </is>
      </c>
      <c r="AQ287" s="10" t="inlineStr">
        <is>
          <t>Independent retailer; Relevant category</t>
        </is>
      </c>
      <c r="AR287" s="10" t="inlineStr">
        <is>
          <t>https://stretford-trafford.cylex-uk.co.uk/company/barkway-newsagents-13599788.html</t>
        </is>
      </c>
      <c r="AS287" s="10" t="inlineStr"/>
      <c r="AT287" s="10" t="inlineStr">
        <is>
          <t>1</t>
        </is>
      </c>
      <c r="AU287" s="10" t="inlineStr">
        <is>
          <t>No</t>
        </is>
      </c>
      <c r="AV287" s="10" t="inlineStr">
        <is>
          <t>No</t>
        </is>
      </c>
      <c r="AW287" s="10" t="inlineStr">
        <is>
          <t>No</t>
        </is>
      </c>
      <c r="AX287" s="10" t="inlineStr">
        <is>
          <t>No</t>
        </is>
      </c>
      <c r="AY287" s="10" t="inlineStr">
        <is>
          <t>Verified directory</t>
        </is>
      </c>
      <c r="AZ287" s="10" t="inlineStr">
        <is>
          <t>Not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UK-000580</t>
        </is>
      </c>
      <c r="B288" s="5" t="inlineStr">
        <is>
          <t>UK-000580-01</t>
        </is>
      </c>
      <c r="C288" s="5" t="inlineStr"/>
      <c r="D288" s="5" t="inlineStr">
        <is>
          <t>Barraka Shop</t>
        </is>
      </c>
      <c r="E288" s="5" t="inlineStr">
        <is>
          <t>Barraka Shop</t>
        </is>
      </c>
      <c r="F288" s="5" t="inlineStr"/>
      <c r="G288" s="5" t="inlineStr">
        <is>
          <t>Independent Supermarket</t>
        </is>
      </c>
      <c r="H288" s="5" t="inlineStr">
        <is>
          <t>African / world food store</t>
        </is>
      </c>
      <c r="I288" s="5" t="inlineStr">
        <is>
          <t>Independent</t>
        </is>
      </c>
      <c r="J288" s="5" t="inlineStr">
        <is>
          <t>1</t>
        </is>
      </c>
      <c r="K288" s="5" t="inlineStr"/>
      <c r="L288" s="5" t="inlineStr"/>
      <c r="M288" s="5" t="inlineStr"/>
      <c r="N288" s="5" t="inlineStr"/>
      <c r="O288" s="5" t="inlineStr">
        <is>
          <t>215 Deptford High Street</t>
        </is>
      </c>
      <c r="P288" s="5" t="inlineStr"/>
      <c r="Q288" s="5" t="inlineStr">
        <is>
          <t>London</t>
        </is>
      </c>
      <c r="R288" s="5" t="inlineStr">
        <is>
          <t>Greater London</t>
        </is>
      </c>
      <c r="S288" s="5" t="inlineStr">
        <is>
          <t>SE8 3NT</t>
        </is>
      </c>
      <c r="T288" s="5" t="inlineStr">
        <is>
          <t>London</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African groceries; halal; world foods</t>
        </is>
      </c>
      <c r="AL288" s="5" t="inlineStr"/>
      <c r="AM288" s="5" t="inlineStr">
        <is>
          <t>Independent Supermarket</t>
        </is>
      </c>
      <c r="AN288" s="5" t="inlineStr"/>
      <c r="AO288" s="5" t="inlineStr">
        <is>
          <t>Independent African food shop on Deptford High Street (listed under African stores on Yell). Address from Yell listing.</t>
        </is>
      </c>
      <c r="AP288" s="5" t="inlineStr">
        <is>
          <t>Low</t>
        </is>
      </c>
      <c r="AQ288" s="5" t="inlineStr">
        <is>
          <t>Independent retailer; Relevant category</t>
        </is>
      </c>
      <c r="AR288" s="5" t="inlineStr">
        <is>
          <t>https://www.yell.com/biz/barraka-shop-london-901765630/</t>
        </is>
      </c>
      <c r="AS288" s="5" t="inlineStr"/>
      <c r="AT288" s="5" t="inlineStr">
        <is>
          <t>1</t>
        </is>
      </c>
      <c r="AU288" s="5" t="inlineStr">
        <is>
          <t>No</t>
        </is>
      </c>
      <c r="AV288" s="5" t="inlineStr">
        <is>
          <t>No</t>
        </is>
      </c>
      <c r="AW288" s="5" t="inlineStr">
        <is>
          <t>No</t>
        </is>
      </c>
      <c r="AX288" s="5" t="inlineStr">
        <is>
          <t>No</t>
        </is>
      </c>
      <c r="AY288" s="5" t="inlineStr">
        <is>
          <t>Not Found</t>
        </is>
      </c>
      <c r="AZ288" s="5" t="inlineStr">
        <is>
          <t>Not Found</t>
        </is>
      </c>
      <c r="BA288" s="5" t="inlineStr">
        <is>
          <t>2026-09-17</t>
        </is>
      </c>
      <c r="BB288" s="5" t="inlineStr">
        <is>
          <t>Requires Verification</t>
        </is>
      </c>
      <c r="BC288" s="5" t="inlineStr">
        <is>
          <t>Low</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WY-0059</t>
        </is>
      </c>
      <c r="B289" s="10" t="inlineStr">
        <is>
          <t>WY-0059-01</t>
        </is>
      </c>
      <c r="C289" s="10" t="inlineStr"/>
      <c r="D289" s="10" t="inlineStr">
        <is>
          <t>Barry's Cash &amp; Carry</t>
        </is>
      </c>
      <c r="E289" s="10" t="inlineStr">
        <is>
          <t>Cut Price Barry's / Barrys Cash and Carry</t>
        </is>
      </c>
      <c r="F289" s="10" t="inlineStr">
        <is>
          <t>BARRY'S CASH &amp; CARRY LTD</t>
        </is>
      </c>
      <c r="G289" s="10" t="inlineStr">
        <is>
          <t>Cash &amp; Carry</t>
        </is>
      </c>
      <c r="H289" s="10" t="inlineStr">
        <is>
          <t>Clearance food and drink cash &amp; carry (open to trade and public)</t>
        </is>
      </c>
      <c r="I289" s="10" t="inlineStr">
        <is>
          <t>Independent</t>
        </is>
      </c>
      <c r="J289" s="10" t="inlineStr">
        <is>
          <t>1</t>
        </is>
      </c>
      <c r="K289" s="10" t="inlineStr">
        <is>
          <t>http://www.cutpricebarrys.co.uk/</t>
        </is>
      </c>
      <c r="L289" s="10" t="inlineStr">
        <is>
          <t>https://www.facebook.com/p/Barrys-Cash-Carry-61550239916577/</t>
        </is>
      </c>
      <c r="M289" s="10" t="inlineStr">
        <is>
          <t>https://www.instagram.com/barryscashandcarry/</t>
        </is>
      </c>
      <c r="N289" s="10" t="inlineStr"/>
      <c r="O289" s="10" t="inlineStr">
        <is>
          <t>163 King Cross Road</t>
        </is>
      </c>
      <c r="P289" s="10" t="inlineStr"/>
      <c r="Q289" s="10" t="inlineStr">
        <is>
          <t>Halifax</t>
        </is>
      </c>
      <c r="R289" s="10" t="inlineStr">
        <is>
          <t>West Yorkshire</t>
        </is>
      </c>
      <c r="S289" s="10" t="inlineStr">
        <is>
          <t>HX1 3LN</t>
        </is>
      </c>
      <c r="T289" s="10" t="inlineStr">
        <is>
          <t>Yorkshire &amp; Humber</t>
        </is>
      </c>
      <c r="U289" s="10" t="inlineStr">
        <is>
          <t>England</t>
        </is>
      </c>
      <c r="V289" s="10" t="inlineStr">
        <is>
          <t>01422 646060</t>
        </is>
      </c>
      <c r="W289" s="10" t="inlineStr"/>
      <c r="X289" s="10" t="inlineStr"/>
      <c r="Y289" s="10" t="inlineStr">
        <is>
          <t>info@cutpricebarrys.co.uk</t>
        </is>
      </c>
      <c r="Z289" s="10" t="inlineStr"/>
      <c r="AA289" s="10" t="inlineStr"/>
      <c r="AB289" s="10" t="inlineStr"/>
      <c r="AC289" s="10" t="inlineStr"/>
      <c r="AD289" s="10" t="inlineStr"/>
      <c r="AE289" s="10" t="inlineStr">
        <is>
          <t>11123434</t>
        </is>
      </c>
      <c r="AF289" s="10" t="inlineStr">
        <is>
          <t>Active - Active proposal to strike off</t>
        </is>
      </c>
      <c r="AG289" s="10" t="inlineStr">
        <is>
          <t>BARRY'S CASH &amp; CARRY LTD</t>
        </is>
      </c>
      <c r="AH289" s="10" t="inlineStr">
        <is>
          <t>163 King Cross Road, Halifax, United Kingdom, HX1 3LN</t>
        </is>
      </c>
      <c r="AI289" s="10" t="inlineStr">
        <is>
          <t>2017-12-22</t>
        </is>
      </c>
      <c r="AJ289" s="10" t="inlineStr"/>
      <c r="AK289" s="10" t="inlineStr">
        <is>
          <t>clearance food; drinks; novelty items; wholesale</t>
        </is>
      </c>
      <c r="AL289" s="10" t="inlineStr"/>
      <c r="AM289" s="10" t="inlineStr">
        <is>
          <t>Cash &amp; Carry</t>
        </is>
      </c>
      <c r="AN289" s="10" t="inlineStr"/>
      <c r="AO289" s="10"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289" s="10" t="inlineStr">
        <is>
          <t>High</t>
        </is>
      </c>
      <c r="AQ289" s="10" t="inlineStr">
        <is>
          <t>Independent retailer; Core relevant category; Public email available; Active website; Social presence</t>
        </is>
      </c>
      <c r="AR289" s="10" t="inlineStr">
        <is>
          <t>https://cutpricebarrys.co.uk/barrys-cash-and-carry/</t>
        </is>
      </c>
      <c r="AS289" s="10" t="inlineStr">
        <is>
          <t>https://find-and-update.company-information.service.gov.uk/company/11123434</t>
        </is>
      </c>
      <c r="AT289" s="10" t="inlineStr">
        <is>
          <t>5</t>
        </is>
      </c>
      <c r="AU289" s="10" t="inlineStr">
        <is>
          <t>No</t>
        </is>
      </c>
      <c r="AV289" s="10" t="inlineStr">
        <is>
          <t>No</t>
        </is>
      </c>
      <c r="AW289" s="10" t="inlineStr">
        <is>
          <t>No</t>
        </is>
      </c>
      <c r="AX289" s="10" t="inlineStr">
        <is>
          <t>Yes</t>
        </is>
      </c>
      <c r="AY289" s="10" t="inlineStr">
        <is>
          <t>Verified directory</t>
        </is>
      </c>
      <c r="AZ289" s="10" t="inlineStr">
        <is>
          <t>Unverified</t>
        </is>
      </c>
      <c r="BA289" s="10" t="inlineStr">
        <is>
          <t>2026-09-17</t>
        </is>
      </c>
      <c r="BB289" s="10" t="inlineStr">
        <is>
          <t>Partially Verified</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2026-09-16</t>
        </is>
      </c>
      <c r="BJ289" s="10" t="inlineStr">
        <is>
          <t>New</t>
        </is>
      </c>
      <c r="BK289" s="10" t="inlineStr">
        <is>
          <t>2026-09-17</t>
        </is>
      </c>
      <c r="BL289" s="10" t="inlineStr"/>
      <c r="BM289" s="10" t="inlineStr"/>
      <c r="BN289" s="10" t="inlineStr"/>
      <c r="BO289" s="10" t="inlineStr"/>
      <c r="BP289" s="10" t="inlineStr"/>
      <c r="BQ289" s="10" t="inlineStr"/>
    </row>
    <row r="290">
      <c r="A290" s="5" t="inlineStr">
        <is>
          <t>WY-0060</t>
        </is>
      </c>
      <c r="B290" s="5" t="inlineStr">
        <is>
          <t>WY-0060-01</t>
        </is>
      </c>
      <c r="C290" s="5" t="inlineStr"/>
      <c r="D290" s="5" t="inlineStr">
        <is>
          <t>Batley Bargain Centre</t>
        </is>
      </c>
      <c r="E290" s="5" t="inlineStr">
        <is>
          <t>Batley Bargain Centre</t>
        </is>
      </c>
      <c r="F290" s="5" t="inlineStr"/>
      <c r="G290" s="5" t="inlineStr">
        <is>
          <t>Other Relevant Retail</t>
        </is>
      </c>
      <c r="H290" s="5" t="inlineStr">
        <is>
          <t>Mobile phone and gadget store also selling vapes</t>
        </is>
      </c>
      <c r="I290" s="5" t="inlineStr">
        <is>
          <t>Independent</t>
        </is>
      </c>
      <c r="J290" s="5" t="inlineStr">
        <is>
          <t>1</t>
        </is>
      </c>
      <c r="K290" s="5" t="inlineStr">
        <is>
          <t>https://www.batleybargaincentre.com/</t>
        </is>
      </c>
      <c r="L290" s="5" t="inlineStr">
        <is>
          <t>https://www.facebook.com/p/Batley-bargain-centre-100089268260696/</t>
        </is>
      </c>
      <c r="M290" s="5" t="inlineStr">
        <is>
          <t>https://www.instagram.com/batleybargainscentre/</t>
        </is>
      </c>
      <c r="N290" s="5" t="inlineStr"/>
      <c r="O290" s="5" t="inlineStr"/>
      <c r="P290" s="5" t="inlineStr"/>
      <c r="Q290" s="5" t="inlineStr">
        <is>
          <t>Batley</t>
        </is>
      </c>
      <c r="R290" s="5" t="inlineStr">
        <is>
          <t>West Yorkshire</t>
        </is>
      </c>
      <c r="S290" s="5" t="inlineStr">
        <is>
          <t>WF17 5DA</t>
        </is>
      </c>
      <c r="T290" s="5" t="inlineStr">
        <is>
          <t>Yorkshire &amp; Humber</t>
        </is>
      </c>
      <c r="U290" s="5" t="inlineStr">
        <is>
          <t>England</t>
        </is>
      </c>
      <c r="V290" s="5" t="inlineStr">
        <is>
          <t>01924 475600</t>
        </is>
      </c>
      <c r="W290" s="5" t="inlineStr"/>
      <c r="X290" s="5" t="inlineStr"/>
      <c r="Y290" s="5" t="inlineStr">
        <is>
          <t>javorange@yahoo.co.uk</t>
        </is>
      </c>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vape products; mobile phones; gadgets</t>
        </is>
      </c>
      <c r="AL290" s="5" t="inlineStr"/>
      <c r="AM290" s="5" t="inlineStr">
        <is>
          <t>Other Relevant Retail</t>
        </is>
      </c>
      <c r="AN290" s="5" t="inlineStr"/>
      <c r="AO290" s="5" t="inlineStr">
        <is>
          <t>Own website describes it as a phone and gadget store with a vape shop offer; site fetch blocked by proxy so address/phone not captured.</t>
        </is>
      </c>
      <c r="AP290" s="5" t="inlineStr">
        <is>
          <t>Medium</t>
        </is>
      </c>
      <c r="AQ290" s="5" t="inlineStr">
        <is>
          <t>Independent retailer; Public email available; Active website; Social presence</t>
        </is>
      </c>
      <c r="AR290" s="5" t="inlineStr">
        <is>
          <t>https://www.batleybargaincentre.com/</t>
        </is>
      </c>
      <c r="AS290" s="5" t="inlineStr">
        <is>
          <t>https://www.misterwhat.co.uk/company/550608-batley-bargain-centre-batley</t>
        </is>
      </c>
      <c r="AT290" s="5" t="inlineStr">
        <is>
          <t>2</t>
        </is>
      </c>
      <c r="AU290" s="5" t="inlineStr">
        <is>
          <t>No</t>
        </is>
      </c>
      <c r="AV290" s="5" t="inlineStr">
        <is>
          <t>No</t>
        </is>
      </c>
      <c r="AW290" s="5" t="inlineStr">
        <is>
          <t>Yes</t>
        </is>
      </c>
      <c r="AX290" s="5" t="inlineStr">
        <is>
          <t>No</t>
        </is>
      </c>
      <c r="AY290" s="5" t="inlineStr">
        <is>
          <t>Verified directory</t>
        </is>
      </c>
      <c r="AZ290" s="5" t="inlineStr">
        <is>
          <t>Website Found</t>
        </is>
      </c>
      <c r="BA290" s="5" t="inlineStr">
        <is>
          <t>2026-09-17</t>
        </is>
      </c>
      <c r="BB290" s="5" t="inlineStr">
        <is>
          <t>Partially Verified</t>
        </is>
      </c>
      <c r="BC290" s="5" t="inlineStr">
        <is>
          <t>Medium</t>
        </is>
      </c>
      <c r="BD290" s="5" t="inlineStr"/>
      <c r="BE290" s="5" t="inlineStr">
        <is>
          <t>Business (B2B)</t>
        </is>
      </c>
      <c r="BF290" s="5" t="inlineStr">
        <is>
          <t>Legitimate interest (B2B) - assess per campaign; PECR: corporate subscribers</t>
        </is>
      </c>
      <c r="BG290" s="5" t="inlineStr"/>
      <c r="BH290" s="5" t="inlineStr">
        <is>
          <t>No</t>
        </is>
      </c>
      <c r="BI290" s="5" t="inlineStr">
        <is>
          <t>2026-09-16</t>
        </is>
      </c>
      <c r="BJ290" s="5" t="inlineStr">
        <is>
          <t>New</t>
        </is>
      </c>
      <c r="BK290" s="5" t="inlineStr">
        <is>
          <t>2026-09-17</t>
        </is>
      </c>
      <c r="BL290" s="5" t="inlineStr"/>
      <c r="BM290" s="5" t="inlineStr"/>
      <c r="BN290" s="5" t="inlineStr"/>
      <c r="BO290" s="5" t="inlineStr"/>
      <c r="BP290" s="5" t="inlineStr"/>
      <c r="BQ290" s="5" t="inlineStr"/>
    </row>
    <row r="291">
      <c r="A291" s="10" t="inlineStr">
        <is>
          <t>UK-000455</t>
        </is>
      </c>
      <c r="B291" s="10" t="inlineStr">
        <is>
          <t>UK-000455-01</t>
        </is>
      </c>
      <c r="C291" s="10" t="inlineStr"/>
      <c r="D291" s="10" t="inlineStr">
        <is>
          <t>Bearwood International Supermarket</t>
        </is>
      </c>
      <c r="E291" s="10" t="inlineStr">
        <is>
          <t>Bearwood International Supermarket</t>
        </is>
      </c>
      <c r="F291" s="10" t="inlineStr"/>
      <c r="G291" s="10" t="inlineStr">
        <is>
          <t>Independent Supermarket</t>
        </is>
      </c>
      <c r="H291" s="10" t="inlineStr">
        <is>
          <t>International / world food supermarket</t>
        </is>
      </c>
      <c r="I291" s="10" t="inlineStr">
        <is>
          <t>Independent</t>
        </is>
      </c>
      <c r="J291" s="10" t="inlineStr">
        <is>
          <t>1</t>
        </is>
      </c>
      <c r="K291" s="10" t="inlineStr"/>
      <c r="L291" s="10" t="inlineStr"/>
      <c r="M291" s="10" t="inlineStr"/>
      <c r="N291" s="10" t="inlineStr"/>
      <c r="O291" s="10" t="inlineStr">
        <is>
          <t>Bearwood Road</t>
        </is>
      </c>
      <c r="P291" s="10" t="inlineStr">
        <is>
          <t>Bearwood</t>
        </is>
      </c>
      <c r="Q291" s="10" t="inlineStr">
        <is>
          <t>Smethwick</t>
        </is>
      </c>
      <c r="R291" s="10" t="inlineStr">
        <is>
          <t>West Midlands</t>
        </is>
      </c>
      <c r="S291" s="10" t="inlineStr"/>
      <c r="T291" s="10" t="inlineStr">
        <is>
          <t>West Midlands</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international groceries; fresh produce; world foods</t>
        </is>
      </c>
      <c r="AL291" s="10" t="inlineStr"/>
      <c r="AM291" s="10" t="inlineStr">
        <is>
          <t>Independent Supermarket</t>
        </is>
      </c>
      <c r="AN291" s="10" t="inlineStr"/>
      <c r="AO291" s="10" t="inlineStr">
        <is>
          <t>Independent international/world-food supermarket on Bearwood Road, Bearwood, Smethwick. Listed on Yelp with a dedicated business page; full street number not in snippet.</t>
        </is>
      </c>
      <c r="AP291" s="10" t="inlineStr">
        <is>
          <t>Low</t>
        </is>
      </c>
      <c r="AQ291" s="10" t="inlineStr">
        <is>
          <t>Independent retailer; Relevant category</t>
        </is>
      </c>
      <c r="AR291" s="10" t="inlineStr">
        <is>
          <t>https://www.yelp.com/biz/bearwood-international-supermarket-smethwick</t>
        </is>
      </c>
      <c r="AS291" s="10" t="inlineStr"/>
      <c r="AT291" s="10" t="inlineStr">
        <is>
          <t>1</t>
        </is>
      </c>
      <c r="AU291" s="10" t="inlineStr">
        <is>
          <t>No</t>
        </is>
      </c>
      <c r="AV291" s="10" t="inlineStr">
        <is>
          <t>No</t>
        </is>
      </c>
      <c r="AW291" s="10" t="inlineStr">
        <is>
          <t>No</t>
        </is>
      </c>
      <c r="AX291" s="10" t="inlineStr">
        <is>
          <t>No</t>
        </is>
      </c>
      <c r="AY291" s="10" t="inlineStr">
        <is>
          <t>Not Found</t>
        </is>
      </c>
      <c r="AZ291" s="10" t="inlineStr">
        <is>
          <t>Not Found</t>
        </is>
      </c>
      <c r="BA291" s="10" t="inlineStr">
        <is>
          <t>2026-09-17</t>
        </is>
      </c>
      <c r="BB291" s="10" t="inlineStr">
        <is>
          <t>Requires Verification</t>
        </is>
      </c>
      <c r="BC291" s="10" t="inlineStr">
        <is>
          <t>Medium</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UK-000757</t>
        </is>
      </c>
      <c r="B292" s="5" t="inlineStr">
        <is>
          <t>UK-000757-01</t>
        </is>
      </c>
      <c r="C292" s="5" t="inlineStr"/>
      <c r="D292" s="5" t="inlineStr">
        <is>
          <t>Bebington Convenience Store &amp; Off Licence</t>
        </is>
      </c>
      <c r="E292" s="5" t="inlineStr">
        <is>
          <t>Bebington Convenience Store &amp; Off Licence</t>
        </is>
      </c>
      <c r="F292" s="5" t="inlineStr"/>
      <c r="G292" s="5" t="inlineStr">
        <is>
          <t>Convenience Store</t>
        </is>
      </c>
      <c r="H292" s="5" t="inlineStr">
        <is>
          <t>Convenience store / off-licence</t>
        </is>
      </c>
      <c r="I292" s="5" t="inlineStr">
        <is>
          <t>Independent</t>
        </is>
      </c>
      <c r="J292" s="5" t="inlineStr">
        <is>
          <t>1</t>
        </is>
      </c>
      <c r="K292" s="5" t="inlineStr"/>
      <c r="L292" s="5" t="inlineStr"/>
      <c r="M292" s="5" t="inlineStr"/>
      <c r="N292" s="5" t="inlineStr"/>
      <c r="O292" s="5" t="inlineStr">
        <is>
          <t>107 Brimstage Road</t>
        </is>
      </c>
      <c r="P292" s="5" t="inlineStr">
        <is>
          <t>Heswall</t>
        </is>
      </c>
      <c r="Q292" s="5" t="inlineStr">
        <is>
          <t>Wirral</t>
        </is>
      </c>
      <c r="R292" s="5" t="inlineStr">
        <is>
          <t>Merseyside</t>
        </is>
      </c>
      <c r="S292" s="5" t="inlineStr"/>
      <c r="T292" s="5" t="inlineStr">
        <is>
          <t>North West</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groceries; alcohol; tobacco</t>
        </is>
      </c>
      <c r="AL292" s="5" t="inlineStr"/>
      <c r="AM292" s="5" t="inlineStr">
        <is>
          <t>Convenience Store</t>
        </is>
      </c>
      <c r="AN292" s="5" t="inlineStr"/>
      <c r="AO292" s="5" t="inlineStr">
        <is>
          <t>Independent convenience store and off-licence at 107 Brimstage Road, Heswall, from Big Red Directory. Postcode/phone not confirmed in snippets.</t>
        </is>
      </c>
      <c r="AP292" s="5" t="inlineStr">
        <is>
          <t>Low</t>
        </is>
      </c>
      <c r="AQ292" s="5" t="inlineStr">
        <is>
          <t>Independent retailer; Relevant category</t>
        </is>
      </c>
      <c r="AR292" s="5" t="inlineStr">
        <is>
          <t>https://www.bigreddirectory.com/bebington-convenience-store-off-licence-heswall-wirral</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Low</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WY-0061</t>
        </is>
      </c>
      <c r="B293" s="10" t="inlineStr">
        <is>
          <t>WY-0061-01</t>
        </is>
      </c>
      <c r="C293" s="10" t="inlineStr"/>
      <c r="D293" s="10" t="inlineStr">
        <is>
          <t>Beer Ritz</t>
        </is>
      </c>
      <c r="E293" s="10" t="inlineStr">
        <is>
          <t>Beer Ritz</t>
        </is>
      </c>
      <c r="F293" s="10" t="inlineStr"/>
      <c r="G293" s="10" t="inlineStr">
        <is>
          <t>Off-Licence</t>
        </is>
      </c>
      <c r="H293" s="10" t="inlineStr">
        <is>
          <t>Specialist craft beer off-licence</t>
        </is>
      </c>
      <c r="I293" s="10" t="inlineStr">
        <is>
          <t>Independent</t>
        </is>
      </c>
      <c r="J293" s="10" t="inlineStr">
        <is>
          <t>1</t>
        </is>
      </c>
      <c r="K293" s="10" t="inlineStr">
        <is>
          <t>https://www.beerritz.co.uk/</t>
        </is>
      </c>
      <c r="L293" s="10" t="inlineStr">
        <is>
          <t>https://www.facebook.com/beerritz/</t>
        </is>
      </c>
      <c r="M293" s="10" t="inlineStr">
        <is>
          <t>https://www.instagram.com/beerritzleeds/</t>
        </is>
      </c>
      <c r="N293" s="10" t="inlineStr">
        <is>
          <t>https://x.com/beerritzleeds</t>
        </is>
      </c>
      <c r="O293" s="10" t="inlineStr">
        <is>
          <t>14 Weetwood Lane</t>
        </is>
      </c>
      <c r="P293" s="10" t="inlineStr">
        <is>
          <t>Far Headingley</t>
        </is>
      </c>
      <c r="Q293" s="10" t="inlineStr">
        <is>
          <t>Leeds</t>
        </is>
      </c>
      <c r="R293" s="10" t="inlineStr">
        <is>
          <t>West Yorkshire</t>
        </is>
      </c>
      <c r="S293" s="10" t="inlineStr">
        <is>
          <t>LS16 5LX</t>
        </is>
      </c>
      <c r="T293" s="10" t="inlineStr">
        <is>
          <t>Yorkshire &amp; Humber</t>
        </is>
      </c>
      <c r="U293" s="10" t="inlineStr">
        <is>
          <t>England</t>
        </is>
      </c>
      <c r="V293" s="10" t="inlineStr">
        <is>
          <t>0113 275 3464</t>
        </is>
      </c>
      <c r="W293" s="10" t="inlineStr"/>
      <c r="X293" s="10" t="inlineStr"/>
      <c r="Y293" s="10" t="inlineStr"/>
      <c r="Z293" s="10" t="inlineStr">
        <is>
          <t>sales@beerritz.co.uk</t>
        </is>
      </c>
      <c r="AA293" s="10" t="inlineStr"/>
      <c r="AB293" s="10" t="inlineStr"/>
      <c r="AC293" s="10" t="inlineStr"/>
      <c r="AD293" s="10" t="inlineStr"/>
      <c r="AE293" s="10" t="inlineStr"/>
      <c r="AF293" s="10" t="inlineStr"/>
      <c r="AG293" s="10" t="inlineStr"/>
      <c r="AH293" s="10" t="inlineStr"/>
      <c r="AI293" s="10" t="inlineStr"/>
      <c r="AJ293" s="10" t="inlineStr"/>
      <c r="AK293" s="10" t="inlineStr">
        <is>
          <t>craft beer; bottled beer; wine; spirits</t>
        </is>
      </c>
      <c r="AL293" s="10" t="inlineStr"/>
      <c r="AM293" s="10" t="inlineStr">
        <is>
          <t>Off-Licence</t>
        </is>
      </c>
      <c r="AN293" s="10" t="inlineStr"/>
      <c r="AO293" s="10" t="inlineStr">
        <is>
          <t>Well-known specialist beer shop in Far Headingley with online store; open 12:00-21:00 daily.</t>
        </is>
      </c>
      <c r="AP293" s="10" t="inlineStr">
        <is>
          <t>High</t>
        </is>
      </c>
      <c r="AQ293" s="10" t="inlineStr">
        <is>
          <t>Independent retailer; Relevant category; Public trade/sales contact; Active website; Social presence</t>
        </is>
      </c>
      <c r="AR293" s="10" t="inlineStr">
        <is>
          <t>https://www.beerritz.co.uk/contact-us</t>
        </is>
      </c>
      <c r="AS293" s="10" t="inlineStr">
        <is>
          <t>https://www.yelp.co.uk/biz/beer-ritz-leeds</t>
        </is>
      </c>
      <c r="AT293" s="10" t="inlineStr">
        <is>
          <t>3</t>
        </is>
      </c>
      <c r="AU293" s="10" t="inlineStr">
        <is>
          <t>No</t>
        </is>
      </c>
      <c r="AV293" s="10" t="inlineStr">
        <is>
          <t>No</t>
        </is>
      </c>
      <c r="AW293" s="10" t="inlineStr">
        <is>
          <t>Yes</t>
        </is>
      </c>
      <c r="AX293" s="10" t="inlineStr">
        <is>
          <t>No</t>
        </is>
      </c>
      <c r="AY293" s="10" t="inlineStr">
        <is>
          <t>Verified directory</t>
        </is>
      </c>
      <c r="AZ293" s="10" t="inlineStr">
        <is>
          <t>Website Found</t>
        </is>
      </c>
      <c r="BA293" s="10" t="inlineStr">
        <is>
          <t>2026-09-17</t>
        </is>
      </c>
      <c r="BB293" s="10" t="inlineStr">
        <is>
          <t>Partially Verified</t>
        </is>
      </c>
      <c r="BC293" s="10" t="inlineStr">
        <is>
          <t>Medium</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2026-09-16</t>
        </is>
      </c>
      <c r="BJ293" s="10" t="inlineStr">
        <is>
          <t>New</t>
        </is>
      </c>
      <c r="BK293" s="10" t="inlineStr">
        <is>
          <t>2026-09-17</t>
        </is>
      </c>
      <c r="BL293" s="10" t="inlineStr"/>
      <c r="BM293" s="10" t="inlineStr"/>
      <c r="BN293" s="10" t="inlineStr"/>
      <c r="BO293" s="10" t="inlineStr"/>
      <c r="BP293" s="10" t="inlineStr"/>
      <c r="BQ293" s="10" t="inlineStr"/>
    </row>
    <row r="294">
      <c r="A294" s="5" t="inlineStr">
        <is>
          <t>WY-0062</t>
        </is>
      </c>
      <c r="B294" s="5" t="inlineStr">
        <is>
          <t>WY-0062-01</t>
        </is>
      </c>
      <c r="C294" s="5" t="inlineStr"/>
      <c r="D294" s="5" t="inlineStr">
        <is>
          <t>Bespoke Shisha</t>
        </is>
      </c>
      <c r="E294" s="5" t="inlineStr">
        <is>
          <t>Bespoke Shisha</t>
        </is>
      </c>
      <c r="F294" s="5" t="inlineStr"/>
      <c r="G294" s="5" t="inlineStr">
        <is>
          <t>Smoke / Shisha Shop</t>
        </is>
      </c>
      <c r="H294" s="5" t="inlineStr">
        <is>
          <t>Shisha supplies</t>
        </is>
      </c>
      <c r="I294" s="5" t="inlineStr">
        <is>
          <t>Independent</t>
        </is>
      </c>
      <c r="J294" s="5" t="inlineStr">
        <is>
          <t>1</t>
        </is>
      </c>
      <c r="K294" s="5" t="inlineStr"/>
      <c r="L294" s="5" t="inlineStr"/>
      <c r="M294" s="5" t="inlineStr"/>
      <c r="N294" s="5" t="inlineStr"/>
      <c r="O294" s="5" t="inlineStr">
        <is>
          <t>40 Low Road</t>
        </is>
      </c>
      <c r="P294" s="5" t="inlineStr"/>
      <c r="Q294" s="5" t="inlineStr">
        <is>
          <t>Dewsbury</t>
        </is>
      </c>
      <c r="R294" s="5" t="inlineStr">
        <is>
          <t>West Yorkshire</t>
        </is>
      </c>
      <c r="S294" s="5" t="inlineStr">
        <is>
          <t>WF13 3PP</t>
        </is>
      </c>
      <c r="T294" s="5" t="inlineStr">
        <is>
          <t>Yorkshire &amp; Humber</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shisha pipes; shisha flavours; smoking accessories</t>
        </is>
      </c>
      <c r="AL294" s="5" t="inlineStr"/>
      <c r="AM294" s="5" t="inlineStr">
        <is>
          <t>Smoke / Shisha Shop</t>
        </is>
      </c>
      <c r="AN294" s="5" t="inlineStr"/>
      <c r="AO294" s="5" t="inlineStr">
        <is>
          <t>Single directory listing (Suitable For Vegetarian business directory) giving full address; no phone or website found.</t>
        </is>
      </c>
      <c r="AP294" s="5" t="inlineStr">
        <is>
          <t>Medium</t>
        </is>
      </c>
      <c r="AQ294" s="5" t="inlineStr">
        <is>
          <t>Independent retailer; Core relevant category</t>
        </is>
      </c>
      <c r="AR294" s="5" t="inlineStr">
        <is>
          <t>https://suitableforvegetarian.com/business/detail/bespoke-shisha</t>
        </is>
      </c>
      <c r="AS294" s="5" t="inlineStr"/>
      <c r="AT294" s="5" t="inlineStr">
        <is>
          <t>1</t>
        </is>
      </c>
      <c r="AU294" s="5" t="inlineStr">
        <is>
          <t>No</t>
        </is>
      </c>
      <c r="AV294" s="5" t="inlineStr">
        <is>
          <t>No</t>
        </is>
      </c>
      <c r="AW294" s="5" t="inlineStr">
        <is>
          <t>No</t>
        </is>
      </c>
      <c r="AX294" s="5" t="inlineStr">
        <is>
          <t>No</t>
        </is>
      </c>
      <c r="AY294" s="5" t="inlineStr">
        <is>
          <t>Not Found</t>
        </is>
      </c>
      <c r="AZ294" s="5" t="inlineStr">
        <is>
          <t>Not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2026-09-16</t>
        </is>
      </c>
      <c r="BJ294" s="5" t="inlineStr">
        <is>
          <t>New</t>
        </is>
      </c>
      <c r="BK294" s="5" t="inlineStr">
        <is>
          <t>2026-09-17</t>
        </is>
      </c>
      <c r="BL294" s="5" t="inlineStr"/>
      <c r="BM294" s="5" t="inlineStr"/>
      <c r="BN294" s="5" t="inlineStr"/>
      <c r="BO294" s="5" t="inlineStr"/>
      <c r="BP294" s="5" t="inlineStr"/>
      <c r="BQ294" s="5" t="inlineStr"/>
    </row>
    <row r="295">
      <c r="A295" s="10" t="inlineStr">
        <is>
          <t>WY-0063</t>
        </is>
      </c>
      <c r="B295" s="10" t="inlineStr">
        <is>
          <t>WY-0063-01</t>
        </is>
      </c>
      <c r="C295" s="10" t="inlineStr"/>
      <c r="D295" s="10" t="inlineStr">
        <is>
          <t>Best Choice Wholesale</t>
        </is>
      </c>
      <c r="E295" s="10" t="inlineStr">
        <is>
          <t>Best Choice Wholesale</t>
        </is>
      </c>
      <c r="F295" s="10" t="inlineStr"/>
      <c r="G295" s="10" t="inlineStr">
        <is>
          <t>Cash &amp; Carry</t>
        </is>
      </c>
      <c r="H295" s="10" t="inlineStr">
        <is>
          <t>General cash &amp; carry supplying convenience retailers</t>
        </is>
      </c>
      <c r="I295" s="10" t="inlineStr">
        <is>
          <t>Independent</t>
        </is>
      </c>
      <c r="J295" s="10" t="inlineStr">
        <is>
          <t>1</t>
        </is>
      </c>
      <c r="K295" s="10" t="inlineStr">
        <is>
          <t>https://www.bestchoicewholesale.co.uk/</t>
        </is>
      </c>
      <c r="L295" s="10" t="inlineStr"/>
      <c r="M295" s="10" t="inlineStr"/>
      <c r="N295" s="10" t="inlineStr"/>
      <c r="O295" s="10" t="inlineStr">
        <is>
          <t>Unit 5, Sheepscar House, Sheepscar Street South</t>
        </is>
      </c>
      <c r="P295" s="10" t="inlineStr">
        <is>
          <t>Sheepscar</t>
        </is>
      </c>
      <c r="Q295" s="10" t="inlineStr">
        <is>
          <t>Leeds</t>
        </is>
      </c>
      <c r="R295" s="10" t="inlineStr">
        <is>
          <t>West Yorkshire</t>
        </is>
      </c>
      <c r="S295" s="10" t="inlineStr">
        <is>
          <t>LS7 1AD</t>
        </is>
      </c>
      <c r="T295" s="10" t="inlineStr">
        <is>
          <t>Yorkshire &amp; Humber</t>
        </is>
      </c>
      <c r="U295" s="10" t="inlineStr">
        <is>
          <t>England</t>
        </is>
      </c>
      <c r="V295" s="10" t="inlineStr">
        <is>
          <t>0113 531 6345</t>
        </is>
      </c>
      <c r="W295" s="10" t="inlineStr"/>
      <c r="X295" s="10" t="inlineStr"/>
      <c r="Y295" s="10" t="inlineStr">
        <is>
          <t>info@bestchoicewholesale.co.uk</t>
        </is>
      </c>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food and drink; smoking accessories; vapes; household; cleaning; sweets; shop supplies</t>
        </is>
      </c>
      <c r="AL295" s="10" t="inlineStr"/>
      <c r="AM295" s="10" t="inlineStr">
        <is>
          <t>Cash &amp; Carry</t>
        </is>
      </c>
      <c r="AN295" s="10" t="inlineStr"/>
      <c r="AO295" s="10"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295" s="10" t="inlineStr">
        <is>
          <t>High</t>
        </is>
      </c>
      <c r="AQ295" s="10" t="inlineStr">
        <is>
          <t>Independent retailer; Core relevant category; Public email available; Active website; Phone verified on official website</t>
        </is>
      </c>
      <c r="AR295" s="10" t="inlineStr">
        <is>
          <t>https://www.bestchoicewholesale.co.uk/contact-us/</t>
        </is>
      </c>
      <c r="AS295" s="10" t="inlineStr">
        <is>
          <t>https://www.yell.com/biz/best-choice-wholesale-leeds-9089835/</t>
        </is>
      </c>
      <c r="AT295" s="10" t="inlineStr">
        <is>
          <t>3</t>
        </is>
      </c>
      <c r="AU295" s="10" t="inlineStr">
        <is>
          <t>No</t>
        </is>
      </c>
      <c r="AV295" s="10" t="inlineStr">
        <is>
          <t>No</t>
        </is>
      </c>
      <c r="AW295" s="10" t="inlineStr">
        <is>
          <t>No</t>
        </is>
      </c>
      <c r="AX295" s="10" t="inlineStr">
        <is>
          <t>No</t>
        </is>
      </c>
      <c r="AY295" s="10" t="inlineStr">
        <is>
          <t>Verified on official website</t>
        </is>
      </c>
      <c r="AZ295" s="10" t="inlineStr">
        <is>
          <t>Publicly Listed</t>
        </is>
      </c>
      <c r="BA295" s="10" t="inlineStr">
        <is>
          <t>2026-09-17</t>
        </is>
      </c>
      <c r="BB295" s="10" t="inlineStr">
        <is>
          <t>Requires Verification</t>
        </is>
      </c>
      <c r="BC295" s="10" t="inlineStr">
        <is>
          <t>Medium</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2026-09-16</t>
        </is>
      </c>
      <c r="BJ295" s="10" t="inlineStr">
        <is>
          <t>New</t>
        </is>
      </c>
      <c r="BK295" s="10" t="inlineStr">
        <is>
          <t>2026-09-17</t>
        </is>
      </c>
      <c r="BL295" s="10" t="inlineStr"/>
      <c r="BM295" s="10" t="inlineStr"/>
      <c r="BN295" s="10" t="inlineStr"/>
      <c r="BO295" s="10" t="inlineStr"/>
      <c r="BP295" s="10" t="inlineStr"/>
      <c r="BQ295" s="10" t="inlineStr"/>
    </row>
    <row r="296">
      <c r="A296" s="5" t="inlineStr">
        <is>
          <t>UK-000581</t>
        </is>
      </c>
      <c r="B296" s="5" t="inlineStr">
        <is>
          <t>UK-000581-01</t>
        </is>
      </c>
      <c r="C296" s="5" t="inlineStr"/>
      <c r="D296" s="5" t="inlineStr">
        <is>
          <t>Best Foods</t>
        </is>
      </c>
      <c r="E296" s="5" t="inlineStr">
        <is>
          <t>Best Foods</t>
        </is>
      </c>
      <c r="F296" s="5" t="inlineStr"/>
      <c r="G296" s="5" t="inlineStr">
        <is>
          <t>Independent Supermarket</t>
        </is>
      </c>
      <c r="H296" s="5" t="inlineStr">
        <is>
          <t>World food supermarket</t>
        </is>
      </c>
      <c r="I296" s="5" t="inlineStr">
        <is>
          <t>Independent</t>
        </is>
      </c>
      <c r="J296" s="5" t="inlineStr">
        <is>
          <t>1</t>
        </is>
      </c>
      <c r="K296" s="5" t="inlineStr"/>
      <c r="L296" s="5" t="inlineStr"/>
      <c r="M296" s="5" t="inlineStr"/>
      <c r="N296" s="5" t="inlineStr"/>
      <c r="O296" s="5" t="inlineStr">
        <is>
          <t>13 Ealing Road</t>
        </is>
      </c>
      <c r="P296" s="5" t="inlineStr"/>
      <c r="Q296" s="5" t="inlineStr">
        <is>
          <t>Wembley</t>
        </is>
      </c>
      <c r="R296" s="5" t="inlineStr">
        <is>
          <t>Greater London</t>
        </is>
      </c>
      <c r="S296" s="5" t="inlineStr">
        <is>
          <t>HA0 4AA</t>
        </is>
      </c>
      <c r="T296" s="5" t="inlineStr">
        <is>
          <t>London</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South Asian / world groceries; fresh produce</t>
        </is>
      </c>
      <c r="AL296" s="5" t="inlineStr"/>
      <c r="AM296" s="5" t="inlineStr">
        <is>
          <t>Independent Supermarket</t>
        </is>
      </c>
      <c r="AN296" s="5" t="inlineStr"/>
      <c r="AO296" s="5" t="inlineStr">
        <is>
          <t>Independent grocer/supermarket on Ealing Road, Wembley. Address from Yell listing; phone not confirmed.</t>
        </is>
      </c>
      <c r="AP296" s="5" t="inlineStr">
        <is>
          <t>Low</t>
        </is>
      </c>
      <c r="AQ296" s="5" t="inlineStr">
        <is>
          <t>Independent retailer; Relevant category</t>
        </is>
      </c>
      <c r="AR296" s="5" t="inlineStr">
        <is>
          <t>https://www.yell.com/biz/best-foods-wembley-9412662/</t>
        </is>
      </c>
      <c r="AS296" s="5" t="inlineStr"/>
      <c r="AT296" s="5" t="inlineStr">
        <is>
          <t>1</t>
        </is>
      </c>
      <c r="AU296" s="5" t="inlineStr">
        <is>
          <t>No</t>
        </is>
      </c>
      <c r="AV296" s="5" t="inlineStr">
        <is>
          <t>No</t>
        </is>
      </c>
      <c r="AW296" s="5" t="inlineStr">
        <is>
          <t>No</t>
        </is>
      </c>
      <c r="AX296" s="5" t="inlineStr">
        <is>
          <t>No</t>
        </is>
      </c>
      <c r="AY296" s="5" t="inlineStr">
        <is>
          <t>Not Found</t>
        </is>
      </c>
      <c r="AZ296" s="5" t="inlineStr">
        <is>
          <t>Not Found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UK-000582</t>
        </is>
      </c>
      <c r="B297" s="10" t="inlineStr">
        <is>
          <t>UK-000582-01</t>
        </is>
      </c>
      <c r="C297" s="10" t="inlineStr"/>
      <c r="D297" s="10" t="inlineStr">
        <is>
          <t>Best Quality Food &amp; Wines</t>
        </is>
      </c>
      <c r="E297" s="10" t="inlineStr">
        <is>
          <t>Best Quality Food &amp; Wines</t>
        </is>
      </c>
      <c r="F297" s="10" t="inlineStr"/>
      <c r="G297" s="10" t="inlineStr">
        <is>
          <t>Off-Licence</t>
        </is>
      </c>
      <c r="H297" s="10" t="inlineStr">
        <is>
          <t>Off-licence &amp; convenience</t>
        </is>
      </c>
      <c r="I297" s="10" t="inlineStr">
        <is>
          <t>Independent</t>
        </is>
      </c>
      <c r="J297" s="10" t="inlineStr">
        <is>
          <t>1</t>
        </is>
      </c>
      <c r="K297" s="10" t="inlineStr"/>
      <c r="L297" s="10" t="inlineStr"/>
      <c r="M297" s="10" t="inlineStr"/>
      <c r="N297" s="10" t="inlineStr"/>
      <c r="O297" s="10" t="inlineStr">
        <is>
          <t>25 Heathmans Road</t>
        </is>
      </c>
      <c r="P297" s="10" t="inlineStr"/>
      <c r="Q297" s="10" t="inlineStr">
        <is>
          <t>London</t>
        </is>
      </c>
      <c r="R297" s="10" t="inlineStr">
        <is>
          <t>Greater London</t>
        </is>
      </c>
      <c r="S297" s="10" t="inlineStr">
        <is>
          <t>SW6 4TJ</t>
        </is>
      </c>
      <c r="T297" s="10" t="inlineStr">
        <is>
          <t>London</t>
        </is>
      </c>
      <c r="U297" s="10" t="inlineStr">
        <is>
          <t>England</t>
        </is>
      </c>
      <c r="V297" s="10" t="inlineStr">
        <is>
          <t>020 7352 4083</t>
        </is>
      </c>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wine; beer; spirits; convenience groceries</t>
        </is>
      </c>
      <c r="AL297" s="10" t="inlineStr"/>
      <c r="AM297" s="10" t="inlineStr">
        <is>
          <t>Off-Licence</t>
        </is>
      </c>
      <c r="AN297" s="10" t="inlineStr"/>
      <c r="AO297" s="10" t="inlineStr">
        <is>
          <t>Independent off-licence off Fulham Road (Parsons Green area). Address/postcode/phone from Yell Fulham off-licences listing snippet.</t>
        </is>
      </c>
      <c r="AP297" s="10" t="inlineStr">
        <is>
          <t>Low</t>
        </is>
      </c>
      <c r="AQ297" s="10" t="inlineStr">
        <is>
          <t>Independent retailer; Relevant category</t>
        </is>
      </c>
      <c r="AR297" s="10" t="inlineStr">
        <is>
          <t>https://www.yell.com/s/off+licences-fulham-london.html</t>
        </is>
      </c>
      <c r="AS297" s="10" t="inlineStr"/>
      <c r="AT297" s="10" t="inlineStr">
        <is>
          <t>1</t>
        </is>
      </c>
      <c r="AU297" s="10" t="inlineStr">
        <is>
          <t>No</t>
        </is>
      </c>
      <c r="AV297" s="10" t="inlineStr">
        <is>
          <t>No</t>
        </is>
      </c>
      <c r="AW297" s="10" t="inlineStr">
        <is>
          <t>No</t>
        </is>
      </c>
      <c r="AX297" s="10" t="inlineStr">
        <is>
          <t>No</t>
        </is>
      </c>
      <c r="AY297" s="10" t="inlineStr">
        <is>
          <t>Verified directory</t>
        </is>
      </c>
      <c r="AZ297" s="10" t="inlineStr">
        <is>
          <t>Not Found</t>
        </is>
      </c>
      <c r="BA297" s="10" t="inlineStr">
        <is>
          <t>2026-09-17</t>
        </is>
      </c>
      <c r="BB297" s="10" t="inlineStr">
        <is>
          <t>Requires Verification</t>
        </is>
      </c>
      <c r="BC297" s="10" t="inlineStr">
        <is>
          <t>Medium</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UK-000238</t>
        </is>
      </c>
      <c r="B298" s="5" t="inlineStr">
        <is>
          <t>UK-000238-01</t>
        </is>
      </c>
      <c r="C298" s="5" t="inlineStr"/>
      <c r="D298" s="5" t="inlineStr">
        <is>
          <t>Beverley International Foods</t>
        </is>
      </c>
      <c r="E298" s="5" t="inlineStr">
        <is>
          <t>Beverley International Foods</t>
        </is>
      </c>
      <c r="F298" s="5" t="inlineStr"/>
      <c r="G298" s="5" t="inlineStr">
        <is>
          <t>Independent Supermarket</t>
        </is>
      </c>
      <c r="H298" s="5" t="inlineStr">
        <is>
          <t>International / Polish foods supermarket</t>
        </is>
      </c>
      <c r="I298" s="5" t="inlineStr">
        <is>
          <t>Independent</t>
        </is>
      </c>
      <c r="J298" s="5" t="inlineStr">
        <is>
          <t>1</t>
        </is>
      </c>
      <c r="K298" s="5" t="inlineStr"/>
      <c r="L298" s="5" t="inlineStr"/>
      <c r="M298" s="5" t="inlineStr"/>
      <c r="N298" s="5" t="inlineStr"/>
      <c r="O298" s="5" t="inlineStr">
        <is>
          <t>Beverley Road</t>
        </is>
      </c>
      <c r="P298" s="5" t="inlineStr"/>
      <c r="Q298" s="5" t="inlineStr">
        <is>
          <t>Kingston upon Hull</t>
        </is>
      </c>
      <c r="R298" s="5" t="inlineStr">
        <is>
          <t>East Riding of Yorkshire</t>
        </is>
      </c>
      <c r="S298" s="5" t="inlineStr"/>
      <c r="T298" s="5" t="inlineStr">
        <is>
          <t>Yorkshire &amp; Humber</t>
        </is>
      </c>
      <c r="U298" s="5" t="inlineStr">
        <is>
          <t>England</t>
        </is>
      </c>
      <c r="V298" s="5" t="inlineStr"/>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Polish foods; world foods; groceries</t>
        </is>
      </c>
      <c r="AL298" s="5" t="inlineStr"/>
      <c r="AM298" s="5" t="inlineStr">
        <is>
          <t>Independent Supermarket</t>
        </is>
      </c>
      <c r="AN298" s="5" t="inlineStr"/>
      <c r="AO298" s="5" t="inlineStr">
        <is>
          <t>Independent international/Polish supermarket on Beverley Road, Hull. No postcode/phone in search results.</t>
        </is>
      </c>
      <c r="AP298" s="5" t="inlineStr">
        <is>
          <t>Low</t>
        </is>
      </c>
      <c r="AQ298" s="5" t="inlineStr">
        <is>
          <t>Independent retailer; Relevant category</t>
        </is>
      </c>
      <c r="AR298" s="5" t="inlineStr">
        <is>
          <t>https://www.yorkshire.com/hull/shopping/supermarkets/beverley-international-foods</t>
        </is>
      </c>
      <c r="AS298" s="5" t="inlineStr"/>
      <c r="AT298" s="5" t="inlineStr">
        <is>
          <t>1</t>
        </is>
      </c>
      <c r="AU298" s="5" t="inlineStr">
        <is>
          <t>No</t>
        </is>
      </c>
      <c r="AV298" s="5" t="inlineStr">
        <is>
          <t>No</t>
        </is>
      </c>
      <c r="AW298" s="5" t="inlineStr">
        <is>
          <t>No</t>
        </is>
      </c>
      <c r="AX298" s="5" t="inlineStr">
        <is>
          <t>No</t>
        </is>
      </c>
      <c r="AY298" s="5" t="inlineStr">
        <is>
          <t>Not Found</t>
        </is>
      </c>
      <c r="AZ298" s="5" t="inlineStr">
        <is>
          <t>Not Found</t>
        </is>
      </c>
      <c r="BA298" s="5" t="inlineStr">
        <is>
          <t>2026-09-17</t>
        </is>
      </c>
      <c r="BB298" s="5" t="inlineStr">
        <is>
          <t>Requires Verification</t>
        </is>
      </c>
      <c r="BC298" s="5" t="inlineStr">
        <is>
          <t>Low</t>
        </is>
      </c>
      <c r="BD298" s="5" t="inlineStr"/>
      <c r="BE298" s="5" t="inlineStr">
        <is>
          <t>Business (B2B)</t>
        </is>
      </c>
      <c r="BF298" s="5" t="inlineStr">
        <is>
          <t>Legitimate interest (B2B) - assess per campaign; PECR: corporate subscribers</t>
        </is>
      </c>
      <c r="BG298" s="5" t="inlineStr"/>
      <c r="BH298" s="5" t="inlineStr">
        <is>
          <t>No</t>
        </is>
      </c>
      <c r="BI298" s="5" t="inlineStr">
        <is>
          <t>2026-09-16</t>
        </is>
      </c>
      <c r="BJ298" s="5" t="inlineStr">
        <is>
          <t>New</t>
        </is>
      </c>
      <c r="BK298" s="5" t="inlineStr">
        <is>
          <t>2026-09-17</t>
        </is>
      </c>
      <c r="BL298" s="5" t="inlineStr"/>
      <c r="BM298" s="5" t="inlineStr"/>
      <c r="BN298" s="5" t="inlineStr"/>
      <c r="BO298" s="5" t="inlineStr"/>
      <c r="BP298" s="5" t="inlineStr"/>
      <c r="BQ298" s="5" t="inlineStr"/>
    </row>
    <row r="299">
      <c r="A299" s="10" t="inlineStr">
        <is>
          <t>UK-000583</t>
        </is>
      </c>
      <c r="B299" s="10" t="inlineStr">
        <is>
          <t>UK-000583-01</t>
        </is>
      </c>
      <c r="C299" s="10" t="inlineStr"/>
      <c r="D299" s="10" t="inlineStr">
        <is>
          <t>Beyond Cash &amp; Carry</t>
        </is>
      </c>
      <c r="E299" s="10" t="inlineStr">
        <is>
          <t>Beyond Cash &amp; Carry</t>
        </is>
      </c>
      <c r="F299" s="10" t="inlineStr"/>
      <c r="G299" s="10" t="inlineStr">
        <is>
          <t>Cash &amp; Carry</t>
        </is>
      </c>
      <c r="H299" s="10" t="inlineStr">
        <is>
          <t>Wholesale cash &amp; carry</t>
        </is>
      </c>
      <c r="I299" s="10" t="inlineStr">
        <is>
          <t>Independent</t>
        </is>
      </c>
      <c r="J299" s="10" t="inlineStr">
        <is>
          <t>1</t>
        </is>
      </c>
      <c r="K299" s="10" t="inlineStr"/>
      <c r="L299" s="10" t="inlineStr"/>
      <c r="M299" s="10" t="inlineStr"/>
      <c r="N299" s="10" t="inlineStr"/>
      <c r="O299" s="10" t="inlineStr">
        <is>
          <t>513 Katherine Road</t>
        </is>
      </c>
      <c r="P299" s="10" t="inlineStr"/>
      <c r="Q299" s="10" t="inlineStr">
        <is>
          <t>East Ham</t>
        </is>
      </c>
      <c r="R299" s="10" t="inlineStr">
        <is>
          <t>Greater London</t>
        </is>
      </c>
      <c r="S299" s="10" t="inlineStr">
        <is>
          <t>E7 8DR</t>
        </is>
      </c>
      <c r="T299" s="10" t="inlineStr">
        <is>
          <t>London</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wholesale groceries; world foods; confectionery; drinks</t>
        </is>
      </c>
      <c r="AL299" s="10" t="inlineStr"/>
      <c r="AM299" s="10" t="inlineStr">
        <is>
          <t>Cash &amp; Carry</t>
        </is>
      </c>
      <c r="AN299" s="10" t="inlineStr"/>
      <c r="AO299" s="10" t="inlineStr">
        <is>
          <t>Wholesale cash &amp; carry on Katherine Road, Newham. Address/postcode from Yell cash &amp; carry (Newham) directory. Phone not in snippet.</t>
        </is>
      </c>
      <c r="AP299" s="10" t="inlineStr">
        <is>
          <t>Medium</t>
        </is>
      </c>
      <c r="AQ299" s="10" t="inlineStr">
        <is>
          <t>Independent retailer; Core relevant category</t>
        </is>
      </c>
      <c r="AR299" s="10" t="inlineStr">
        <is>
          <t>https://www.yell.com/s/cash+and+carry-london+borough+of+newham.html</t>
        </is>
      </c>
      <c r="AS299" s="10" t="inlineStr"/>
      <c r="AT299" s="10" t="inlineStr">
        <is>
          <t>1</t>
        </is>
      </c>
      <c r="AU299" s="10" t="inlineStr">
        <is>
          <t>No</t>
        </is>
      </c>
      <c r="AV299" s="10" t="inlineStr">
        <is>
          <t>No</t>
        </is>
      </c>
      <c r="AW299" s="10" t="inlineStr">
        <is>
          <t>No</t>
        </is>
      </c>
      <c r="AX299" s="10" t="inlineStr">
        <is>
          <t>No</t>
        </is>
      </c>
      <c r="AY299" s="10" t="inlineStr">
        <is>
          <t>Not Found</t>
        </is>
      </c>
      <c r="AZ299" s="10" t="inlineStr">
        <is>
          <t>Not Found</t>
        </is>
      </c>
      <c r="BA299" s="10" t="inlineStr">
        <is>
          <t>2026-09-17</t>
        </is>
      </c>
      <c r="BB299" s="10" t="inlineStr">
        <is>
          <t>Requires Verification</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2026-09-17</t>
        </is>
      </c>
      <c r="BJ299" s="10" t="inlineStr">
        <is>
          <t>New</t>
        </is>
      </c>
      <c r="BK299" s="10" t="inlineStr">
        <is>
          <t>2026-09-17</t>
        </is>
      </c>
      <c r="BL299" s="10" t="inlineStr"/>
      <c r="BM299" s="10" t="inlineStr"/>
      <c r="BN299" s="10" t="inlineStr"/>
      <c r="BO299" s="10" t="inlineStr"/>
      <c r="BP299" s="10" t="inlineStr"/>
      <c r="BQ299" s="10" t="inlineStr"/>
    </row>
    <row r="300">
      <c r="A300" s="5" t="inlineStr">
        <is>
          <t>WY-0064</t>
        </is>
      </c>
      <c r="B300" s="5" t="inlineStr">
        <is>
          <t>WY-0064-01</t>
        </is>
      </c>
      <c r="C300" s="5" t="inlineStr"/>
      <c r="D300" s="5" t="inlineStr">
        <is>
          <t>Big D Vapes</t>
        </is>
      </c>
      <c r="E300" s="5" t="inlineStr">
        <is>
          <t>Big D Vapes &amp; Dry Herb Vape Lounge</t>
        </is>
      </c>
      <c r="F300" s="5" t="inlineStr">
        <is>
          <t>Big D Vapes Ltd</t>
        </is>
      </c>
      <c r="G300" s="5" t="inlineStr">
        <is>
          <t>Vape Shop</t>
        </is>
      </c>
      <c r="H300" s="5" t="inlineStr">
        <is>
          <t>Vape shop and dry herb vape lounge</t>
        </is>
      </c>
      <c r="I300" s="5" t="inlineStr">
        <is>
          <t>Independent</t>
        </is>
      </c>
      <c r="J300" s="5" t="inlineStr">
        <is>
          <t>1</t>
        </is>
      </c>
      <c r="K300" s="5" t="inlineStr"/>
      <c r="L300" s="5" t="inlineStr">
        <is>
          <t>https://www.facebook.com/BigDVapesSlaithwaite</t>
        </is>
      </c>
      <c r="M300" s="5" t="inlineStr"/>
      <c r="N300" s="5" t="inlineStr"/>
      <c r="O300" s="5" t="inlineStr">
        <is>
          <t>1139 Manchester Road</t>
        </is>
      </c>
      <c r="P300" s="5" t="inlineStr"/>
      <c r="Q300" s="5" t="inlineStr">
        <is>
          <t>Slaithwaite</t>
        </is>
      </c>
      <c r="R300" s="5" t="inlineStr">
        <is>
          <t>West Yorkshire</t>
        </is>
      </c>
      <c r="S300" s="5" t="inlineStr">
        <is>
          <t>HD7 5LU</t>
        </is>
      </c>
      <c r="T300" s="5" t="inlineStr">
        <is>
          <t>Yorkshire &amp; Humber</t>
        </is>
      </c>
      <c r="U300" s="5" t="inlineStr">
        <is>
          <t>England</t>
        </is>
      </c>
      <c r="V300" s="5" t="inlineStr">
        <is>
          <t>01484 843253</t>
        </is>
      </c>
      <c r="W300" s="5" t="inlineStr"/>
      <c r="X300" s="5" t="inlineStr"/>
      <c r="Y300" s="5" t="inlineStr"/>
      <c r="Z300" s="5" t="inlineStr"/>
      <c r="AA300" s="5" t="inlineStr"/>
      <c r="AB300" s="5" t="inlineStr"/>
      <c r="AC300" s="5" t="inlineStr"/>
      <c r="AD300" s="5" t="inlineStr"/>
      <c r="AE300" s="5" t="inlineStr">
        <is>
          <t>12029439</t>
        </is>
      </c>
      <c r="AF300" s="5" t="inlineStr"/>
      <c r="AG300" s="5" t="inlineStr">
        <is>
          <t>BIG D VAPES LTD</t>
        </is>
      </c>
      <c r="AH300" s="5" t="inlineStr"/>
      <c r="AI300" s="5" t="inlineStr"/>
      <c r="AJ300" s="5" t="inlineStr"/>
      <c r="AK300" s="5" t="inlineStr">
        <is>
          <t>vape hardware; e-liquids; dry herb vaporisers</t>
        </is>
      </c>
      <c r="AL300" s="5" t="inlineStr"/>
      <c r="AM300" s="5" t="inlineStr">
        <is>
          <t>Vape Shop</t>
        </is>
      </c>
      <c r="AN300" s="5" t="inlineStr"/>
      <c r="AO300" s="5"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300" s="5" t="inlineStr">
        <is>
          <t>Medium</t>
        </is>
      </c>
      <c r="AQ300" s="5" t="inlineStr">
        <is>
          <t>Independent retailer; Core relevant category; Social presence</t>
        </is>
      </c>
      <c r="AR300" s="5" t="inlineStr">
        <is>
          <t>https://find-and-update.company-information.service.gov.uk/company/12029439</t>
        </is>
      </c>
      <c r="AS300" s="5" t="inlineStr">
        <is>
          <t>https://www.facebook.com/BigDVapesSlaithwaite</t>
        </is>
      </c>
      <c r="AT300" s="5" t="inlineStr">
        <is>
          <t>4</t>
        </is>
      </c>
      <c r="AU300" s="5" t="inlineStr">
        <is>
          <t>No</t>
        </is>
      </c>
      <c r="AV300" s="5" t="inlineStr">
        <is>
          <t>No</t>
        </is>
      </c>
      <c r="AW300" s="5" t="inlineStr">
        <is>
          <t>No</t>
        </is>
      </c>
      <c r="AX300" s="5" t="inlineStr">
        <is>
          <t>No</t>
        </is>
      </c>
      <c r="AY300" s="5" t="inlineStr">
        <is>
          <t>Verified directory</t>
        </is>
      </c>
      <c r="AZ300" s="5" t="inlineStr">
        <is>
          <t>Not Found</t>
        </is>
      </c>
      <c r="BA300" s="5" t="inlineStr">
        <is>
          <t>2026-09-17</t>
        </is>
      </c>
      <c r="BB300" s="5" t="inlineStr">
        <is>
          <t>Requires Verification</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2026-09-16</t>
        </is>
      </c>
      <c r="BJ300" s="5" t="inlineStr">
        <is>
          <t>New</t>
        </is>
      </c>
      <c r="BK300" s="5" t="inlineStr">
        <is>
          <t>2026-09-17</t>
        </is>
      </c>
      <c r="BL300" s="5" t="inlineStr"/>
      <c r="BM300" s="5" t="inlineStr"/>
      <c r="BN300" s="5" t="inlineStr"/>
      <c r="BO300" s="5" t="inlineStr"/>
      <c r="BP300" s="5" t="inlineStr"/>
      <c r="BQ300" s="5" t="inlineStr"/>
    </row>
    <row r="301">
      <c r="A301" s="10" t="inlineStr">
        <is>
          <t>UK-000584</t>
        </is>
      </c>
      <c r="B301" s="10" t="inlineStr">
        <is>
          <t>UK-000584-01</t>
        </is>
      </c>
      <c r="C301" s="10" t="inlineStr"/>
      <c r="D301" s="10" t="inlineStr">
        <is>
          <t>Bims African Food Store Ltd</t>
        </is>
      </c>
      <c r="E301" s="10" t="inlineStr">
        <is>
          <t>Bims African Food Store</t>
        </is>
      </c>
      <c r="F301" s="10" t="inlineStr"/>
      <c r="G301" s="10" t="inlineStr">
        <is>
          <t>Independent Supermarket</t>
        </is>
      </c>
      <c r="H301" s="10" t="inlineStr">
        <is>
          <t>African / world food store</t>
        </is>
      </c>
      <c r="I301" s="10" t="inlineStr">
        <is>
          <t>Independent</t>
        </is>
      </c>
      <c r="J301" s="10" t="inlineStr">
        <is>
          <t>1</t>
        </is>
      </c>
      <c r="K301" s="10" t="inlineStr"/>
      <c r="L301" s="10" t="inlineStr"/>
      <c r="M301" s="10" t="inlineStr"/>
      <c r="N301" s="10" t="inlineStr"/>
      <c r="O301" s="10" t="inlineStr">
        <is>
          <t>102 Rye Lane</t>
        </is>
      </c>
      <c r="P301" s="10" t="inlineStr">
        <is>
          <t>Peckham</t>
        </is>
      </c>
      <c r="Q301" s="10" t="inlineStr">
        <is>
          <t>London</t>
        </is>
      </c>
      <c r="R301" s="10" t="inlineStr">
        <is>
          <t>Greater London</t>
        </is>
      </c>
      <c r="S301" s="10" t="inlineStr">
        <is>
          <t>SE15 4RZ</t>
        </is>
      </c>
      <c r="T301" s="10" t="inlineStr">
        <is>
          <t>London</t>
        </is>
      </c>
      <c r="U301" s="10" t="inlineStr">
        <is>
          <t>England</t>
        </is>
      </c>
      <c r="V301" s="10" t="inlineStr"/>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African groceries; fresh produce; frozen foods</t>
        </is>
      </c>
      <c r="AL301" s="10" t="inlineStr"/>
      <c r="AM301" s="10" t="inlineStr">
        <is>
          <t>Independent Supermarket</t>
        </is>
      </c>
      <c r="AN301" s="10" t="inlineStr"/>
      <c r="AO301" s="10" t="inlineStr">
        <is>
          <t>Independent African food store on Rye Lane, Peckham. Address from Yell listing; phone not confirmed.</t>
        </is>
      </c>
      <c r="AP301" s="10" t="inlineStr">
        <is>
          <t>Low</t>
        </is>
      </c>
      <c r="AQ301" s="10" t="inlineStr">
        <is>
          <t>Independent retailer; Relevant category</t>
        </is>
      </c>
      <c r="AR301" s="10" t="inlineStr">
        <is>
          <t>https://www.yell.com/biz/bims-african-food-store-ltd-london-6667038/</t>
        </is>
      </c>
      <c r="AS301" s="10" t="inlineStr"/>
      <c r="AT301" s="10" t="inlineStr">
        <is>
          <t>1</t>
        </is>
      </c>
      <c r="AU301" s="10" t="inlineStr">
        <is>
          <t>No</t>
        </is>
      </c>
      <c r="AV301" s="10" t="inlineStr">
        <is>
          <t>No</t>
        </is>
      </c>
      <c r="AW301" s="10" t="inlineStr">
        <is>
          <t>No</t>
        </is>
      </c>
      <c r="AX301" s="10" t="inlineStr">
        <is>
          <t>No</t>
        </is>
      </c>
      <c r="AY301" s="10" t="inlineStr">
        <is>
          <t>Not Found</t>
        </is>
      </c>
      <c r="AZ301" s="10" t="inlineStr">
        <is>
          <t>Not Found</t>
        </is>
      </c>
      <c r="BA301" s="10" t="inlineStr">
        <is>
          <t>2026-09-17</t>
        </is>
      </c>
      <c r="BB301" s="10" t="inlineStr">
        <is>
          <t>Requires Verification</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WY-0065</t>
        </is>
      </c>
      <c r="B302" s="5" t="inlineStr">
        <is>
          <t>WY-0065-01</t>
        </is>
      </c>
      <c r="C302" s="5" t="inlineStr"/>
      <c r="D302" s="5" t="inlineStr">
        <is>
          <t>Bingley Vape Shop</t>
        </is>
      </c>
      <c r="E302" s="5" t="inlineStr">
        <is>
          <t>Bingley Vape Shop</t>
        </is>
      </c>
      <c r="F302" s="5" t="inlineStr">
        <is>
          <t>Bingley Vape Shop Ltd</t>
        </is>
      </c>
      <c r="G302" s="5" t="inlineStr">
        <is>
          <t>Vape Shop</t>
        </is>
      </c>
      <c r="H302" s="5" t="inlineStr">
        <is>
          <t>Vape shop, e-cigs, smoking accessories, phone cases</t>
        </is>
      </c>
      <c r="I302" s="5" t="inlineStr">
        <is>
          <t>Independent</t>
        </is>
      </c>
      <c r="J302" s="5" t="inlineStr">
        <is>
          <t>1</t>
        </is>
      </c>
      <c r="K302" s="5" t="inlineStr"/>
      <c r="L302" s="5" t="inlineStr">
        <is>
          <t>https://www.facebook.com/BingleyVapeShop/</t>
        </is>
      </c>
      <c r="M302" s="5" t="inlineStr"/>
      <c r="N302" s="5" t="inlineStr"/>
      <c r="O302" s="5" t="inlineStr">
        <is>
          <t>67-69 Main Street</t>
        </is>
      </c>
      <c r="P302" s="5" t="inlineStr"/>
      <c r="Q302" s="5" t="inlineStr">
        <is>
          <t>Bingley</t>
        </is>
      </c>
      <c r="R302" s="5" t="inlineStr">
        <is>
          <t>West Yorkshire</t>
        </is>
      </c>
      <c r="S302" s="5" t="inlineStr">
        <is>
          <t>BD16 2JA</t>
        </is>
      </c>
      <c r="T302" s="5" t="inlineStr">
        <is>
          <t>Yorkshire &amp; Humber</t>
        </is>
      </c>
      <c r="U302" s="5" t="inlineStr">
        <is>
          <t>England</t>
        </is>
      </c>
      <c r="V302" s="5" t="inlineStr">
        <is>
          <t>01535 213290</t>
        </is>
      </c>
      <c r="W302" s="5" t="inlineStr"/>
      <c r="X302" s="5" t="inlineStr"/>
      <c r="Y302" s="5" t="inlineStr"/>
      <c r="Z302" s="5" t="inlineStr"/>
      <c r="AA302" s="5" t="inlineStr"/>
      <c r="AB302" s="5" t="inlineStr"/>
      <c r="AC302" s="5" t="inlineStr"/>
      <c r="AD302" s="5" t="inlineStr"/>
      <c r="AE302" s="5" t="inlineStr">
        <is>
          <t>11788618</t>
        </is>
      </c>
      <c r="AF302" s="5" t="inlineStr"/>
      <c r="AG302" s="5" t="inlineStr">
        <is>
          <t>BINGLEY VAPE SHOP LTD</t>
        </is>
      </c>
      <c r="AH302" s="5" t="inlineStr">
        <is>
          <t>67-69 Main Street, Bingley, West Yorkshire, BD16 2JA</t>
        </is>
      </c>
      <c r="AI302" s="5" t="inlineStr"/>
      <c r="AJ302" s="5" t="inlineStr"/>
      <c r="AK302" s="5" t="inlineStr">
        <is>
          <t>vape hardware; e-liquids; smoking accessories</t>
        </is>
      </c>
      <c r="AL302" s="5" t="inlineStr"/>
      <c r="AM302" s="5" t="inlineStr">
        <is>
          <t>Vape Shop</t>
        </is>
      </c>
      <c r="AN302" s="5" t="inlineStr"/>
      <c r="AO302" s="5" t="inlineStr">
        <is>
          <t>Registered office matches the shop address (per Companies House search snippet). Phone taken from search-result summary of its Facebook/directory listing - confirm before use.</t>
        </is>
      </c>
      <c r="AP302" s="5" t="inlineStr">
        <is>
          <t>Medium</t>
        </is>
      </c>
      <c r="AQ302" s="5" t="inlineStr">
        <is>
          <t>Independent retailer; Core relevant category; Social presence</t>
        </is>
      </c>
      <c r="AR302" s="5" t="inlineStr">
        <is>
          <t>https://find-and-update.company-information.service.gov.uk/company/11788618</t>
        </is>
      </c>
      <c r="AS302" s="5" t="inlineStr">
        <is>
          <t>https://www.facebook.com/BingleyVapeShop/</t>
        </is>
      </c>
      <c r="AT302" s="5" t="inlineStr">
        <is>
          <t>2</t>
        </is>
      </c>
      <c r="AU302" s="5" t="inlineStr">
        <is>
          <t>No</t>
        </is>
      </c>
      <c r="AV302" s="5" t="inlineStr">
        <is>
          <t>No</t>
        </is>
      </c>
      <c r="AW302" s="5" t="inlineStr">
        <is>
          <t>No</t>
        </is>
      </c>
      <c r="AX302" s="5" t="inlineStr">
        <is>
          <t>Yes</t>
        </is>
      </c>
      <c r="AY302" s="5" t="inlineStr">
        <is>
          <t>Unverified</t>
        </is>
      </c>
      <c r="AZ302" s="5" t="inlineStr">
        <is>
          <t>Not Found</t>
        </is>
      </c>
      <c r="BA302" s="5" t="inlineStr">
        <is>
          <t>2026-09-17</t>
        </is>
      </c>
      <c r="BB302" s="5" t="inlineStr">
        <is>
          <t>Partially Verified</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2026-09-16</t>
        </is>
      </c>
      <c r="BJ302" s="5" t="inlineStr">
        <is>
          <t>New</t>
        </is>
      </c>
      <c r="BK302" s="5" t="inlineStr">
        <is>
          <t>2026-09-17</t>
        </is>
      </c>
      <c r="BL302" s="5" t="inlineStr"/>
      <c r="BM302" s="5" t="inlineStr"/>
      <c r="BN302" s="5" t="inlineStr"/>
      <c r="BO302" s="5" t="inlineStr"/>
      <c r="BP302" s="5" t="inlineStr"/>
      <c r="BQ302" s="5" t="inlineStr"/>
    </row>
    <row r="303">
      <c r="A303" s="10" t="inlineStr">
        <is>
          <t>UK-000456</t>
        </is>
      </c>
      <c r="B303" s="10" t="inlineStr">
        <is>
          <t>UK-000456-01</t>
        </is>
      </c>
      <c r="C303" s="10" t="inlineStr"/>
      <c r="D303" s="10" t="inlineStr">
        <is>
          <t>Blockall Convenience Store</t>
        </is>
      </c>
      <c r="E303" s="10" t="inlineStr">
        <is>
          <t>Blockall Convenience Store</t>
        </is>
      </c>
      <c r="F303" s="10" t="inlineStr"/>
      <c r="G303" s="10" t="inlineStr">
        <is>
          <t>Convenience Store</t>
        </is>
      </c>
      <c r="H303" s="10" t="inlineStr">
        <is>
          <t>Convenience store &amp; off-licence</t>
        </is>
      </c>
      <c r="I303" s="10" t="inlineStr">
        <is>
          <t>Independent</t>
        </is>
      </c>
      <c r="J303" s="10" t="inlineStr">
        <is>
          <t>1</t>
        </is>
      </c>
      <c r="K303" s="10" t="inlineStr"/>
      <c r="L303" s="10" t="inlineStr"/>
      <c r="M303" s="10" t="inlineStr"/>
      <c r="N303" s="10" t="inlineStr"/>
      <c r="O303" s="10" t="inlineStr">
        <is>
          <t>22 Blockall</t>
        </is>
      </c>
      <c r="P303" s="10" t="inlineStr"/>
      <c r="Q303" s="10" t="inlineStr">
        <is>
          <t>Wednesbury</t>
        </is>
      </c>
      <c r="R303" s="10" t="inlineStr">
        <is>
          <t>West Midlands</t>
        </is>
      </c>
      <c r="S303" s="10" t="inlineStr">
        <is>
          <t>WS10 8EP</t>
        </is>
      </c>
      <c r="T303" s="10" t="inlineStr">
        <is>
          <t>West Midlands</t>
        </is>
      </c>
      <c r="U303" s="10" t="inlineStr">
        <is>
          <t>England</t>
        </is>
      </c>
      <c r="V303" s="10" t="inlineStr"/>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groceries; convenience; beers; wines; spirits</t>
        </is>
      </c>
      <c r="AL303" s="10" t="inlineStr"/>
      <c r="AM303" s="10" t="inlineStr">
        <is>
          <t>Convenience Store</t>
        </is>
      </c>
      <c r="AN303" s="10" t="inlineStr"/>
      <c r="AO303" s="10" t="inlineStr">
        <is>
          <t>Independent convenience store, 22 Blockall, Wednesbury. Address from Yell Wednesbury listing snippet.</t>
        </is>
      </c>
      <c r="AP303" s="10" t="inlineStr">
        <is>
          <t>Low</t>
        </is>
      </c>
      <c r="AQ303" s="10" t="inlineStr">
        <is>
          <t>Independent retailer; Relevant category</t>
        </is>
      </c>
      <c r="AR303" s="10" t="inlineStr">
        <is>
          <t>https://www.yell.com/biz/blockall-convenience-store-wednesbury-7899353/</t>
        </is>
      </c>
      <c r="AS303" s="10" t="inlineStr"/>
      <c r="AT303" s="10" t="inlineStr">
        <is>
          <t>1</t>
        </is>
      </c>
      <c r="AU303" s="10" t="inlineStr">
        <is>
          <t>No</t>
        </is>
      </c>
      <c r="AV303" s="10" t="inlineStr">
        <is>
          <t>No</t>
        </is>
      </c>
      <c r="AW303" s="10" t="inlineStr">
        <is>
          <t>No</t>
        </is>
      </c>
      <c r="AX303" s="10" t="inlineStr">
        <is>
          <t>No</t>
        </is>
      </c>
      <c r="AY303" s="10" t="inlineStr">
        <is>
          <t>Not Found</t>
        </is>
      </c>
      <c r="AZ303" s="10" t="inlineStr">
        <is>
          <t>Not Found</t>
        </is>
      </c>
      <c r="BA303" s="10" t="inlineStr">
        <is>
          <t>2026-09-17</t>
        </is>
      </c>
      <c r="BB303" s="10" t="inlineStr">
        <is>
          <t>Requires Verification</t>
        </is>
      </c>
      <c r="BC303" s="10" t="inlineStr">
        <is>
          <t>Medium</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UK-000457</t>
        </is>
      </c>
      <c r="B304" s="5" t="inlineStr">
        <is>
          <t>UK-000457-01</t>
        </is>
      </c>
      <c r="C304" s="5" t="inlineStr"/>
      <c r="D304" s="5" t="inlineStr">
        <is>
          <t>Bloomfield Convenience Store</t>
        </is>
      </c>
      <c r="E304" s="5" t="inlineStr">
        <is>
          <t>Bloomfield Convenience Store</t>
        </is>
      </c>
      <c r="F304" s="5" t="inlineStr"/>
      <c r="G304" s="5" t="inlineStr">
        <is>
          <t>Convenience Store</t>
        </is>
      </c>
      <c r="H304" s="5" t="inlineStr">
        <is>
          <t>Convenience store &amp; off-licence</t>
        </is>
      </c>
      <c r="I304" s="5" t="inlineStr">
        <is>
          <t>Independent</t>
        </is>
      </c>
      <c r="J304" s="5" t="inlineStr">
        <is>
          <t>1</t>
        </is>
      </c>
      <c r="K304" s="5" t="inlineStr"/>
      <c r="L304" s="5" t="inlineStr"/>
      <c r="M304" s="5" t="inlineStr"/>
      <c r="N304" s="5" t="inlineStr"/>
      <c r="O304" s="5" t="inlineStr"/>
      <c r="P304" s="5" t="inlineStr"/>
      <c r="Q304" s="5" t="inlineStr">
        <is>
          <t>Tipton</t>
        </is>
      </c>
      <c r="R304" s="5" t="inlineStr">
        <is>
          <t>West Midlands</t>
        </is>
      </c>
      <c r="S304" s="5" t="inlineStr"/>
      <c r="T304" s="5" t="inlineStr">
        <is>
          <t>West Midlands</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groceries; convenience; beers; wines; spirits</t>
        </is>
      </c>
      <c r="AL304" s="5" t="inlineStr"/>
      <c r="AM304" s="5" t="inlineStr">
        <is>
          <t>Convenience Store</t>
        </is>
      </c>
      <c r="AN304" s="5" t="inlineStr"/>
      <c r="AO304" s="5" t="inlineStr">
        <is>
          <t>Independent convenience store in the Bloomfield area of Tipton. Listed on Cylex Tipton; exact street address not in snippet.</t>
        </is>
      </c>
      <c r="AP304" s="5" t="inlineStr">
        <is>
          <t>Low</t>
        </is>
      </c>
      <c r="AQ304" s="5" t="inlineStr">
        <is>
          <t>Independent retailer; Relevant category</t>
        </is>
      </c>
      <c r="AR304" s="5" t="inlineStr">
        <is>
          <t>https://tipton.cylex-uk.co.uk/company/bloomfield-convenience-store-19860362.html</t>
        </is>
      </c>
      <c r="AS304" s="5" t="inlineStr"/>
      <c r="AT304" s="5" t="inlineStr">
        <is>
          <t>1</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2026-09-17</t>
        </is>
      </c>
      <c r="BJ304" s="5" t="inlineStr">
        <is>
          <t>New</t>
        </is>
      </c>
      <c r="BK304" s="5" t="inlineStr">
        <is>
          <t>2026-09-17</t>
        </is>
      </c>
      <c r="BL304" s="5" t="inlineStr"/>
      <c r="BM304" s="5" t="inlineStr"/>
      <c r="BN304" s="5" t="inlineStr"/>
      <c r="BO304" s="5" t="inlineStr"/>
      <c r="BP304" s="5" t="inlineStr"/>
      <c r="BQ304" s="5" t="inlineStr"/>
    </row>
    <row r="305">
      <c r="A305" s="10" t="inlineStr">
        <is>
          <t>UK-000585</t>
        </is>
      </c>
      <c r="B305" s="10" t="inlineStr">
        <is>
          <t>UK-000585-01</t>
        </is>
      </c>
      <c r="C305" s="10" t="inlineStr"/>
      <c r="D305" s="10" t="inlineStr">
        <is>
          <t>Blowers Vape Shop Ltd</t>
        </is>
      </c>
      <c r="E305" s="10" t="inlineStr">
        <is>
          <t>Blowers Vape Shop</t>
        </is>
      </c>
      <c r="F305" s="10" t="inlineStr">
        <is>
          <t>BLOWERS VAPE SHOP LTD</t>
        </is>
      </c>
      <c r="G305" s="10" t="inlineStr">
        <is>
          <t>Vape Shop</t>
        </is>
      </c>
      <c r="H305" s="10" t="inlineStr"/>
      <c r="I305" s="10" t="inlineStr">
        <is>
          <t>Independent</t>
        </is>
      </c>
      <c r="J305" s="10" t="inlineStr">
        <is>
          <t>1</t>
        </is>
      </c>
      <c r="K305" s="10" t="inlineStr"/>
      <c r="L305" s="10" t="inlineStr">
        <is>
          <t>https://www.facebook.com/BlowersVapes/</t>
        </is>
      </c>
      <c r="M305" s="10" t="inlineStr"/>
      <c r="N305" s="10" t="inlineStr"/>
      <c r="O305" s="10" t="inlineStr">
        <is>
          <t>9 The New Arcade</t>
        </is>
      </c>
      <c r="P305" s="10" t="inlineStr">
        <is>
          <t>High Street</t>
        </is>
      </c>
      <c r="Q305" s="10" t="inlineStr">
        <is>
          <t>Uxbridge</t>
        </is>
      </c>
      <c r="R305" s="10" t="inlineStr">
        <is>
          <t>Greater London</t>
        </is>
      </c>
      <c r="S305" s="10" t="inlineStr">
        <is>
          <t>UB8 1LG</t>
        </is>
      </c>
      <c r="T305" s="10" t="inlineStr">
        <is>
          <t>London</t>
        </is>
      </c>
      <c r="U305" s="10" t="inlineStr">
        <is>
          <t>England</t>
        </is>
      </c>
      <c r="V305" s="10" t="inlineStr">
        <is>
          <t>01895 254502</t>
        </is>
      </c>
      <c r="W305" s="10" t="inlineStr"/>
      <c r="X305" s="10" t="inlineStr"/>
      <c r="Y305" s="10" t="inlineStr"/>
      <c r="Z305" s="10" t="inlineStr"/>
      <c r="AA305" s="10" t="inlineStr"/>
      <c r="AB305" s="10" t="inlineStr"/>
      <c r="AC305" s="10" t="inlineStr"/>
      <c r="AD305" s="10" t="inlineStr"/>
      <c r="AE305" s="10" t="inlineStr">
        <is>
          <t>11795235</t>
        </is>
      </c>
      <c r="AF305" s="10" t="inlineStr"/>
      <c r="AG305" s="10" t="inlineStr">
        <is>
          <t>BLOWERS VAPE SHOP LTD</t>
        </is>
      </c>
      <c r="AH305" s="10" t="inlineStr"/>
      <c r="AI305" s="10" t="inlineStr"/>
      <c r="AJ305" s="10" t="inlineStr"/>
      <c r="AK305" s="10" t="inlineStr">
        <is>
          <t>vape hardware; e-liquids; coils; accessories</t>
        </is>
      </c>
      <c r="AL305" s="10" t="inlineStr"/>
      <c r="AM305" s="10" t="inlineStr">
        <is>
          <t>Vape Shop</t>
        </is>
      </c>
      <c r="AN305" s="10" t="inlineStr"/>
      <c r="AO305" s="10" t="inlineStr">
        <is>
          <t>Independent vape shop in Uxbridge (New Arcade, High Street). Companies House 11795235; phone from Thomson Local; Facebook page active.</t>
        </is>
      </c>
      <c r="AP305" s="10" t="inlineStr">
        <is>
          <t>Medium</t>
        </is>
      </c>
      <c r="AQ305" s="10" t="inlineStr">
        <is>
          <t>Independent retailer; Core relevant category; Social presence</t>
        </is>
      </c>
      <c r="AR305" s="10" t="inlineStr">
        <is>
          <t>https://find-and-update.company-information.service.gov.uk/company/11795235</t>
        </is>
      </c>
      <c r="AS305" s="10" t="inlineStr">
        <is>
          <t>https://www.yell.com/biz/blowers-vape-shop-ltd-uxbridge-9763062/</t>
        </is>
      </c>
      <c r="AT305" s="10" t="inlineStr">
        <is>
          <t>3</t>
        </is>
      </c>
      <c r="AU305" s="10" t="inlineStr">
        <is>
          <t>No</t>
        </is>
      </c>
      <c r="AV305" s="10" t="inlineStr">
        <is>
          <t>No</t>
        </is>
      </c>
      <c r="AW305" s="10" t="inlineStr">
        <is>
          <t>No</t>
        </is>
      </c>
      <c r="AX305" s="10" t="inlineStr">
        <is>
          <t>Yes</t>
        </is>
      </c>
      <c r="AY305" s="10" t="inlineStr">
        <is>
          <t>Verified directory</t>
        </is>
      </c>
      <c r="AZ305" s="10" t="inlineStr">
        <is>
          <t>Not Found</t>
        </is>
      </c>
      <c r="BA305" s="10" t="inlineStr">
        <is>
          <t>2026-09-17</t>
        </is>
      </c>
      <c r="BB305" s="10" t="inlineStr">
        <is>
          <t>Partially Verified</t>
        </is>
      </c>
      <c r="BC305" s="10" t="inlineStr">
        <is>
          <t>Medium</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UK-000347</t>
        </is>
      </c>
      <c r="B306" s="5" t="inlineStr">
        <is>
          <t>UK-000347-01</t>
        </is>
      </c>
      <c r="C306" s="5" t="inlineStr"/>
      <c r="D306" s="5" t="inlineStr">
        <is>
          <t>Bolton Vape Store</t>
        </is>
      </c>
      <c r="E306" s="5" t="inlineStr">
        <is>
          <t>Bolton Vape Store</t>
        </is>
      </c>
      <c r="F306" s="5" t="inlineStr"/>
      <c r="G306" s="5" t="inlineStr">
        <is>
          <t>Vape Shop</t>
        </is>
      </c>
      <c r="H306" s="5" t="inlineStr">
        <is>
          <t>Online and physical vape retailer</t>
        </is>
      </c>
      <c r="I306" s="5" t="inlineStr">
        <is>
          <t>Independent</t>
        </is>
      </c>
      <c r="J306" s="5" t="inlineStr">
        <is>
          <t>1</t>
        </is>
      </c>
      <c r="K306" s="5" t="inlineStr">
        <is>
          <t>https://boltonvape.com/</t>
        </is>
      </c>
      <c r="L306" s="5" t="inlineStr"/>
      <c r="M306" s="5" t="inlineStr"/>
      <c r="N306" s="5" t="inlineStr"/>
      <c r="O306" s="5" t="inlineStr">
        <is>
          <t>Sector 1, The Office, Britannia Way</t>
        </is>
      </c>
      <c r="P306" s="5" t="inlineStr"/>
      <c r="Q306" s="5" t="inlineStr">
        <is>
          <t>Bolton</t>
        </is>
      </c>
      <c r="R306" s="5" t="inlineStr">
        <is>
          <t>Greater Manchester</t>
        </is>
      </c>
      <c r="S306" s="5" t="inlineStr">
        <is>
          <t>BL2 2HH</t>
        </is>
      </c>
      <c r="T306" s="5" t="inlineStr">
        <is>
          <t>North West</t>
        </is>
      </c>
      <c r="U306" s="5" t="inlineStr">
        <is>
          <t>England</t>
        </is>
      </c>
      <c r="V306" s="5" t="inlineStr">
        <is>
          <t>07478 718602</t>
        </is>
      </c>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vape hardware; e-liquids; disposables</t>
        </is>
      </c>
      <c r="AL306" s="5" t="inlineStr"/>
      <c r="AM306" s="5" t="inlineStr">
        <is>
          <t>Vape Shop</t>
        </is>
      </c>
      <c r="AN306" s="5" t="inlineStr"/>
      <c r="AO306" s="5" t="inlineStr">
        <is>
          <t>Independent Bolton-based vape retailer with own website and physical unit at Britannia Way (BL2 2HH). Contact page lists mobile number; no email captured from snippet.</t>
        </is>
      </c>
      <c r="AP306" s="5" t="inlineStr">
        <is>
          <t>Medium</t>
        </is>
      </c>
      <c r="AQ306" s="5" t="inlineStr">
        <is>
          <t>Independent retailer; Core relevant category; Active website; Phone verified on official website</t>
        </is>
      </c>
      <c r="AR306" s="5" t="inlineStr">
        <is>
          <t>https://boltonvape.com/pages/contact-us</t>
        </is>
      </c>
      <c r="AS306" s="5" t="inlineStr"/>
      <c r="AT306" s="5" t="inlineStr">
        <is>
          <t>1</t>
        </is>
      </c>
      <c r="AU306" s="5" t="inlineStr">
        <is>
          <t>No</t>
        </is>
      </c>
      <c r="AV306" s="5" t="inlineStr">
        <is>
          <t>No</t>
        </is>
      </c>
      <c r="AW306" s="5" t="inlineStr">
        <is>
          <t>No</t>
        </is>
      </c>
      <c r="AX306" s="5" t="inlineStr">
        <is>
          <t>No</t>
        </is>
      </c>
      <c r="AY306" s="5" t="inlineStr">
        <is>
          <t>Verified on official website</t>
        </is>
      </c>
      <c r="AZ306" s="5" t="inlineStr">
        <is>
          <t>Website Found</t>
        </is>
      </c>
      <c r="BA306" s="5" t="inlineStr">
        <is>
          <t>2026-09-17</t>
        </is>
      </c>
      <c r="BB306" s="5" t="inlineStr">
        <is>
          <t>Requires Verification</t>
        </is>
      </c>
      <c r="BC306" s="5" t="inlineStr">
        <is>
          <t>Medium</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UK-000586</t>
        </is>
      </c>
      <c r="B307" s="10" t="inlineStr">
        <is>
          <t>UK-000586-01</t>
        </is>
      </c>
      <c r="C307" s="10" t="inlineStr"/>
      <c r="D307" s="10" t="inlineStr">
        <is>
          <t>Bondor Bazar</t>
        </is>
      </c>
      <c r="E307" s="10" t="inlineStr">
        <is>
          <t>Bondor Bazar</t>
        </is>
      </c>
      <c r="F307" s="10" t="inlineStr"/>
      <c r="G307" s="10" t="inlineStr">
        <is>
          <t>Independent Supermarket</t>
        </is>
      </c>
      <c r="H307" s="10" t="inlineStr">
        <is>
          <t>World-food supermarket (meat &amp; seafood)</t>
        </is>
      </c>
      <c r="I307" s="10" t="inlineStr">
        <is>
          <t>Independent</t>
        </is>
      </c>
      <c r="J307" s="10" t="inlineStr">
        <is>
          <t>1</t>
        </is>
      </c>
      <c r="K307" s="10" t="inlineStr"/>
      <c r="L307" s="10" t="inlineStr"/>
      <c r="M307" s="10" t="inlineStr"/>
      <c r="N307" s="10" t="inlineStr"/>
      <c r="O307" s="10" t="inlineStr">
        <is>
          <t>130 Green Street</t>
        </is>
      </c>
      <c r="P307" s="10" t="inlineStr"/>
      <c r="Q307" s="10" t="inlineStr">
        <is>
          <t>Forest Gate</t>
        </is>
      </c>
      <c r="R307" s="10" t="inlineStr">
        <is>
          <t>Greater London</t>
        </is>
      </c>
      <c r="S307" s="10" t="inlineStr">
        <is>
          <t>E7 8JQ</t>
        </is>
      </c>
      <c r="T307" s="10" t="inlineStr">
        <is>
          <t>London</t>
        </is>
      </c>
      <c r="U307" s="10" t="inlineStr">
        <is>
          <t>England</t>
        </is>
      </c>
      <c r="V307" s="10" t="inlineStr"/>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world foods; halal meat; seafood; groceries</t>
        </is>
      </c>
      <c r="AL307" s="10" t="inlineStr"/>
      <c r="AM307" s="10" t="inlineStr">
        <is>
          <t>Independent Supermarket</t>
        </is>
      </c>
      <c r="AN307" s="10" t="inlineStr"/>
      <c r="AO307" s="10" t="inlineStr">
        <is>
          <t>World-food supermarket with butchery/seafood on Green Street, Forest Gate. Address/postcode from Cylex/192 Green Street listings.</t>
        </is>
      </c>
      <c r="AP307" s="10" t="inlineStr">
        <is>
          <t>Low</t>
        </is>
      </c>
      <c r="AQ307" s="10" t="inlineStr">
        <is>
          <t>Independent retailer; Relevant category</t>
        </is>
      </c>
      <c r="AR307" s="10" t="inlineStr">
        <is>
          <t>https://london.cylex-uk.co.uk/upton-park/grocery%20stores.html</t>
        </is>
      </c>
      <c r="AS307" s="10" t="inlineStr"/>
      <c r="AT307" s="10" t="inlineStr">
        <is>
          <t>1</t>
        </is>
      </c>
      <c r="AU307" s="10" t="inlineStr">
        <is>
          <t>No</t>
        </is>
      </c>
      <c r="AV307" s="10" t="inlineStr">
        <is>
          <t>No</t>
        </is>
      </c>
      <c r="AW307" s="10" t="inlineStr">
        <is>
          <t>No</t>
        </is>
      </c>
      <c r="AX307" s="10" t="inlineStr">
        <is>
          <t>No</t>
        </is>
      </c>
      <c r="AY307" s="10" t="inlineStr">
        <is>
          <t>Not Found</t>
        </is>
      </c>
      <c r="AZ307" s="10" t="inlineStr">
        <is>
          <t>Not Found</t>
        </is>
      </c>
      <c r="BA307" s="10" t="inlineStr">
        <is>
          <t>2026-09-17</t>
        </is>
      </c>
      <c r="BB307" s="10" t="inlineStr">
        <is>
          <t>Requires Verification</t>
        </is>
      </c>
      <c r="BC307" s="10" t="inlineStr">
        <is>
          <t>Low</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2026-09-17</t>
        </is>
      </c>
      <c r="BJ307" s="10" t="inlineStr">
        <is>
          <t>New</t>
        </is>
      </c>
      <c r="BK307" s="10" t="inlineStr">
        <is>
          <t>2026-09-17</t>
        </is>
      </c>
      <c r="BL307" s="10" t="inlineStr"/>
      <c r="BM307" s="10" t="inlineStr"/>
      <c r="BN307" s="10" t="inlineStr"/>
      <c r="BO307" s="10" t="inlineStr"/>
      <c r="BP307" s="10" t="inlineStr"/>
      <c r="BQ307" s="10" t="inlineStr"/>
    </row>
    <row r="308">
      <c r="A308" s="5" t="inlineStr">
        <is>
          <t>WY-0066</t>
        </is>
      </c>
      <c r="B308" s="5" t="inlineStr">
        <is>
          <t>WY-0066-01</t>
        </is>
      </c>
      <c r="C308" s="5" t="inlineStr"/>
      <c r="D308" s="5" t="inlineStr">
        <is>
          <t>Boothtown Post Office &amp; Off-Licence</t>
        </is>
      </c>
      <c r="E308" s="5" t="inlineStr">
        <is>
          <t>Boothtown Post Office &amp; Off-Licence</t>
        </is>
      </c>
      <c r="F308" s="5" t="inlineStr"/>
      <c r="G308" s="5" t="inlineStr">
        <is>
          <t>Off-Licence</t>
        </is>
      </c>
      <c r="H308" s="5" t="inlineStr">
        <is>
          <t>Off-licence with post office counter</t>
        </is>
      </c>
      <c r="I308" s="5" t="inlineStr">
        <is>
          <t>Independent</t>
        </is>
      </c>
      <c r="J308" s="5" t="inlineStr">
        <is>
          <t>1</t>
        </is>
      </c>
      <c r="K308" s="5" t="inlineStr"/>
      <c r="L308" s="5" t="inlineStr"/>
      <c r="M308" s="5" t="inlineStr"/>
      <c r="N308" s="5" t="inlineStr"/>
      <c r="O308" s="5" t="inlineStr"/>
      <c r="P308" s="5" t="inlineStr">
        <is>
          <t>Boothtown</t>
        </is>
      </c>
      <c r="Q308" s="5" t="inlineStr">
        <is>
          <t>Halifax</t>
        </is>
      </c>
      <c r="R308" s="5" t="inlineStr">
        <is>
          <t>West Yorkshire</t>
        </is>
      </c>
      <c r="S308" s="5" t="inlineStr"/>
      <c r="T308" s="5" t="inlineStr">
        <is>
          <t>Yorkshire &amp; Humber</t>
        </is>
      </c>
      <c r="U308" s="5" t="inlineStr">
        <is>
          <t>England</t>
        </is>
      </c>
      <c r="V308" s="5" t="inlineStr"/>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beers, wines and spirits; post office services; convenience</t>
        </is>
      </c>
      <c r="AL308" s="5" t="inlineStr"/>
      <c r="AM308" s="5" t="inlineStr">
        <is>
          <t>Off-Licence</t>
        </is>
      </c>
      <c r="AN308" s="5" t="inlineStr"/>
      <c r="AO308" s="5" t="inlineStr">
        <is>
          <t>Found via Halifax Courier local directory search listing; street address and phone not captured before search budget was exhausted.</t>
        </is>
      </c>
      <c r="AP308" s="5" t="inlineStr">
        <is>
          <t>Low</t>
        </is>
      </c>
      <c r="AQ308" s="5" t="inlineStr">
        <is>
          <t>Independent retailer; Relevant category</t>
        </is>
      </c>
      <c r="AR308" s="5" t="inlineStr">
        <is>
          <t>https://findit.halifaxcourier.co.uk/search/halifax/off-licence</t>
        </is>
      </c>
      <c r="AS308" s="5" t="inlineStr"/>
      <c r="AT308" s="5" t="inlineStr">
        <is>
          <t>1</t>
        </is>
      </c>
      <c r="AU308" s="5" t="inlineStr">
        <is>
          <t>No</t>
        </is>
      </c>
      <c r="AV308" s="5" t="inlineStr">
        <is>
          <t>No</t>
        </is>
      </c>
      <c r="AW308" s="5" t="inlineStr">
        <is>
          <t>No</t>
        </is>
      </c>
      <c r="AX308" s="5" t="inlineStr">
        <is>
          <t>No</t>
        </is>
      </c>
      <c r="AY308" s="5" t="inlineStr">
        <is>
          <t>Not Found</t>
        </is>
      </c>
      <c r="AZ308" s="5" t="inlineStr">
        <is>
          <t>Not Found</t>
        </is>
      </c>
      <c r="BA308" s="5" t="inlineStr">
        <is>
          <t>2026-09-17</t>
        </is>
      </c>
      <c r="BB308" s="5" t="inlineStr">
        <is>
          <t>Requires Verification</t>
        </is>
      </c>
      <c r="BC308" s="5" t="inlineStr">
        <is>
          <t>Low</t>
        </is>
      </c>
      <c r="BD308" s="5" t="inlineStr"/>
      <c r="BE308" s="5" t="inlineStr">
        <is>
          <t>Business (B2B)</t>
        </is>
      </c>
      <c r="BF308" s="5" t="inlineStr">
        <is>
          <t>Legitimate interest (B2B) - assess per campaign; PECR: corporate subscribers</t>
        </is>
      </c>
      <c r="BG308" s="5" t="inlineStr"/>
      <c r="BH308" s="5" t="inlineStr">
        <is>
          <t>No</t>
        </is>
      </c>
      <c r="BI308" s="5" t="inlineStr">
        <is>
          <t>2026-09-16</t>
        </is>
      </c>
      <c r="BJ308" s="5" t="inlineStr">
        <is>
          <t>New</t>
        </is>
      </c>
      <c r="BK308" s="5" t="inlineStr">
        <is>
          <t>2026-09-17</t>
        </is>
      </c>
      <c r="BL308" s="5" t="inlineStr"/>
      <c r="BM308" s="5" t="inlineStr"/>
      <c r="BN308" s="5" t="inlineStr"/>
      <c r="BO308" s="5" t="inlineStr"/>
      <c r="BP308" s="5" t="inlineStr"/>
      <c r="BQ308" s="5" t="inlineStr"/>
    </row>
    <row r="309">
      <c r="A309" s="10" t="inlineStr">
        <is>
          <t>WY-0067</t>
        </is>
      </c>
      <c r="B309" s="10" t="inlineStr">
        <is>
          <t>WY-0067-01</t>
        </is>
      </c>
      <c r="C309" s="10" t="inlineStr"/>
      <c r="D309" s="10" t="inlineStr">
        <is>
          <t>Booze Express</t>
        </is>
      </c>
      <c r="E309" s="10" t="inlineStr">
        <is>
          <t>Booze Express Halifax</t>
        </is>
      </c>
      <c r="F309" s="10" t="inlineStr"/>
      <c r="G309" s="10" t="inlineStr">
        <is>
          <t>Off-Licence</t>
        </is>
      </c>
      <c r="H309" s="10" t="inlineStr"/>
      <c r="I309" s="10" t="inlineStr">
        <is>
          <t>Independent</t>
        </is>
      </c>
      <c r="J309" s="10" t="inlineStr">
        <is>
          <t>1</t>
        </is>
      </c>
      <c r="K309" s="10" t="inlineStr"/>
      <c r="L309" s="10" t="inlineStr"/>
      <c r="M309" s="10" t="inlineStr"/>
      <c r="N309" s="10" t="inlineStr">
        <is>
          <t>https://nextdoor.co.uk/pages/booze-express-halifax/</t>
        </is>
      </c>
      <c r="O309" s="10" t="inlineStr">
        <is>
          <t>520 Gibbet Street</t>
        </is>
      </c>
      <c r="P309" s="10" t="inlineStr"/>
      <c r="Q309" s="10" t="inlineStr">
        <is>
          <t>Halifax</t>
        </is>
      </c>
      <c r="R309" s="10" t="inlineStr">
        <is>
          <t>West Yorkshire</t>
        </is>
      </c>
      <c r="S309" s="10" t="inlineStr">
        <is>
          <t>HX2 0AH</t>
        </is>
      </c>
      <c r="T309" s="10" t="inlineStr">
        <is>
          <t>Yorkshire &amp; Humber</t>
        </is>
      </c>
      <c r="U309" s="10" t="inlineStr">
        <is>
          <t>England</t>
        </is>
      </c>
      <c r="V309" s="10" t="inlineStr"/>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beers, wines and spirits; snacks</t>
        </is>
      </c>
      <c r="AL309" s="10" t="inlineStr"/>
      <c r="AM309" s="10" t="inlineStr">
        <is>
          <t>Off-Licence</t>
        </is>
      </c>
      <c r="AN309" s="10" t="inlineStr"/>
      <c r="AO309" s="10" t="inlineStr">
        <is>
          <t>A company named BOOZE EXPRESS HALIFAX LTD (10264056) was dissolved 19 Nov 2019; the shop is still listed as trading on local directories, so it may now operate under a different legal entity - verify before outreach.</t>
        </is>
      </c>
      <c r="AP309" s="10" t="inlineStr">
        <is>
          <t>Medium</t>
        </is>
      </c>
      <c r="AQ309" s="10" t="inlineStr">
        <is>
          <t>Independent retailer; Relevant category; Social presence</t>
        </is>
      </c>
      <c r="AR309" s="10" t="inlineStr">
        <is>
          <t>https://find-and-update.company-information.service.gov.uk/company/10264056</t>
        </is>
      </c>
      <c r="AS309" s="10" t="inlineStr">
        <is>
          <t>https://findit.halifaxcourier.co.uk/company/1155715525128193</t>
        </is>
      </c>
      <c r="AT309" s="10" t="inlineStr">
        <is>
          <t>3</t>
        </is>
      </c>
      <c r="AU309" s="10" t="inlineStr">
        <is>
          <t>No</t>
        </is>
      </c>
      <c r="AV309" s="10" t="inlineStr">
        <is>
          <t>No</t>
        </is>
      </c>
      <c r="AW309" s="10" t="inlineStr">
        <is>
          <t>No</t>
        </is>
      </c>
      <c r="AX309" s="10" t="inlineStr">
        <is>
          <t>Yes</t>
        </is>
      </c>
      <c r="AY309" s="10" t="inlineStr">
        <is>
          <t>Not Found</t>
        </is>
      </c>
      <c r="AZ309" s="10" t="inlineStr">
        <is>
          <t>Not Found</t>
        </is>
      </c>
      <c r="BA309" s="10" t="inlineStr">
        <is>
          <t>2026-09-17</t>
        </is>
      </c>
      <c r="BB309" s="10" t="inlineStr">
        <is>
          <t>Partially Verified</t>
        </is>
      </c>
      <c r="BC309" s="10" t="inlineStr">
        <is>
          <t>Low</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2026-09-16</t>
        </is>
      </c>
      <c r="BJ309" s="10" t="inlineStr">
        <is>
          <t>New</t>
        </is>
      </c>
      <c r="BK309" s="10" t="inlineStr">
        <is>
          <t>2026-09-17</t>
        </is>
      </c>
      <c r="BL309" s="10" t="inlineStr"/>
      <c r="BM309" s="10" t="inlineStr"/>
      <c r="BN309" s="10" t="inlineStr"/>
      <c r="BO309" s="10" t="inlineStr"/>
      <c r="BP309" s="10" t="inlineStr"/>
      <c r="BQ309" s="10" t="inlineStr"/>
    </row>
    <row r="310">
      <c r="A310" s="5" t="inlineStr">
        <is>
          <t>UK-000458</t>
        </is>
      </c>
      <c r="B310" s="5" t="inlineStr">
        <is>
          <t>UK-000458-01</t>
        </is>
      </c>
      <c r="C310" s="5" t="inlineStr"/>
      <c r="D310" s="5" t="inlineStr">
        <is>
          <t>Booze Stop</t>
        </is>
      </c>
      <c r="E310" s="5" t="inlineStr">
        <is>
          <t>Booze Stop</t>
        </is>
      </c>
      <c r="F310" s="5" t="inlineStr"/>
      <c r="G310" s="5" t="inlineStr">
        <is>
          <t>Off-Licence</t>
        </is>
      </c>
      <c r="H310" s="5" t="inlineStr">
        <is>
          <t>Off-licence &amp; convenience</t>
        </is>
      </c>
      <c r="I310" s="5" t="inlineStr">
        <is>
          <t>Independent</t>
        </is>
      </c>
      <c r="J310" s="5" t="inlineStr">
        <is>
          <t>1</t>
        </is>
      </c>
      <c r="K310" s="5" t="inlineStr"/>
      <c r="L310" s="5" t="inlineStr"/>
      <c r="M310" s="5" t="inlineStr"/>
      <c r="N310" s="5" t="inlineStr"/>
      <c r="O310" s="5" t="inlineStr">
        <is>
          <t>520 Hagley Road West</t>
        </is>
      </c>
      <c r="P310" s="5" t="inlineStr"/>
      <c r="Q310" s="5" t="inlineStr">
        <is>
          <t>Oldbury</t>
        </is>
      </c>
      <c r="R310" s="5" t="inlineStr">
        <is>
          <t>West Midlands</t>
        </is>
      </c>
      <c r="S310" s="5" t="inlineStr">
        <is>
          <t>B68 0BZ</t>
        </is>
      </c>
      <c r="T310" s="5" t="inlineStr">
        <is>
          <t>West Midlands</t>
        </is>
      </c>
      <c r="U310" s="5" t="inlineStr">
        <is>
          <t>England</t>
        </is>
      </c>
      <c r="V310" s="5" t="inlineStr">
        <is>
          <t>0121 421 3797</t>
        </is>
      </c>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beers; wines; spirits; convenience</t>
        </is>
      </c>
      <c r="AL310" s="5" t="inlineStr"/>
      <c r="AM310" s="5" t="inlineStr">
        <is>
          <t>Off-Licence</t>
        </is>
      </c>
      <c r="AN310" s="5" t="inlineStr"/>
      <c r="AO310" s="5" t="inlineStr">
        <is>
          <t>Independent off-licence, 520 Hagley Road West, Oldbury. Address and phone from Yell Oldbury off-licences listing snippet.</t>
        </is>
      </c>
      <c r="AP310" s="5" t="inlineStr">
        <is>
          <t>Low</t>
        </is>
      </c>
      <c r="AQ310" s="5" t="inlineStr">
        <is>
          <t>Independent retailer; Relevant category</t>
        </is>
      </c>
      <c r="AR310" s="5" t="inlineStr">
        <is>
          <t>https://www.yell.com/s/off+licences+and+wine+merchants-oldbury-west+midlands.html</t>
        </is>
      </c>
      <c r="AS310" s="5" t="inlineStr"/>
      <c r="AT310" s="5" t="inlineStr">
        <is>
          <t>1</t>
        </is>
      </c>
      <c r="AU310" s="5" t="inlineStr">
        <is>
          <t>No</t>
        </is>
      </c>
      <c r="AV310" s="5" t="inlineStr">
        <is>
          <t>No</t>
        </is>
      </c>
      <c r="AW310" s="5" t="inlineStr">
        <is>
          <t>No</t>
        </is>
      </c>
      <c r="AX310" s="5" t="inlineStr">
        <is>
          <t>No</t>
        </is>
      </c>
      <c r="AY310" s="5" t="inlineStr">
        <is>
          <t>Verified directory</t>
        </is>
      </c>
      <c r="AZ310" s="5" t="inlineStr">
        <is>
          <t>Not Found</t>
        </is>
      </c>
      <c r="BA310" s="5" t="inlineStr">
        <is>
          <t>2026-09-17</t>
        </is>
      </c>
      <c r="BB310" s="5" t="inlineStr">
        <is>
          <t>Requires Verification</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WY-0068</t>
        </is>
      </c>
      <c r="B311" s="10" t="inlineStr">
        <is>
          <t>WY-0068-01</t>
        </is>
      </c>
      <c r="C311" s="10" t="inlineStr"/>
      <c r="D311" s="10" t="inlineStr">
        <is>
          <t>Bottle and Bean</t>
        </is>
      </c>
      <c r="E311" s="10" t="inlineStr">
        <is>
          <t>Bottle and Bean</t>
        </is>
      </c>
      <c r="F311" s="10" t="inlineStr"/>
      <c r="G311" s="10" t="inlineStr">
        <is>
          <t>Off-Licence</t>
        </is>
      </c>
      <c r="H311" s="10" t="inlineStr">
        <is>
          <t>Wine, craft beer and coffee shop</t>
        </is>
      </c>
      <c r="I311" s="10" t="inlineStr">
        <is>
          <t>Independent</t>
        </is>
      </c>
      <c r="J311" s="10" t="inlineStr">
        <is>
          <t>1</t>
        </is>
      </c>
      <c r="K311" s="10" t="inlineStr"/>
      <c r="L311" s="10" t="inlineStr"/>
      <c r="M311" s="10" t="inlineStr"/>
      <c r="N311" s="10" t="inlineStr"/>
      <c r="O311" s="10" t="inlineStr"/>
      <c r="P311" s="10" t="inlineStr"/>
      <c r="Q311" s="10" t="inlineStr">
        <is>
          <t>Wetherby</t>
        </is>
      </c>
      <c r="R311" s="10" t="inlineStr">
        <is>
          <t>West Yorkshire</t>
        </is>
      </c>
      <c r="S311" s="10" t="inlineStr"/>
      <c r="T311" s="10" t="inlineStr">
        <is>
          <t>Yorkshire &amp; Humber</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wine; craft beer; coffee</t>
        </is>
      </c>
      <c r="AL311" s="10" t="inlineStr"/>
      <c r="AM311" s="10" t="inlineStr">
        <is>
          <t>Off-Licence</t>
        </is>
      </c>
      <c r="AN311" s="10" t="inlineStr"/>
      <c r="AO311" s="10" t="inlineStr">
        <is>
          <t>Independent off-licence in Wetherby offering quality wines, craft beers and coffee; street address not captured - follow up.</t>
        </is>
      </c>
      <c r="AP311" s="10" t="inlineStr">
        <is>
          <t>Low</t>
        </is>
      </c>
      <c r="AQ311" s="10" t="inlineStr">
        <is>
          <t>Independent retailer; Relevant category</t>
        </is>
      </c>
      <c r="AR311" s="10" t="inlineStr">
        <is>
          <t>https://www.yorkshire.com/wetherby/shopping/off-license/bottle-and-bean</t>
        </is>
      </c>
      <c r="AS311" s="10" t="inlineStr"/>
      <c r="AT311" s="10" t="inlineStr">
        <is>
          <t>1</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Low</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2026-09-16</t>
        </is>
      </c>
      <c r="BJ311" s="10" t="inlineStr">
        <is>
          <t>New</t>
        </is>
      </c>
      <c r="BK311" s="10" t="inlineStr">
        <is>
          <t>2026-09-17</t>
        </is>
      </c>
      <c r="BL311" s="10" t="inlineStr"/>
      <c r="BM311" s="10" t="inlineStr"/>
      <c r="BN311" s="10" t="inlineStr"/>
      <c r="BO311" s="10" t="inlineStr"/>
      <c r="BP311" s="10" t="inlineStr"/>
      <c r="BQ311" s="10" t="inlineStr"/>
    </row>
    <row r="312">
      <c r="A312" s="5" t="inlineStr">
        <is>
          <t>UK-000758</t>
        </is>
      </c>
      <c r="B312" s="5" t="inlineStr">
        <is>
          <t>UK-000758-01</t>
        </is>
      </c>
      <c r="C312" s="5" t="inlineStr"/>
      <c r="D312" s="5" t="inlineStr">
        <is>
          <t>Bottoms Up</t>
        </is>
      </c>
      <c r="E312" s="5" t="inlineStr">
        <is>
          <t>Bottoms Up</t>
        </is>
      </c>
      <c r="F312" s="5" t="inlineStr"/>
      <c r="G312" s="5" t="inlineStr">
        <is>
          <t>Off-Licence</t>
        </is>
      </c>
      <c r="H312" s="5" t="inlineStr">
        <is>
          <t>Off-licence / wines &amp; spirits</t>
        </is>
      </c>
      <c r="I312" s="5" t="inlineStr">
        <is>
          <t>Independent</t>
        </is>
      </c>
      <c r="J312" s="5" t="inlineStr">
        <is>
          <t>1</t>
        </is>
      </c>
      <c r="K312" s="5" t="inlineStr"/>
      <c r="L312" s="5" t="inlineStr"/>
      <c r="M312" s="5" t="inlineStr"/>
      <c r="N312" s="5" t="inlineStr"/>
      <c r="O312" s="5" t="inlineStr">
        <is>
          <t>122 Oakfield Road</t>
        </is>
      </c>
      <c r="P312" s="5" t="inlineStr">
        <is>
          <t>Anfield</t>
        </is>
      </c>
      <c r="Q312" s="5" t="inlineStr">
        <is>
          <t>Liverpool</t>
        </is>
      </c>
      <c r="R312" s="5" t="inlineStr">
        <is>
          <t>Merseyside</t>
        </is>
      </c>
      <c r="S312" s="5" t="inlineStr">
        <is>
          <t>L4 0UQ</t>
        </is>
      </c>
      <c r="T312" s="5" t="inlineStr">
        <is>
          <t>North West</t>
        </is>
      </c>
      <c r="U312" s="5" t="inlineStr">
        <is>
          <t>England</t>
        </is>
      </c>
      <c r="V312" s="5" t="inlineStr">
        <is>
          <t>0151 263 3113</t>
        </is>
      </c>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wines; beers; spirits</t>
        </is>
      </c>
      <c r="AL312" s="5" t="inlineStr"/>
      <c r="AM312" s="5" t="inlineStr">
        <is>
          <t>Off-Licence</t>
        </is>
      </c>
      <c r="AN312" s="5" t="inlineStr"/>
      <c r="AO312" s="5" t="inlineStr">
        <is>
          <t>Independent off-licence on Oakfield Road, Anfield (L4).</t>
        </is>
      </c>
      <c r="AP312" s="5" t="inlineStr">
        <is>
          <t>Low</t>
        </is>
      </c>
      <c r="AQ312" s="5" t="inlineStr">
        <is>
          <t>Independent retailer; Relevant category</t>
        </is>
      </c>
      <c r="AR312" s="5" t="inlineStr">
        <is>
          <t>https://anfield.cylex-uk.co.uk/off-licence.html</t>
        </is>
      </c>
      <c r="AS312" s="5" t="inlineStr"/>
      <c r="AT312" s="5" t="inlineStr">
        <is>
          <t>1</t>
        </is>
      </c>
      <c r="AU312" s="5" t="inlineStr">
        <is>
          <t>No</t>
        </is>
      </c>
      <c r="AV312" s="5" t="inlineStr">
        <is>
          <t>No</t>
        </is>
      </c>
      <c r="AW312" s="5" t="inlineStr">
        <is>
          <t>No</t>
        </is>
      </c>
      <c r="AX312" s="5" t="inlineStr">
        <is>
          <t>No</t>
        </is>
      </c>
      <c r="AY312" s="5" t="inlineStr">
        <is>
          <t>Verified directory</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2026-09-17</t>
        </is>
      </c>
      <c r="BJ312" s="5" t="inlineStr">
        <is>
          <t>New</t>
        </is>
      </c>
      <c r="BK312" s="5" t="inlineStr">
        <is>
          <t>2026-09-17</t>
        </is>
      </c>
      <c r="BL312" s="5" t="inlineStr"/>
      <c r="BM312" s="5" t="inlineStr"/>
      <c r="BN312" s="5" t="inlineStr"/>
      <c r="BO312" s="5" t="inlineStr"/>
      <c r="BP312" s="5" t="inlineStr"/>
      <c r="BQ312" s="5" t="inlineStr"/>
    </row>
    <row r="313">
      <c r="A313" s="10" t="inlineStr">
        <is>
          <t>UK-000587</t>
        </is>
      </c>
      <c r="B313" s="10" t="inlineStr">
        <is>
          <t>UK-000587-01</t>
        </is>
      </c>
      <c r="C313" s="10" t="inlineStr"/>
      <c r="D313" s="10" t="inlineStr">
        <is>
          <t>Bow Off Licence</t>
        </is>
      </c>
      <c r="E313" s="10" t="inlineStr">
        <is>
          <t>Bow Off Licence</t>
        </is>
      </c>
      <c r="F313" s="10" t="inlineStr"/>
      <c r="G313" s="10" t="inlineStr">
        <is>
          <t>Off-Licence</t>
        </is>
      </c>
      <c r="H313" s="10" t="inlineStr">
        <is>
          <t>Off-licence</t>
        </is>
      </c>
      <c r="I313" s="10" t="inlineStr">
        <is>
          <t>Independent</t>
        </is>
      </c>
      <c r="J313" s="10" t="inlineStr">
        <is>
          <t>1</t>
        </is>
      </c>
      <c r="K313" s="10" t="inlineStr"/>
      <c r="L313" s="10" t="inlineStr"/>
      <c r="M313" s="10" t="inlineStr"/>
      <c r="N313" s="10" t="inlineStr"/>
      <c r="O313" s="10" t="inlineStr">
        <is>
          <t>214 Devons Road</t>
        </is>
      </c>
      <c r="P313" s="10" t="inlineStr"/>
      <c r="Q313" s="10" t="inlineStr">
        <is>
          <t>Bow</t>
        </is>
      </c>
      <c r="R313" s="10" t="inlineStr">
        <is>
          <t>Greater London</t>
        </is>
      </c>
      <c r="S313" s="10" t="inlineStr">
        <is>
          <t>E3 3PN</t>
        </is>
      </c>
      <c r="T313" s="10" t="inlineStr">
        <is>
          <t>London</t>
        </is>
      </c>
      <c r="U313" s="10" t="inlineStr">
        <is>
          <t>England</t>
        </is>
      </c>
      <c r="V313" s="10" t="inlineStr">
        <is>
          <t>020 7538 4695</t>
        </is>
      </c>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alcohol; tobacco; groceries</t>
        </is>
      </c>
      <c r="AL313" s="10" t="inlineStr"/>
      <c r="AM313" s="10" t="inlineStr">
        <is>
          <t>Off-Licence</t>
        </is>
      </c>
      <c r="AN313" s="10" t="inlineStr"/>
      <c r="AO313" s="10" t="inlineStr">
        <is>
          <t>Off-licence on Devons Road, Bow. Address/postcode/phone from 192.com / Yell directory.</t>
        </is>
      </c>
      <c r="AP313" s="10" t="inlineStr">
        <is>
          <t>Low</t>
        </is>
      </c>
      <c r="AQ313" s="10" t="inlineStr">
        <is>
          <t>Independent retailer; Relevant category</t>
        </is>
      </c>
      <c r="AR313" s="10" t="inlineStr">
        <is>
          <t>https://www.yell.com/s/off+licences-bethnal+green-east+london.html</t>
        </is>
      </c>
      <c r="AS313" s="10" t="inlineStr"/>
      <c r="AT313" s="10" t="inlineStr">
        <is>
          <t>1</t>
        </is>
      </c>
      <c r="AU313" s="10" t="inlineStr">
        <is>
          <t>No</t>
        </is>
      </c>
      <c r="AV313" s="10" t="inlineStr">
        <is>
          <t>No</t>
        </is>
      </c>
      <c r="AW313" s="10" t="inlineStr">
        <is>
          <t>No</t>
        </is>
      </c>
      <c r="AX313" s="10" t="inlineStr">
        <is>
          <t>No</t>
        </is>
      </c>
      <c r="AY313" s="10" t="inlineStr">
        <is>
          <t>Verified directory</t>
        </is>
      </c>
      <c r="AZ313" s="10" t="inlineStr">
        <is>
          <t>Not Found</t>
        </is>
      </c>
      <c r="BA313" s="10" t="inlineStr">
        <is>
          <t>2026-09-17</t>
        </is>
      </c>
      <c r="BB313" s="10" t="inlineStr">
        <is>
          <t>Requires Verification</t>
        </is>
      </c>
      <c r="BC313" s="10" t="inlineStr">
        <is>
          <t>Medium</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UK-000348</t>
        </is>
      </c>
      <c r="B314" s="5" t="inlineStr">
        <is>
          <t>UK-000348-01</t>
        </is>
      </c>
      <c r="C314" s="5" t="inlineStr"/>
      <c r="D314" s="5" t="inlineStr">
        <is>
          <t>Bradshawgate News &amp; Off Licence</t>
        </is>
      </c>
      <c r="E314" s="5" t="inlineStr">
        <is>
          <t>Bradshawgate News &amp; Off Licence</t>
        </is>
      </c>
      <c r="F314" s="5" t="inlineStr"/>
      <c r="G314" s="5" t="inlineStr">
        <is>
          <t>Off-Licence</t>
        </is>
      </c>
      <c r="H314" s="5" t="inlineStr">
        <is>
          <t>Newsagent and off-licence</t>
        </is>
      </c>
      <c r="I314" s="5" t="inlineStr">
        <is>
          <t>Independent</t>
        </is>
      </c>
      <c r="J314" s="5" t="inlineStr">
        <is>
          <t>1</t>
        </is>
      </c>
      <c r="K314" s="5" t="inlineStr"/>
      <c r="L314" s="5" t="inlineStr"/>
      <c r="M314" s="5" t="inlineStr"/>
      <c r="N314" s="5" t="inlineStr"/>
      <c r="O314" s="5" t="inlineStr">
        <is>
          <t>88 London Road</t>
        </is>
      </c>
      <c r="P314" s="5" t="inlineStr"/>
      <c r="Q314" s="5" t="inlineStr">
        <is>
          <t>Bolton</t>
        </is>
      </c>
      <c r="R314" s="5" t="inlineStr">
        <is>
          <t>Greater Manchester</t>
        </is>
      </c>
      <c r="S314" s="5" t="inlineStr">
        <is>
          <t>BL1 1QQ</t>
        </is>
      </c>
      <c r="T314" s="5" t="inlineStr">
        <is>
          <t>North West</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news; tobacco; beer; wine; spirits; convenience</t>
        </is>
      </c>
      <c r="AL314" s="5" t="inlineStr"/>
      <c r="AM314" s="5" t="inlineStr">
        <is>
          <t>Off-Licence</t>
        </is>
      </c>
      <c r="AN314" s="5" t="inlineStr"/>
      <c r="AO314" s="5" t="inlineStr">
        <is>
          <t>Independent combined newsagent and off-licence, London Road, Bolton (BL1 1QQ). Note the London Road/BL1 1QQ pairing per Yell listing may need on-the-ground verification.</t>
        </is>
      </c>
      <c r="AP314" s="5" t="inlineStr">
        <is>
          <t>Low</t>
        </is>
      </c>
      <c r="AQ314" s="5" t="inlineStr">
        <is>
          <t>Independent retailer; Relevant category</t>
        </is>
      </c>
      <c r="AR314" s="5" t="inlineStr">
        <is>
          <t>https://www.yell.com/biz/bradshawgate-news-and-off-licence-bolton-8206606/</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WY-0069</t>
        </is>
      </c>
      <c r="B315" s="10" t="inlineStr">
        <is>
          <t>WY-0069-01</t>
        </is>
      </c>
      <c r="C315" s="10" t="inlineStr"/>
      <c r="D315" s="10" t="inlineStr">
        <is>
          <t>Bridge Off Licence Convenience Store</t>
        </is>
      </c>
      <c r="E315" s="10" t="inlineStr">
        <is>
          <t>Bridge Off Licence Convenience Store</t>
        </is>
      </c>
      <c r="F315" s="10" t="inlineStr"/>
      <c r="G315" s="10" t="inlineStr">
        <is>
          <t>Off-Licence</t>
        </is>
      </c>
      <c r="H315" s="10" t="inlineStr">
        <is>
          <t>Off-licence and convenience store</t>
        </is>
      </c>
      <c r="I315" s="10" t="inlineStr">
        <is>
          <t>Independent</t>
        </is>
      </c>
      <c r="J315" s="10" t="inlineStr">
        <is>
          <t>1</t>
        </is>
      </c>
      <c r="K315" s="10" t="inlineStr"/>
      <c r="L315" s="10" t="inlineStr"/>
      <c r="M315" s="10" t="inlineStr"/>
      <c r="N315" s="10" t="inlineStr"/>
      <c r="O315" s="10" t="inlineStr"/>
      <c r="P315" s="10" t="inlineStr"/>
      <c r="Q315" s="10" t="inlineStr">
        <is>
          <t>Sowerby Bridge</t>
        </is>
      </c>
      <c r="R315" s="10" t="inlineStr">
        <is>
          <t>West Yorkshire</t>
        </is>
      </c>
      <c r="S315" s="10" t="inlineStr"/>
      <c r="T315" s="10" t="inlineStr">
        <is>
          <t>Yorkshire &amp; Humber</t>
        </is>
      </c>
      <c r="U315" s="10" t="inlineStr">
        <is>
          <t>England</t>
        </is>
      </c>
      <c r="V315" s="10" t="inlineStr"/>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beers, wines and spirits; convenience</t>
        </is>
      </c>
      <c r="AL315" s="10" t="inlineStr"/>
      <c r="AM315" s="10" t="inlineStr">
        <is>
          <t>Off-Licence</t>
        </is>
      </c>
      <c r="AN315" s="10" t="inlineStr"/>
      <c r="AO315" s="10" t="inlineStr">
        <is>
          <t>Street address not published in the directory listing found.</t>
        </is>
      </c>
      <c r="AP315" s="10" t="inlineStr">
        <is>
          <t>Low</t>
        </is>
      </c>
      <c r="AQ315" s="10" t="inlineStr">
        <is>
          <t>Independent retailer; Relevant category</t>
        </is>
      </c>
      <c r="AR315" s="10" t="inlineStr">
        <is>
          <t>https://www.yorkshire.com/sowerby-bridge/shopping/off-license/bridge-off-licence-convenience-store</t>
        </is>
      </c>
      <c r="AS315" s="10" t="inlineStr"/>
      <c r="AT315" s="10" t="inlineStr">
        <is>
          <t>1</t>
        </is>
      </c>
      <c r="AU315" s="10" t="inlineStr">
        <is>
          <t>No</t>
        </is>
      </c>
      <c r="AV315" s="10" t="inlineStr">
        <is>
          <t>No</t>
        </is>
      </c>
      <c r="AW315" s="10" t="inlineStr">
        <is>
          <t>No</t>
        </is>
      </c>
      <c r="AX315" s="10" t="inlineStr">
        <is>
          <t>No</t>
        </is>
      </c>
      <c r="AY315" s="10" t="inlineStr">
        <is>
          <t>Not Found</t>
        </is>
      </c>
      <c r="AZ315" s="10" t="inlineStr">
        <is>
          <t>Not Found</t>
        </is>
      </c>
      <c r="BA315" s="10" t="inlineStr">
        <is>
          <t>2026-09-17</t>
        </is>
      </c>
      <c r="BB315" s="10" t="inlineStr">
        <is>
          <t>Requires Verification</t>
        </is>
      </c>
      <c r="BC315" s="10" t="inlineStr">
        <is>
          <t>Low</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2026-09-16</t>
        </is>
      </c>
      <c r="BJ315" s="10" t="inlineStr">
        <is>
          <t>New</t>
        </is>
      </c>
      <c r="BK315" s="10" t="inlineStr">
        <is>
          <t>2026-09-17</t>
        </is>
      </c>
      <c r="BL315" s="10" t="inlineStr"/>
      <c r="BM315" s="10" t="inlineStr"/>
      <c r="BN315" s="10" t="inlineStr"/>
      <c r="BO315" s="10" t="inlineStr"/>
      <c r="BP315" s="10" t="inlineStr"/>
      <c r="BQ315" s="10" t="inlineStr"/>
    </row>
    <row r="316">
      <c r="A316" s="5" t="inlineStr">
        <is>
          <t>WY-0070</t>
        </is>
      </c>
      <c r="B316" s="5" t="inlineStr">
        <is>
          <t>WY-0070-01</t>
        </is>
      </c>
      <c r="C316" s="5" t="inlineStr"/>
      <c r="D316" s="5" t="inlineStr">
        <is>
          <t>Brooks News</t>
        </is>
      </c>
      <c r="E316" s="5" t="inlineStr">
        <is>
          <t>Brooks News</t>
        </is>
      </c>
      <c r="F316" s="5" t="inlineStr"/>
      <c r="G316" s="5" t="inlineStr">
        <is>
          <t>Newsagent</t>
        </is>
      </c>
      <c r="H316" s="5" t="inlineStr"/>
      <c r="I316" s="5" t="inlineStr">
        <is>
          <t>Independent</t>
        </is>
      </c>
      <c r="J316" s="5" t="inlineStr">
        <is>
          <t>1</t>
        </is>
      </c>
      <c r="K316" s="5" t="inlineStr"/>
      <c r="L316" s="5" t="inlineStr"/>
      <c r="M316" s="5" t="inlineStr"/>
      <c r="N316" s="5" t="inlineStr"/>
      <c r="O316" s="5" t="inlineStr">
        <is>
          <t>19 Church Lane</t>
        </is>
      </c>
      <c r="P316" s="5" t="inlineStr"/>
      <c r="Q316" s="5" t="inlineStr">
        <is>
          <t>Pudsey</t>
        </is>
      </c>
      <c r="R316" s="5" t="inlineStr">
        <is>
          <t>West Yorkshire</t>
        </is>
      </c>
      <c r="S316" s="5" t="inlineStr">
        <is>
          <t>LS28 7LD</t>
        </is>
      </c>
      <c r="T316" s="5" t="inlineStr">
        <is>
          <t>Yorkshire &amp; Humber</t>
        </is>
      </c>
      <c r="U316" s="5" t="inlineStr">
        <is>
          <t>England</t>
        </is>
      </c>
      <c r="V316" s="5" t="inlineStr">
        <is>
          <t>0113 257 3382</t>
        </is>
      </c>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c r="AK316" s="5" t="inlineStr">
        <is>
          <t>newspapers; magazines; confectionery; tobacco</t>
        </is>
      </c>
      <c r="AL316" s="5" t="inlineStr"/>
      <c r="AM316" s="5" t="inlineStr">
        <is>
          <t>Newsagent</t>
        </is>
      </c>
      <c r="AN316" s="5" t="inlineStr"/>
      <c r="AO316" s="5" t="inlineStr"/>
      <c r="AP316" s="5" t="inlineStr">
        <is>
          <t>Low</t>
        </is>
      </c>
      <c r="AQ316" s="5" t="inlineStr">
        <is>
          <t>Independent retailer; Relevant category</t>
        </is>
      </c>
      <c r="AR316" s="5" t="inlineStr">
        <is>
          <t>https://www.thomsonlocal.com/search/newsagents/morley-west-yorkshire</t>
        </is>
      </c>
      <c r="AS316" s="5" t="inlineStr">
        <is>
          <t>https://findit.yorkshireeveningpost.co.uk/search/leeds/newsagent</t>
        </is>
      </c>
      <c r="AT316" s="5" t="inlineStr">
        <is>
          <t>2</t>
        </is>
      </c>
      <c r="AU316" s="5" t="inlineStr">
        <is>
          <t>No</t>
        </is>
      </c>
      <c r="AV316" s="5" t="inlineStr">
        <is>
          <t>No</t>
        </is>
      </c>
      <c r="AW316" s="5" t="inlineStr">
        <is>
          <t>No</t>
        </is>
      </c>
      <c r="AX316" s="5" t="inlineStr">
        <is>
          <t>No</t>
        </is>
      </c>
      <c r="AY316" s="5" t="inlineStr">
        <is>
          <t>Verified directory</t>
        </is>
      </c>
      <c r="AZ316" s="5" t="inlineStr">
        <is>
          <t>Not Found</t>
        </is>
      </c>
      <c r="BA316" s="5" t="inlineStr">
        <is>
          <t>2026-09-17</t>
        </is>
      </c>
      <c r="BB316" s="5" t="inlineStr">
        <is>
          <t>Requires Verification</t>
        </is>
      </c>
      <c r="BC316" s="5" t="inlineStr">
        <is>
          <t>Medium</t>
        </is>
      </c>
      <c r="BD316" s="5" t="inlineStr"/>
      <c r="BE316" s="5" t="inlineStr">
        <is>
          <t>Business (B2B)</t>
        </is>
      </c>
      <c r="BF316" s="5" t="inlineStr">
        <is>
          <t>Legitimate interest (B2B) - assess per campaign; PECR: corporate subscribers</t>
        </is>
      </c>
      <c r="BG316" s="5" t="inlineStr"/>
      <c r="BH316" s="5" t="inlineStr">
        <is>
          <t>No</t>
        </is>
      </c>
      <c r="BI316" s="5" t="inlineStr">
        <is>
          <t>2026-09-16</t>
        </is>
      </c>
      <c r="BJ316" s="5" t="inlineStr">
        <is>
          <t>New</t>
        </is>
      </c>
      <c r="BK316" s="5" t="inlineStr">
        <is>
          <t>2026-09-17</t>
        </is>
      </c>
      <c r="BL316" s="5" t="inlineStr"/>
      <c r="BM316" s="5" t="inlineStr"/>
      <c r="BN316" s="5" t="inlineStr"/>
      <c r="BO316" s="5" t="inlineStr"/>
      <c r="BP316" s="5" t="inlineStr"/>
      <c r="BQ316" s="5" t="inlineStr"/>
    </row>
    <row r="317">
      <c r="A317" s="10" t="inlineStr">
        <is>
          <t>UK-000759</t>
        </is>
      </c>
      <c r="B317" s="10" t="inlineStr">
        <is>
          <t>UK-000759-01</t>
        </is>
      </c>
      <c r="C317" s="10" t="inlineStr"/>
      <c r="D317" s="10" t="inlineStr">
        <is>
          <t>Brothers Vape Store</t>
        </is>
      </c>
      <c r="E317" s="10" t="inlineStr">
        <is>
          <t>Brothers Vape Store</t>
        </is>
      </c>
      <c r="F317" s="10" t="inlineStr">
        <is>
          <t>BROTHERS VAPE STORE LTD</t>
        </is>
      </c>
      <c r="G317" s="10" t="inlineStr">
        <is>
          <t>Vape Shop</t>
        </is>
      </c>
      <c r="H317" s="10" t="inlineStr">
        <is>
          <t>Independent vape retailer</t>
        </is>
      </c>
      <c r="I317" s="10" t="inlineStr">
        <is>
          <t>Independent</t>
        </is>
      </c>
      <c r="J317" s="10" t="inlineStr">
        <is>
          <t>1</t>
        </is>
      </c>
      <c r="K317" s="10" t="inlineStr">
        <is>
          <t>https://www.brothersvapestore.co.uk/</t>
        </is>
      </c>
      <c r="L317" s="10" t="inlineStr">
        <is>
          <t>https://www.facebook.com/Brothers.Vape.Store/</t>
        </is>
      </c>
      <c r="M317" s="10" t="inlineStr"/>
      <c r="N317" s="10" t="inlineStr"/>
      <c r="O317" s="10" t="inlineStr">
        <is>
          <t>410 Clock Face Road</t>
        </is>
      </c>
      <c r="P317" s="10" t="inlineStr">
        <is>
          <t>Clock Face</t>
        </is>
      </c>
      <c r="Q317" s="10" t="inlineStr">
        <is>
          <t>St Helens</t>
        </is>
      </c>
      <c r="R317" s="10" t="inlineStr">
        <is>
          <t>Merseyside</t>
        </is>
      </c>
      <c r="S317" s="10" t="inlineStr">
        <is>
          <t>WA9 4QS</t>
        </is>
      </c>
      <c r="T317" s="10" t="inlineStr">
        <is>
          <t>North West</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is>
          <t>14550614</t>
        </is>
      </c>
      <c r="AF317" s="10" t="inlineStr">
        <is>
          <t>Active</t>
        </is>
      </c>
      <c r="AG317" s="10" t="inlineStr">
        <is>
          <t>BROTHERS VAPE STORE LTD</t>
        </is>
      </c>
      <c r="AH317" s="10" t="inlineStr"/>
      <c r="AI317" s="10" t="inlineStr">
        <is>
          <t>2022-12-20</t>
        </is>
      </c>
      <c r="AJ317" s="10" t="inlineStr"/>
      <c r="AK317" s="10" t="inlineStr">
        <is>
          <t>vape kits; mods; pod systems; e-liquids</t>
        </is>
      </c>
      <c r="AL317" s="10" t="inlineStr"/>
      <c r="AM317" s="10" t="inlineStr">
        <is>
          <t>Vape Shop</t>
        </is>
      </c>
      <c r="AN317" s="10" t="inlineStr"/>
      <c r="AO317" s="10" t="inlineStr">
        <is>
          <t>Family-run independent vape retailer with shopfront and online store. Companies House confirms BROTHERS VAPE STORE LTD (14550614), incorporated 20 Dec 2022. Address from own About page/Companies House; no phone/email in snippets.</t>
        </is>
      </c>
      <c r="AP317" s="10" t="inlineStr">
        <is>
          <t>Medium</t>
        </is>
      </c>
      <c r="AQ317" s="10" t="inlineStr">
        <is>
          <t>Independent retailer; Core relevant category; Active website; Social presence</t>
        </is>
      </c>
      <c r="AR317" s="10" t="inlineStr">
        <is>
          <t>https://www.brothersvapestore.co.uk/about-us/</t>
        </is>
      </c>
      <c r="AS317" s="10" t="inlineStr">
        <is>
          <t>https://find-and-update.company-information.service.gov.uk/company/14550614</t>
        </is>
      </c>
      <c r="AT317" s="10" t="inlineStr">
        <is>
          <t>2</t>
        </is>
      </c>
      <c r="AU317" s="10" t="inlineStr">
        <is>
          <t>No</t>
        </is>
      </c>
      <c r="AV317" s="10" t="inlineStr">
        <is>
          <t>No</t>
        </is>
      </c>
      <c r="AW317" s="10" t="inlineStr">
        <is>
          <t>No</t>
        </is>
      </c>
      <c r="AX317" s="10" t="inlineStr">
        <is>
          <t>No</t>
        </is>
      </c>
      <c r="AY317" s="10" t="inlineStr">
        <is>
          <t>Not Found</t>
        </is>
      </c>
      <c r="AZ317" s="10" t="inlineStr">
        <is>
          <t>Website Found</t>
        </is>
      </c>
      <c r="BA317" s="10" t="inlineStr">
        <is>
          <t>2026-09-17</t>
        </is>
      </c>
      <c r="BB317" s="10" t="inlineStr">
        <is>
          <t>Requires Verification</t>
        </is>
      </c>
      <c r="BC317" s="10" t="inlineStr">
        <is>
          <t>High</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2026-09-17</t>
        </is>
      </c>
      <c r="BJ317" s="10" t="inlineStr">
        <is>
          <t>New</t>
        </is>
      </c>
      <c r="BK317" s="10" t="inlineStr">
        <is>
          <t>2026-09-17</t>
        </is>
      </c>
      <c r="BL317" s="10" t="inlineStr"/>
      <c r="BM317" s="10" t="inlineStr"/>
      <c r="BN317" s="10" t="inlineStr"/>
      <c r="BO317" s="10" t="inlineStr"/>
      <c r="BP317" s="10" t="inlineStr"/>
      <c r="BQ317" s="10" t="inlineStr"/>
    </row>
    <row r="318">
      <c r="A318" s="5" t="inlineStr">
        <is>
          <t>UK-000760</t>
        </is>
      </c>
      <c r="B318" s="5" t="inlineStr">
        <is>
          <t>UK-000760-01</t>
        </is>
      </c>
      <c r="C318" s="5" t="inlineStr"/>
      <c r="D318" s="5" t="inlineStr">
        <is>
          <t>Bruntsfield News</t>
        </is>
      </c>
      <c r="E318" s="5" t="inlineStr">
        <is>
          <t>Bruntsfield News</t>
        </is>
      </c>
      <c r="F318" s="5" t="inlineStr"/>
      <c r="G318" s="5" t="inlineStr">
        <is>
          <t>Newsagent</t>
        </is>
      </c>
      <c r="H318" s="5" t="inlineStr">
        <is>
          <t>Newsagent &amp; convenience</t>
        </is>
      </c>
      <c r="I318" s="5" t="inlineStr">
        <is>
          <t>Independent</t>
        </is>
      </c>
      <c r="J318" s="5" t="inlineStr">
        <is>
          <t>1</t>
        </is>
      </c>
      <c r="K318" s="5" t="inlineStr"/>
      <c r="L318" s="5" t="inlineStr"/>
      <c r="M318" s="5" t="inlineStr"/>
      <c r="N318" s="5" t="inlineStr"/>
      <c r="O318" s="5" t="inlineStr">
        <is>
          <t>115 Bruntsfield Place</t>
        </is>
      </c>
      <c r="P318" s="5" t="inlineStr"/>
      <c r="Q318" s="5" t="inlineStr">
        <is>
          <t>Edinburgh</t>
        </is>
      </c>
      <c r="R318" s="5" t="inlineStr">
        <is>
          <t>City of Edinburgh</t>
        </is>
      </c>
      <c r="S318" s="5" t="inlineStr">
        <is>
          <t>EH10 4EQ</t>
        </is>
      </c>
      <c r="T318" s="5" t="inlineStr">
        <is>
          <t>Scotland</t>
        </is>
      </c>
      <c r="U318" s="5" t="inlineStr">
        <is>
          <t>Scotland</t>
        </is>
      </c>
      <c r="V318" s="5" t="inlineStr">
        <is>
          <t>0131 229 3836</t>
        </is>
      </c>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newspapers; confectionery; tobacco; convenience</t>
        </is>
      </c>
      <c r="AL318" s="5" t="inlineStr"/>
      <c r="AM318" s="5" t="inlineStr">
        <is>
          <t>Newsagent</t>
        </is>
      </c>
      <c r="AN318" s="5" t="inlineStr"/>
      <c r="AO318" s="5" t="inlineStr">
        <is>
          <t>Independent newsagent in Bruntsfield. Details from Yell/Cylex snippet.</t>
        </is>
      </c>
      <c r="AP318" s="5" t="inlineStr">
        <is>
          <t>Low</t>
        </is>
      </c>
      <c r="AQ318" s="5" t="inlineStr">
        <is>
          <t>Independent retailer; Relevant category</t>
        </is>
      </c>
      <c r="AR318" s="5" t="inlineStr">
        <is>
          <t>https://www.yell.com/biz/bruntsfield-news-edinburgh-7919327/</t>
        </is>
      </c>
      <c r="AS318" s="5" t="inlineStr"/>
      <c r="AT318" s="5" t="inlineStr">
        <is>
          <t>1</t>
        </is>
      </c>
      <c r="AU318" s="5" t="inlineStr">
        <is>
          <t>No</t>
        </is>
      </c>
      <c r="AV318" s="5" t="inlineStr">
        <is>
          <t>No</t>
        </is>
      </c>
      <c r="AW318" s="5" t="inlineStr">
        <is>
          <t>No</t>
        </is>
      </c>
      <c r="AX318" s="5" t="inlineStr">
        <is>
          <t>No</t>
        </is>
      </c>
      <c r="AY318" s="5" t="inlineStr">
        <is>
          <t>Verified directory</t>
        </is>
      </c>
      <c r="AZ318" s="5" t="inlineStr">
        <is>
          <t>Not Found</t>
        </is>
      </c>
      <c r="BA318" s="5" t="inlineStr">
        <is>
          <t>2026-09-17</t>
        </is>
      </c>
      <c r="BB318" s="5" t="inlineStr">
        <is>
          <t>Requires Verification</t>
        </is>
      </c>
      <c r="BC318" s="5" t="inlineStr">
        <is>
          <t>Medium</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WY-0071</t>
        </is>
      </c>
      <c r="B319" s="10" t="inlineStr">
        <is>
          <t>WY-0071-01</t>
        </is>
      </c>
      <c r="C319" s="10" t="inlineStr"/>
      <c r="D319" s="10" t="inlineStr">
        <is>
          <t>C Booth and Son</t>
        </is>
      </c>
      <c r="E319" s="10" t="inlineStr">
        <is>
          <t>C Booth and Son</t>
        </is>
      </c>
      <c r="F319" s="10" t="inlineStr"/>
      <c r="G319" s="10" t="inlineStr">
        <is>
          <t>Tobacco Specialist</t>
        </is>
      </c>
      <c r="H319" s="10" t="inlineStr">
        <is>
          <t>Hardware store and specialist tobacconist</t>
        </is>
      </c>
      <c r="I319" s="10" t="inlineStr">
        <is>
          <t>Independent</t>
        </is>
      </c>
      <c r="J319" s="10" t="inlineStr">
        <is>
          <t>1</t>
        </is>
      </c>
      <c r="K319" s="10" t="inlineStr"/>
      <c r="L319" s="10" t="inlineStr"/>
      <c r="M319" s="10" t="inlineStr"/>
      <c r="N319" s="10" t="inlineStr"/>
      <c r="O319" s="10" t="inlineStr">
        <is>
          <t>Cross Church Street</t>
        </is>
      </c>
      <c r="P319" s="10" t="inlineStr">
        <is>
          <t>Town Centre</t>
        </is>
      </c>
      <c r="Q319" s="10" t="inlineStr">
        <is>
          <t>Huddersfield</t>
        </is>
      </c>
      <c r="R319" s="10" t="inlineStr">
        <is>
          <t>West Yorkshire</t>
        </is>
      </c>
      <c r="S319" s="10" t="inlineStr"/>
      <c r="T319" s="10" t="inlineStr">
        <is>
          <t>Yorkshire &amp; Humber</t>
        </is>
      </c>
      <c r="U319" s="10" t="inlineStr">
        <is>
          <t>England</t>
        </is>
      </c>
      <c r="V319" s="10" t="inlineStr"/>
      <c r="W319" s="10" t="inlineStr"/>
      <c r="X319" s="10" t="inlineStr"/>
      <c r="Y319" s="10" t="inlineStr"/>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pipe tobacco; hand-rolling tobacco; cigars; hardware and household goods</t>
        </is>
      </c>
      <c r="AL319" s="10" t="inlineStr"/>
      <c r="AM319" s="10" t="inlineStr">
        <is>
          <t>Tobacco Specialist</t>
        </is>
      </c>
      <c r="AN319" s="10" t="inlineStr"/>
      <c r="AO319" s="10" t="inlineStr">
        <is>
          <t>150+ year old family shop, described in press coverage as the only specialist tobacconist in Huddersfield; sells pipe and hand-rolling tobacco and cigars alongside hardware.</t>
        </is>
      </c>
      <c r="AP319" s="10" t="inlineStr">
        <is>
          <t>Medium</t>
        </is>
      </c>
      <c r="AQ319" s="10" t="inlineStr">
        <is>
          <t>Independent retailer; Core relevant category</t>
        </is>
      </c>
      <c r="AR319" s="10" t="inlineStr">
        <is>
          <t>https://www.examinerlive.co.uk/news/west-yorkshire-news/the-shop-sells-everything-c-9967957</t>
        </is>
      </c>
      <c r="AS319" s="10" t="inlineStr"/>
      <c r="AT319" s="10" t="inlineStr">
        <is>
          <t>1</t>
        </is>
      </c>
      <c r="AU319" s="10" t="inlineStr">
        <is>
          <t>No</t>
        </is>
      </c>
      <c r="AV319" s="10" t="inlineStr">
        <is>
          <t>No</t>
        </is>
      </c>
      <c r="AW319" s="10" t="inlineStr">
        <is>
          <t>No</t>
        </is>
      </c>
      <c r="AX319" s="10" t="inlineStr">
        <is>
          <t>No</t>
        </is>
      </c>
      <c r="AY319" s="10" t="inlineStr">
        <is>
          <t>Not Found</t>
        </is>
      </c>
      <c r="AZ319" s="10" t="inlineStr">
        <is>
          <t>Not Found</t>
        </is>
      </c>
      <c r="BA319" s="10" t="inlineStr">
        <is>
          <t>2026-09-17</t>
        </is>
      </c>
      <c r="BB319" s="10" t="inlineStr">
        <is>
          <t>Requires Verification</t>
        </is>
      </c>
      <c r="BC319" s="10" t="inlineStr">
        <is>
          <t>Low</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2026-09-16</t>
        </is>
      </c>
      <c r="BJ319" s="10" t="inlineStr">
        <is>
          <t>New</t>
        </is>
      </c>
      <c r="BK319" s="10" t="inlineStr">
        <is>
          <t>2026-09-17</t>
        </is>
      </c>
      <c r="BL319" s="10" t="inlineStr"/>
      <c r="BM319" s="10" t="inlineStr"/>
      <c r="BN319" s="10" t="inlineStr"/>
      <c r="BO319" s="10" t="inlineStr"/>
      <c r="BP319" s="10" t="inlineStr"/>
      <c r="BQ319" s="10" t="inlineStr"/>
    </row>
    <row r="320">
      <c r="A320" s="5" t="inlineStr">
        <is>
          <t>UK-000588</t>
        </is>
      </c>
      <c r="B320" s="5" t="inlineStr">
        <is>
          <t>UK-000588-01</t>
        </is>
      </c>
      <c r="C320" s="5" t="inlineStr"/>
      <c r="D320" s="5" t="inlineStr">
        <is>
          <t>C H Stores Ltd</t>
        </is>
      </c>
      <c r="E320" s="5" t="inlineStr">
        <is>
          <t>C H Stores</t>
        </is>
      </c>
      <c r="F320" s="5" t="inlineStr"/>
      <c r="G320" s="5" t="inlineStr">
        <is>
          <t>Convenience Store</t>
        </is>
      </c>
      <c r="H320" s="5" t="inlineStr">
        <is>
          <t>Convenience store</t>
        </is>
      </c>
      <c r="I320" s="5" t="inlineStr">
        <is>
          <t>Independent</t>
        </is>
      </c>
      <c r="J320" s="5" t="inlineStr">
        <is>
          <t>1</t>
        </is>
      </c>
      <c r="K320" s="5" t="inlineStr"/>
      <c r="L320" s="5" t="inlineStr"/>
      <c r="M320" s="5" t="inlineStr"/>
      <c r="N320" s="5" t="inlineStr"/>
      <c r="O320" s="5" t="inlineStr"/>
      <c r="P320" s="5" t="inlineStr"/>
      <c r="Q320" s="5" t="inlineStr">
        <is>
          <t>Bethnal Green</t>
        </is>
      </c>
      <c r="R320" s="5" t="inlineStr">
        <is>
          <t>Greater London</t>
        </is>
      </c>
      <c r="S320" s="5" t="inlineStr">
        <is>
          <t>E2 9RA</t>
        </is>
      </c>
      <c r="T320" s="5" t="inlineStr">
        <is>
          <t>London</t>
        </is>
      </c>
      <c r="U320" s="5" t="inlineStr">
        <is>
          <t>England</t>
        </is>
      </c>
      <c r="V320" s="5" t="inlineStr"/>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groceries; confectionery; tobacco</t>
        </is>
      </c>
      <c r="AL320" s="5" t="inlineStr"/>
      <c r="AM320" s="5" t="inlineStr">
        <is>
          <t>Convenience Store</t>
        </is>
      </c>
      <c r="AN320" s="5" t="inlineStr"/>
      <c r="AO320" s="5" t="inlineStr">
        <is>
          <t>Convenience store in Bethnal Green (E2) listed on 192.com. Street address and phone not in accessible snippet.</t>
        </is>
      </c>
      <c r="AP320" s="5" t="inlineStr">
        <is>
          <t>Low</t>
        </is>
      </c>
      <c r="AQ320" s="5" t="inlineStr">
        <is>
          <t>Independent retailer; Relevant category</t>
        </is>
      </c>
      <c r="AR320" s="5" t="inlineStr">
        <is>
          <t>https://www.192.com/atoz/business/london-e2/convenience-stores/c-h-stores-ltd/c8e825e9e626344689402d87535d7035b6a60db8/comp/</t>
        </is>
      </c>
      <c r="AS320" s="5" t="inlineStr"/>
      <c r="AT320" s="5" t="inlineStr">
        <is>
          <t>1</t>
        </is>
      </c>
      <c r="AU320" s="5" t="inlineStr">
        <is>
          <t>No</t>
        </is>
      </c>
      <c r="AV320" s="5" t="inlineStr">
        <is>
          <t>No</t>
        </is>
      </c>
      <c r="AW320" s="5" t="inlineStr">
        <is>
          <t>No</t>
        </is>
      </c>
      <c r="AX320" s="5" t="inlineStr">
        <is>
          <t>No</t>
        </is>
      </c>
      <c r="AY320" s="5" t="inlineStr">
        <is>
          <t>Not Found</t>
        </is>
      </c>
      <c r="AZ320" s="5" t="inlineStr">
        <is>
          <t>Not Found</t>
        </is>
      </c>
      <c r="BA320" s="5" t="inlineStr">
        <is>
          <t>2026-09-17</t>
        </is>
      </c>
      <c r="BB320" s="5" t="inlineStr">
        <is>
          <t>Requires Verification</t>
        </is>
      </c>
      <c r="BC320" s="5" t="inlineStr">
        <is>
          <t>Low</t>
        </is>
      </c>
      <c r="BD320" s="5" t="inlineStr"/>
      <c r="BE320" s="5" t="inlineStr">
        <is>
          <t>Business (B2B)</t>
        </is>
      </c>
      <c r="BF320" s="5" t="inlineStr">
        <is>
          <t>Legitimate interest (B2B) - assess per campaign; PECR: corporate subscribers</t>
        </is>
      </c>
      <c r="BG320" s="5" t="inlineStr"/>
      <c r="BH320" s="5" t="inlineStr">
        <is>
          <t>No</t>
        </is>
      </c>
      <c r="BI320" s="5" t="inlineStr">
        <is>
          <t>2026-09-17</t>
        </is>
      </c>
      <c r="BJ320" s="5" t="inlineStr">
        <is>
          <t>New</t>
        </is>
      </c>
      <c r="BK320" s="5" t="inlineStr">
        <is>
          <t>2026-09-17</t>
        </is>
      </c>
      <c r="BL320" s="5" t="inlineStr"/>
      <c r="BM320" s="5" t="inlineStr"/>
      <c r="BN320" s="5" t="inlineStr"/>
      <c r="BO320" s="5" t="inlineStr"/>
      <c r="BP320" s="5" t="inlineStr"/>
      <c r="BQ320" s="5" t="inlineStr"/>
    </row>
    <row r="321">
      <c r="A321" s="10" t="inlineStr">
        <is>
          <t>UK-000761</t>
        </is>
      </c>
      <c r="B321" s="10" t="inlineStr">
        <is>
          <t>UK-000761-01</t>
        </is>
      </c>
      <c r="C321" s="10" t="inlineStr"/>
      <c r="D321" s="10" t="inlineStr">
        <is>
          <t>C Hoyton Off Licence</t>
        </is>
      </c>
      <c r="E321" s="10" t="inlineStr">
        <is>
          <t>C Hoyton Off Licence</t>
        </is>
      </c>
      <c r="F321" s="10" t="inlineStr"/>
      <c r="G321" s="10" t="inlineStr">
        <is>
          <t>Off-Licence</t>
        </is>
      </c>
      <c r="H321" s="10" t="inlineStr">
        <is>
          <t>Off-licence</t>
        </is>
      </c>
      <c r="I321" s="10" t="inlineStr">
        <is>
          <t>Independent</t>
        </is>
      </c>
      <c r="J321" s="10" t="inlineStr">
        <is>
          <t>1</t>
        </is>
      </c>
      <c r="K321" s="10" t="inlineStr"/>
      <c r="L321" s="10" t="inlineStr"/>
      <c r="M321" s="10" t="inlineStr"/>
      <c r="N321" s="10" t="inlineStr"/>
      <c r="O321" s="10" t="inlineStr">
        <is>
          <t>64-66 Dunriding Lane</t>
        </is>
      </c>
      <c r="P321" s="10" t="inlineStr"/>
      <c r="Q321" s="10" t="inlineStr">
        <is>
          <t>St Helens</t>
        </is>
      </c>
      <c r="R321" s="10" t="inlineStr">
        <is>
          <t>Merseyside</t>
        </is>
      </c>
      <c r="S321" s="10" t="inlineStr">
        <is>
          <t>WA10 4BB</t>
        </is>
      </c>
      <c r="T321" s="10" t="inlineStr">
        <is>
          <t>North West</t>
        </is>
      </c>
      <c r="U321" s="10" t="inlineStr">
        <is>
          <t>England</t>
        </is>
      </c>
      <c r="V321" s="10" t="inlineStr"/>
      <c r="W321" s="10" t="inlineStr"/>
      <c r="X321" s="10" t="inlineStr"/>
      <c r="Y321" s="10" t="inlineStr"/>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alcohol; groceries; tobacco</t>
        </is>
      </c>
      <c r="AL321" s="10" t="inlineStr"/>
      <c r="AM321" s="10" t="inlineStr">
        <is>
          <t>Off-Licence</t>
        </is>
      </c>
      <c r="AN321" s="10" t="inlineStr"/>
      <c r="AO321" s="10" t="inlineStr">
        <is>
          <t>Independent off-licence, 64-66 Dunriding Lane, St Helens. Address/postcode from 24houralcohol St Helens directory listing.</t>
        </is>
      </c>
      <c r="AP321" s="10" t="inlineStr">
        <is>
          <t>Low</t>
        </is>
      </c>
      <c r="AQ321" s="10" t="inlineStr">
        <is>
          <t>Independent retailer; Relevant category</t>
        </is>
      </c>
      <c r="AR321" s="10" t="inlineStr">
        <is>
          <t>https://www.24houralcohol.co.uk/st-helens-off-licences</t>
        </is>
      </c>
      <c r="AS321" s="10" t="inlineStr"/>
      <c r="AT321" s="10" t="inlineStr">
        <is>
          <t>1</t>
        </is>
      </c>
      <c r="AU321" s="10" t="inlineStr">
        <is>
          <t>No</t>
        </is>
      </c>
      <c r="AV321" s="10" t="inlineStr">
        <is>
          <t>No</t>
        </is>
      </c>
      <c r="AW321" s="10" t="inlineStr">
        <is>
          <t>No</t>
        </is>
      </c>
      <c r="AX321" s="10" t="inlineStr">
        <is>
          <t>No</t>
        </is>
      </c>
      <c r="AY321" s="10" t="inlineStr">
        <is>
          <t>Not Found</t>
        </is>
      </c>
      <c r="AZ321" s="10" t="inlineStr">
        <is>
          <t>Not Found</t>
        </is>
      </c>
      <c r="BA321" s="10" t="inlineStr">
        <is>
          <t>2026-09-17</t>
        </is>
      </c>
      <c r="BB321" s="10" t="inlineStr">
        <is>
          <t>Requires Verification</t>
        </is>
      </c>
      <c r="BC321" s="10" t="inlineStr">
        <is>
          <t>Low</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2026-09-17</t>
        </is>
      </c>
      <c r="BJ321" s="10" t="inlineStr">
        <is>
          <t>New</t>
        </is>
      </c>
      <c r="BK321" s="10" t="inlineStr">
        <is>
          <t>2026-09-17</t>
        </is>
      </c>
      <c r="BL321" s="10" t="inlineStr"/>
      <c r="BM321" s="10" t="inlineStr"/>
      <c r="BN321" s="10" t="inlineStr"/>
      <c r="BO321" s="10" t="inlineStr"/>
      <c r="BP321" s="10" t="inlineStr"/>
      <c r="BQ321" s="10" t="inlineStr"/>
    </row>
    <row r="322">
      <c r="A322" s="5" t="inlineStr">
        <is>
          <t>UK-000239</t>
        </is>
      </c>
      <c r="B322" s="5" t="inlineStr">
        <is>
          <t>UK-000239-01</t>
        </is>
      </c>
      <c r="C322" s="5" t="inlineStr"/>
      <c r="D322" s="5" t="inlineStr">
        <is>
          <t>CK Fast Food Suppliers</t>
        </is>
      </c>
      <c r="E322" s="5" t="inlineStr">
        <is>
          <t>CK Fast Food Suppliers</t>
        </is>
      </c>
      <c r="F322" s="5" t="inlineStr"/>
      <c r="G322" s="5" t="inlineStr">
        <is>
          <t>Cash &amp; Carry</t>
        </is>
      </c>
      <c r="H322" s="5" t="inlineStr">
        <is>
          <t>Foodservice wholesale</t>
        </is>
      </c>
      <c r="I322" s="5" t="inlineStr">
        <is>
          <t>Independent</t>
        </is>
      </c>
      <c r="J322" s="5" t="inlineStr">
        <is>
          <t>1</t>
        </is>
      </c>
      <c r="K322" s="5" t="inlineStr">
        <is>
          <t>https://www.ckfastfoods.com</t>
        </is>
      </c>
      <c r="L322" s="5" t="inlineStr"/>
      <c r="M322" s="5" t="inlineStr"/>
      <c r="N322" s="5" t="inlineStr"/>
      <c r="O322" s="5" t="inlineStr">
        <is>
          <t>70 Northumberland Avenue</t>
        </is>
      </c>
      <c r="P322" s="5" t="inlineStr"/>
      <c r="Q322" s="5" t="inlineStr">
        <is>
          <t>Kingston upon Hull</t>
        </is>
      </c>
      <c r="R322" s="5" t="inlineStr">
        <is>
          <t>East Riding of Yorkshire</t>
        </is>
      </c>
      <c r="S322" s="5" t="inlineStr"/>
      <c r="T322" s="5" t="inlineStr">
        <is>
          <t>Yorkshire &amp; Humber</t>
        </is>
      </c>
      <c r="U322" s="5" t="inlineStr">
        <is>
          <t>England</t>
        </is>
      </c>
      <c r="V322" s="5" t="inlineStr"/>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fast food supplies; wholesale catering goods</t>
        </is>
      </c>
      <c r="AL322" s="5" t="inlineStr"/>
      <c r="AM322" s="5" t="inlineStr">
        <is>
          <t>Cash &amp; Carry</t>
        </is>
      </c>
      <c r="AN322" s="5" t="inlineStr"/>
      <c r="AO322" s="5" t="inlineStr">
        <is>
          <t>Cash &amp; carry wholesaler / fast food supplier, 70 Northumberland Avenue, Hull. Own website ckfastfoods.com. No postcode/phone in search results.</t>
        </is>
      </c>
      <c r="AP322" s="5" t="inlineStr">
        <is>
          <t>Medium</t>
        </is>
      </c>
      <c r="AQ322" s="5" t="inlineStr">
        <is>
          <t>Independent retailer; Core relevant category; Active website</t>
        </is>
      </c>
      <c r="AR322" s="5" t="inlineStr">
        <is>
          <t>https://www.ckfastfoods.com/categories</t>
        </is>
      </c>
      <c r="AS322" s="5" t="inlineStr"/>
      <c r="AT322" s="5" t="inlineStr">
        <is>
          <t>1</t>
        </is>
      </c>
      <c r="AU322" s="5" t="inlineStr">
        <is>
          <t>Yes</t>
        </is>
      </c>
      <c r="AV322" s="5" t="inlineStr">
        <is>
          <t>No</t>
        </is>
      </c>
      <c r="AW322" s="5" t="inlineStr">
        <is>
          <t>No</t>
        </is>
      </c>
      <c r="AX322" s="5" t="inlineStr">
        <is>
          <t>No</t>
        </is>
      </c>
      <c r="AY322" s="5" t="inlineStr">
        <is>
          <t>Not Found</t>
        </is>
      </c>
      <c r="AZ322" s="5" t="inlineStr">
        <is>
          <t>Not Found</t>
        </is>
      </c>
      <c r="BA322" s="5" t="inlineStr">
        <is>
          <t>2026-09-17</t>
        </is>
      </c>
      <c r="BB322" s="5" t="inlineStr">
        <is>
          <t>Partially Verified</t>
        </is>
      </c>
      <c r="BC322" s="5" t="inlineStr">
        <is>
          <t>Low</t>
        </is>
      </c>
      <c r="BD322" s="5" t="inlineStr"/>
      <c r="BE322" s="5" t="inlineStr">
        <is>
          <t>Business (B2B)</t>
        </is>
      </c>
      <c r="BF322" s="5" t="inlineStr">
        <is>
          <t>Legitimate interest (B2B) - assess per campaign; PECR: corporate subscribers</t>
        </is>
      </c>
      <c r="BG322" s="5" t="inlineStr"/>
      <c r="BH322" s="5" t="inlineStr">
        <is>
          <t>No</t>
        </is>
      </c>
      <c r="BI322" s="5" t="inlineStr">
        <is>
          <t>2026-09-16</t>
        </is>
      </c>
      <c r="BJ322" s="5" t="inlineStr">
        <is>
          <t>New</t>
        </is>
      </c>
      <c r="BK322" s="5" t="inlineStr">
        <is>
          <t>2026-09-17</t>
        </is>
      </c>
      <c r="BL322" s="5" t="inlineStr"/>
      <c r="BM322" s="5" t="inlineStr"/>
      <c r="BN322" s="5" t="inlineStr"/>
      <c r="BO322" s="5" t="inlineStr"/>
      <c r="BP322" s="5" t="inlineStr"/>
      <c r="BQ322" s="5" t="inlineStr"/>
    </row>
    <row r="323">
      <c r="A323" s="10" t="inlineStr">
        <is>
          <t>UK-000589</t>
        </is>
      </c>
      <c r="B323" s="10" t="inlineStr">
        <is>
          <t>UK-000589-01</t>
        </is>
      </c>
      <c r="C323" s="10" t="inlineStr"/>
      <c r="D323" s="10" t="inlineStr">
        <is>
          <t>Camberwell Grocery</t>
        </is>
      </c>
      <c r="E323" s="10" t="inlineStr">
        <is>
          <t>Camberwell Grocery</t>
        </is>
      </c>
      <c r="F323" s="10" t="inlineStr"/>
      <c r="G323" s="10" t="inlineStr">
        <is>
          <t>Convenience Store</t>
        </is>
      </c>
      <c r="H323" s="10" t="inlineStr"/>
      <c r="I323" s="10" t="inlineStr">
        <is>
          <t>Independent</t>
        </is>
      </c>
      <c r="J323" s="10" t="inlineStr">
        <is>
          <t>1</t>
        </is>
      </c>
      <c r="K323" s="10" t="inlineStr"/>
      <c r="L323" s="10" t="inlineStr"/>
      <c r="M323" s="10" t="inlineStr"/>
      <c r="N323" s="10" t="inlineStr"/>
      <c r="O323" s="10" t="inlineStr">
        <is>
          <t>61 Camberwell Church Street</t>
        </is>
      </c>
      <c r="P323" s="10" t="inlineStr"/>
      <c r="Q323" s="10" t="inlineStr">
        <is>
          <t>London</t>
        </is>
      </c>
      <c r="R323" s="10" t="inlineStr">
        <is>
          <t>Greater London</t>
        </is>
      </c>
      <c r="S323" s="10" t="inlineStr">
        <is>
          <t>SE5 8TR</t>
        </is>
      </c>
      <c r="T323" s="10" t="inlineStr">
        <is>
          <t>London</t>
        </is>
      </c>
      <c r="U323" s="10" t="inlineStr">
        <is>
          <t>England</t>
        </is>
      </c>
      <c r="V323" s="10" t="inlineStr">
        <is>
          <t>020 7771 1964</t>
        </is>
      </c>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grocery; off-licence; convenience</t>
        </is>
      </c>
      <c r="AL323" s="10" t="inlineStr"/>
      <c r="AM323" s="10" t="inlineStr">
        <is>
          <t>Convenience Store</t>
        </is>
      </c>
      <c r="AN323" s="10" t="inlineStr"/>
      <c r="AO323" s="10" t="inlineStr">
        <is>
          <t>Independent convenience store / grocer on Camberwell Church Street. Address and phone from Yell directory.</t>
        </is>
      </c>
      <c r="AP323" s="10" t="inlineStr">
        <is>
          <t>Low</t>
        </is>
      </c>
      <c r="AQ323" s="10" t="inlineStr">
        <is>
          <t>Independent retailer; Relevant category</t>
        </is>
      </c>
      <c r="AR323" s="10" t="inlineStr">
        <is>
          <t>https://www.yell.com/s/supermarkets-camberwell+green+se5+london+borough+of+southwark+london.html</t>
        </is>
      </c>
      <c r="AS323" s="10" t="inlineStr"/>
      <c r="AT323" s="10" t="inlineStr">
        <is>
          <t>1</t>
        </is>
      </c>
      <c r="AU323" s="10" t="inlineStr">
        <is>
          <t>No</t>
        </is>
      </c>
      <c r="AV323" s="10" t="inlineStr">
        <is>
          <t>No</t>
        </is>
      </c>
      <c r="AW323" s="10" t="inlineStr">
        <is>
          <t>No</t>
        </is>
      </c>
      <c r="AX323" s="10" t="inlineStr">
        <is>
          <t>No</t>
        </is>
      </c>
      <c r="AY323" s="10" t="inlineStr">
        <is>
          <t>Verified directory</t>
        </is>
      </c>
      <c r="AZ323" s="10" t="inlineStr">
        <is>
          <t>Not Found</t>
        </is>
      </c>
      <c r="BA323" s="10" t="inlineStr">
        <is>
          <t>2026-09-17</t>
        </is>
      </c>
      <c r="BB323" s="10" t="inlineStr">
        <is>
          <t>Requires Verification</t>
        </is>
      </c>
      <c r="BC323" s="10" t="inlineStr">
        <is>
          <t>Medium</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2026-09-17</t>
        </is>
      </c>
      <c r="BJ323" s="10" t="inlineStr">
        <is>
          <t>New</t>
        </is>
      </c>
      <c r="BK323" s="10" t="inlineStr">
        <is>
          <t>2026-09-17</t>
        </is>
      </c>
      <c r="BL323" s="10" t="inlineStr"/>
      <c r="BM323" s="10" t="inlineStr"/>
      <c r="BN323" s="10" t="inlineStr"/>
      <c r="BO323" s="10" t="inlineStr"/>
      <c r="BP323" s="10" t="inlineStr"/>
      <c r="BQ323" s="10" t="inlineStr"/>
    </row>
    <row r="324">
      <c r="A324" s="5" t="inlineStr">
        <is>
          <t>UK-000590</t>
        </is>
      </c>
      <c r="B324" s="5" t="inlineStr">
        <is>
          <t>UK-000590-01</t>
        </is>
      </c>
      <c r="C324" s="5" t="inlineStr"/>
      <c r="D324" s="5" t="inlineStr">
        <is>
          <t>Camden Vape</t>
        </is>
      </c>
      <c r="E324" s="5" t="inlineStr">
        <is>
          <t>Camden Vape</t>
        </is>
      </c>
      <c r="F324" s="5" t="inlineStr"/>
      <c r="G324" s="5" t="inlineStr">
        <is>
          <t>Vape Shop</t>
        </is>
      </c>
      <c r="H324" s="5" t="inlineStr">
        <is>
          <t>Vape hardware &amp; e-liquids</t>
        </is>
      </c>
      <c r="I324" s="5" t="inlineStr">
        <is>
          <t>Independent</t>
        </is>
      </c>
      <c r="J324" s="5" t="inlineStr">
        <is>
          <t>1</t>
        </is>
      </c>
      <c r="K324" s="5" t="inlineStr"/>
      <c r="L324" s="5" t="inlineStr"/>
      <c r="M324" s="5" t="inlineStr"/>
      <c r="N324" s="5" t="inlineStr"/>
      <c r="O324" s="5" t="inlineStr">
        <is>
          <t>28b Chalk Farm Road</t>
        </is>
      </c>
      <c r="P324" s="5" t="inlineStr"/>
      <c r="Q324" s="5" t="inlineStr">
        <is>
          <t>London</t>
        </is>
      </c>
      <c r="R324" s="5" t="inlineStr">
        <is>
          <t>Greater London</t>
        </is>
      </c>
      <c r="S324" s="5" t="inlineStr">
        <is>
          <t>NW1 8AG</t>
        </is>
      </c>
      <c r="T324" s="5" t="inlineStr">
        <is>
          <t>London</t>
        </is>
      </c>
      <c r="U324" s="5" t="inlineStr">
        <is>
          <t>England</t>
        </is>
      </c>
      <c r="V324" s="5" t="inlineStr">
        <is>
          <t>0333 305 2822</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vape hardware; e-liquids</t>
        </is>
      </c>
      <c r="AL324" s="5" t="inlineStr"/>
      <c r="AM324" s="5" t="inlineStr">
        <is>
          <t>Vape Shop</t>
        </is>
      </c>
      <c r="AN324" s="5" t="inlineStr"/>
      <c r="AO324" s="5" t="inlineStr">
        <is>
          <t>Independent vape shop on Chalk Farm Road, Camden. Address/postcode/phone from Yell listing snippet. Phone 0333 305 2822 also appears against 'Vapecore' (Ladbroke Grove) - possible shared operator; not confirmed.</t>
        </is>
      </c>
      <c r="AP324" s="5" t="inlineStr">
        <is>
          <t>Medium</t>
        </is>
      </c>
      <c r="AQ324" s="5" t="inlineStr">
        <is>
          <t>Independent retailer; Core relevant category</t>
        </is>
      </c>
      <c r="AR324" s="5" t="inlineStr">
        <is>
          <t>https://www.yell.com/biz/camden-vape-london-10104712/</t>
        </is>
      </c>
      <c r="AS324" s="5" t="inlineStr"/>
      <c r="AT324" s="5" t="inlineStr">
        <is>
          <t>1</t>
        </is>
      </c>
      <c r="AU324" s="5" t="inlineStr">
        <is>
          <t>No</t>
        </is>
      </c>
      <c r="AV324" s="5" t="inlineStr">
        <is>
          <t>No</t>
        </is>
      </c>
      <c r="AW324" s="5" t="inlineStr">
        <is>
          <t>No</t>
        </is>
      </c>
      <c r="AX324" s="5" t="inlineStr">
        <is>
          <t>No</t>
        </is>
      </c>
      <c r="AY324" s="5" t="inlineStr">
        <is>
          <t>Verified directory</t>
        </is>
      </c>
      <c r="AZ324" s="5" t="inlineStr">
        <is>
          <t>Not Found</t>
        </is>
      </c>
      <c r="BA324" s="5" t="inlineStr">
        <is>
          <t>2026-09-17</t>
        </is>
      </c>
      <c r="BB324" s="5" t="inlineStr">
        <is>
          <t>Duplicate Review Required</t>
        </is>
      </c>
      <c r="BC324" s="5" t="inlineStr">
        <is>
          <t>Low</t>
        </is>
      </c>
      <c r="BD324" s="5" t="inlineStr">
        <is>
          <t>Duplicate Review Required</t>
        </is>
      </c>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WY-0072</t>
        </is>
      </c>
      <c r="B325" s="10" t="inlineStr">
        <is>
          <t>WY-0072-01</t>
        </is>
      </c>
      <c r="C325" s="10" t="inlineStr"/>
      <c r="D325" s="10" t="inlineStr">
        <is>
          <t>Carlton Self Service</t>
        </is>
      </c>
      <c r="E325" s="10" t="inlineStr">
        <is>
          <t>Carlton Self Service</t>
        </is>
      </c>
      <c r="F325" s="10" t="inlineStr"/>
      <c r="G325" s="10" t="inlineStr">
        <is>
          <t>Newsagent</t>
        </is>
      </c>
      <c r="H325" s="10" t="inlineStr">
        <is>
          <t>Newsagent and self-service store</t>
        </is>
      </c>
      <c r="I325" s="10" t="inlineStr">
        <is>
          <t>Independent</t>
        </is>
      </c>
      <c r="J325" s="10" t="inlineStr">
        <is>
          <t>1</t>
        </is>
      </c>
      <c r="K325" s="10" t="inlineStr"/>
      <c r="L325" s="10" t="inlineStr"/>
      <c r="M325" s="10" t="inlineStr"/>
      <c r="N325" s="10" t="inlineStr"/>
      <c r="O325" s="10" t="inlineStr">
        <is>
          <t>6-8 Swanhill Lane</t>
        </is>
      </c>
      <c r="P325" s="10" t="inlineStr"/>
      <c r="Q325" s="10" t="inlineStr">
        <is>
          <t>Pontefract</t>
        </is>
      </c>
      <c r="R325" s="10" t="inlineStr">
        <is>
          <t>West Yorkshire</t>
        </is>
      </c>
      <c r="S325" s="10" t="inlineStr">
        <is>
          <t>WF8 2SE</t>
        </is>
      </c>
      <c r="T325" s="10" t="inlineStr">
        <is>
          <t>Yorkshire &amp; Humber</t>
        </is>
      </c>
      <c r="U325" s="10" t="inlineStr">
        <is>
          <t>England</t>
        </is>
      </c>
      <c r="V325" s="10" t="inlineStr">
        <is>
          <t>01977 780317</t>
        </is>
      </c>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news and magazines; tobacco; confectionery; convenience</t>
        </is>
      </c>
      <c r="AL325" s="10" t="inlineStr"/>
      <c r="AM325" s="10" t="inlineStr">
        <is>
          <t>Newsagent</t>
        </is>
      </c>
      <c r="AN325" s="10" t="inlineStr"/>
      <c r="AO325" s="10" t="inlineStr"/>
      <c r="AP325" s="10" t="inlineStr">
        <is>
          <t>Low</t>
        </is>
      </c>
      <c r="AQ325" s="10" t="inlineStr">
        <is>
          <t>Independent retailer; Relevant category</t>
        </is>
      </c>
      <c r="AR325" s="10" t="inlineStr">
        <is>
          <t>https://www.thomsonlocal.com/search/newsagents/wakefield-pontefract-castleford/carlton-self-service/1650013/01977780317</t>
        </is>
      </c>
      <c r="AS325" s="10" t="inlineStr"/>
      <c r="AT325" s="10" t="inlineStr">
        <is>
          <t>1</t>
        </is>
      </c>
      <c r="AU325" s="10" t="inlineStr">
        <is>
          <t>No</t>
        </is>
      </c>
      <c r="AV325" s="10" t="inlineStr">
        <is>
          <t>No</t>
        </is>
      </c>
      <c r="AW325" s="10" t="inlineStr">
        <is>
          <t>No</t>
        </is>
      </c>
      <c r="AX325" s="10" t="inlineStr">
        <is>
          <t>No</t>
        </is>
      </c>
      <c r="AY325" s="10" t="inlineStr">
        <is>
          <t>Verified directory</t>
        </is>
      </c>
      <c r="AZ325" s="10" t="inlineStr">
        <is>
          <t>Not Found</t>
        </is>
      </c>
      <c r="BA325" s="10" t="inlineStr">
        <is>
          <t>2026-09-17</t>
        </is>
      </c>
      <c r="BB325" s="10" t="inlineStr">
        <is>
          <t>Requires Verification</t>
        </is>
      </c>
      <c r="BC325" s="10" t="inlineStr">
        <is>
          <t>Medium</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2026-09-16</t>
        </is>
      </c>
      <c r="BJ325" s="10" t="inlineStr">
        <is>
          <t>New</t>
        </is>
      </c>
      <c r="BK325" s="10" t="inlineStr">
        <is>
          <t>2026-09-17</t>
        </is>
      </c>
      <c r="BL325" s="10" t="inlineStr"/>
      <c r="BM325" s="10" t="inlineStr"/>
      <c r="BN325" s="10" t="inlineStr"/>
      <c r="BO325" s="10" t="inlineStr"/>
      <c r="BP325" s="10" t="inlineStr"/>
      <c r="BQ325" s="10" t="inlineStr"/>
    </row>
    <row r="326">
      <c r="A326" s="5" t="inlineStr">
        <is>
          <t>UK-000762</t>
        </is>
      </c>
      <c r="B326" s="5" t="inlineStr">
        <is>
          <t>UK-000762-01</t>
        </is>
      </c>
      <c r="C326" s="5" t="inlineStr"/>
      <c r="D326" s="5" t="inlineStr">
        <is>
          <t>Cashen's 2</t>
        </is>
      </c>
      <c r="E326" s="5" t="inlineStr">
        <is>
          <t>Cashen's 2</t>
        </is>
      </c>
      <c r="F326" s="5" t="inlineStr"/>
      <c r="G326" s="5" t="inlineStr">
        <is>
          <t>Off-Licence</t>
        </is>
      </c>
      <c r="H326" s="5" t="inlineStr">
        <is>
          <t>Off-licence / convenience</t>
        </is>
      </c>
      <c r="I326" s="5" t="inlineStr">
        <is>
          <t>Independent</t>
        </is>
      </c>
      <c r="J326" s="5" t="inlineStr">
        <is>
          <t>1</t>
        </is>
      </c>
      <c r="K326" s="5" t="inlineStr"/>
      <c r="L326" s="5" t="inlineStr"/>
      <c r="M326" s="5" t="inlineStr"/>
      <c r="N326" s="5" t="inlineStr"/>
      <c r="O326" s="5" t="inlineStr">
        <is>
          <t>85 Hale Road</t>
        </is>
      </c>
      <c r="P326" s="5" t="inlineStr">
        <is>
          <t>Walton</t>
        </is>
      </c>
      <c r="Q326" s="5" t="inlineStr">
        <is>
          <t>Liverpool</t>
        </is>
      </c>
      <c r="R326" s="5" t="inlineStr">
        <is>
          <t>Merseyside</t>
        </is>
      </c>
      <c r="S326" s="5" t="inlineStr">
        <is>
          <t>L4 3RL</t>
        </is>
      </c>
      <c r="T326" s="5" t="inlineStr">
        <is>
          <t>North West</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wines; beers; spirits; convenience groceries</t>
        </is>
      </c>
      <c r="AL326" s="5" t="inlineStr"/>
      <c r="AM326" s="5" t="inlineStr">
        <is>
          <t>Off-Licence</t>
        </is>
      </c>
      <c r="AN326" s="5" t="inlineStr"/>
      <c r="AO326" s="5" t="inlineStr">
        <is>
          <t>Independent off-licence on Hale Road, Walton (L4).</t>
        </is>
      </c>
      <c r="AP326" s="5" t="inlineStr">
        <is>
          <t>Low</t>
        </is>
      </c>
      <c r="AQ326" s="5" t="inlineStr">
        <is>
          <t>Independent retailer; Relevant category</t>
        </is>
      </c>
      <c r="AR326" s="5" t="inlineStr">
        <is>
          <t>https://liverpool.cylex-uk.co.uk/off-licence-4.html</t>
        </is>
      </c>
      <c r="AS326" s="5" t="inlineStr"/>
      <c r="AT326" s="5" t="inlineStr">
        <is>
          <t>1</t>
        </is>
      </c>
      <c r="AU326" s="5" t="inlineStr">
        <is>
          <t>No</t>
        </is>
      </c>
      <c r="AV326" s="5" t="inlineStr">
        <is>
          <t>No</t>
        </is>
      </c>
      <c r="AW326" s="5" t="inlineStr">
        <is>
          <t>No</t>
        </is>
      </c>
      <c r="AX326" s="5" t="inlineStr">
        <is>
          <t>No</t>
        </is>
      </c>
      <c r="AY326" s="5" t="inlineStr">
        <is>
          <t>Not Found</t>
        </is>
      </c>
      <c r="AZ326" s="5" t="inlineStr">
        <is>
          <t>Not Found</t>
        </is>
      </c>
      <c r="BA326" s="5" t="inlineStr">
        <is>
          <t>2026-09-17</t>
        </is>
      </c>
      <c r="BB326" s="5" t="inlineStr">
        <is>
          <t>Requires Verification</t>
        </is>
      </c>
      <c r="BC326" s="5" t="inlineStr">
        <is>
          <t>Low</t>
        </is>
      </c>
      <c r="BD326" s="5" t="inlineStr"/>
      <c r="BE326" s="5" t="inlineStr">
        <is>
          <t>Business (B2B)</t>
        </is>
      </c>
      <c r="BF326" s="5" t="inlineStr">
        <is>
          <t>Legitimate interest (B2B) - assess per campaign; PECR: corporate subscribers</t>
        </is>
      </c>
      <c r="BG326" s="5" t="inlineStr"/>
      <c r="BH326" s="5" t="inlineStr">
        <is>
          <t>No</t>
        </is>
      </c>
      <c r="BI326" s="5" t="inlineStr">
        <is>
          <t>2026-09-17</t>
        </is>
      </c>
      <c r="BJ326" s="5" t="inlineStr">
        <is>
          <t>New</t>
        </is>
      </c>
      <c r="BK326" s="5" t="inlineStr">
        <is>
          <t>2026-09-17</t>
        </is>
      </c>
      <c r="BL326" s="5" t="inlineStr"/>
      <c r="BM326" s="5" t="inlineStr"/>
      <c r="BN326" s="5" t="inlineStr"/>
      <c r="BO326" s="5" t="inlineStr"/>
      <c r="BP326" s="5" t="inlineStr"/>
      <c r="BQ326" s="5" t="inlineStr"/>
    </row>
    <row r="327">
      <c r="A327" s="10" t="inlineStr">
        <is>
          <t>WY-0073</t>
        </is>
      </c>
      <c r="B327" s="10" t="inlineStr">
        <is>
          <t>WY-0073-01</t>
        </is>
      </c>
      <c r="C327" s="10" t="inlineStr"/>
      <c r="D327" s="10" t="inlineStr">
        <is>
          <t>Caspar's Bottle Shop</t>
        </is>
      </c>
      <c r="E327" s="10" t="inlineStr">
        <is>
          <t>Caspar's Bottle Shop</t>
        </is>
      </c>
      <c r="F327" s="10" t="inlineStr"/>
      <c r="G327" s="10" t="inlineStr">
        <is>
          <t>Off-Licence</t>
        </is>
      </c>
      <c r="H327" s="10" t="inlineStr">
        <is>
          <t>Craft beer bottle shop</t>
        </is>
      </c>
      <c r="I327" s="10" t="inlineStr">
        <is>
          <t>Independent</t>
        </is>
      </c>
      <c r="J327" s="10" t="inlineStr">
        <is>
          <t>1</t>
        </is>
      </c>
      <c r="K327" s="10" t="inlineStr">
        <is>
          <t>https://www.casparsbottleshop.com/</t>
        </is>
      </c>
      <c r="L327" s="10" t="inlineStr">
        <is>
          <t>https://www.facebook.com/casparsbottleshop/</t>
        </is>
      </c>
      <c r="M327" s="10" t="inlineStr"/>
      <c r="N327" s="10" t="inlineStr"/>
      <c r="O327" s="10" t="inlineStr">
        <is>
          <t>65 Potternewton Lane</t>
        </is>
      </c>
      <c r="P327" s="10" t="inlineStr">
        <is>
          <t>Chapel Allerton</t>
        </is>
      </c>
      <c r="Q327" s="10" t="inlineStr">
        <is>
          <t>Leeds</t>
        </is>
      </c>
      <c r="R327" s="10" t="inlineStr">
        <is>
          <t>West Yorkshire</t>
        </is>
      </c>
      <c r="S327" s="10" t="inlineStr">
        <is>
          <t>LS7 3LW</t>
        </is>
      </c>
      <c r="T327" s="10" t="inlineStr">
        <is>
          <t>Yorkshire &amp; Humber</t>
        </is>
      </c>
      <c r="U327" s="10" t="inlineStr">
        <is>
          <t>England</t>
        </is>
      </c>
      <c r="V327" s="10" t="inlineStr">
        <is>
          <t>0113 237 4554</t>
        </is>
      </c>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craft beer; cider; wine</t>
        </is>
      </c>
      <c r="AL327" s="10" t="inlineStr"/>
      <c r="AM327" s="10" t="inlineStr">
        <is>
          <t>Off-Licence</t>
        </is>
      </c>
      <c r="AN327" s="10" t="inlineStr"/>
      <c r="AO327" s="10" t="inlineStr">
        <is>
          <t>Chapel Allerton's independent craft beer shop; open Tue-Sat 12:30-20:00, Sun 12:30-16:00.</t>
        </is>
      </c>
      <c r="AP327" s="10" t="inlineStr">
        <is>
          <t>Medium</t>
        </is>
      </c>
      <c r="AQ327" s="10" t="inlineStr">
        <is>
          <t>Independent retailer; Relevant category; Active website; Social presence</t>
        </is>
      </c>
      <c r="AR327" s="10" t="inlineStr">
        <is>
          <t>https://www.casparsbottleshop.com/</t>
        </is>
      </c>
      <c r="AS327" s="10" t="inlineStr">
        <is>
          <t>https://leeds.cylex-uk.co.uk/company/caspar's-bottle-shop-26660090.html</t>
        </is>
      </c>
      <c r="AT327" s="10" t="inlineStr">
        <is>
          <t>3</t>
        </is>
      </c>
      <c r="AU327" s="10" t="inlineStr">
        <is>
          <t>No</t>
        </is>
      </c>
      <c r="AV327" s="10" t="inlineStr">
        <is>
          <t>No</t>
        </is>
      </c>
      <c r="AW327" s="10" t="inlineStr">
        <is>
          <t>No</t>
        </is>
      </c>
      <c r="AX327" s="10" t="inlineStr">
        <is>
          <t>No</t>
        </is>
      </c>
      <c r="AY327" s="10" t="inlineStr">
        <is>
          <t>Verified directory</t>
        </is>
      </c>
      <c r="AZ327" s="10" t="inlineStr">
        <is>
          <t>Website Found</t>
        </is>
      </c>
      <c r="BA327" s="10" t="inlineStr">
        <is>
          <t>2026-09-17</t>
        </is>
      </c>
      <c r="BB327" s="10" t="inlineStr">
        <is>
          <t>Requires Verification</t>
        </is>
      </c>
      <c r="BC327" s="10" t="inlineStr">
        <is>
          <t>Medium</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2026-09-16</t>
        </is>
      </c>
      <c r="BJ327" s="10" t="inlineStr">
        <is>
          <t>New</t>
        </is>
      </c>
      <c r="BK327" s="10" t="inlineStr">
        <is>
          <t>2026-09-17</t>
        </is>
      </c>
      <c r="BL327" s="10" t="inlineStr"/>
      <c r="BM327" s="10" t="inlineStr"/>
      <c r="BN327" s="10" t="inlineStr"/>
      <c r="BO327" s="10" t="inlineStr"/>
      <c r="BP327" s="10" t="inlineStr"/>
      <c r="BQ327" s="10" t="inlineStr"/>
    </row>
    <row r="328">
      <c r="A328" s="5" t="inlineStr">
        <is>
          <t>UK-000459</t>
        </is>
      </c>
      <c r="B328" s="5" t="inlineStr">
        <is>
          <t>UK-000459-01</t>
        </is>
      </c>
      <c r="C328" s="5" t="inlineStr"/>
      <c r="D328" s="5" t="inlineStr">
        <is>
          <t>Caspian Foods Cash &amp; Carry Limited</t>
        </is>
      </c>
      <c r="E328" s="5" t="inlineStr">
        <is>
          <t>Caspian Foods Cash &amp; Carry</t>
        </is>
      </c>
      <c r="F328" s="5" t="inlineStr">
        <is>
          <t>Caspian Foods Cash &amp; Carry Limited</t>
        </is>
      </c>
      <c r="G328" s="5" t="inlineStr">
        <is>
          <t>Cash &amp; Carry</t>
        </is>
      </c>
      <c r="H328" s="5" t="inlineStr">
        <is>
          <t>Food &amp; drink wholesaler</t>
        </is>
      </c>
      <c r="I328" s="5" t="inlineStr">
        <is>
          <t>Independent</t>
        </is>
      </c>
      <c r="J328" s="5" t="inlineStr">
        <is>
          <t>1</t>
        </is>
      </c>
      <c r="K328" s="5" t="inlineStr"/>
      <c r="L328" s="5" t="inlineStr"/>
      <c r="M328" s="5" t="inlineStr"/>
      <c r="N328" s="5" t="inlineStr"/>
      <c r="O328" s="5" t="inlineStr">
        <is>
          <t>Unit 4 Port Hope Road</t>
        </is>
      </c>
      <c r="P328" s="5" t="inlineStr">
        <is>
          <t>Sparkhill</t>
        </is>
      </c>
      <c r="Q328" s="5" t="inlineStr">
        <is>
          <t>Birmingham</t>
        </is>
      </c>
      <c r="R328" s="5" t="inlineStr">
        <is>
          <t>West Midlands</t>
        </is>
      </c>
      <c r="S328" s="5" t="inlineStr">
        <is>
          <t>B11 1JS</t>
        </is>
      </c>
      <c r="T328" s="5" t="inlineStr">
        <is>
          <t>West Midlands</t>
        </is>
      </c>
      <c r="U328" s="5" t="inlineStr">
        <is>
          <t>England</t>
        </is>
      </c>
      <c r="V328" s="5" t="inlineStr"/>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wholesale food &amp; drink</t>
        </is>
      </c>
      <c r="AL328" s="5" t="inlineStr"/>
      <c r="AM328" s="5" t="inlineStr">
        <is>
          <t>Cash &amp; Carry</t>
        </is>
      </c>
      <c r="AN328" s="5" t="inlineStr"/>
      <c r="AO328" s="5" t="inlineStr">
        <is>
          <t>Cash &amp; carry wholesaler in Sparkhill. Details from Dun &amp; Bradstreet company profile.</t>
        </is>
      </c>
      <c r="AP328" s="5" t="inlineStr">
        <is>
          <t>Medium</t>
        </is>
      </c>
      <c r="AQ328" s="5" t="inlineStr">
        <is>
          <t>Independent retailer; Core relevant category</t>
        </is>
      </c>
      <c r="AR328" s="5" t="inlineStr">
        <is>
          <t>https://www.dnb.com/business-directory/company-profiles.caspian_foods_cash__carry_limited.a9cb3ac91cc8fd94e3ed5a2abf28a59b.html</t>
        </is>
      </c>
      <c r="AS328" s="5" t="inlineStr"/>
      <c r="AT328" s="5" t="inlineStr">
        <is>
          <t>1</t>
        </is>
      </c>
      <c r="AU328" s="5" t="inlineStr">
        <is>
          <t>No</t>
        </is>
      </c>
      <c r="AV328" s="5" t="inlineStr">
        <is>
          <t>No</t>
        </is>
      </c>
      <c r="AW328" s="5" t="inlineStr">
        <is>
          <t>No</t>
        </is>
      </c>
      <c r="AX328" s="5" t="inlineStr">
        <is>
          <t>No</t>
        </is>
      </c>
      <c r="AY328" s="5" t="inlineStr">
        <is>
          <t>Not Found</t>
        </is>
      </c>
      <c r="AZ328" s="5" t="inlineStr">
        <is>
          <t>Not Found</t>
        </is>
      </c>
      <c r="BA328" s="5" t="inlineStr">
        <is>
          <t>2026-09-17</t>
        </is>
      </c>
      <c r="BB328" s="5" t="inlineStr">
        <is>
          <t>Requires Verification</t>
        </is>
      </c>
      <c r="BC328" s="5" t="inlineStr">
        <is>
          <t>Low</t>
        </is>
      </c>
      <c r="BD328" s="5" t="inlineStr"/>
      <c r="BE328" s="5" t="inlineStr">
        <is>
          <t>Business (B2B)</t>
        </is>
      </c>
      <c r="BF328" s="5" t="inlineStr">
        <is>
          <t>Legitimate interest (B2B) - assess per campaign; PECR: corporate subscribers</t>
        </is>
      </c>
      <c r="BG328" s="5" t="inlineStr"/>
      <c r="BH328" s="5" t="inlineStr">
        <is>
          <t>No</t>
        </is>
      </c>
      <c r="BI328" s="5" t="inlineStr">
        <is>
          <t>2026-09-17</t>
        </is>
      </c>
      <c r="BJ328" s="5" t="inlineStr">
        <is>
          <t>New</t>
        </is>
      </c>
      <c r="BK328" s="5" t="inlineStr">
        <is>
          <t>2026-09-17</t>
        </is>
      </c>
      <c r="BL328" s="5" t="inlineStr"/>
      <c r="BM328" s="5" t="inlineStr"/>
      <c r="BN328" s="5" t="inlineStr"/>
      <c r="BO328" s="5" t="inlineStr"/>
      <c r="BP328" s="5" t="inlineStr"/>
      <c r="BQ328" s="5" t="inlineStr"/>
    </row>
    <row r="329">
      <c r="A329" s="10" t="inlineStr">
        <is>
          <t>WY-0074</t>
        </is>
      </c>
      <c r="B329" s="10" t="inlineStr">
        <is>
          <t>WY-0074-01</t>
        </is>
      </c>
      <c r="C329" s="10" t="inlineStr"/>
      <c r="D329" s="10" t="inlineStr">
        <is>
          <t>Castleford Road Off Licence</t>
        </is>
      </c>
      <c r="E329" s="10" t="inlineStr">
        <is>
          <t>Castleford Road Off Licence</t>
        </is>
      </c>
      <c r="F329" s="10" t="inlineStr">
        <is>
          <t>Castleford Road Off Licence Limited</t>
        </is>
      </c>
      <c r="G329" s="10" t="inlineStr">
        <is>
          <t>Off-Licence</t>
        </is>
      </c>
      <c r="H329" s="10" t="inlineStr">
        <is>
          <t>Off-licence and convenience store</t>
        </is>
      </c>
      <c r="I329" s="10" t="inlineStr">
        <is>
          <t>Independent</t>
        </is>
      </c>
      <c r="J329" s="10" t="inlineStr">
        <is>
          <t>1</t>
        </is>
      </c>
      <c r="K329" s="10" t="inlineStr"/>
      <c r="L329" s="10" t="inlineStr"/>
      <c r="M329" s="10" t="inlineStr"/>
      <c r="N329" s="10" t="inlineStr"/>
      <c r="O329" s="10" t="inlineStr">
        <is>
          <t>154 Castleford Road</t>
        </is>
      </c>
      <c r="P329" s="10" t="inlineStr"/>
      <c r="Q329" s="10" t="inlineStr">
        <is>
          <t>Normanton</t>
        </is>
      </c>
      <c r="R329" s="10" t="inlineStr">
        <is>
          <t>West Yorkshire</t>
        </is>
      </c>
      <c r="S329" s="10" t="inlineStr">
        <is>
          <t>WF6 2EU</t>
        </is>
      </c>
      <c r="T329" s="10" t="inlineStr">
        <is>
          <t>Yorkshire &amp; Humber</t>
        </is>
      </c>
      <c r="U329" s="10" t="inlineStr">
        <is>
          <t>England</t>
        </is>
      </c>
      <c r="V329" s="10" t="inlineStr">
        <is>
          <t>01924 223984</t>
        </is>
      </c>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alcohol; tobacco; convenience grocery</t>
        </is>
      </c>
      <c r="AL329" s="10" t="inlineStr"/>
      <c r="AM329" s="10" t="inlineStr">
        <is>
          <t>Off-Licence</t>
        </is>
      </c>
      <c r="AN329" s="10" t="inlineStr"/>
      <c r="AO329" s="10" t="inlineStr">
        <is>
          <t>Trades as a limited company per 192.com listing ('Castleford Road Off Licence Limited'); Companies House record not yet verified.</t>
        </is>
      </c>
      <c r="AP329" s="10" t="inlineStr">
        <is>
          <t>Low</t>
        </is>
      </c>
      <c r="AQ329" s="10" t="inlineStr">
        <is>
          <t>Independent retailer; Relevant category</t>
        </is>
      </c>
      <c r="AR329" s="10" t="inlineStr">
        <is>
          <t>https://www.192.com/atoz/business/normanton-wf6/convenience-stores/castleford-road-off-licence-limited/bb1e65f2f01c9a4208fc92bb1c8fdf5da42be2ec/comp/</t>
        </is>
      </c>
      <c r="AS329" s="10" t="inlineStr">
        <is>
          <t>https://ratings.food.gov.uk/business/283424</t>
        </is>
      </c>
      <c r="AT329" s="10" t="inlineStr">
        <is>
          <t>2</t>
        </is>
      </c>
      <c r="AU329" s="10" t="inlineStr">
        <is>
          <t>No</t>
        </is>
      </c>
      <c r="AV329" s="10" t="inlineStr">
        <is>
          <t>No</t>
        </is>
      </c>
      <c r="AW329" s="10" t="inlineStr">
        <is>
          <t>No</t>
        </is>
      </c>
      <c r="AX329" s="10" t="inlineStr">
        <is>
          <t>No</t>
        </is>
      </c>
      <c r="AY329" s="10" t="inlineStr">
        <is>
          <t>Verified directory</t>
        </is>
      </c>
      <c r="AZ329" s="10" t="inlineStr">
        <is>
          <t>Not Found</t>
        </is>
      </c>
      <c r="BA329" s="10" t="inlineStr">
        <is>
          <t>2026-09-17</t>
        </is>
      </c>
      <c r="BB329" s="10" t="inlineStr">
        <is>
          <t>Requires Verification</t>
        </is>
      </c>
      <c r="BC329" s="10" t="inlineStr">
        <is>
          <t>Medium</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2026-09-16</t>
        </is>
      </c>
      <c r="BJ329" s="10" t="inlineStr">
        <is>
          <t>New</t>
        </is>
      </c>
      <c r="BK329" s="10" t="inlineStr">
        <is>
          <t>2026-09-17</t>
        </is>
      </c>
      <c r="BL329" s="10" t="inlineStr"/>
      <c r="BM329" s="10" t="inlineStr"/>
      <c r="BN329" s="10" t="inlineStr"/>
      <c r="BO329" s="10" t="inlineStr"/>
      <c r="BP329" s="10" t="inlineStr"/>
      <c r="BQ329" s="10" t="inlineStr"/>
    </row>
    <row r="330">
      <c r="A330" s="5" t="inlineStr">
        <is>
          <t>UK-000460</t>
        </is>
      </c>
      <c r="B330" s="5" t="inlineStr">
        <is>
          <t>UK-000460-01</t>
        </is>
      </c>
      <c r="C330" s="5" t="inlineStr"/>
      <c r="D330" s="5" t="inlineStr">
        <is>
          <t>Causeway Wines</t>
        </is>
      </c>
      <c r="E330" s="5" t="inlineStr">
        <is>
          <t>Causeway Wines</t>
        </is>
      </c>
      <c r="F330" s="5" t="inlineStr"/>
      <c r="G330" s="5" t="inlineStr">
        <is>
          <t>Off-Licence</t>
        </is>
      </c>
      <c r="H330" s="5" t="inlineStr">
        <is>
          <t>Off-licence &amp; convenience</t>
        </is>
      </c>
      <c r="I330" s="5" t="inlineStr">
        <is>
          <t>Independent</t>
        </is>
      </c>
      <c r="J330" s="5" t="inlineStr">
        <is>
          <t>1</t>
        </is>
      </c>
      <c r="K330" s="5" t="inlineStr"/>
      <c r="L330" s="5" t="inlineStr"/>
      <c r="M330" s="5" t="inlineStr"/>
      <c r="N330" s="5" t="inlineStr"/>
      <c r="O330" s="5" t="inlineStr">
        <is>
          <t>202 Causeway Green Road</t>
        </is>
      </c>
      <c r="P330" s="5" t="inlineStr"/>
      <c r="Q330" s="5" t="inlineStr">
        <is>
          <t>Oldbury</t>
        </is>
      </c>
      <c r="R330" s="5" t="inlineStr">
        <is>
          <t>West Midlands</t>
        </is>
      </c>
      <c r="S330" s="5" t="inlineStr">
        <is>
          <t>B68 8LS</t>
        </is>
      </c>
      <c r="T330" s="5" t="inlineStr">
        <is>
          <t>West Midlands</t>
        </is>
      </c>
      <c r="U330" s="5" t="inlineStr">
        <is>
          <t>England</t>
        </is>
      </c>
      <c r="V330" s="5" t="inlineStr">
        <is>
          <t>0121 541 2103</t>
        </is>
      </c>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beers; wines; spirits; convenience</t>
        </is>
      </c>
      <c r="AL330" s="5" t="inlineStr"/>
      <c r="AM330" s="5" t="inlineStr">
        <is>
          <t>Off-Licence</t>
        </is>
      </c>
      <c r="AN330" s="5" t="inlineStr"/>
      <c r="AO330" s="5" t="inlineStr">
        <is>
          <t>Independent off-licence, 202 Causeway Green Road, Oldbury. Address and phone from Yell Oldbury off-licences listing snippet.</t>
        </is>
      </c>
      <c r="AP330" s="5" t="inlineStr">
        <is>
          <t>Low</t>
        </is>
      </c>
      <c r="AQ330" s="5" t="inlineStr">
        <is>
          <t>Independent retailer; Relevant category</t>
        </is>
      </c>
      <c r="AR330" s="5" t="inlineStr">
        <is>
          <t>https://www.yell.com/s/off+licences+and+wine+merchants-oldbury-west+midlands.html</t>
        </is>
      </c>
      <c r="AS330" s="5" t="inlineStr"/>
      <c r="AT330" s="5" t="inlineStr">
        <is>
          <t>1</t>
        </is>
      </c>
      <c r="AU330" s="5" t="inlineStr">
        <is>
          <t>No</t>
        </is>
      </c>
      <c r="AV330" s="5" t="inlineStr">
        <is>
          <t>No</t>
        </is>
      </c>
      <c r="AW330" s="5" t="inlineStr">
        <is>
          <t>No</t>
        </is>
      </c>
      <c r="AX330" s="5" t="inlineStr">
        <is>
          <t>No</t>
        </is>
      </c>
      <c r="AY330" s="5" t="inlineStr">
        <is>
          <t>Verified directory</t>
        </is>
      </c>
      <c r="AZ330" s="5" t="inlineStr">
        <is>
          <t>Not Found</t>
        </is>
      </c>
      <c r="BA330" s="5" t="inlineStr">
        <is>
          <t>2026-09-17</t>
        </is>
      </c>
      <c r="BB330" s="5" t="inlineStr">
        <is>
          <t>Requires Verification</t>
        </is>
      </c>
      <c r="BC330" s="5" t="inlineStr">
        <is>
          <t>Medium</t>
        </is>
      </c>
      <c r="BD330" s="5" t="inlineStr"/>
      <c r="BE330" s="5" t="inlineStr">
        <is>
          <t>Business (B2B)</t>
        </is>
      </c>
      <c r="BF330" s="5" t="inlineStr">
        <is>
          <t>Legitimate interest (B2B) - assess per campaign; PECR: corporate subscribers</t>
        </is>
      </c>
      <c r="BG330" s="5" t="inlineStr"/>
      <c r="BH330" s="5" t="inlineStr">
        <is>
          <t>No</t>
        </is>
      </c>
      <c r="BI330" s="5" t="inlineStr">
        <is>
          <t>2026-09-17</t>
        </is>
      </c>
      <c r="BJ330" s="5" t="inlineStr">
        <is>
          <t>New</t>
        </is>
      </c>
      <c r="BK330" s="5" t="inlineStr">
        <is>
          <t>2026-09-17</t>
        </is>
      </c>
      <c r="BL330" s="5" t="inlineStr"/>
      <c r="BM330" s="5" t="inlineStr"/>
      <c r="BN330" s="5" t="inlineStr"/>
      <c r="BO330" s="5" t="inlineStr"/>
      <c r="BP330" s="5" t="inlineStr"/>
      <c r="BQ330" s="5" t="inlineStr"/>
    </row>
    <row r="331">
      <c r="A331" s="10" t="inlineStr">
        <is>
          <t>UK-000461</t>
        </is>
      </c>
      <c r="B331" s="10" t="inlineStr">
        <is>
          <t>UK-000461-01</t>
        </is>
      </c>
      <c r="C331" s="10" t="inlineStr"/>
      <c r="D331" s="10" t="inlineStr">
        <is>
          <t>Cave Lounge</t>
        </is>
      </c>
      <c r="E331" s="10" t="inlineStr">
        <is>
          <t>Cave Lounge</t>
        </is>
      </c>
      <c r="F331" s="10" t="inlineStr">
        <is>
          <t>Cave Lounge Wolverhampton Limited</t>
        </is>
      </c>
      <c r="G331" s="10" t="inlineStr">
        <is>
          <t>Smoke / Shisha Shop</t>
        </is>
      </c>
      <c r="H331" s="10" t="inlineStr">
        <is>
          <t>Shisha lounge</t>
        </is>
      </c>
      <c r="I331" s="10" t="inlineStr">
        <is>
          <t>Independent</t>
        </is>
      </c>
      <c r="J331" s="10" t="inlineStr">
        <is>
          <t>1</t>
        </is>
      </c>
      <c r="K331" s="10" t="inlineStr">
        <is>
          <t>https://cavelounge.co.uk/</t>
        </is>
      </c>
      <c r="L331" s="10" t="inlineStr"/>
      <c r="M331" s="10" t="inlineStr"/>
      <c r="N331" s="10" t="inlineStr"/>
      <c r="O331" s="10" t="inlineStr">
        <is>
          <t>Frederick Street</t>
        </is>
      </c>
      <c r="P331" s="10" t="inlineStr"/>
      <c r="Q331" s="10" t="inlineStr">
        <is>
          <t>Wolverhampton</t>
        </is>
      </c>
      <c r="R331" s="10" t="inlineStr">
        <is>
          <t>West Midlands</t>
        </is>
      </c>
      <c r="S331" s="10" t="inlineStr"/>
      <c r="T331" s="10" t="inlineStr">
        <is>
          <t>West Midlands</t>
        </is>
      </c>
      <c r="U331" s="10" t="inlineStr">
        <is>
          <t>England</t>
        </is>
      </c>
      <c r="V331" s="10" t="inlineStr"/>
      <c r="W331" s="10" t="inlineStr"/>
      <c r="X331" s="10" t="inlineStr"/>
      <c r="Y331" s="10" t="inlineStr"/>
      <c r="Z331" s="10" t="inlineStr"/>
      <c r="AA331" s="10" t="inlineStr"/>
      <c r="AB331" s="10" t="inlineStr"/>
      <c r="AC331" s="10" t="inlineStr"/>
      <c r="AD331" s="10" t="inlineStr"/>
      <c r="AE331" s="10" t="inlineStr">
        <is>
          <t>11537893</t>
        </is>
      </c>
      <c r="AF331" s="10" t="inlineStr"/>
      <c r="AG331" s="10" t="inlineStr">
        <is>
          <t>CAVE LOUNGE WOLVERHAMPTON LIMITED</t>
        </is>
      </c>
      <c r="AH331" s="10" t="inlineStr"/>
      <c r="AI331" s="10" t="inlineStr"/>
      <c r="AJ331" s="10" t="inlineStr"/>
      <c r="AK331" s="10" t="inlineStr">
        <is>
          <t>shisha; hookah tobacco; lounge</t>
        </is>
      </c>
      <c r="AL331" s="10" t="inlineStr"/>
      <c r="AM331" s="10" t="inlineStr">
        <is>
          <t>Smoke / Shisha Shop</t>
        </is>
      </c>
      <c r="AN331" s="10" t="inlineStr"/>
      <c r="AO331" s="10" t="inlineStr">
        <is>
          <t>Described as Wolverhampton's largest shisha lounge (Moroccan decor), Frederick Street. Postcode not confirmed in snippets.</t>
        </is>
      </c>
      <c r="AP331" s="10" t="inlineStr">
        <is>
          <t>Medium</t>
        </is>
      </c>
      <c r="AQ331" s="10" t="inlineStr">
        <is>
          <t>Independent retailer; Core relevant category; Active website</t>
        </is>
      </c>
      <c r="AR331" s="10" t="inlineStr">
        <is>
          <t>https://cavelounge.co.uk/</t>
        </is>
      </c>
      <c r="AS331" s="10" t="inlineStr">
        <is>
          <t>https://find-and-update.company-information.service.gov.uk/company/11537893/filing-history</t>
        </is>
      </c>
      <c r="AT331" s="10" t="inlineStr">
        <is>
          <t>2</t>
        </is>
      </c>
      <c r="AU331" s="10" t="inlineStr">
        <is>
          <t>Yes</t>
        </is>
      </c>
      <c r="AV331" s="10" t="inlineStr">
        <is>
          <t>No</t>
        </is>
      </c>
      <c r="AW331" s="10" t="inlineStr">
        <is>
          <t>No</t>
        </is>
      </c>
      <c r="AX331" s="10" t="inlineStr">
        <is>
          <t>Yes</t>
        </is>
      </c>
      <c r="AY331" s="10" t="inlineStr">
        <is>
          <t>Not Found</t>
        </is>
      </c>
      <c r="AZ331" s="10" t="inlineStr">
        <is>
          <t>Website Found</t>
        </is>
      </c>
      <c r="BA331" s="10" t="inlineStr">
        <is>
          <t>2026-09-17</t>
        </is>
      </c>
      <c r="BB331" s="10" t="inlineStr">
        <is>
          <t>Verified (website + Companies House)</t>
        </is>
      </c>
      <c r="BC331" s="10" t="inlineStr">
        <is>
          <t>Medium</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2026-09-17</t>
        </is>
      </c>
      <c r="BJ331" s="10" t="inlineStr">
        <is>
          <t>New</t>
        </is>
      </c>
      <c r="BK331" s="10" t="inlineStr">
        <is>
          <t>2026-09-17</t>
        </is>
      </c>
      <c r="BL331" s="10" t="inlineStr"/>
      <c r="BM331" s="10" t="inlineStr"/>
      <c r="BN331" s="10" t="inlineStr"/>
      <c r="BO331" s="10" t="inlineStr"/>
      <c r="BP331" s="10" t="inlineStr"/>
      <c r="BQ331" s="10" t="inlineStr"/>
    </row>
    <row r="332">
      <c r="A332" s="5" t="inlineStr">
        <is>
          <t>WY-0075</t>
        </is>
      </c>
      <c r="B332" s="5" t="inlineStr">
        <is>
          <t>WY-0075-01</t>
        </is>
      </c>
      <c r="C332" s="5" t="inlineStr"/>
      <c r="D332" s="5" t="inlineStr">
        <is>
          <t>Charlesworths</t>
        </is>
      </c>
      <c r="E332" s="5" t="inlineStr">
        <is>
          <t>Charlesworths</t>
        </is>
      </c>
      <c r="F332" s="5" t="inlineStr"/>
      <c r="G332" s="5" t="inlineStr">
        <is>
          <t>Newsagent</t>
        </is>
      </c>
      <c r="H332" s="5" t="inlineStr">
        <is>
          <t>Newsagent, stationer, toys and confectionery</t>
        </is>
      </c>
      <c r="I332" s="5" t="inlineStr">
        <is>
          <t>Independent</t>
        </is>
      </c>
      <c r="J332" s="5" t="inlineStr">
        <is>
          <t>1</t>
        </is>
      </c>
      <c r="K332" s="5" t="inlineStr"/>
      <c r="L332" s="5" t="inlineStr"/>
      <c r="M332" s="5" t="inlineStr"/>
      <c r="N332" s="5" t="inlineStr"/>
      <c r="O332" s="5" t="inlineStr">
        <is>
          <t>27 Victoria Street</t>
        </is>
      </c>
      <c r="P332" s="5" t="inlineStr"/>
      <c r="Q332" s="5" t="inlineStr">
        <is>
          <t>Holmfirth</t>
        </is>
      </c>
      <c r="R332" s="5" t="inlineStr">
        <is>
          <t>West Yorkshire</t>
        </is>
      </c>
      <c r="S332" s="5" t="inlineStr">
        <is>
          <t>HD9 7DF</t>
        </is>
      </c>
      <c r="T332" s="5" t="inlineStr">
        <is>
          <t>Yorkshire &amp; Humber</t>
        </is>
      </c>
      <c r="U332" s="5" t="inlineStr">
        <is>
          <t>England</t>
        </is>
      </c>
      <c r="V332" s="5" t="inlineStr">
        <is>
          <t>01484 681111</t>
        </is>
      </c>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newspapers; magazines; confectionery; toys; stationery</t>
        </is>
      </c>
      <c r="AL332" s="5" t="inlineStr"/>
      <c r="AM332" s="5" t="inlineStr">
        <is>
          <t>Newsagent</t>
        </is>
      </c>
      <c r="AN332" s="5" t="inlineStr"/>
      <c r="AO332" s="5" t="inlineStr">
        <is>
          <t>Newsagent trading on this site since 1891 per Holmfirth Local History Group. A 'CHARLESWORTHS (YORKSHIRE) LIMITED' exists at Companies House but was not confirmed as the same business, so not recorded.</t>
        </is>
      </c>
      <c r="AP332" s="5" t="inlineStr">
        <is>
          <t>Low</t>
        </is>
      </c>
      <c r="AQ332" s="5" t="inlineStr">
        <is>
          <t>Independent retailer; Relevant category</t>
        </is>
      </c>
      <c r="AR332" s="5" t="inlineStr">
        <is>
          <t>https://myindex.co.uk/charlesworths.htm</t>
        </is>
      </c>
      <c r="AS332" s="5" t="inlineStr">
        <is>
          <t>https://citikey.uk/display/charlesworths-B1CQZ</t>
        </is>
      </c>
      <c r="AT332" s="5" t="inlineStr">
        <is>
          <t>3</t>
        </is>
      </c>
      <c r="AU332" s="5" t="inlineStr">
        <is>
          <t>No</t>
        </is>
      </c>
      <c r="AV332" s="5" t="inlineStr">
        <is>
          <t>No</t>
        </is>
      </c>
      <c r="AW332" s="5" t="inlineStr">
        <is>
          <t>No</t>
        </is>
      </c>
      <c r="AX332" s="5" t="inlineStr">
        <is>
          <t>No</t>
        </is>
      </c>
      <c r="AY332" s="5" t="inlineStr">
        <is>
          <t>Verified directory</t>
        </is>
      </c>
      <c r="AZ332" s="5" t="inlineStr">
        <is>
          <t>Not Found</t>
        </is>
      </c>
      <c r="BA332" s="5" t="inlineStr">
        <is>
          <t>2026-09-17</t>
        </is>
      </c>
      <c r="BB332" s="5" t="inlineStr">
        <is>
          <t>Requires Verification</t>
        </is>
      </c>
      <c r="BC332" s="5" t="inlineStr">
        <is>
          <t>Medium</t>
        </is>
      </c>
      <c r="BD332" s="5" t="inlineStr"/>
      <c r="BE332" s="5" t="inlineStr">
        <is>
          <t>Business (B2B)</t>
        </is>
      </c>
      <c r="BF332" s="5" t="inlineStr">
        <is>
          <t>Legitimate interest (B2B) - assess per campaign; PECR: corporate subscribers</t>
        </is>
      </c>
      <c r="BG332" s="5" t="inlineStr"/>
      <c r="BH332" s="5" t="inlineStr">
        <is>
          <t>No</t>
        </is>
      </c>
      <c r="BI332" s="5" t="inlineStr">
        <is>
          <t>2026-09-16</t>
        </is>
      </c>
      <c r="BJ332" s="5" t="inlineStr">
        <is>
          <t>New</t>
        </is>
      </c>
      <c r="BK332" s="5" t="inlineStr">
        <is>
          <t>2026-09-17</t>
        </is>
      </c>
      <c r="BL332" s="5" t="inlineStr"/>
      <c r="BM332" s="5" t="inlineStr"/>
      <c r="BN332" s="5" t="inlineStr"/>
      <c r="BO332" s="5" t="inlineStr"/>
      <c r="BP332" s="5" t="inlineStr"/>
      <c r="BQ332" s="5" t="inlineStr"/>
    </row>
    <row r="333">
      <c r="A333" s="10" t="inlineStr">
        <is>
          <t>UK-000349</t>
        </is>
      </c>
      <c r="B333" s="10" t="inlineStr">
        <is>
          <t>UK-000349-01</t>
        </is>
      </c>
      <c r="C333" s="10" t="inlineStr"/>
      <c r="D333" s="10" t="inlineStr">
        <is>
          <t>Cheapasmokes Bolton</t>
        </is>
      </c>
      <c r="E333" s="10" t="inlineStr">
        <is>
          <t>Cheapasmokes</t>
        </is>
      </c>
      <c r="F333" s="10" t="inlineStr"/>
      <c r="G333" s="10" t="inlineStr">
        <is>
          <t>Tobacco Specialist</t>
        </is>
      </c>
      <c r="H333" s="10" t="inlineStr">
        <is>
          <t>Discount tobacco and cigar specialist</t>
        </is>
      </c>
      <c r="I333" s="10" t="inlineStr">
        <is>
          <t>Independent</t>
        </is>
      </c>
      <c r="J333" s="10" t="inlineStr">
        <is>
          <t>1</t>
        </is>
      </c>
      <c r="K333" s="10" t="inlineStr">
        <is>
          <t>https://www.cheapasmokes.com/</t>
        </is>
      </c>
      <c r="L333" s="10" t="inlineStr"/>
      <c r="M333" s="10" t="inlineStr"/>
      <c r="N333" s="10" t="inlineStr"/>
      <c r="O333" s="10" t="inlineStr">
        <is>
          <t>Bolton 4 Day Market, Ashburner Street</t>
        </is>
      </c>
      <c r="P333" s="10" t="inlineStr"/>
      <c r="Q333" s="10" t="inlineStr">
        <is>
          <t>Bolton</t>
        </is>
      </c>
      <c r="R333" s="10" t="inlineStr">
        <is>
          <t>Greater Manchester</t>
        </is>
      </c>
      <c r="S333" s="10" t="inlineStr"/>
      <c r="T333" s="10" t="inlineStr">
        <is>
          <t>North West</t>
        </is>
      </c>
      <c r="U333" s="10" t="inlineStr">
        <is>
          <t>England</t>
        </is>
      </c>
      <c r="V333" s="10" t="inlineStr"/>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cut-price cigarettes; tobacco; cigars</t>
        </is>
      </c>
      <c r="AL333" s="10" t="inlineStr"/>
      <c r="AM333" s="10" t="inlineStr">
        <is>
          <t>Tobacco Specialist</t>
        </is>
      </c>
      <c r="AN333" s="10" t="inlineStr"/>
      <c r="AO333" s="10" t="inlineStr">
        <is>
          <t>Discount cigarette, tobacco and cigar specialist in Bolton 4 Day Market, Ashburner Street. Has an online store (cheapasmokes.com). Postcode not confirmed in snippet.</t>
        </is>
      </c>
      <c r="AP333" s="10" t="inlineStr">
        <is>
          <t>Medium</t>
        </is>
      </c>
      <c r="AQ333" s="10" t="inlineStr">
        <is>
          <t>Independent retailer; Core relevant category; Active website</t>
        </is>
      </c>
      <c r="AR333" s="10" t="inlineStr">
        <is>
          <t>https://www.cheapasmokes.com/pages/cheapasmokes-bolton</t>
        </is>
      </c>
      <c r="AS333" s="10" t="inlineStr"/>
      <c r="AT333" s="10" t="inlineStr">
        <is>
          <t>1</t>
        </is>
      </c>
      <c r="AU333" s="10" t="inlineStr">
        <is>
          <t>No</t>
        </is>
      </c>
      <c r="AV333" s="10" t="inlineStr">
        <is>
          <t>No</t>
        </is>
      </c>
      <c r="AW333" s="10" t="inlineStr">
        <is>
          <t>No</t>
        </is>
      </c>
      <c r="AX333" s="10" t="inlineStr">
        <is>
          <t>No</t>
        </is>
      </c>
      <c r="AY333" s="10" t="inlineStr">
        <is>
          <t>Not Found</t>
        </is>
      </c>
      <c r="AZ333" s="10" t="inlineStr">
        <is>
          <t>Website Found</t>
        </is>
      </c>
      <c r="BA333" s="10" t="inlineStr">
        <is>
          <t>2026-09-17</t>
        </is>
      </c>
      <c r="BB333" s="10" t="inlineStr">
        <is>
          <t>Requires Verification</t>
        </is>
      </c>
      <c r="BC333" s="10" t="inlineStr">
        <is>
          <t>Low</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UK-000240</t>
        </is>
      </c>
      <c r="B334" s="5" t="inlineStr">
        <is>
          <t>UK-000240-01</t>
        </is>
      </c>
      <c r="C334" s="5" t="inlineStr"/>
      <c r="D334" s="5" t="inlineStr">
        <is>
          <t>Chong Wah Oriental Supermarket</t>
        </is>
      </c>
      <c r="E334" s="5" t="inlineStr">
        <is>
          <t>Chong Wah Oriental Supermarket</t>
        </is>
      </c>
      <c r="F334" s="5" t="inlineStr"/>
      <c r="G334" s="5" t="inlineStr">
        <is>
          <t>Independent Supermarket</t>
        </is>
      </c>
      <c r="H334" s="5" t="inlineStr">
        <is>
          <t>Asian / oriental supermarket</t>
        </is>
      </c>
      <c r="I334" s="5" t="inlineStr">
        <is>
          <t>Independent</t>
        </is>
      </c>
      <c r="J334" s="5" t="inlineStr">
        <is>
          <t>1</t>
        </is>
      </c>
      <c r="K334" s="5" t="inlineStr"/>
      <c r="L334" s="5" t="inlineStr"/>
      <c r="M334" s="5" t="inlineStr"/>
      <c r="N334" s="5" t="inlineStr"/>
      <c r="O334" s="5" t="inlineStr">
        <is>
          <t>Union Street</t>
        </is>
      </c>
      <c r="P334" s="5" t="inlineStr"/>
      <c r="Q334" s="5" t="inlineStr">
        <is>
          <t>Kingston upon Hull</t>
        </is>
      </c>
      <c r="R334" s="5" t="inlineStr">
        <is>
          <t>East Riding of Yorkshire</t>
        </is>
      </c>
      <c r="S334" s="5" t="inlineStr"/>
      <c r="T334" s="5" t="inlineStr">
        <is>
          <t>Yorkshire &amp; Humber</t>
        </is>
      </c>
      <c r="U334" s="5" t="inlineStr">
        <is>
          <t>England</t>
        </is>
      </c>
      <c r="V334" s="5" t="inlineStr"/>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Asian groceries; oriental foods; fresh produce</t>
        </is>
      </c>
      <c r="AL334" s="5" t="inlineStr"/>
      <c r="AM334" s="5" t="inlineStr">
        <is>
          <t>Independent Supermarket</t>
        </is>
      </c>
      <c r="AN334" s="5" t="inlineStr"/>
      <c r="AO334" s="5" t="inlineStr">
        <is>
          <t>Independent oriental/Asian supermarket on Union Street, Hull. No postcode/phone in search results.</t>
        </is>
      </c>
      <c r="AP334" s="5" t="inlineStr">
        <is>
          <t>Low</t>
        </is>
      </c>
      <c r="AQ334" s="5" t="inlineStr">
        <is>
          <t>Independent retailer; Relevant category</t>
        </is>
      </c>
      <c r="AR334" s="5" t="inlineStr">
        <is>
          <t>https://www.yorkshire.com/hull/shopping/supermarkets/chong-wah-oriental-supermarket</t>
        </is>
      </c>
      <c r="AS334" s="5" t="inlineStr"/>
      <c r="AT334" s="5" t="inlineStr">
        <is>
          <t>1</t>
        </is>
      </c>
      <c r="AU334" s="5" t="inlineStr">
        <is>
          <t>No</t>
        </is>
      </c>
      <c r="AV334" s="5" t="inlineStr">
        <is>
          <t>No</t>
        </is>
      </c>
      <c r="AW334" s="5" t="inlineStr">
        <is>
          <t>No</t>
        </is>
      </c>
      <c r="AX334" s="5" t="inlineStr">
        <is>
          <t>No</t>
        </is>
      </c>
      <c r="AY334" s="5" t="inlineStr">
        <is>
          <t>Not Found</t>
        </is>
      </c>
      <c r="AZ334" s="5" t="inlineStr">
        <is>
          <t>Not Found</t>
        </is>
      </c>
      <c r="BA334" s="5" t="inlineStr">
        <is>
          <t>2026-09-17</t>
        </is>
      </c>
      <c r="BB334" s="5" t="inlineStr">
        <is>
          <t>Requires Verification</t>
        </is>
      </c>
      <c r="BC334" s="5" t="inlineStr">
        <is>
          <t>Low</t>
        </is>
      </c>
      <c r="BD334" s="5" t="inlineStr"/>
      <c r="BE334" s="5" t="inlineStr">
        <is>
          <t>Business (B2B)</t>
        </is>
      </c>
      <c r="BF334" s="5" t="inlineStr">
        <is>
          <t>Legitimate interest (B2B) - assess per campaign; PECR: corporate subscribers</t>
        </is>
      </c>
      <c r="BG334" s="5" t="inlineStr"/>
      <c r="BH334" s="5" t="inlineStr">
        <is>
          <t>No</t>
        </is>
      </c>
      <c r="BI334" s="5" t="inlineStr">
        <is>
          <t>2026-09-16</t>
        </is>
      </c>
      <c r="BJ334" s="5" t="inlineStr">
        <is>
          <t>New</t>
        </is>
      </c>
      <c r="BK334" s="5" t="inlineStr">
        <is>
          <t>2026-09-17</t>
        </is>
      </c>
      <c r="BL334" s="5" t="inlineStr"/>
      <c r="BM334" s="5" t="inlineStr"/>
      <c r="BN334" s="5" t="inlineStr"/>
      <c r="BO334" s="5" t="inlineStr"/>
      <c r="BP334" s="5" t="inlineStr"/>
      <c r="BQ334" s="5" t="inlineStr"/>
    </row>
    <row r="335">
      <c r="A335" s="10" t="inlineStr">
        <is>
          <t>UK-000763</t>
        </is>
      </c>
      <c r="B335" s="10" t="inlineStr">
        <is>
          <t>UK-000763-01</t>
        </is>
      </c>
      <c r="C335" s="10" t="inlineStr"/>
      <c r="D335" s="10" t="inlineStr">
        <is>
          <t>Cignil Vapour</t>
        </is>
      </c>
      <c r="E335" s="10" t="inlineStr">
        <is>
          <t>Cignil Vapour</t>
        </is>
      </c>
      <c r="F335" s="10" t="inlineStr"/>
      <c r="G335" s="10" t="inlineStr">
        <is>
          <t>Vape Shop</t>
        </is>
      </c>
      <c r="H335" s="10" t="inlineStr">
        <is>
          <t>Vape shop / e-liquids</t>
        </is>
      </c>
      <c r="I335" s="10" t="inlineStr">
        <is>
          <t>Independent</t>
        </is>
      </c>
      <c r="J335" s="10" t="inlineStr">
        <is>
          <t>1</t>
        </is>
      </c>
      <c r="K335" s="10" t="inlineStr"/>
      <c r="L335" s="10" t="inlineStr"/>
      <c r="M335" s="10" t="inlineStr"/>
      <c r="N335" s="10" t="inlineStr"/>
      <c r="O335" s="10" t="inlineStr"/>
      <c r="P335" s="10" t="inlineStr"/>
      <c r="Q335" s="10" t="inlineStr">
        <is>
          <t>Livingston</t>
        </is>
      </c>
      <c r="R335" s="10" t="inlineStr">
        <is>
          <t>West Lothian</t>
        </is>
      </c>
      <c r="S335" s="10" t="inlineStr"/>
      <c r="T335" s="10" t="inlineStr">
        <is>
          <t>Scotland</t>
        </is>
      </c>
      <c r="U335" s="10" t="inlineStr">
        <is>
          <t>Scotland</t>
        </is>
      </c>
      <c r="V335" s="10" t="inlineStr"/>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vape hardware; e-liquids</t>
        </is>
      </c>
      <c r="AL335" s="10" t="inlineStr"/>
      <c r="AM335" s="10" t="inlineStr">
        <is>
          <t>Vape Shop</t>
        </is>
      </c>
      <c r="AN335" s="10" t="inlineStr"/>
      <c r="AO335" s="10" t="inlineStr">
        <is>
          <t>Independent vape shop in Livingston, named in the Cylex/Yell Livingston vape listing (praised for competitive prices). Exact street address, postcode and phone not published in the snippet, so left blank rather than guessed.</t>
        </is>
      </c>
      <c r="AP335" s="10" t="inlineStr">
        <is>
          <t>Medium</t>
        </is>
      </c>
      <c r="AQ335" s="10" t="inlineStr">
        <is>
          <t>Independent retailer; Core relevant category</t>
        </is>
      </c>
      <c r="AR335" s="10" t="inlineStr">
        <is>
          <t>https://livingston.cylex-uk.co.uk/vape-shops/</t>
        </is>
      </c>
      <c r="AS335" s="10" t="inlineStr"/>
      <c r="AT335" s="10" t="inlineStr">
        <is>
          <t>1</t>
        </is>
      </c>
      <c r="AU335" s="10" t="inlineStr">
        <is>
          <t>No</t>
        </is>
      </c>
      <c r="AV335" s="10" t="inlineStr">
        <is>
          <t>No</t>
        </is>
      </c>
      <c r="AW335" s="10" t="inlineStr">
        <is>
          <t>No</t>
        </is>
      </c>
      <c r="AX335" s="10" t="inlineStr">
        <is>
          <t>No</t>
        </is>
      </c>
      <c r="AY335" s="10" t="inlineStr">
        <is>
          <t>Not Found</t>
        </is>
      </c>
      <c r="AZ335" s="10" t="inlineStr">
        <is>
          <t>Not Found</t>
        </is>
      </c>
      <c r="BA335" s="10" t="inlineStr">
        <is>
          <t>2026-09-17</t>
        </is>
      </c>
      <c r="BB335" s="10" t="inlineStr">
        <is>
          <t>Requires Verification</t>
        </is>
      </c>
      <c r="BC335" s="10" t="inlineStr">
        <is>
          <t>Low</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UK-000241</t>
        </is>
      </c>
      <c r="B336" s="5" t="inlineStr">
        <is>
          <t>UK-000241-01</t>
        </is>
      </c>
      <c r="C336" s="5" t="inlineStr"/>
      <c r="D336" s="5" t="inlineStr">
        <is>
          <t>Cirrus Vape Hull</t>
        </is>
      </c>
      <c r="E336" s="5" t="inlineStr">
        <is>
          <t>Cirrus Vape</t>
        </is>
      </c>
      <c r="F336" s="5" t="inlineStr"/>
      <c r="G336" s="5" t="inlineStr">
        <is>
          <t>Vape Shop</t>
        </is>
      </c>
      <c r="H336" s="5" t="inlineStr">
        <is>
          <t>E-cigarette shop</t>
        </is>
      </c>
      <c r="I336" s="5" t="inlineStr">
        <is>
          <t>Independent</t>
        </is>
      </c>
      <c r="J336" s="5" t="inlineStr">
        <is>
          <t>1</t>
        </is>
      </c>
      <c r="K336" s="5" t="inlineStr"/>
      <c r="L336" s="5" t="inlineStr">
        <is>
          <t>https://www.facebook.com/cirrusvapecirrusvape/</t>
        </is>
      </c>
      <c r="M336" s="5" t="inlineStr"/>
      <c r="N336" s="5" t="inlineStr"/>
      <c r="O336" s="5" t="inlineStr"/>
      <c r="P336" s="5" t="inlineStr"/>
      <c r="Q336" s="5" t="inlineStr">
        <is>
          <t>Kingston upon Hull</t>
        </is>
      </c>
      <c r="R336" s="5" t="inlineStr">
        <is>
          <t>East Riding of Yorkshire</t>
        </is>
      </c>
      <c r="S336" s="5" t="inlineStr"/>
      <c r="T336" s="5" t="inlineStr">
        <is>
          <t>Yorkshire &amp; Humber</t>
        </is>
      </c>
      <c r="U336" s="5" t="inlineStr">
        <is>
          <t>England</t>
        </is>
      </c>
      <c r="V336" s="5" t="inlineStr"/>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e-cigarettes; e-liquids</t>
        </is>
      </c>
      <c r="AL336" s="5" t="inlineStr"/>
      <c r="AM336" s="5" t="inlineStr">
        <is>
          <t>Vape Shop</t>
        </is>
      </c>
      <c r="AN336" s="5" t="inlineStr"/>
      <c r="AO336" s="5" t="inlineStr">
        <is>
          <t>Independent vape shop listed on Facebook. No address/phone published in search results.</t>
        </is>
      </c>
      <c r="AP336" s="5" t="inlineStr">
        <is>
          <t>Medium</t>
        </is>
      </c>
      <c r="AQ336" s="5" t="inlineStr">
        <is>
          <t>Independent retailer; Core relevant category; Social presence</t>
        </is>
      </c>
      <c r="AR336" s="5" t="inlineStr">
        <is>
          <t>https://www.facebook.com/cirrusvapecirrusvape/</t>
        </is>
      </c>
      <c r="AS336" s="5" t="inlineStr"/>
      <c r="AT336" s="5" t="inlineStr">
        <is>
          <t>1</t>
        </is>
      </c>
      <c r="AU336" s="5" t="inlineStr">
        <is>
          <t>No</t>
        </is>
      </c>
      <c r="AV336" s="5" t="inlineStr">
        <is>
          <t>No</t>
        </is>
      </c>
      <c r="AW336" s="5" t="inlineStr">
        <is>
          <t>No</t>
        </is>
      </c>
      <c r="AX336" s="5" t="inlineStr">
        <is>
          <t>No</t>
        </is>
      </c>
      <c r="AY336" s="5" t="inlineStr">
        <is>
          <t>Not Found</t>
        </is>
      </c>
      <c r="AZ336" s="5" t="inlineStr">
        <is>
          <t>Not Found</t>
        </is>
      </c>
      <c r="BA336" s="5" t="inlineStr">
        <is>
          <t>2026-09-17</t>
        </is>
      </c>
      <c r="BB336" s="5" t="inlineStr">
        <is>
          <t>Requires Verification</t>
        </is>
      </c>
      <c r="BC336" s="5" t="inlineStr">
        <is>
          <t>Low</t>
        </is>
      </c>
      <c r="BD336" s="5" t="inlineStr"/>
      <c r="BE336" s="5" t="inlineStr">
        <is>
          <t>Business (B2B)</t>
        </is>
      </c>
      <c r="BF336" s="5" t="inlineStr">
        <is>
          <t>Legitimate interest (B2B) - assess per campaign; PECR: corporate subscribers</t>
        </is>
      </c>
      <c r="BG336" s="5" t="inlineStr"/>
      <c r="BH336" s="5" t="inlineStr">
        <is>
          <t>No</t>
        </is>
      </c>
      <c r="BI336" s="5" t="inlineStr">
        <is>
          <t>2026-09-16</t>
        </is>
      </c>
      <c r="BJ336" s="5" t="inlineStr">
        <is>
          <t>New</t>
        </is>
      </c>
      <c r="BK336" s="5" t="inlineStr">
        <is>
          <t>2026-09-17</t>
        </is>
      </c>
      <c r="BL336" s="5" t="inlineStr"/>
      <c r="BM336" s="5" t="inlineStr"/>
      <c r="BN336" s="5" t="inlineStr"/>
      <c r="BO336" s="5" t="inlineStr"/>
      <c r="BP336" s="5" t="inlineStr"/>
      <c r="BQ336" s="5" t="inlineStr"/>
    </row>
    <row r="337">
      <c r="A337" s="10" t="inlineStr">
        <is>
          <t>UK-000764</t>
        </is>
      </c>
      <c r="B337" s="10" t="inlineStr">
        <is>
          <t>UK-000764-01</t>
        </is>
      </c>
      <c r="C337" s="10" t="inlineStr"/>
      <c r="D337" s="10" t="inlineStr">
        <is>
          <t>Coatbridge Vape Shop</t>
        </is>
      </c>
      <c r="E337" s="10" t="inlineStr">
        <is>
          <t>Coatbridge Vape Shop</t>
        </is>
      </c>
      <c r="F337" s="10" t="inlineStr"/>
      <c r="G337" s="10" t="inlineStr">
        <is>
          <t>Vape Shop</t>
        </is>
      </c>
      <c r="H337" s="10" t="inlineStr">
        <is>
          <t>Vape shop</t>
        </is>
      </c>
      <c r="I337" s="10" t="inlineStr">
        <is>
          <t>Independent</t>
        </is>
      </c>
      <c r="J337" s="10" t="inlineStr">
        <is>
          <t>1</t>
        </is>
      </c>
      <c r="K337" s="10" t="inlineStr"/>
      <c r="L337" s="10" t="inlineStr"/>
      <c r="M337" s="10" t="inlineStr"/>
      <c r="N337" s="10" t="inlineStr"/>
      <c r="O337" s="10" t="inlineStr">
        <is>
          <t>20 Calder Street</t>
        </is>
      </c>
      <c r="P337" s="10" t="inlineStr"/>
      <c r="Q337" s="10" t="inlineStr">
        <is>
          <t>Coatbridge</t>
        </is>
      </c>
      <c r="R337" s="10" t="inlineStr">
        <is>
          <t>North Lanarkshire</t>
        </is>
      </c>
      <c r="S337" s="10" t="inlineStr">
        <is>
          <t>ML5 4EX</t>
        </is>
      </c>
      <c r="T337" s="10" t="inlineStr">
        <is>
          <t>Scotland</t>
        </is>
      </c>
      <c r="U337" s="10" t="inlineStr">
        <is>
          <t>Scotland</t>
        </is>
      </c>
      <c r="V337" s="10" t="inlineStr">
        <is>
          <t>01236 437101</t>
        </is>
      </c>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vape hardware; e-liquids</t>
        </is>
      </c>
      <c r="AL337" s="10" t="inlineStr"/>
      <c r="AM337" s="10" t="inlineStr">
        <is>
          <t>Vape Shop</t>
        </is>
      </c>
      <c r="AN337" s="10" t="inlineStr"/>
      <c r="AO337" s="10" t="inlineStr">
        <is>
          <t>Independent vape shop at 20 Calder Street, Coatbridge. Address and phone from business directory listings.</t>
        </is>
      </c>
      <c r="AP337" s="10" t="inlineStr">
        <is>
          <t>Medium</t>
        </is>
      </c>
      <c r="AQ337" s="10" t="inlineStr">
        <is>
          <t>Independent retailer; Core relevant category</t>
        </is>
      </c>
      <c r="AR337" s="10" t="inlineStr">
        <is>
          <t>https://coatbridge-sct.business-dir.co.uk/coatbridge-vape-shop/</t>
        </is>
      </c>
      <c r="AS337" s="10" t="inlineStr">
        <is>
          <t>https://vapemaps.co/scotland/north-lanarkshire/coatbridge/coatbridge-vape-shop/10495</t>
        </is>
      </c>
      <c r="AT337" s="10" t="inlineStr">
        <is>
          <t>2</t>
        </is>
      </c>
      <c r="AU337" s="10" t="inlineStr">
        <is>
          <t>No</t>
        </is>
      </c>
      <c r="AV337" s="10" t="inlineStr">
        <is>
          <t>No</t>
        </is>
      </c>
      <c r="AW337" s="10" t="inlineStr">
        <is>
          <t>No</t>
        </is>
      </c>
      <c r="AX337" s="10" t="inlineStr">
        <is>
          <t>No</t>
        </is>
      </c>
      <c r="AY337" s="10" t="inlineStr">
        <is>
          <t>Verified directory</t>
        </is>
      </c>
      <c r="AZ337" s="10" t="inlineStr">
        <is>
          <t>Not Found</t>
        </is>
      </c>
      <c r="BA337" s="10" t="inlineStr">
        <is>
          <t>2026-09-17</t>
        </is>
      </c>
      <c r="BB337" s="10" t="inlineStr">
        <is>
          <t>Requires Verification</t>
        </is>
      </c>
      <c r="BC337" s="10" t="inlineStr">
        <is>
          <t>Medium</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UK-000591</t>
        </is>
      </c>
      <c r="B338" s="5" t="inlineStr">
        <is>
          <t>UK-000591-01</t>
        </is>
      </c>
      <c r="C338" s="5" t="inlineStr"/>
      <c r="D338" s="5" t="inlineStr">
        <is>
          <t>Cobham Food &amp; Wine</t>
        </is>
      </c>
      <c r="E338" s="5" t="inlineStr">
        <is>
          <t>Cobham Food &amp; Wine</t>
        </is>
      </c>
      <c r="F338" s="5" t="inlineStr"/>
      <c r="G338" s="5" t="inlineStr">
        <is>
          <t>Off-Licence</t>
        </is>
      </c>
      <c r="H338" s="5" t="inlineStr"/>
      <c r="I338" s="5" t="inlineStr">
        <is>
          <t>Independent</t>
        </is>
      </c>
      <c r="J338" s="5" t="inlineStr">
        <is>
          <t>1</t>
        </is>
      </c>
      <c r="K338" s="5" t="inlineStr"/>
      <c r="L338" s="5" t="inlineStr"/>
      <c r="M338" s="5" t="inlineStr"/>
      <c r="N338" s="5" t="inlineStr"/>
      <c r="O338" s="5" t="inlineStr">
        <is>
          <t>3 Cobham Court</t>
        </is>
      </c>
      <c r="P338" s="5" t="inlineStr">
        <is>
          <t>Haslemere Avenue</t>
        </is>
      </c>
      <c r="Q338" s="5" t="inlineStr">
        <is>
          <t>Mitcham</t>
        </is>
      </c>
      <c r="R338" s="5" t="inlineStr">
        <is>
          <t>Greater London</t>
        </is>
      </c>
      <c r="S338" s="5" t="inlineStr">
        <is>
          <t>CR4 3PR</t>
        </is>
      </c>
      <c r="T338" s="5" t="inlineStr">
        <is>
          <t>London</t>
        </is>
      </c>
      <c r="U338" s="5" t="inlineStr">
        <is>
          <t>England</t>
        </is>
      </c>
      <c r="V338" s="5" t="inlineStr">
        <is>
          <t>020 8767 8854</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grocery; off-licence; convenience</t>
        </is>
      </c>
      <c r="AL338" s="5" t="inlineStr"/>
      <c r="AM338" s="5" t="inlineStr">
        <is>
          <t>Off-Licence</t>
        </is>
      </c>
      <c r="AN338" s="5" t="inlineStr"/>
      <c r="AO338" s="5" t="inlineStr">
        <is>
          <t>Independent off-licence / convenience store, Mitcham. Address and phone from Yell directory.</t>
        </is>
      </c>
      <c r="AP338" s="5" t="inlineStr">
        <is>
          <t>Low</t>
        </is>
      </c>
      <c r="AQ338" s="5" t="inlineStr">
        <is>
          <t>Independent retailer; Relevant category</t>
        </is>
      </c>
      <c r="AR338" s="5" t="inlineStr">
        <is>
          <t>https://www.yell.com/s/off+licences-wimbledon-south+west+london.html</t>
        </is>
      </c>
      <c r="AS338" s="5" t="inlineStr"/>
      <c r="AT338" s="5" t="inlineStr">
        <is>
          <t>1</t>
        </is>
      </c>
      <c r="AU338" s="5" t="inlineStr">
        <is>
          <t>No</t>
        </is>
      </c>
      <c r="AV338" s="5" t="inlineStr">
        <is>
          <t>No</t>
        </is>
      </c>
      <c r="AW338" s="5" t="inlineStr">
        <is>
          <t>No</t>
        </is>
      </c>
      <c r="AX338" s="5" t="inlineStr">
        <is>
          <t>No</t>
        </is>
      </c>
      <c r="AY338" s="5" t="inlineStr">
        <is>
          <t>Verified directory</t>
        </is>
      </c>
      <c r="AZ338" s="5" t="inlineStr">
        <is>
          <t>Not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UK-000462</t>
        </is>
      </c>
      <c r="B339" s="10" t="inlineStr">
        <is>
          <t>UK-000462-01</t>
        </is>
      </c>
      <c r="C339" s="10" t="inlineStr"/>
      <c r="D339" s="10" t="inlineStr">
        <is>
          <t>Colley-Vape</t>
        </is>
      </c>
      <c r="E339" s="10" t="inlineStr">
        <is>
          <t>Colley-Vape</t>
        </is>
      </c>
      <c r="F339" s="10" t="inlineStr"/>
      <c r="G339" s="10" t="inlineStr">
        <is>
          <t>Vape Shop</t>
        </is>
      </c>
      <c r="H339" s="10" t="inlineStr">
        <is>
          <t>Vape shop &amp; delivery service</t>
        </is>
      </c>
      <c r="I339" s="10" t="inlineStr">
        <is>
          <t>Independent</t>
        </is>
      </c>
      <c r="J339" s="10" t="inlineStr">
        <is>
          <t>1</t>
        </is>
      </c>
      <c r="K339" s="10" t="inlineStr"/>
      <c r="L339" s="10" t="inlineStr">
        <is>
          <t>https://www.facebook.com/Colleyvape/</t>
        </is>
      </c>
      <c r="M339" s="10" t="inlineStr"/>
      <c r="N339" s="10" t="inlineStr"/>
      <c r="O339" s="10" t="inlineStr">
        <is>
          <t>Colley Gate</t>
        </is>
      </c>
      <c r="P339" s="10" t="inlineStr"/>
      <c r="Q339" s="10" t="inlineStr">
        <is>
          <t>Halesowen</t>
        </is>
      </c>
      <c r="R339" s="10" t="inlineStr">
        <is>
          <t>West Midlands</t>
        </is>
      </c>
      <c r="S339" s="10" t="inlineStr">
        <is>
          <t>B63 2BU</t>
        </is>
      </c>
      <c r="T339" s="10" t="inlineStr">
        <is>
          <t>West Midlands</t>
        </is>
      </c>
      <c r="U339" s="10" t="inlineStr">
        <is>
          <t>England</t>
        </is>
      </c>
      <c r="V339" s="10" t="inlineStr"/>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vape hardware; e-liquids; delivery</t>
        </is>
      </c>
      <c r="AL339" s="10" t="inlineStr"/>
      <c r="AM339" s="10" t="inlineStr">
        <is>
          <t>Vape Shop</t>
        </is>
      </c>
      <c r="AN339" s="10" t="inlineStr"/>
      <c r="AO339" s="10" t="inlineStr">
        <is>
          <t>Independent vape shop and delivery service in Colley Gate, Halesowen. Address from Facebook page snippet.</t>
        </is>
      </c>
      <c r="AP339" s="10" t="inlineStr">
        <is>
          <t>Medium</t>
        </is>
      </c>
      <c r="AQ339" s="10" t="inlineStr">
        <is>
          <t>Independent retailer; Core relevant category; Social presence</t>
        </is>
      </c>
      <c r="AR339" s="10" t="inlineStr">
        <is>
          <t>https://www.facebook.com/Colleyvape/</t>
        </is>
      </c>
      <c r="AS339" s="10" t="inlineStr"/>
      <c r="AT339" s="10" t="inlineStr">
        <is>
          <t>1</t>
        </is>
      </c>
      <c r="AU339" s="10" t="inlineStr">
        <is>
          <t>No</t>
        </is>
      </c>
      <c r="AV339" s="10" t="inlineStr">
        <is>
          <t>No</t>
        </is>
      </c>
      <c r="AW339" s="10" t="inlineStr">
        <is>
          <t>No</t>
        </is>
      </c>
      <c r="AX339" s="10" t="inlineStr">
        <is>
          <t>No</t>
        </is>
      </c>
      <c r="AY339" s="10" t="inlineStr">
        <is>
          <t>Not Found</t>
        </is>
      </c>
      <c r="AZ339" s="10" t="inlineStr">
        <is>
          <t>Not Found</t>
        </is>
      </c>
      <c r="BA339" s="10" t="inlineStr">
        <is>
          <t>2026-09-17</t>
        </is>
      </c>
      <c r="BB339" s="10" t="inlineStr">
        <is>
          <t>Requires Verification</t>
        </is>
      </c>
      <c r="BC339" s="10" t="inlineStr">
        <is>
          <t>Low</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2026-09-17</t>
        </is>
      </c>
      <c r="BJ339" s="10" t="inlineStr">
        <is>
          <t>New</t>
        </is>
      </c>
      <c r="BK339" s="10" t="inlineStr">
        <is>
          <t>2026-09-17</t>
        </is>
      </c>
      <c r="BL339" s="10" t="inlineStr"/>
      <c r="BM339" s="10" t="inlineStr"/>
      <c r="BN339" s="10" t="inlineStr"/>
      <c r="BO339" s="10" t="inlineStr"/>
      <c r="BP339" s="10" t="inlineStr"/>
      <c r="BQ339" s="10" t="inlineStr"/>
    </row>
    <row r="340">
      <c r="A340" s="5" t="inlineStr">
        <is>
          <t>UK-000765</t>
        </is>
      </c>
      <c r="B340" s="5" t="inlineStr">
        <is>
          <t>UK-000765-01</t>
        </is>
      </c>
      <c r="C340" s="5" t="inlineStr"/>
      <c r="D340" s="5" t="inlineStr">
        <is>
          <t>Convenience Store &amp; Off Licence - Haverty Precinct</t>
        </is>
      </c>
      <c r="E340" s="5" t="inlineStr">
        <is>
          <t>Convenience Store &amp; Off Licence</t>
        </is>
      </c>
      <c r="F340" s="5" t="inlineStr"/>
      <c r="G340" s="5" t="inlineStr">
        <is>
          <t>Convenience Store</t>
        </is>
      </c>
      <c r="H340" s="5" t="inlineStr">
        <is>
          <t>Convenience store / off-licence</t>
        </is>
      </c>
      <c r="I340" s="5" t="inlineStr">
        <is>
          <t>Independent</t>
        </is>
      </c>
      <c r="J340" s="5" t="inlineStr">
        <is>
          <t>1</t>
        </is>
      </c>
      <c r="K340" s="5" t="inlineStr"/>
      <c r="L340" s="5" t="inlineStr"/>
      <c r="M340" s="5" t="inlineStr"/>
      <c r="N340" s="5" t="inlineStr"/>
      <c r="O340" s="5" t="inlineStr">
        <is>
          <t>19 Haverty Precinct</t>
        </is>
      </c>
      <c r="P340" s="5" t="inlineStr"/>
      <c r="Q340" s="5" t="inlineStr">
        <is>
          <t>Newton-le-Willows</t>
        </is>
      </c>
      <c r="R340" s="5" t="inlineStr">
        <is>
          <t>Merseyside</t>
        </is>
      </c>
      <c r="S340" s="5" t="inlineStr">
        <is>
          <t>WA12 8QZ</t>
        </is>
      </c>
      <c r="T340" s="5" t="inlineStr">
        <is>
          <t>North West</t>
        </is>
      </c>
      <c r="U340" s="5" t="inlineStr">
        <is>
          <t>England</t>
        </is>
      </c>
      <c r="V340" s="5" t="inlineStr"/>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groceries; alcohol; tobacco</t>
        </is>
      </c>
      <c r="AL340" s="5" t="inlineStr"/>
      <c r="AM340" s="5" t="inlineStr">
        <is>
          <t>Convenience Store</t>
        </is>
      </c>
      <c r="AN340" s="5" t="inlineStr"/>
      <c r="AO340" s="5" t="inlineStr">
        <is>
          <t>Independent convenience store and off-licence, 19 Haverty Precinct, Newton-le-Willows. Address/postcode from vinsights business listing.</t>
        </is>
      </c>
      <c r="AP340" s="5" t="inlineStr">
        <is>
          <t>Low</t>
        </is>
      </c>
      <c r="AQ340" s="5" t="inlineStr">
        <is>
          <t>Independent retailer; Relevant category</t>
        </is>
      </c>
      <c r="AR340" s="5" t="inlineStr">
        <is>
          <t>https://vinsights.co.uk/Business/958907</t>
        </is>
      </c>
      <c r="AS340" s="5" t="inlineStr"/>
      <c r="AT340" s="5" t="inlineStr">
        <is>
          <t>1</t>
        </is>
      </c>
      <c r="AU340" s="5" t="inlineStr">
        <is>
          <t>No</t>
        </is>
      </c>
      <c r="AV340" s="5" t="inlineStr">
        <is>
          <t>No</t>
        </is>
      </c>
      <c r="AW340" s="5" t="inlineStr">
        <is>
          <t>No</t>
        </is>
      </c>
      <c r="AX340" s="5" t="inlineStr">
        <is>
          <t>No</t>
        </is>
      </c>
      <c r="AY340" s="5" t="inlineStr">
        <is>
          <t>Not Found</t>
        </is>
      </c>
      <c r="AZ340" s="5" t="inlineStr">
        <is>
          <t>Not Found</t>
        </is>
      </c>
      <c r="BA340" s="5" t="inlineStr">
        <is>
          <t>2026-09-17</t>
        </is>
      </c>
      <c r="BB340" s="5" t="inlineStr">
        <is>
          <t>Requires Verification</t>
        </is>
      </c>
      <c r="BC340" s="5" t="inlineStr">
        <is>
          <t>Low</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WY-0076</t>
        </is>
      </c>
      <c r="B341" s="10" t="inlineStr">
        <is>
          <t>WY-0076-01</t>
        </is>
      </c>
      <c r="C341" s="10" t="inlineStr"/>
      <c r="D341" s="10" t="inlineStr">
        <is>
          <t>Costcutter Wibsey</t>
        </is>
      </c>
      <c r="E341" s="10" t="inlineStr">
        <is>
          <t>Costcutter</t>
        </is>
      </c>
      <c r="F341" s="10" t="inlineStr"/>
      <c r="G341" s="10" t="inlineStr">
        <is>
          <t>Convenience Store</t>
        </is>
      </c>
      <c r="H341" s="10" t="inlineStr">
        <is>
          <t>Symbol-group convenience store</t>
        </is>
      </c>
      <c r="I341" s="10" t="inlineStr">
        <is>
          <t>Franchise / Symbol Group</t>
        </is>
      </c>
      <c r="J341" s="10" t="inlineStr">
        <is>
          <t>1</t>
        </is>
      </c>
      <c r="K341" s="10" t="inlineStr">
        <is>
          <t>https://store-locator.costcutter.co.uk/costcutter-b8ba71542351</t>
        </is>
      </c>
      <c r="L341" s="10" t="inlineStr"/>
      <c r="M341" s="10" t="inlineStr"/>
      <c r="N341" s="10" t="inlineStr"/>
      <c r="O341" s="10" t="inlineStr">
        <is>
          <t>48 Holroyd Hill</t>
        </is>
      </c>
      <c r="P341" s="10" t="inlineStr">
        <is>
          <t>Wibsey</t>
        </is>
      </c>
      <c r="Q341" s="10" t="inlineStr">
        <is>
          <t>Bradford</t>
        </is>
      </c>
      <c r="R341" s="10" t="inlineStr">
        <is>
          <t>West Yorkshire</t>
        </is>
      </c>
      <c r="S341" s="10" t="inlineStr">
        <is>
          <t>BD6 1PQ</t>
        </is>
      </c>
      <c r="T341" s="10" t="inlineStr">
        <is>
          <t>Yorkshire &amp; Humber</t>
        </is>
      </c>
      <c r="U341" s="10" t="inlineStr">
        <is>
          <t>England</t>
        </is>
      </c>
      <c r="V341" s="10" t="inlineStr">
        <is>
          <t>01274 723454</t>
        </is>
      </c>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convenience lines; groceries; alcohol; news</t>
        </is>
      </c>
      <c r="AL341" s="10" t="inlineStr"/>
      <c r="AM341" s="10" t="inlineStr">
        <is>
          <t>Convenience Store</t>
        </is>
      </c>
      <c r="AN341" s="10" t="inlineStr"/>
      <c r="AO341" s="10" t="inlineStr">
        <is>
          <t>Independently owned Costcutter symbol store in Wibsey; address confirmed via Costcutter store locator and local directory listings.</t>
        </is>
      </c>
      <c r="AP341" s="10" t="inlineStr">
        <is>
          <t>Medium</t>
        </is>
      </c>
      <c r="AQ341" s="10" t="inlineStr">
        <is>
          <t>Independent retailer; Relevant category; Active website</t>
        </is>
      </c>
      <c r="AR341" s="10" t="inlineStr">
        <is>
          <t>https://www.yorkshire.com/wibsey/shopping/corner-shops/costcutter-15</t>
        </is>
      </c>
      <c r="AS341" s="10" t="inlineStr">
        <is>
          <t>https://www.locaji.co.uk/west-yorkshire/bradford/costcutter/1616/</t>
        </is>
      </c>
      <c r="AT341" s="10" t="inlineStr">
        <is>
          <t>3</t>
        </is>
      </c>
      <c r="AU341" s="10" t="inlineStr">
        <is>
          <t>No</t>
        </is>
      </c>
      <c r="AV341" s="10" t="inlineStr">
        <is>
          <t>No</t>
        </is>
      </c>
      <c r="AW341" s="10" t="inlineStr">
        <is>
          <t>No</t>
        </is>
      </c>
      <c r="AX341" s="10" t="inlineStr">
        <is>
          <t>No</t>
        </is>
      </c>
      <c r="AY341" s="10" t="inlineStr">
        <is>
          <t>Verified directory</t>
        </is>
      </c>
      <c r="AZ341" s="10" t="inlineStr">
        <is>
          <t>Not Found</t>
        </is>
      </c>
      <c r="BA341" s="10" t="inlineStr">
        <is>
          <t>2026-09-17</t>
        </is>
      </c>
      <c r="BB341" s="10" t="inlineStr">
        <is>
          <t>Requires Verification</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2026-09-16</t>
        </is>
      </c>
      <c r="BJ341" s="10" t="inlineStr">
        <is>
          <t>New</t>
        </is>
      </c>
      <c r="BK341" s="10" t="inlineStr">
        <is>
          <t>2026-09-17</t>
        </is>
      </c>
      <c r="BL341" s="10" t="inlineStr"/>
      <c r="BM341" s="10" t="inlineStr"/>
      <c r="BN341" s="10" t="inlineStr"/>
      <c r="BO341" s="10" t="inlineStr"/>
      <c r="BP341" s="10" t="inlineStr"/>
      <c r="BQ341" s="10" t="inlineStr"/>
    </row>
    <row r="342">
      <c r="A342" s="5" t="inlineStr">
        <is>
          <t>WY-0077</t>
        </is>
      </c>
      <c r="B342" s="5" t="inlineStr">
        <is>
          <t>WY-0077-01</t>
        </is>
      </c>
      <c r="C342" s="5" t="inlineStr"/>
      <c r="D342" s="5" t="inlineStr">
        <is>
          <t>Cote Hill Filling Station</t>
        </is>
      </c>
      <c r="E342" s="5" t="inlineStr">
        <is>
          <t>Cote Hill Filling Station</t>
        </is>
      </c>
      <c r="F342" s="5" t="inlineStr"/>
      <c r="G342" s="5" t="inlineStr">
        <is>
          <t>Petrol Station / Forecourt</t>
        </is>
      </c>
      <c r="H342" s="5" t="inlineStr">
        <is>
          <t>Esso-branded independent forecourt with shop</t>
        </is>
      </c>
      <c r="I342" s="5" t="inlineStr">
        <is>
          <t>Independent</t>
        </is>
      </c>
      <c r="J342" s="5" t="inlineStr">
        <is>
          <t>1</t>
        </is>
      </c>
      <c r="K342" s="5" t="inlineStr">
        <is>
          <t>https://www.cotehillhalifax.co.uk/</t>
        </is>
      </c>
      <c r="L342" s="5" t="inlineStr">
        <is>
          <t>https://www.facebook.com/cotehillhalifax/</t>
        </is>
      </c>
      <c r="M342" s="5" t="inlineStr"/>
      <c r="N342" s="5" t="inlineStr"/>
      <c r="O342" s="5" t="inlineStr">
        <is>
          <t>Burnley Road</t>
        </is>
      </c>
      <c r="P342" s="5" t="inlineStr">
        <is>
          <t>Cote Hill / King Cross (between Halifax and Sowerby Bridge)</t>
        </is>
      </c>
      <c r="Q342" s="5" t="inlineStr">
        <is>
          <t>Halifax</t>
        </is>
      </c>
      <c r="R342" s="5" t="inlineStr">
        <is>
          <t>West Yorkshire</t>
        </is>
      </c>
      <c r="S342" s="5" t="inlineStr">
        <is>
          <t>HX2 7NB</t>
        </is>
      </c>
      <c r="T342" s="5" t="inlineStr">
        <is>
          <t>Yorkshire &amp; Humber</t>
        </is>
      </c>
      <c r="U342" s="5" t="inlineStr">
        <is>
          <t>England</t>
        </is>
      </c>
      <c r="V342" s="5" t="inlineStr">
        <is>
          <t>01422 835350</t>
        </is>
      </c>
      <c r="W342" s="5" t="inlineStr"/>
      <c r="X342" s="5" t="inlineStr"/>
      <c r="Y342" s="5" t="inlineStr">
        <is>
          <t>cotehillhalifax@gmail.com</t>
        </is>
      </c>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fuel (unleaded, diesel, Synergy 99+, gas oil); forecourt shop; car wash</t>
        </is>
      </c>
      <c r="AL342" s="5" t="inlineStr"/>
      <c r="AM342" s="5" t="inlineStr">
        <is>
          <t>Petrol Station / Forecourt</t>
        </is>
      </c>
      <c r="AN342" s="5" t="inlineStr">
        <is>
          <t>Esso fuel supply</t>
        </is>
      </c>
      <c r="AO342" s="5" t="inlineStr">
        <is>
          <t>Independent family forecourt with its own website and Facebook page; open Mon-Sat 06:00-21:00, Sun 07:00-21:00. Website fetch blocked so phone/email not captured.</t>
        </is>
      </c>
      <c r="AP342" s="5" t="inlineStr">
        <is>
          <t>Medium</t>
        </is>
      </c>
      <c r="AQ342" s="5" t="inlineStr">
        <is>
          <t>Independent retailer; Relevant category; Public email available; Active website; Social presence</t>
        </is>
      </c>
      <c r="AR342" s="5" t="inlineStr">
        <is>
          <t>https://www.cotehillhalifax.co.uk/</t>
        </is>
      </c>
      <c r="AS342" s="5" t="inlineStr">
        <is>
          <t>https://www.yell.com/biz/cote-hill-filling-station-halifax-994009/</t>
        </is>
      </c>
      <c r="AT342" s="5" t="inlineStr">
        <is>
          <t>3</t>
        </is>
      </c>
      <c r="AU342" s="5" t="inlineStr">
        <is>
          <t>No</t>
        </is>
      </c>
      <c r="AV342" s="5" t="inlineStr">
        <is>
          <t>No</t>
        </is>
      </c>
      <c r="AW342" s="5" t="inlineStr">
        <is>
          <t>Yes</t>
        </is>
      </c>
      <c r="AX342" s="5" t="inlineStr">
        <is>
          <t>No</t>
        </is>
      </c>
      <c r="AY342" s="5" t="inlineStr">
        <is>
          <t>Verified directory</t>
        </is>
      </c>
      <c r="AZ342" s="5" t="inlineStr">
        <is>
          <t>Website Found</t>
        </is>
      </c>
      <c r="BA342" s="5" t="inlineStr">
        <is>
          <t>2026-09-17</t>
        </is>
      </c>
      <c r="BB342" s="5" t="inlineStr">
        <is>
          <t>Partially Verified</t>
        </is>
      </c>
      <c r="BC342" s="5" t="inlineStr">
        <is>
          <t>Medium</t>
        </is>
      </c>
      <c r="BD342" s="5" t="inlineStr"/>
      <c r="BE342" s="5" t="inlineStr">
        <is>
          <t>Business (B2B)</t>
        </is>
      </c>
      <c r="BF342" s="5" t="inlineStr">
        <is>
          <t>Legitimate interest (B2B) - assess per campaign; PECR: corporate subscribers</t>
        </is>
      </c>
      <c r="BG342" s="5" t="inlineStr"/>
      <c r="BH342" s="5" t="inlineStr">
        <is>
          <t>No</t>
        </is>
      </c>
      <c r="BI342" s="5" t="inlineStr">
        <is>
          <t>2026-09-16</t>
        </is>
      </c>
      <c r="BJ342" s="5" t="inlineStr">
        <is>
          <t>New</t>
        </is>
      </c>
      <c r="BK342" s="5" t="inlineStr">
        <is>
          <t>2026-09-17</t>
        </is>
      </c>
      <c r="BL342" s="5" t="inlineStr"/>
      <c r="BM342" s="5" t="inlineStr"/>
      <c r="BN342" s="5" t="inlineStr"/>
      <c r="BO342" s="5" t="inlineStr"/>
      <c r="BP342" s="5" t="inlineStr"/>
      <c r="BQ342" s="5" t="inlineStr"/>
    </row>
    <row r="343">
      <c r="A343" s="10" t="inlineStr">
        <is>
          <t>UK-000242</t>
        </is>
      </c>
      <c r="B343" s="10" t="inlineStr">
        <is>
          <t>UK-000242-01</t>
        </is>
      </c>
      <c r="C343" s="10" t="inlineStr"/>
      <c r="D343" s="10" t="inlineStr">
        <is>
          <t>Cram Vape Doncaster</t>
        </is>
      </c>
      <c r="E343" s="10" t="inlineStr">
        <is>
          <t>Cram Vape</t>
        </is>
      </c>
      <c r="F343" s="10" t="inlineStr"/>
      <c r="G343" s="10" t="inlineStr">
        <is>
          <t>Vape Shop</t>
        </is>
      </c>
      <c r="H343" s="10" t="inlineStr">
        <is>
          <t>Vape shop</t>
        </is>
      </c>
      <c r="I343" s="10" t="inlineStr">
        <is>
          <t>Independent</t>
        </is>
      </c>
      <c r="J343" s="10" t="inlineStr">
        <is>
          <t>1</t>
        </is>
      </c>
      <c r="K343" s="10" t="inlineStr">
        <is>
          <t>https://cram-vape.ueniweb.com/</t>
        </is>
      </c>
      <c r="L343" s="10" t="inlineStr"/>
      <c r="M343" s="10" t="inlineStr"/>
      <c r="N343" s="10" t="inlineStr"/>
      <c r="O343" s="10" t="inlineStr"/>
      <c r="P343" s="10" t="inlineStr"/>
      <c r="Q343" s="10" t="inlineStr">
        <is>
          <t>Doncaster</t>
        </is>
      </c>
      <c r="R343" s="10" t="inlineStr">
        <is>
          <t>South Yorkshire</t>
        </is>
      </c>
      <c r="S343" s="10" t="inlineStr"/>
      <c r="T343" s="10" t="inlineStr">
        <is>
          <t>Yorkshire &amp; Humber</t>
        </is>
      </c>
      <c r="U343" s="10" t="inlineStr">
        <is>
          <t>England</t>
        </is>
      </c>
      <c r="V343" s="10" t="inlineStr"/>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vape hardware; kits; mods; accessories; e-liquids</t>
        </is>
      </c>
      <c r="AL343" s="10" t="inlineStr"/>
      <c r="AM343" s="10" t="inlineStr">
        <is>
          <t>Vape Shop</t>
        </is>
      </c>
      <c r="AN343" s="10" t="inlineStr"/>
      <c r="AO343" s="10" t="inlineStr">
        <is>
          <t>Independent Doncaster vape shop with a UENI web listing; street address/postcode not captured from search results.</t>
        </is>
      </c>
      <c r="AP343" s="10" t="inlineStr">
        <is>
          <t>Medium</t>
        </is>
      </c>
      <c r="AQ343" s="10" t="inlineStr">
        <is>
          <t>Independent retailer; Core relevant category; Active website</t>
        </is>
      </c>
      <c r="AR343" s="10" t="inlineStr">
        <is>
          <t>https://cram-vape.ueniweb.com/</t>
        </is>
      </c>
      <c r="AS343" s="10" t="inlineStr"/>
      <c r="AT343" s="10" t="inlineStr">
        <is>
          <t>1</t>
        </is>
      </c>
      <c r="AU343" s="10" t="inlineStr">
        <is>
          <t>No</t>
        </is>
      </c>
      <c r="AV343" s="10" t="inlineStr">
        <is>
          <t>No</t>
        </is>
      </c>
      <c r="AW343" s="10" t="inlineStr">
        <is>
          <t>No</t>
        </is>
      </c>
      <c r="AX343" s="10" t="inlineStr">
        <is>
          <t>No</t>
        </is>
      </c>
      <c r="AY343" s="10" t="inlineStr">
        <is>
          <t>Not Found</t>
        </is>
      </c>
      <c r="AZ343" s="10" t="inlineStr">
        <is>
          <t>Website Found</t>
        </is>
      </c>
      <c r="BA343" s="10" t="inlineStr">
        <is>
          <t>2026-09-17</t>
        </is>
      </c>
      <c r="BB343" s="10" t="inlineStr">
        <is>
          <t>Requires Verification</t>
        </is>
      </c>
      <c r="BC343" s="10" t="inlineStr">
        <is>
          <t>Low</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2026-09-16</t>
        </is>
      </c>
      <c r="BJ343" s="10" t="inlineStr">
        <is>
          <t>New</t>
        </is>
      </c>
      <c r="BK343" s="10" t="inlineStr">
        <is>
          <t>2026-09-17</t>
        </is>
      </c>
      <c r="BL343" s="10" t="inlineStr"/>
      <c r="BM343" s="10" t="inlineStr"/>
      <c r="BN343" s="10" t="inlineStr"/>
      <c r="BO343" s="10" t="inlineStr"/>
      <c r="BP343" s="10" t="inlineStr"/>
      <c r="BQ343" s="10" t="inlineStr"/>
    </row>
    <row r="344">
      <c r="A344" s="5" t="inlineStr">
        <is>
          <t>WY-0078</t>
        </is>
      </c>
      <c r="B344" s="5" t="inlineStr">
        <is>
          <t>WY-0078-01</t>
        </is>
      </c>
      <c r="C344" s="5" t="inlineStr"/>
      <c r="D344" s="5" t="inlineStr">
        <is>
          <t>Crazycloudzzz</t>
        </is>
      </c>
      <c r="E344" s="5" t="inlineStr">
        <is>
          <t>Crazycloudzzz</t>
        </is>
      </c>
      <c r="F344" s="5" t="inlineStr"/>
      <c r="G344" s="5" t="inlineStr">
        <is>
          <t>Vape Shop</t>
        </is>
      </c>
      <c r="H344" s="5" t="inlineStr"/>
      <c r="I344" s="5" t="inlineStr">
        <is>
          <t>Independent</t>
        </is>
      </c>
      <c r="J344" s="5" t="inlineStr">
        <is>
          <t>1</t>
        </is>
      </c>
      <c r="K344" s="5" t="inlineStr"/>
      <c r="L344" s="5" t="inlineStr"/>
      <c r="M344" s="5" t="inlineStr"/>
      <c r="N344" s="5" t="inlineStr"/>
      <c r="O344" s="5" t="inlineStr">
        <is>
          <t>20 Bull Green</t>
        </is>
      </c>
      <c r="P344" s="5" t="inlineStr"/>
      <c r="Q344" s="5" t="inlineStr">
        <is>
          <t>Halifax</t>
        </is>
      </c>
      <c r="R344" s="5" t="inlineStr">
        <is>
          <t>West Yorkshire</t>
        </is>
      </c>
      <c r="S344" s="5" t="inlineStr">
        <is>
          <t>HX1 5AB</t>
        </is>
      </c>
      <c r="T344" s="5" t="inlineStr">
        <is>
          <t>Yorkshire &amp; Humber</t>
        </is>
      </c>
      <c r="U344" s="5" t="inlineStr">
        <is>
          <t>England</t>
        </is>
      </c>
      <c r="V344" s="5" t="inlineStr"/>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vapes; e-liquids</t>
        </is>
      </c>
      <c r="AL344" s="5" t="inlineStr"/>
      <c r="AM344" s="5" t="inlineStr">
        <is>
          <t>Vape Shop</t>
        </is>
      </c>
      <c r="AN344" s="5" t="inlineStr"/>
      <c r="AO344" s="5" t="inlineStr"/>
      <c r="AP344" s="5" t="inlineStr">
        <is>
          <t>Medium</t>
        </is>
      </c>
      <c r="AQ344" s="5" t="inlineStr">
        <is>
          <t>Independent retailer; Core relevant category</t>
        </is>
      </c>
      <c r="AR344" s="5" t="inlineStr">
        <is>
          <t>https://www.yell.com/s/tobacconists-halifax.html</t>
        </is>
      </c>
      <c r="AS344" s="5" t="inlineStr"/>
      <c r="AT344" s="5" t="inlineStr">
        <is>
          <t>1</t>
        </is>
      </c>
      <c r="AU344" s="5" t="inlineStr">
        <is>
          <t>No</t>
        </is>
      </c>
      <c r="AV344" s="5" t="inlineStr">
        <is>
          <t>No</t>
        </is>
      </c>
      <c r="AW344" s="5" t="inlineStr">
        <is>
          <t>No</t>
        </is>
      </c>
      <c r="AX344" s="5" t="inlineStr">
        <is>
          <t>No</t>
        </is>
      </c>
      <c r="AY344" s="5" t="inlineStr">
        <is>
          <t>Not Found</t>
        </is>
      </c>
      <c r="AZ344" s="5" t="inlineStr">
        <is>
          <t>Not Found</t>
        </is>
      </c>
      <c r="BA344" s="5" t="inlineStr">
        <is>
          <t>2026-09-17</t>
        </is>
      </c>
      <c r="BB344" s="5" t="inlineStr">
        <is>
          <t>Requires Verification</t>
        </is>
      </c>
      <c r="BC344" s="5" t="inlineStr">
        <is>
          <t>Low</t>
        </is>
      </c>
      <c r="BD344" s="5" t="inlineStr"/>
      <c r="BE344" s="5" t="inlineStr">
        <is>
          <t>Business (B2B)</t>
        </is>
      </c>
      <c r="BF344" s="5" t="inlineStr">
        <is>
          <t>Legitimate interest (B2B) - assess per campaign; PECR: corporate subscribers</t>
        </is>
      </c>
      <c r="BG344" s="5" t="inlineStr"/>
      <c r="BH344" s="5" t="inlineStr">
        <is>
          <t>No</t>
        </is>
      </c>
      <c r="BI344" s="5" t="inlineStr">
        <is>
          <t>2026-09-16</t>
        </is>
      </c>
      <c r="BJ344" s="5" t="inlineStr">
        <is>
          <t>New</t>
        </is>
      </c>
      <c r="BK344" s="5" t="inlineStr">
        <is>
          <t>2026-09-17</t>
        </is>
      </c>
      <c r="BL344" s="5" t="inlineStr"/>
      <c r="BM344" s="5" t="inlineStr"/>
      <c r="BN344" s="5" t="inlineStr"/>
      <c r="BO344" s="5" t="inlineStr"/>
      <c r="BP344" s="5" t="inlineStr"/>
      <c r="BQ344" s="5" t="inlineStr"/>
    </row>
    <row r="345">
      <c r="A345" s="10" t="inlineStr">
        <is>
          <t>WY-0079</t>
        </is>
      </c>
      <c r="B345" s="10" t="inlineStr">
        <is>
          <t>WY-0079-01</t>
        </is>
      </c>
      <c r="C345" s="10" t="inlineStr"/>
      <c r="D345" s="10" t="inlineStr">
        <is>
          <t>Crossroads Off Licence &amp; Newsagent</t>
        </is>
      </c>
      <c r="E345" s="10" t="inlineStr">
        <is>
          <t>Crossroads Off Licence &amp; Newsagent</t>
        </is>
      </c>
      <c r="F345" s="10" t="inlineStr"/>
      <c r="G345" s="10" t="inlineStr">
        <is>
          <t>Off-Licence</t>
        </is>
      </c>
      <c r="H345" s="10" t="inlineStr">
        <is>
          <t>Off-licence and newsagent</t>
        </is>
      </c>
      <c r="I345" s="10" t="inlineStr">
        <is>
          <t>Independent</t>
        </is>
      </c>
      <c r="J345" s="10" t="inlineStr">
        <is>
          <t>1</t>
        </is>
      </c>
      <c r="K345" s="10" t="inlineStr"/>
      <c r="L345" s="10" t="inlineStr"/>
      <c r="M345" s="10" t="inlineStr"/>
      <c r="N345" s="10" t="inlineStr"/>
      <c r="O345" s="10" t="inlineStr">
        <is>
          <t>19 Cross Road</t>
        </is>
      </c>
      <c r="P345" s="10" t="inlineStr"/>
      <c r="Q345" s="10" t="inlineStr">
        <is>
          <t>Wakefield</t>
        </is>
      </c>
      <c r="R345" s="10" t="inlineStr">
        <is>
          <t>West Yorkshire</t>
        </is>
      </c>
      <c r="S345" s="10" t="inlineStr"/>
      <c r="T345" s="10" t="inlineStr">
        <is>
          <t>Yorkshire &amp; Humber</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alcohol; news and magazines; tobacco; convenience</t>
        </is>
      </c>
      <c r="AL345" s="10" t="inlineStr"/>
      <c r="AM345" s="10" t="inlineStr">
        <is>
          <t>Off-Licence</t>
        </is>
      </c>
      <c r="AN345" s="10" t="inlineStr"/>
      <c r="AO345" s="10" t="inlineStr"/>
      <c r="AP345" s="10" t="inlineStr">
        <is>
          <t>Low</t>
        </is>
      </c>
      <c r="AQ345" s="10" t="inlineStr">
        <is>
          <t>Independent retailer; Relevant category</t>
        </is>
      </c>
      <c r="AR345" s="10" t="inlineStr">
        <is>
          <t>https://m.yelp.com/biz/crossroads-off-licence-and-newsagent-wakefield</t>
        </is>
      </c>
      <c r="AS345" s="10" t="inlineStr"/>
      <c r="AT345" s="10" t="inlineStr">
        <is>
          <t>1</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2026-09-16</t>
        </is>
      </c>
      <c r="BJ345" s="10" t="inlineStr">
        <is>
          <t>New</t>
        </is>
      </c>
      <c r="BK345" s="10" t="inlineStr">
        <is>
          <t>2026-09-17</t>
        </is>
      </c>
      <c r="BL345" s="10" t="inlineStr"/>
      <c r="BM345" s="10" t="inlineStr"/>
      <c r="BN345" s="10" t="inlineStr"/>
      <c r="BO345" s="10" t="inlineStr"/>
      <c r="BP345" s="10" t="inlineStr"/>
      <c r="BQ345" s="10" t="inlineStr"/>
    </row>
    <row r="346">
      <c r="A346" s="5" t="inlineStr">
        <is>
          <t>UK-000592</t>
        </is>
      </c>
      <c r="B346" s="5" t="inlineStr">
        <is>
          <t>UK-000592-01</t>
        </is>
      </c>
      <c r="C346" s="5" t="inlineStr"/>
      <c r="D346" s="5" t="inlineStr">
        <is>
          <t>Custom Vapes</t>
        </is>
      </c>
      <c r="E346" s="5" t="inlineStr">
        <is>
          <t>Custom Vapes</t>
        </is>
      </c>
      <c r="F346" s="5" t="inlineStr"/>
      <c r="G346" s="5" t="inlineStr">
        <is>
          <t>Vape Shop</t>
        </is>
      </c>
      <c r="H346" s="5" t="inlineStr">
        <is>
          <t>Vape hardware &amp; e-liquids</t>
        </is>
      </c>
      <c r="I346" s="5" t="inlineStr">
        <is>
          <t>Independent</t>
        </is>
      </c>
      <c r="J346" s="5" t="inlineStr">
        <is>
          <t>1</t>
        </is>
      </c>
      <c r="K346" s="5" t="inlineStr"/>
      <c r="L346" s="5" t="inlineStr"/>
      <c r="M346" s="5" t="inlineStr"/>
      <c r="N346" s="5" t="inlineStr"/>
      <c r="O346" s="5" t="inlineStr">
        <is>
          <t>151 Plaistow Road</t>
        </is>
      </c>
      <c r="P346" s="5" t="inlineStr"/>
      <c r="Q346" s="5" t="inlineStr">
        <is>
          <t>Stratford</t>
        </is>
      </c>
      <c r="R346" s="5" t="inlineStr">
        <is>
          <t>Greater London</t>
        </is>
      </c>
      <c r="S346" s="5" t="inlineStr">
        <is>
          <t>E15 3ET</t>
        </is>
      </c>
      <c r="T346" s="5" t="inlineStr">
        <is>
          <t>London</t>
        </is>
      </c>
      <c r="U346" s="5" t="inlineStr">
        <is>
          <t>England</t>
        </is>
      </c>
      <c r="V346" s="5" t="inlineStr"/>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vape hardware; e-liquids</t>
        </is>
      </c>
      <c r="AL346" s="5" t="inlineStr"/>
      <c r="AM346" s="5" t="inlineStr">
        <is>
          <t>Vape Shop</t>
        </is>
      </c>
      <c r="AN346" s="5" t="inlineStr"/>
      <c r="AO346" s="5" t="inlineStr">
        <is>
          <t>Vape retailer on Plaistow Road, Stratford/West Ham. Address and postcode from Yell vape shops (Stratford) directory.</t>
        </is>
      </c>
      <c r="AP346" s="5" t="inlineStr">
        <is>
          <t>Medium</t>
        </is>
      </c>
      <c r="AQ346" s="5" t="inlineStr">
        <is>
          <t>Independent retailer; Core relevant category</t>
        </is>
      </c>
      <c r="AR346" s="5" t="inlineStr">
        <is>
          <t>https://www.yell.com/s/vape+shops-stratford-east+london.html</t>
        </is>
      </c>
      <c r="AS346" s="5" t="inlineStr"/>
      <c r="AT346" s="5" t="inlineStr">
        <is>
          <t>1</t>
        </is>
      </c>
      <c r="AU346" s="5" t="inlineStr">
        <is>
          <t>No</t>
        </is>
      </c>
      <c r="AV346" s="5" t="inlineStr">
        <is>
          <t>No</t>
        </is>
      </c>
      <c r="AW346" s="5" t="inlineStr">
        <is>
          <t>No</t>
        </is>
      </c>
      <c r="AX346" s="5" t="inlineStr">
        <is>
          <t>No</t>
        </is>
      </c>
      <c r="AY346" s="5" t="inlineStr">
        <is>
          <t>Not Found</t>
        </is>
      </c>
      <c r="AZ346" s="5" t="inlineStr">
        <is>
          <t>Not Found</t>
        </is>
      </c>
      <c r="BA346" s="5" t="inlineStr">
        <is>
          <t>2026-09-17</t>
        </is>
      </c>
      <c r="BB346" s="5" t="inlineStr">
        <is>
          <t>Requires Verification</t>
        </is>
      </c>
      <c r="BC346" s="5" t="inlineStr">
        <is>
          <t>Low</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UK-000350</t>
        </is>
      </c>
      <c r="B347" s="10" t="inlineStr">
        <is>
          <t>UK-000350-01</t>
        </is>
      </c>
      <c r="C347" s="10" t="inlineStr"/>
      <c r="D347" s="10" t="inlineStr">
        <is>
          <t>DA Shop</t>
        </is>
      </c>
      <c r="E347" s="10" t="inlineStr">
        <is>
          <t>DA Shop</t>
        </is>
      </c>
      <c r="F347" s="10" t="inlineStr"/>
      <c r="G347" s="10" t="inlineStr">
        <is>
          <t>Convenience Store</t>
        </is>
      </c>
      <c r="H347" s="10" t="inlineStr">
        <is>
          <t>24 hour convenience</t>
        </is>
      </c>
      <c r="I347" s="10" t="inlineStr">
        <is>
          <t>Independent</t>
        </is>
      </c>
      <c r="J347" s="10" t="inlineStr">
        <is>
          <t>1</t>
        </is>
      </c>
      <c r="K347" s="10" t="inlineStr"/>
      <c r="L347" s="10" t="inlineStr"/>
      <c r="M347" s="10" t="inlineStr"/>
      <c r="N347" s="10" t="inlineStr"/>
      <c r="O347" s="10" t="inlineStr">
        <is>
          <t>15-19 Worcester Road</t>
        </is>
      </c>
      <c r="P347" s="10" t="inlineStr">
        <is>
          <t>Cheadle Hulme</t>
        </is>
      </c>
      <c r="Q347" s="10" t="inlineStr">
        <is>
          <t>Cheadle</t>
        </is>
      </c>
      <c r="R347" s="10" t="inlineStr">
        <is>
          <t>Greater Manchester</t>
        </is>
      </c>
      <c r="S347" s="10" t="inlineStr">
        <is>
          <t>SK8 5NW</t>
        </is>
      </c>
      <c r="T347" s="10" t="inlineStr">
        <is>
          <t>North West</t>
        </is>
      </c>
      <c r="U347" s="10" t="inlineStr">
        <is>
          <t>England</t>
        </is>
      </c>
      <c r="V347" s="10" t="inlineStr">
        <is>
          <t>0161 486 1987</t>
        </is>
      </c>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convenience; groceries; alcohol</t>
        </is>
      </c>
      <c r="AL347" s="10" t="inlineStr"/>
      <c r="AM347" s="10" t="inlineStr">
        <is>
          <t>Convenience Store</t>
        </is>
      </c>
      <c r="AN347" s="10" t="inlineStr"/>
      <c r="AO347" s="10" t="inlineStr">
        <is>
          <t>Independent 24/7 convenience store in Cheadle Hulme.</t>
        </is>
      </c>
      <c r="AP347" s="10" t="inlineStr">
        <is>
          <t>Low</t>
        </is>
      </c>
      <c r="AQ347" s="10" t="inlineStr">
        <is>
          <t>Independent retailer; Relevant category</t>
        </is>
      </c>
      <c r="AR347" s="10" t="inlineStr">
        <is>
          <t>https://www.24houralcohol.co.uk/stockport-off-licences</t>
        </is>
      </c>
      <c r="AS347" s="10" t="inlineStr"/>
      <c r="AT347" s="10" t="inlineStr">
        <is>
          <t>1</t>
        </is>
      </c>
      <c r="AU347" s="10" t="inlineStr">
        <is>
          <t>No</t>
        </is>
      </c>
      <c r="AV347" s="10" t="inlineStr">
        <is>
          <t>No</t>
        </is>
      </c>
      <c r="AW347" s="10" t="inlineStr">
        <is>
          <t>No</t>
        </is>
      </c>
      <c r="AX347" s="10" t="inlineStr">
        <is>
          <t>No</t>
        </is>
      </c>
      <c r="AY347" s="10" t="inlineStr">
        <is>
          <t>Verified directory</t>
        </is>
      </c>
      <c r="AZ347" s="10" t="inlineStr">
        <is>
          <t>Not Found</t>
        </is>
      </c>
      <c r="BA347" s="10" t="inlineStr">
        <is>
          <t>2026-09-17</t>
        </is>
      </c>
      <c r="BB347" s="10" t="inlineStr">
        <is>
          <t>Requires Verification</t>
        </is>
      </c>
      <c r="BC347" s="10" t="inlineStr">
        <is>
          <t>Low</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UK-000463</t>
        </is>
      </c>
      <c r="B348" s="5" t="inlineStr">
        <is>
          <t>UK-000463-01</t>
        </is>
      </c>
      <c r="C348" s="5" t="inlineStr"/>
      <c r="D348" s="5" t="inlineStr">
        <is>
          <t>DNB Vapes</t>
        </is>
      </c>
      <c r="E348" s="5" t="inlineStr">
        <is>
          <t>DNB Vapes</t>
        </is>
      </c>
      <c r="F348" s="5" t="inlineStr"/>
      <c r="G348" s="5" t="inlineStr">
        <is>
          <t>Vape Shop</t>
        </is>
      </c>
      <c r="H348" s="5" t="inlineStr">
        <is>
          <t>Vape hardware &amp; e-liquids</t>
        </is>
      </c>
      <c r="I348" s="5" t="inlineStr">
        <is>
          <t>Independent</t>
        </is>
      </c>
      <c r="J348" s="5" t="inlineStr">
        <is>
          <t>1</t>
        </is>
      </c>
      <c r="K348" s="5" t="inlineStr">
        <is>
          <t>https://www.dnbvapes.co.uk/</t>
        </is>
      </c>
      <c r="L348" s="5" t="inlineStr"/>
      <c r="M348" s="5" t="inlineStr"/>
      <c r="N348" s="5" t="inlineStr"/>
      <c r="O348" s="5" t="inlineStr"/>
      <c r="P348" s="5" t="inlineStr"/>
      <c r="Q348" s="5" t="inlineStr">
        <is>
          <t>Brierley Hill</t>
        </is>
      </c>
      <c r="R348" s="5" t="inlineStr">
        <is>
          <t>West Midlands</t>
        </is>
      </c>
      <c r="S348" s="5" t="inlineStr"/>
      <c r="T348" s="5" t="inlineStr">
        <is>
          <t>West Midlands</t>
        </is>
      </c>
      <c r="U348" s="5" t="inlineStr">
        <is>
          <t>England</t>
        </is>
      </c>
      <c r="V348" s="5" t="inlineStr"/>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vape hardware; e-liquids</t>
        </is>
      </c>
      <c r="AL348" s="5" t="inlineStr"/>
      <c r="AM348" s="5" t="inlineStr">
        <is>
          <t>Vape Shop</t>
        </is>
      </c>
      <c r="AN348" s="5" t="inlineStr"/>
      <c r="AO348" s="5" t="inlineStr">
        <is>
          <t>Independent vape shop in Brierley Hill with large range of hardware and liquid. Own website dnbvapes.co.uk confirmed in results; WebFetch blocked so no address captured.</t>
        </is>
      </c>
      <c r="AP348" s="5" t="inlineStr">
        <is>
          <t>Medium</t>
        </is>
      </c>
      <c r="AQ348" s="5" t="inlineStr">
        <is>
          <t>Independent retailer; Core relevant category; Active website</t>
        </is>
      </c>
      <c r="AR348" s="5" t="inlineStr">
        <is>
          <t>https://www.dnbvapes.co.uk/</t>
        </is>
      </c>
      <c r="AS348" s="5" t="inlineStr"/>
      <c r="AT348" s="5" t="inlineStr">
        <is>
          <t>1</t>
        </is>
      </c>
      <c r="AU348" s="5" t="inlineStr">
        <is>
          <t>No</t>
        </is>
      </c>
      <c r="AV348" s="5" t="inlineStr">
        <is>
          <t>No</t>
        </is>
      </c>
      <c r="AW348" s="5" t="inlineStr">
        <is>
          <t>No</t>
        </is>
      </c>
      <c r="AX348" s="5" t="inlineStr">
        <is>
          <t>No</t>
        </is>
      </c>
      <c r="AY348" s="5" t="inlineStr">
        <is>
          <t>Not Found</t>
        </is>
      </c>
      <c r="AZ348" s="5" t="inlineStr">
        <is>
          <t>Website Found</t>
        </is>
      </c>
      <c r="BA348" s="5" t="inlineStr">
        <is>
          <t>2026-09-17</t>
        </is>
      </c>
      <c r="BB348" s="5" t="inlineStr">
        <is>
          <t>Requires Verification</t>
        </is>
      </c>
      <c r="BC348" s="5" t="inlineStr">
        <is>
          <t>Low</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UK-000464</t>
        </is>
      </c>
      <c r="B349" s="10" t="inlineStr">
        <is>
          <t>UK-000464-01</t>
        </is>
      </c>
      <c r="C349" s="10" t="inlineStr"/>
      <c r="D349" s="10" t="inlineStr">
        <is>
          <t>Dals Store Ltd</t>
        </is>
      </c>
      <c r="E349" s="10" t="inlineStr">
        <is>
          <t>Dals Store</t>
        </is>
      </c>
      <c r="F349" s="10" t="inlineStr">
        <is>
          <t>Dals Store Ltd</t>
        </is>
      </c>
      <c r="G349" s="10" t="inlineStr">
        <is>
          <t>Convenience Store</t>
        </is>
      </c>
      <c r="H349" s="10" t="inlineStr">
        <is>
          <t>Convenience &amp; international grocery</t>
        </is>
      </c>
      <c r="I349" s="10" t="inlineStr">
        <is>
          <t>Independent</t>
        </is>
      </c>
      <c r="J349" s="10" t="inlineStr">
        <is>
          <t>1</t>
        </is>
      </c>
      <c r="K349" s="10" t="inlineStr"/>
      <c r="L349" s="10" t="inlineStr"/>
      <c r="M349" s="10" t="inlineStr"/>
      <c r="N349" s="10" t="inlineStr"/>
      <c r="O349" s="10" t="inlineStr">
        <is>
          <t>87 Hordern Road</t>
        </is>
      </c>
      <c r="P349" s="10" t="inlineStr">
        <is>
          <t>Whitmore Reans</t>
        </is>
      </c>
      <c r="Q349" s="10" t="inlineStr">
        <is>
          <t>Wolverhampton</t>
        </is>
      </c>
      <c r="R349" s="10" t="inlineStr">
        <is>
          <t>West Midlands</t>
        </is>
      </c>
      <c r="S349" s="10" t="inlineStr">
        <is>
          <t>WV6 0HL</t>
        </is>
      </c>
      <c r="T349" s="10" t="inlineStr">
        <is>
          <t>West Midlands</t>
        </is>
      </c>
      <c r="U349" s="10" t="inlineStr">
        <is>
          <t>England</t>
        </is>
      </c>
      <c r="V349" s="10" t="inlineStr"/>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convenience; international groceries; off-licence</t>
        </is>
      </c>
      <c r="AL349" s="10" t="inlineStr"/>
      <c r="AM349" s="10" t="inlineStr">
        <is>
          <t>Convenience Store</t>
        </is>
      </c>
      <c r="AN349" s="10" t="inlineStr"/>
      <c r="AO349" s="10" t="inlineStr">
        <is>
          <t>Convenience/international grocery store in Whitmore Reans (Hordern Road).</t>
        </is>
      </c>
      <c r="AP349" s="10" t="inlineStr">
        <is>
          <t>Low</t>
        </is>
      </c>
      <c r="AQ349" s="10" t="inlineStr">
        <is>
          <t>Independent retailer; Relevant category</t>
        </is>
      </c>
      <c r="AR349" s="10" t="inlineStr">
        <is>
          <t>https://www.wolverhampton.co.uk/supermarkets/</t>
        </is>
      </c>
      <c r="AS349" s="10" t="inlineStr"/>
      <c r="AT349" s="10" t="inlineStr">
        <is>
          <t>1</t>
        </is>
      </c>
      <c r="AU349" s="10" t="inlineStr">
        <is>
          <t>No</t>
        </is>
      </c>
      <c r="AV349" s="10" t="inlineStr">
        <is>
          <t>No</t>
        </is>
      </c>
      <c r="AW349" s="10" t="inlineStr">
        <is>
          <t>No</t>
        </is>
      </c>
      <c r="AX349" s="10" t="inlineStr">
        <is>
          <t>No</t>
        </is>
      </c>
      <c r="AY349" s="10" t="inlineStr">
        <is>
          <t>Not Found</t>
        </is>
      </c>
      <c r="AZ349" s="10" t="inlineStr">
        <is>
          <t>Not Found</t>
        </is>
      </c>
      <c r="BA349" s="10" t="inlineStr">
        <is>
          <t>2026-09-17</t>
        </is>
      </c>
      <c r="BB349" s="10" t="inlineStr">
        <is>
          <t>Requires Verification</t>
        </is>
      </c>
      <c r="BC349" s="10" t="inlineStr">
        <is>
          <t>Low</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2026-09-17</t>
        </is>
      </c>
      <c r="BJ349" s="10" t="inlineStr">
        <is>
          <t>New</t>
        </is>
      </c>
      <c r="BK349" s="10" t="inlineStr">
        <is>
          <t>2026-09-17</t>
        </is>
      </c>
      <c r="BL349" s="10" t="inlineStr"/>
      <c r="BM349" s="10" t="inlineStr"/>
      <c r="BN349" s="10" t="inlineStr"/>
      <c r="BO349" s="10" t="inlineStr"/>
      <c r="BP349" s="10" t="inlineStr"/>
      <c r="BQ349" s="10" t="inlineStr"/>
    </row>
    <row r="350">
      <c r="A350" s="5" t="inlineStr">
        <is>
          <t>UK-000593</t>
        </is>
      </c>
      <c r="B350" s="5" t="inlineStr">
        <is>
          <t>UK-000593-01</t>
        </is>
      </c>
      <c r="C350" s="5" t="inlineStr"/>
      <c r="D350" s="5" t="inlineStr">
        <is>
          <t>Dalston Food and Wine</t>
        </is>
      </c>
      <c r="E350" s="5" t="inlineStr">
        <is>
          <t>Dalston Food and Wine</t>
        </is>
      </c>
      <c r="F350" s="5" t="inlineStr"/>
      <c r="G350" s="5" t="inlineStr">
        <is>
          <t>Off-Licence</t>
        </is>
      </c>
      <c r="H350" s="5" t="inlineStr">
        <is>
          <t>Off-licence &amp; grocery</t>
        </is>
      </c>
      <c r="I350" s="5" t="inlineStr">
        <is>
          <t>Independent</t>
        </is>
      </c>
      <c r="J350" s="5" t="inlineStr">
        <is>
          <t>1</t>
        </is>
      </c>
      <c r="K350" s="5" t="inlineStr"/>
      <c r="L350" s="5" t="inlineStr"/>
      <c r="M350" s="5" t="inlineStr"/>
      <c r="N350" s="5" t="inlineStr"/>
      <c r="O350" s="5" t="inlineStr">
        <is>
          <t>28 Stoke Newington Road</t>
        </is>
      </c>
      <c r="P350" s="5" t="inlineStr"/>
      <c r="Q350" s="5" t="inlineStr">
        <is>
          <t>Dalston</t>
        </is>
      </c>
      <c r="R350" s="5" t="inlineStr">
        <is>
          <t>Greater London</t>
        </is>
      </c>
      <c r="S350" s="5" t="inlineStr">
        <is>
          <t>N16 7XJ</t>
        </is>
      </c>
      <c r="T350" s="5" t="inlineStr">
        <is>
          <t>London</t>
        </is>
      </c>
      <c r="U350" s="5" t="inlineStr">
        <is>
          <t>England</t>
        </is>
      </c>
      <c r="V350" s="5" t="inlineStr">
        <is>
          <t>020 7226 1959</t>
        </is>
      </c>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alcohol; groceries; tobacco</t>
        </is>
      </c>
      <c r="AL350" s="5" t="inlineStr"/>
      <c r="AM350" s="5" t="inlineStr">
        <is>
          <t>Off-Licence</t>
        </is>
      </c>
      <c r="AN350" s="5" t="inlineStr"/>
      <c r="AO350" s="5" t="inlineStr">
        <is>
          <t>Independent off-licence/grocery, Stoke Newington Road, Dalston. Address/postcode/phone from Yell off-licences (Dalston) directory.</t>
        </is>
      </c>
      <c r="AP350" s="5" t="inlineStr">
        <is>
          <t>Low</t>
        </is>
      </c>
      <c r="AQ350" s="5" t="inlineStr">
        <is>
          <t>Independent retailer; Relevant category</t>
        </is>
      </c>
      <c r="AR350" s="5" t="inlineStr">
        <is>
          <t>https://www.yell.com/s/off+licences-dalston-east+london.html</t>
        </is>
      </c>
      <c r="AS350" s="5" t="inlineStr"/>
      <c r="AT350" s="5" t="inlineStr">
        <is>
          <t>1</t>
        </is>
      </c>
      <c r="AU350" s="5" t="inlineStr">
        <is>
          <t>No</t>
        </is>
      </c>
      <c r="AV350" s="5" t="inlineStr">
        <is>
          <t>No</t>
        </is>
      </c>
      <c r="AW350" s="5" t="inlineStr">
        <is>
          <t>No</t>
        </is>
      </c>
      <c r="AX350" s="5" t="inlineStr">
        <is>
          <t>No</t>
        </is>
      </c>
      <c r="AY350" s="5" t="inlineStr">
        <is>
          <t>Verified directory</t>
        </is>
      </c>
      <c r="AZ350" s="5" t="inlineStr">
        <is>
          <t>Not Found</t>
        </is>
      </c>
      <c r="BA350" s="5" t="inlineStr">
        <is>
          <t>2026-09-17</t>
        </is>
      </c>
      <c r="BB350" s="5" t="inlineStr">
        <is>
          <t>Requires Verification</t>
        </is>
      </c>
      <c r="BC350" s="5" t="inlineStr">
        <is>
          <t>Medium</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UK-000766</t>
        </is>
      </c>
      <c r="B351" s="10" t="inlineStr">
        <is>
          <t>UK-000766-01</t>
        </is>
      </c>
      <c r="C351" s="10" t="inlineStr"/>
      <c r="D351" s="10" t="inlineStr">
        <is>
          <t>Daniel Store</t>
        </is>
      </c>
      <c r="E351" s="10" t="inlineStr">
        <is>
          <t>Daniel Store</t>
        </is>
      </c>
      <c r="F351" s="10" t="inlineStr">
        <is>
          <t>Daniel Store Limited</t>
        </is>
      </c>
      <c r="G351" s="10" t="inlineStr">
        <is>
          <t>Convenience Store</t>
        </is>
      </c>
      <c r="H351" s="10" t="inlineStr">
        <is>
          <t>Convenience store / off-licence</t>
        </is>
      </c>
      <c r="I351" s="10" t="inlineStr">
        <is>
          <t>Independent</t>
        </is>
      </c>
      <c r="J351" s="10" t="inlineStr">
        <is>
          <t>1</t>
        </is>
      </c>
      <c r="K351" s="10" t="inlineStr"/>
      <c r="L351" s="10" t="inlineStr"/>
      <c r="M351" s="10" t="inlineStr"/>
      <c r="N351" s="10" t="inlineStr"/>
      <c r="O351" s="10" t="inlineStr">
        <is>
          <t>408 Duke Street</t>
        </is>
      </c>
      <c r="P351" s="10" t="inlineStr">
        <is>
          <t>Dennistoun</t>
        </is>
      </c>
      <c r="Q351" s="10" t="inlineStr">
        <is>
          <t>Glasgow</t>
        </is>
      </c>
      <c r="R351" s="10" t="inlineStr">
        <is>
          <t>Glasgow City</t>
        </is>
      </c>
      <c r="S351" s="10" t="inlineStr">
        <is>
          <t>G31 1PX</t>
        </is>
      </c>
      <c r="T351" s="10" t="inlineStr">
        <is>
          <t>Scotland</t>
        </is>
      </c>
      <c r="U351" s="10" t="inlineStr">
        <is>
          <t>Scotland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convenience grocery; off-licence; tobacco</t>
        </is>
      </c>
      <c r="AL351" s="10" t="inlineStr"/>
      <c r="AM351" s="10" t="inlineStr">
        <is>
          <t>Convenience Store</t>
        </is>
      </c>
      <c r="AN351" s="10" t="inlineStr"/>
      <c r="AO351" s="10" t="inlineStr">
        <is>
          <t>Independent convenience store on Duke Street, Dennistoun (East End). Address and postcode from directory; phone not confirmed. Legal name 'Daniel Store Limited' as listed in directory.</t>
        </is>
      </c>
      <c r="AP351" s="10" t="inlineStr">
        <is>
          <t>Low</t>
        </is>
      </c>
      <c r="AQ351" s="10" t="inlineStr">
        <is>
          <t>Independent retailer; Relevant category</t>
        </is>
      </c>
      <c r="AR351" s="10" t="inlineStr">
        <is>
          <t>https://dennistoun.co.uk/directory/tag/convenience-store/</t>
        </is>
      </c>
      <c r="AS351" s="10" t="inlineStr"/>
      <c r="AT351" s="10" t="inlineStr">
        <is>
          <t>1</t>
        </is>
      </c>
      <c r="AU351" s="10" t="inlineStr">
        <is>
          <t>No</t>
        </is>
      </c>
      <c r="AV351" s="10" t="inlineStr">
        <is>
          <t>No</t>
        </is>
      </c>
      <c r="AW351" s="10" t="inlineStr">
        <is>
          <t>No</t>
        </is>
      </c>
      <c r="AX351" s="10" t="inlineStr">
        <is>
          <t>No</t>
        </is>
      </c>
      <c r="AY351" s="10" t="inlineStr">
        <is>
          <t>Not Found</t>
        </is>
      </c>
      <c r="AZ351" s="10" t="inlineStr">
        <is>
          <t>Not Found</t>
        </is>
      </c>
      <c r="BA351" s="10" t="inlineStr">
        <is>
          <t>2026-09-17</t>
        </is>
      </c>
      <c r="BB351" s="10" t="inlineStr">
        <is>
          <t>Requires Verification</t>
        </is>
      </c>
      <c r="BC351" s="10" t="inlineStr">
        <is>
          <t>Low</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UK-000465</t>
        </is>
      </c>
      <c r="B352" s="5" t="inlineStr">
        <is>
          <t>UK-000465-01</t>
        </is>
      </c>
      <c r="C352" s="5" t="inlineStr"/>
      <c r="D352" s="5" t="inlineStr">
        <is>
          <t>Dave Wine</t>
        </is>
      </c>
      <c r="E352" s="5" t="inlineStr">
        <is>
          <t>Dave Wine</t>
        </is>
      </c>
      <c r="F352" s="5" t="inlineStr"/>
      <c r="G352" s="5" t="inlineStr">
        <is>
          <t>Off-Licence</t>
        </is>
      </c>
      <c r="H352" s="5" t="inlineStr">
        <is>
          <t>Off-licence &amp; convenience</t>
        </is>
      </c>
      <c r="I352" s="5" t="inlineStr">
        <is>
          <t>Independent</t>
        </is>
      </c>
      <c r="J352" s="5" t="inlineStr">
        <is>
          <t>1</t>
        </is>
      </c>
      <c r="K352" s="5" t="inlineStr"/>
      <c r="L352" s="5" t="inlineStr"/>
      <c r="M352" s="5" t="inlineStr"/>
      <c r="N352" s="5" t="inlineStr"/>
      <c r="O352" s="5" t="inlineStr">
        <is>
          <t>778 Hagley Road West</t>
        </is>
      </c>
      <c r="P352" s="5" t="inlineStr"/>
      <c r="Q352" s="5" t="inlineStr">
        <is>
          <t>Oldbury</t>
        </is>
      </c>
      <c r="R352" s="5" t="inlineStr">
        <is>
          <t>West Midlands</t>
        </is>
      </c>
      <c r="S352" s="5" t="inlineStr">
        <is>
          <t>B68 0PJ</t>
        </is>
      </c>
      <c r="T352" s="5" t="inlineStr">
        <is>
          <t>West Midlands</t>
        </is>
      </c>
      <c r="U352" s="5" t="inlineStr">
        <is>
          <t>England</t>
        </is>
      </c>
      <c r="V352" s="5" t="inlineStr">
        <is>
          <t>0121 421 2029</t>
        </is>
      </c>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beers; wines; spirits; convenience</t>
        </is>
      </c>
      <c r="AL352" s="5" t="inlineStr"/>
      <c r="AM352" s="5" t="inlineStr">
        <is>
          <t>Off-Licence</t>
        </is>
      </c>
      <c r="AN352" s="5" t="inlineStr"/>
      <c r="AO352" s="5" t="inlineStr">
        <is>
          <t>Independent off-licence, 778 Hagley Road West, Oldbury. Address and phone from Yell Oldbury off-licences listing snippet.</t>
        </is>
      </c>
      <c r="AP352" s="5" t="inlineStr">
        <is>
          <t>Low</t>
        </is>
      </c>
      <c r="AQ352" s="5" t="inlineStr">
        <is>
          <t>Independent retailer; Relevant category</t>
        </is>
      </c>
      <c r="AR352" s="5" t="inlineStr">
        <is>
          <t>https://www.yell.com/s/off+licences+and+wine+merchants-oldbury-west+midlands.html</t>
        </is>
      </c>
      <c r="AS352" s="5" t="inlineStr"/>
      <c r="AT352" s="5" t="inlineStr">
        <is>
          <t>1</t>
        </is>
      </c>
      <c r="AU352" s="5" t="inlineStr">
        <is>
          <t>No</t>
        </is>
      </c>
      <c r="AV352" s="5" t="inlineStr">
        <is>
          <t>No</t>
        </is>
      </c>
      <c r="AW352" s="5" t="inlineStr">
        <is>
          <t>No</t>
        </is>
      </c>
      <c r="AX352" s="5" t="inlineStr">
        <is>
          <t>No</t>
        </is>
      </c>
      <c r="AY352" s="5" t="inlineStr">
        <is>
          <t>Verified directory</t>
        </is>
      </c>
      <c r="AZ352" s="5" t="inlineStr">
        <is>
          <t>Not Found</t>
        </is>
      </c>
      <c r="BA352" s="5" t="inlineStr">
        <is>
          <t>2026-09-17</t>
        </is>
      </c>
      <c r="BB352" s="5" t="inlineStr">
        <is>
          <t>Requires Verification</t>
        </is>
      </c>
      <c r="BC352" s="5" t="inlineStr">
        <is>
          <t>Medium</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UK-000351</t>
        </is>
      </c>
      <c r="B353" s="10" t="inlineStr">
        <is>
          <t>UK-000351-01</t>
        </is>
      </c>
      <c r="C353" s="10" t="inlineStr"/>
      <c r="D353" s="10" t="inlineStr">
        <is>
          <t>Dave's Off Licence</t>
        </is>
      </c>
      <c r="E353" s="10" t="inlineStr">
        <is>
          <t>Dave's Off Licence</t>
        </is>
      </c>
      <c r="F353" s="10" t="inlineStr"/>
      <c r="G353" s="10" t="inlineStr">
        <is>
          <t>Off-Licence</t>
        </is>
      </c>
      <c r="H353" s="10" t="inlineStr"/>
      <c r="I353" s="10" t="inlineStr">
        <is>
          <t>Independent</t>
        </is>
      </c>
      <c r="J353" s="10" t="inlineStr">
        <is>
          <t>1</t>
        </is>
      </c>
      <c r="K353" s="10" t="inlineStr"/>
      <c r="L353" s="10" t="inlineStr"/>
      <c r="M353" s="10" t="inlineStr"/>
      <c r="N353" s="10" t="inlineStr"/>
      <c r="O353" s="10" t="inlineStr">
        <is>
          <t>91 Tunstall Lane</t>
        </is>
      </c>
      <c r="P353" s="10" t="inlineStr">
        <is>
          <t>Pemberton</t>
        </is>
      </c>
      <c r="Q353" s="10" t="inlineStr">
        <is>
          <t>Wigan</t>
        </is>
      </c>
      <c r="R353" s="10" t="inlineStr">
        <is>
          <t>Greater Manchester</t>
        </is>
      </c>
      <c r="S353" s="10" t="inlineStr">
        <is>
          <t>WN5 9HR</t>
        </is>
      </c>
      <c r="T353" s="10" t="inlineStr">
        <is>
          <t>North West</t>
        </is>
      </c>
      <c r="U353" s="10" t="inlineStr">
        <is>
          <t>England</t>
        </is>
      </c>
      <c r="V353" s="10" t="inlineStr"/>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beer; wine; spirits; convenience</t>
        </is>
      </c>
      <c r="AL353" s="10" t="inlineStr"/>
      <c r="AM353" s="10" t="inlineStr">
        <is>
          <t>Off-Licence</t>
        </is>
      </c>
      <c r="AN353" s="10" t="inlineStr"/>
      <c r="AO353" s="10" t="inlineStr">
        <is>
          <t>Independent off-licence, 91 Tunstall Lane, Pemberton, Wigan (WN5 9HR). Directory lists operator as David John O'Neill; not recorded as a named contact absent self-identification on the business's own page.</t>
        </is>
      </c>
      <c r="AP353" s="10" t="inlineStr">
        <is>
          <t>Low</t>
        </is>
      </c>
      <c r="AQ353" s="10" t="inlineStr">
        <is>
          <t>Independent retailer; Relevant category</t>
        </is>
      </c>
      <c r="AR353" s="10" t="inlineStr">
        <is>
          <t>https://www.24houralcohol.co.uk/wigan-off-licences</t>
        </is>
      </c>
      <c r="AS353" s="10" t="inlineStr"/>
      <c r="AT353" s="10" t="inlineStr">
        <is>
          <t>1</t>
        </is>
      </c>
      <c r="AU353" s="10" t="inlineStr">
        <is>
          <t>No</t>
        </is>
      </c>
      <c r="AV353" s="10" t="inlineStr">
        <is>
          <t>No</t>
        </is>
      </c>
      <c r="AW353" s="10" t="inlineStr">
        <is>
          <t>No</t>
        </is>
      </c>
      <c r="AX353" s="10" t="inlineStr">
        <is>
          <t>No</t>
        </is>
      </c>
      <c r="AY353" s="10" t="inlineStr">
        <is>
          <t>Not Found</t>
        </is>
      </c>
      <c r="AZ353" s="10" t="inlineStr">
        <is>
          <t>Not Found</t>
        </is>
      </c>
      <c r="BA353" s="10" t="inlineStr">
        <is>
          <t>2026-09-17</t>
        </is>
      </c>
      <c r="BB353" s="10" t="inlineStr">
        <is>
          <t>Requires Verification</t>
        </is>
      </c>
      <c r="BC353" s="10" t="inlineStr">
        <is>
          <t>Low</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UK-000466</t>
        </is>
      </c>
      <c r="B354" s="5" t="inlineStr">
        <is>
          <t>UK-000466-01</t>
        </is>
      </c>
      <c r="C354" s="5" t="inlineStr"/>
      <c r="D354" s="5" t="inlineStr">
        <is>
          <t>Delta Wines</t>
        </is>
      </c>
      <c r="E354" s="5" t="inlineStr">
        <is>
          <t>Delta Wines</t>
        </is>
      </c>
      <c r="F354" s="5" t="inlineStr"/>
      <c r="G354" s="5" t="inlineStr">
        <is>
          <t>Off-Licence</t>
        </is>
      </c>
      <c r="H354" s="5" t="inlineStr">
        <is>
          <t>Off-licence &amp; convenience</t>
        </is>
      </c>
      <c r="I354" s="5" t="inlineStr">
        <is>
          <t>Independent</t>
        </is>
      </c>
      <c r="J354" s="5" t="inlineStr">
        <is>
          <t>1</t>
        </is>
      </c>
      <c r="K354" s="5" t="inlineStr"/>
      <c r="L354" s="5" t="inlineStr"/>
      <c r="M354" s="5" t="inlineStr"/>
      <c r="N354" s="5" t="inlineStr"/>
      <c r="O354" s="5" t="inlineStr">
        <is>
          <t>107 Sams Lane</t>
        </is>
      </c>
      <c r="P354" s="5" t="inlineStr"/>
      <c r="Q354" s="5" t="inlineStr">
        <is>
          <t>West Bromwich</t>
        </is>
      </c>
      <c r="R354" s="5" t="inlineStr">
        <is>
          <t>West Midlands</t>
        </is>
      </c>
      <c r="S354" s="5" t="inlineStr">
        <is>
          <t>B70 7EG</t>
        </is>
      </c>
      <c r="T354" s="5" t="inlineStr">
        <is>
          <t>West Midlands</t>
        </is>
      </c>
      <c r="U354" s="5" t="inlineStr">
        <is>
          <t>England</t>
        </is>
      </c>
      <c r="V354" s="5" t="inlineStr">
        <is>
          <t>0121 553 5563</t>
        </is>
      </c>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beers; wines; spirits; convenience</t>
        </is>
      </c>
      <c r="AL354" s="5" t="inlineStr"/>
      <c r="AM354" s="5" t="inlineStr">
        <is>
          <t>Off-Licence</t>
        </is>
      </c>
      <c r="AN354" s="5" t="inlineStr"/>
      <c r="AO354" s="5" t="inlineStr">
        <is>
          <t>Independent off-licence, 107 Sams Lane, West Bromwich. Address and phone from Cylex/Yell West Bromwich off-licence listings.</t>
        </is>
      </c>
      <c r="AP354" s="5" t="inlineStr">
        <is>
          <t>Low</t>
        </is>
      </c>
      <c r="AQ354" s="5" t="inlineStr">
        <is>
          <t>Independent retailer; Relevant category</t>
        </is>
      </c>
      <c r="AR354" s="5" t="inlineStr">
        <is>
          <t>https://west-bromwich.cylex-uk.co.uk/beer-wine-spirits/</t>
        </is>
      </c>
      <c r="AS354" s="5" t="inlineStr"/>
      <c r="AT354" s="5" t="inlineStr">
        <is>
          <t>1</t>
        </is>
      </c>
      <c r="AU354" s="5" t="inlineStr">
        <is>
          <t>No</t>
        </is>
      </c>
      <c r="AV354" s="5" t="inlineStr">
        <is>
          <t>No</t>
        </is>
      </c>
      <c r="AW354" s="5" t="inlineStr">
        <is>
          <t>No</t>
        </is>
      </c>
      <c r="AX354" s="5" t="inlineStr">
        <is>
          <t>No</t>
        </is>
      </c>
      <c r="AY354" s="5" t="inlineStr">
        <is>
          <t>Verified directory</t>
        </is>
      </c>
      <c r="AZ354" s="5" t="inlineStr">
        <is>
          <t>Not Found</t>
        </is>
      </c>
      <c r="BA354" s="5" t="inlineStr">
        <is>
          <t>2026-09-17</t>
        </is>
      </c>
      <c r="BB354" s="5" t="inlineStr">
        <is>
          <t>Requires Verification</t>
        </is>
      </c>
      <c r="BC354" s="5" t="inlineStr">
        <is>
          <t>Medium</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UK-000594</t>
        </is>
      </c>
      <c r="B355" s="10" t="inlineStr">
        <is>
          <t>UK-000594-01</t>
        </is>
      </c>
      <c r="C355" s="10" t="inlineStr"/>
      <c r="D355" s="10" t="inlineStr">
        <is>
          <t>Dennis Convenience Store</t>
        </is>
      </c>
      <c r="E355" s="10" t="inlineStr">
        <is>
          <t>Dennis</t>
        </is>
      </c>
      <c r="F355" s="10" t="inlineStr"/>
      <c r="G355" s="10" t="inlineStr">
        <is>
          <t>Convenience Store</t>
        </is>
      </c>
      <c r="H355" s="10" t="inlineStr"/>
      <c r="I355" s="10" t="inlineStr">
        <is>
          <t>Independent</t>
        </is>
      </c>
      <c r="J355" s="10" t="inlineStr">
        <is>
          <t>1</t>
        </is>
      </c>
      <c r="K355" s="10" t="inlineStr"/>
      <c r="L355" s="10" t="inlineStr"/>
      <c r="M355" s="10" t="inlineStr"/>
      <c r="N355" s="10" t="inlineStr"/>
      <c r="O355" s="10" t="inlineStr">
        <is>
          <t>90 Brownhill Road</t>
        </is>
      </c>
      <c r="P355" s="10" t="inlineStr">
        <is>
          <t>Catford</t>
        </is>
      </c>
      <c r="Q355" s="10" t="inlineStr">
        <is>
          <t>London</t>
        </is>
      </c>
      <c r="R355" s="10" t="inlineStr">
        <is>
          <t>Greater London</t>
        </is>
      </c>
      <c r="S355" s="10" t="inlineStr">
        <is>
          <t>SE6 1AA</t>
        </is>
      </c>
      <c r="T355" s="10" t="inlineStr">
        <is>
          <t>London</t>
        </is>
      </c>
      <c r="U355" s="10" t="inlineStr">
        <is>
          <t>England</t>
        </is>
      </c>
      <c r="V355" s="10" t="inlineStr"/>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grocery; off-licence; convenience</t>
        </is>
      </c>
      <c r="AL355" s="10" t="inlineStr"/>
      <c r="AM355" s="10" t="inlineStr">
        <is>
          <t>Convenience Store</t>
        </is>
      </c>
      <c r="AN355" s="10" t="inlineStr"/>
      <c r="AO355" s="10" t="inlineStr">
        <is>
          <t>Independent convenience store on Brownhill Road, Catford. Address from Yell directory; listed contact was an 0333 service number, not recorded as a shop line.</t>
        </is>
      </c>
      <c r="AP355" s="10" t="inlineStr">
        <is>
          <t>Low</t>
        </is>
      </c>
      <c r="AQ355" s="10" t="inlineStr">
        <is>
          <t>Independent retailer; Relevant category</t>
        </is>
      </c>
      <c r="AR355" s="10" t="inlineStr">
        <is>
          <t>https://www.yell.com/s/supermarkets-bellingham-south+east+london.html</t>
        </is>
      </c>
      <c r="AS355" s="10" t="inlineStr"/>
      <c r="AT355" s="10" t="inlineStr">
        <is>
          <t>1</t>
        </is>
      </c>
      <c r="AU355" s="10" t="inlineStr">
        <is>
          <t>No</t>
        </is>
      </c>
      <c r="AV355" s="10" t="inlineStr">
        <is>
          <t>No</t>
        </is>
      </c>
      <c r="AW355" s="10" t="inlineStr">
        <is>
          <t>No</t>
        </is>
      </c>
      <c r="AX355" s="10" t="inlineStr">
        <is>
          <t>No</t>
        </is>
      </c>
      <c r="AY355" s="10" t="inlineStr">
        <is>
          <t>Not Found</t>
        </is>
      </c>
      <c r="AZ355" s="10" t="inlineStr">
        <is>
          <t>Not Found</t>
        </is>
      </c>
      <c r="BA355" s="10" t="inlineStr">
        <is>
          <t>2026-09-17</t>
        </is>
      </c>
      <c r="BB355" s="10" t="inlineStr">
        <is>
          <t>Requires Verification</t>
        </is>
      </c>
      <c r="BC355" s="10" t="inlineStr">
        <is>
          <t>Low</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2026-09-17</t>
        </is>
      </c>
      <c r="BJ355" s="10" t="inlineStr">
        <is>
          <t>New</t>
        </is>
      </c>
      <c r="BK355" s="10" t="inlineStr">
        <is>
          <t>2026-09-17</t>
        </is>
      </c>
      <c r="BL355" s="10" t="inlineStr"/>
      <c r="BM355" s="10" t="inlineStr"/>
      <c r="BN355" s="10" t="inlineStr"/>
      <c r="BO355" s="10" t="inlineStr"/>
      <c r="BP355" s="10" t="inlineStr"/>
      <c r="BQ355" s="10" t="inlineStr"/>
    </row>
    <row r="356">
      <c r="A356" s="5" t="inlineStr">
        <is>
          <t>WY-0080</t>
        </is>
      </c>
      <c r="B356" s="5" t="inlineStr">
        <is>
          <t>WY-0080-01</t>
        </is>
      </c>
      <c r="C356" s="5" t="inlineStr"/>
      <c r="D356" s="5" t="inlineStr">
        <is>
          <t>Dhillon's Newsagents</t>
        </is>
      </c>
      <c r="E356" s="5" t="inlineStr">
        <is>
          <t>Dhillon's Newsagents</t>
        </is>
      </c>
      <c r="F356" s="5" t="inlineStr"/>
      <c r="G356" s="5" t="inlineStr">
        <is>
          <t>Newsagent</t>
        </is>
      </c>
      <c r="H356" s="5" t="inlineStr"/>
      <c r="I356" s="5" t="inlineStr">
        <is>
          <t>Independent</t>
        </is>
      </c>
      <c r="J356" s="5" t="inlineStr">
        <is>
          <t>1</t>
        </is>
      </c>
      <c r="K356" s="5" t="inlineStr"/>
      <c r="L356" s="5" t="inlineStr"/>
      <c r="M356" s="5" t="inlineStr"/>
      <c r="N356" s="5" t="inlineStr"/>
      <c r="O356" s="5" t="inlineStr">
        <is>
          <t>151 Broad Lane</t>
        </is>
      </c>
      <c r="P356" s="5" t="inlineStr">
        <is>
          <t>Bramley</t>
        </is>
      </c>
      <c r="Q356" s="5" t="inlineStr">
        <is>
          <t>Leeds</t>
        </is>
      </c>
      <c r="R356" s="5" t="inlineStr">
        <is>
          <t>West Yorkshire</t>
        </is>
      </c>
      <c r="S356" s="5" t="inlineStr">
        <is>
          <t>LS13 2JJ</t>
        </is>
      </c>
      <c r="T356" s="5" t="inlineStr">
        <is>
          <t>Yorkshire &amp; Humber</t>
        </is>
      </c>
      <c r="U356" s="5" t="inlineStr">
        <is>
          <t>England</t>
        </is>
      </c>
      <c r="V356" s="5" t="inlineStr">
        <is>
          <t>0113 257 8085</t>
        </is>
      </c>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newspapers; magazines; confectionery; tobacco</t>
        </is>
      </c>
      <c r="AL356" s="5" t="inlineStr"/>
      <c r="AM356" s="5" t="inlineStr">
        <is>
          <t>Newsagent</t>
        </is>
      </c>
      <c r="AN356" s="5" t="inlineStr"/>
      <c r="AO356" s="5" t="inlineStr"/>
      <c r="AP356" s="5" t="inlineStr">
        <is>
          <t>Low</t>
        </is>
      </c>
      <c r="AQ356" s="5" t="inlineStr">
        <is>
          <t>Independent retailer; Relevant category</t>
        </is>
      </c>
      <c r="AR356" s="5" t="inlineStr">
        <is>
          <t>https://findit.yorkshireeveningpost.co.uk/search/leeds/newsagent</t>
        </is>
      </c>
      <c r="AS356" s="5" t="inlineStr">
        <is>
          <t>https://www.192.com/atoz/business/leeds/newsagents/</t>
        </is>
      </c>
      <c r="AT356" s="5" t="inlineStr">
        <is>
          <t>2</t>
        </is>
      </c>
      <c r="AU356" s="5" t="inlineStr">
        <is>
          <t>No</t>
        </is>
      </c>
      <c r="AV356" s="5" t="inlineStr">
        <is>
          <t>No</t>
        </is>
      </c>
      <c r="AW356" s="5" t="inlineStr">
        <is>
          <t>No</t>
        </is>
      </c>
      <c r="AX356" s="5" t="inlineStr">
        <is>
          <t>No</t>
        </is>
      </c>
      <c r="AY356" s="5" t="inlineStr">
        <is>
          <t>Verified directory</t>
        </is>
      </c>
      <c r="AZ356" s="5" t="inlineStr">
        <is>
          <t>Not Found</t>
        </is>
      </c>
      <c r="BA356" s="5" t="inlineStr">
        <is>
          <t>2026-09-17</t>
        </is>
      </c>
      <c r="BB356" s="5" t="inlineStr">
        <is>
          <t>Requires Verification</t>
        </is>
      </c>
      <c r="BC356" s="5" t="inlineStr">
        <is>
          <t>Medium</t>
        </is>
      </c>
      <c r="BD356" s="5" t="inlineStr"/>
      <c r="BE356" s="5" t="inlineStr">
        <is>
          <t>Business (B2B)</t>
        </is>
      </c>
      <c r="BF356" s="5" t="inlineStr">
        <is>
          <t>Legitimate interest (B2B) - assess per campaign; PECR: corporate subscribers</t>
        </is>
      </c>
      <c r="BG356" s="5" t="inlineStr"/>
      <c r="BH356" s="5" t="inlineStr">
        <is>
          <t>No</t>
        </is>
      </c>
      <c r="BI356" s="5" t="inlineStr">
        <is>
          <t>2026-09-16</t>
        </is>
      </c>
      <c r="BJ356" s="5" t="inlineStr">
        <is>
          <t>New</t>
        </is>
      </c>
      <c r="BK356" s="5" t="inlineStr">
        <is>
          <t>2026-09-17</t>
        </is>
      </c>
      <c r="BL356" s="5" t="inlineStr"/>
      <c r="BM356" s="5" t="inlineStr"/>
      <c r="BN356" s="5" t="inlineStr"/>
      <c r="BO356" s="5" t="inlineStr"/>
      <c r="BP356" s="5" t="inlineStr"/>
      <c r="BQ356" s="5" t="inlineStr"/>
    </row>
    <row r="357">
      <c r="A357" s="10" t="inlineStr">
        <is>
          <t>UK-000352</t>
        </is>
      </c>
      <c r="B357" s="10" t="inlineStr">
        <is>
          <t>UK-000352-01</t>
        </is>
      </c>
      <c r="C357" s="10" t="inlineStr"/>
      <c r="D357" s="10" t="inlineStr">
        <is>
          <t>Dial Me A Shisha</t>
        </is>
      </c>
      <c r="E357" s="10" t="inlineStr">
        <is>
          <t>Dial Me A Shisha</t>
        </is>
      </c>
      <c r="F357" s="10" t="inlineStr"/>
      <c r="G357" s="10" t="inlineStr">
        <is>
          <t>Smoke / Shisha Shop</t>
        </is>
      </c>
      <c r="H357" s="10" t="inlineStr">
        <is>
          <t>Shisha supplier and delivery</t>
        </is>
      </c>
      <c r="I357" s="10" t="inlineStr">
        <is>
          <t>Independent</t>
        </is>
      </c>
      <c r="J357" s="10" t="inlineStr">
        <is>
          <t>1</t>
        </is>
      </c>
      <c r="K357" s="10" t="inlineStr">
        <is>
          <t>https://dial-me-a-shisha.ueniweb.com/</t>
        </is>
      </c>
      <c r="L357" s="10" t="inlineStr">
        <is>
          <t>https://www.facebook.com/dialmeashisha/</t>
        </is>
      </c>
      <c r="M357" s="10" t="inlineStr"/>
      <c r="N357" s="10" t="inlineStr"/>
      <c r="O357" s="10" t="inlineStr">
        <is>
          <t>21 Dunbar Drive</t>
        </is>
      </c>
      <c r="P357" s="10" t="inlineStr"/>
      <c r="Q357" s="10" t="inlineStr">
        <is>
          <t>Bolton</t>
        </is>
      </c>
      <c r="R357" s="10" t="inlineStr">
        <is>
          <t>Greater Manchester</t>
        </is>
      </c>
      <c r="S357" s="10" t="inlineStr"/>
      <c r="T357" s="10" t="inlineStr">
        <is>
          <t>North West</t>
        </is>
      </c>
      <c r="U357" s="10" t="inlineStr">
        <is>
          <t>England</t>
        </is>
      </c>
      <c r="V357" s="10" t="inlineStr"/>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shisha; hookah; shisha flavours; coals; event supply</t>
        </is>
      </c>
      <c r="AL357" s="10" t="inlineStr"/>
      <c r="AM357" s="10" t="inlineStr">
        <is>
          <t>Smoke / Shisha Shop</t>
        </is>
      </c>
      <c r="AN357" s="10" t="inlineStr">
        <is>
          <t>Shisha supplier and event delivery service</t>
        </is>
      </c>
      <c r="AO357" s="10" t="inlineStr">
        <is>
          <t>Independent shisha supplier and delivery service covering Bolton and Greater Manchester (established 2010), based 21 Dunbar Drive, Bolton. Also markets as Aqua/Arabian Lounge Dial A Shisha. Postcode not confirmed in snippet.</t>
        </is>
      </c>
      <c r="AP357" s="10" t="inlineStr">
        <is>
          <t>Medium</t>
        </is>
      </c>
      <c r="AQ357" s="10" t="inlineStr">
        <is>
          <t>Independent retailer; Core relevant category; Active website; Social presence</t>
        </is>
      </c>
      <c r="AR357" s="10" t="inlineStr">
        <is>
          <t>https://dial-me-a-shisha.ueniweb.com/</t>
        </is>
      </c>
      <c r="AS357" s="10" t="inlineStr">
        <is>
          <t>https://www.yelp.co.uk/biz/dial-me-a-shisha-bolton</t>
        </is>
      </c>
      <c r="AT357" s="10" t="inlineStr">
        <is>
          <t>2</t>
        </is>
      </c>
      <c r="AU357" s="10" t="inlineStr">
        <is>
          <t>No</t>
        </is>
      </c>
      <c r="AV357" s="10" t="inlineStr">
        <is>
          <t>No</t>
        </is>
      </c>
      <c r="AW357" s="10" t="inlineStr">
        <is>
          <t>No</t>
        </is>
      </c>
      <c r="AX357" s="10" t="inlineStr">
        <is>
          <t>No</t>
        </is>
      </c>
      <c r="AY357" s="10" t="inlineStr">
        <is>
          <t>Not Found</t>
        </is>
      </c>
      <c r="AZ357" s="10" t="inlineStr">
        <is>
          <t>Website Found</t>
        </is>
      </c>
      <c r="BA357" s="10" t="inlineStr">
        <is>
          <t>2026-09-17</t>
        </is>
      </c>
      <c r="BB357" s="10" t="inlineStr">
        <is>
          <t>Requires Verification</t>
        </is>
      </c>
      <c r="BC357" s="10" t="inlineStr">
        <is>
          <t>Low</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2026-09-17</t>
        </is>
      </c>
      <c r="BJ357" s="10" t="inlineStr">
        <is>
          <t>New</t>
        </is>
      </c>
      <c r="BK357" s="10" t="inlineStr">
        <is>
          <t>2026-09-17</t>
        </is>
      </c>
      <c r="BL357" s="10" t="inlineStr"/>
      <c r="BM357" s="10" t="inlineStr"/>
      <c r="BN357" s="10" t="inlineStr"/>
      <c r="BO357" s="10" t="inlineStr"/>
      <c r="BP357" s="10" t="inlineStr"/>
      <c r="BQ357" s="10" t="inlineStr"/>
    </row>
    <row r="358">
      <c r="A358" s="5" t="inlineStr">
        <is>
          <t>UK-000353</t>
        </is>
      </c>
      <c r="B358" s="5" t="inlineStr">
        <is>
          <t>UK-000353-01</t>
        </is>
      </c>
      <c r="C358" s="5" t="inlineStr"/>
      <c r="D358" s="5" t="inlineStr">
        <is>
          <t>Didsbury Express</t>
        </is>
      </c>
      <c r="E358" s="5" t="inlineStr">
        <is>
          <t>Didsbury Express</t>
        </is>
      </c>
      <c r="F358" s="5" t="inlineStr"/>
      <c r="G358" s="5" t="inlineStr">
        <is>
          <t>Convenience Store</t>
        </is>
      </c>
      <c r="H358" s="5" t="inlineStr">
        <is>
          <t>Convenience &amp; off-licence</t>
        </is>
      </c>
      <c r="I358" s="5" t="inlineStr">
        <is>
          <t>Independent</t>
        </is>
      </c>
      <c r="J358" s="5" t="inlineStr">
        <is>
          <t>1</t>
        </is>
      </c>
      <c r="K358" s="5" t="inlineStr"/>
      <c r="L358" s="5" t="inlineStr"/>
      <c r="M358" s="5" t="inlineStr"/>
      <c r="N358" s="5" t="inlineStr"/>
      <c r="O358" s="5" t="inlineStr">
        <is>
          <t>104 Barlow Moor Road</t>
        </is>
      </c>
      <c r="P358" s="5" t="inlineStr">
        <is>
          <t>Didsbury</t>
        </is>
      </c>
      <c r="Q358" s="5" t="inlineStr">
        <is>
          <t>Manchester</t>
        </is>
      </c>
      <c r="R358" s="5" t="inlineStr">
        <is>
          <t>Greater Manchester</t>
        </is>
      </c>
      <c r="S358" s="5" t="inlineStr">
        <is>
          <t>M20 2PN</t>
        </is>
      </c>
      <c r="T358" s="5" t="inlineStr">
        <is>
          <t>North West</t>
        </is>
      </c>
      <c r="U358" s="5" t="inlineStr">
        <is>
          <t>England</t>
        </is>
      </c>
      <c r="V358" s="5" t="inlineStr"/>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groceries; off-licence; tobacco; confectionery; soft drinks</t>
        </is>
      </c>
      <c r="AL358" s="5" t="inlineStr"/>
      <c r="AM358" s="5" t="inlineStr">
        <is>
          <t>Convenience Store</t>
        </is>
      </c>
      <c r="AN358" s="5" t="inlineStr"/>
      <c r="AO358" s="5" t="inlineStr">
        <is>
          <t>Didsbury independent convenience store; address/postcode from 192.com business directory. Phone not captured.</t>
        </is>
      </c>
      <c r="AP358" s="5" t="inlineStr">
        <is>
          <t>Low</t>
        </is>
      </c>
      <c r="AQ358" s="5" t="inlineStr">
        <is>
          <t>Independent retailer; Relevant category</t>
        </is>
      </c>
      <c r="AR358" s="5" t="inlineStr">
        <is>
          <t>https://www.192.com/atoz/business/manchester-m20/convenience-stores/didsbury-express/6ec1daa23654a53672bc8f33dd6ce3ccb3000bc5/ml/</t>
        </is>
      </c>
      <c r="AS358" s="5" t="inlineStr"/>
      <c r="AT358" s="5" t="inlineStr">
        <is>
          <t>1</t>
        </is>
      </c>
      <c r="AU358" s="5" t="inlineStr">
        <is>
          <t>No</t>
        </is>
      </c>
      <c r="AV358" s="5" t="inlineStr">
        <is>
          <t>No</t>
        </is>
      </c>
      <c r="AW358" s="5" t="inlineStr">
        <is>
          <t>No</t>
        </is>
      </c>
      <c r="AX358" s="5" t="inlineStr">
        <is>
          <t>No</t>
        </is>
      </c>
      <c r="AY358" s="5" t="inlineStr">
        <is>
          <t>Not Found</t>
        </is>
      </c>
      <c r="AZ358" s="5" t="inlineStr">
        <is>
          <t>Not Found</t>
        </is>
      </c>
      <c r="BA358" s="5" t="inlineStr">
        <is>
          <t>2026-09-17</t>
        </is>
      </c>
      <c r="BB358" s="5" t="inlineStr">
        <is>
          <t>Requires Verification</t>
        </is>
      </c>
      <c r="BC358" s="5" t="inlineStr">
        <is>
          <t>Low</t>
        </is>
      </c>
      <c r="BD358" s="5" t="inlineStr"/>
      <c r="BE358" s="5" t="inlineStr">
        <is>
          <t>Business (B2B)</t>
        </is>
      </c>
      <c r="BF358" s="5" t="inlineStr">
        <is>
          <t>Legitimate interest (B2B) - assess per campaign; PECR: corporate subscribers</t>
        </is>
      </c>
      <c r="BG358" s="5" t="inlineStr"/>
      <c r="BH358" s="5" t="inlineStr">
        <is>
          <t>No</t>
        </is>
      </c>
      <c r="BI358" s="5" t="inlineStr">
        <is>
          <t>2026-09-17</t>
        </is>
      </c>
      <c r="BJ358" s="5" t="inlineStr">
        <is>
          <t>New</t>
        </is>
      </c>
      <c r="BK358" s="5" t="inlineStr">
        <is>
          <t>2026-09-17</t>
        </is>
      </c>
      <c r="BL358" s="5" t="inlineStr"/>
      <c r="BM358" s="5" t="inlineStr"/>
      <c r="BN358" s="5" t="inlineStr"/>
      <c r="BO358" s="5" t="inlineStr"/>
      <c r="BP358" s="5" t="inlineStr"/>
      <c r="BQ358" s="5" t="inlineStr"/>
    </row>
    <row r="359">
      <c r="A359" s="10" t="inlineStr">
        <is>
          <t>UK-000767</t>
        </is>
      </c>
      <c r="B359" s="10" t="inlineStr">
        <is>
          <t>UK-000767-01</t>
        </is>
      </c>
      <c r="C359" s="10" t="inlineStr"/>
      <c r="D359" s="10" t="inlineStr">
        <is>
          <t>Discount Booze</t>
        </is>
      </c>
      <c r="E359" s="10" t="inlineStr">
        <is>
          <t>Discount Booze</t>
        </is>
      </c>
      <c r="F359" s="10" t="inlineStr"/>
      <c r="G359" s="10" t="inlineStr">
        <is>
          <t>Off-Licence</t>
        </is>
      </c>
      <c r="H359" s="10" t="inlineStr">
        <is>
          <t>Off-licence / wines &amp; spirits</t>
        </is>
      </c>
      <c r="I359" s="10" t="inlineStr">
        <is>
          <t>Independent</t>
        </is>
      </c>
      <c r="J359" s="10" t="inlineStr">
        <is>
          <t>1</t>
        </is>
      </c>
      <c r="K359" s="10" t="inlineStr"/>
      <c r="L359" s="10" t="inlineStr"/>
      <c r="M359" s="10" t="inlineStr"/>
      <c r="N359" s="10" t="inlineStr"/>
      <c r="O359" s="10" t="inlineStr">
        <is>
          <t>1 Blessington Road</t>
        </is>
      </c>
      <c r="P359" s="10" t="inlineStr">
        <is>
          <t>Anfield</t>
        </is>
      </c>
      <c r="Q359" s="10" t="inlineStr">
        <is>
          <t>Liverpool</t>
        </is>
      </c>
      <c r="R359" s="10" t="inlineStr">
        <is>
          <t>Merseyside</t>
        </is>
      </c>
      <c r="S359" s="10" t="inlineStr">
        <is>
          <t>L4 0RY</t>
        </is>
      </c>
      <c r="T359" s="10" t="inlineStr">
        <is>
          <t>North West</t>
        </is>
      </c>
      <c r="U359" s="10" t="inlineStr">
        <is>
          <t>England</t>
        </is>
      </c>
      <c r="V359" s="10" t="inlineStr"/>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wines; beers; spirits</t>
        </is>
      </c>
      <c r="AL359" s="10" t="inlineStr"/>
      <c r="AM359" s="10" t="inlineStr">
        <is>
          <t>Off-Licence</t>
        </is>
      </c>
      <c r="AN359" s="10" t="inlineStr"/>
      <c r="AO359" s="10" t="inlineStr">
        <is>
          <t>Independent off-licence on Blessington Road (L4).</t>
        </is>
      </c>
      <c r="AP359" s="10" t="inlineStr">
        <is>
          <t>Low</t>
        </is>
      </c>
      <c r="AQ359" s="10" t="inlineStr">
        <is>
          <t>Independent retailer; Relevant category</t>
        </is>
      </c>
      <c r="AR359" s="10" t="inlineStr">
        <is>
          <t>https://liverpool.cylex-uk.co.uk/off-licence-4.html</t>
        </is>
      </c>
      <c r="AS359" s="10" t="inlineStr"/>
      <c r="AT359" s="10" t="inlineStr">
        <is>
          <t>1</t>
        </is>
      </c>
      <c r="AU359" s="10" t="inlineStr">
        <is>
          <t>No</t>
        </is>
      </c>
      <c r="AV359" s="10" t="inlineStr">
        <is>
          <t>No</t>
        </is>
      </c>
      <c r="AW359" s="10" t="inlineStr">
        <is>
          <t>No</t>
        </is>
      </c>
      <c r="AX359" s="10" t="inlineStr">
        <is>
          <t>No</t>
        </is>
      </c>
      <c r="AY359" s="10" t="inlineStr">
        <is>
          <t>Not Found</t>
        </is>
      </c>
      <c r="AZ359" s="10" t="inlineStr">
        <is>
          <t>Not Found</t>
        </is>
      </c>
      <c r="BA359" s="10" t="inlineStr">
        <is>
          <t>2026-09-17</t>
        </is>
      </c>
      <c r="BB359" s="10" t="inlineStr">
        <is>
          <t>Requires Verification</t>
        </is>
      </c>
      <c r="BC359" s="10" t="inlineStr">
        <is>
          <t>Low</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2026-09-17</t>
        </is>
      </c>
      <c r="BJ359" s="10" t="inlineStr">
        <is>
          <t>New</t>
        </is>
      </c>
      <c r="BK359" s="10" t="inlineStr">
        <is>
          <t>2026-09-17</t>
        </is>
      </c>
      <c r="BL359" s="10" t="inlineStr"/>
      <c r="BM359" s="10" t="inlineStr"/>
      <c r="BN359" s="10" t="inlineStr"/>
      <c r="BO359" s="10" t="inlineStr"/>
      <c r="BP359" s="10" t="inlineStr"/>
      <c r="BQ359" s="10" t="inlineStr"/>
    </row>
    <row r="360">
      <c r="A360" s="5" t="inlineStr">
        <is>
          <t>UK-000595</t>
        </is>
      </c>
      <c r="B360" s="5" t="inlineStr">
        <is>
          <t>UK-000595-01</t>
        </is>
      </c>
      <c r="C360" s="5" t="inlineStr"/>
      <c r="D360" s="5" t="inlineStr">
        <is>
          <t>Diu Supermarket</t>
        </is>
      </c>
      <c r="E360" s="5" t="inlineStr">
        <is>
          <t>Diu Supermarket</t>
        </is>
      </c>
      <c r="F360" s="5" t="inlineStr"/>
      <c r="G360" s="5" t="inlineStr">
        <is>
          <t>Independent Supermarket</t>
        </is>
      </c>
      <c r="H360" s="5" t="inlineStr">
        <is>
          <t>South Asian / world food supermarket</t>
        </is>
      </c>
      <c r="I360" s="5" t="inlineStr">
        <is>
          <t>Independent</t>
        </is>
      </c>
      <c r="J360" s="5" t="inlineStr">
        <is>
          <t>1</t>
        </is>
      </c>
      <c r="K360" s="5" t="inlineStr"/>
      <c r="L360" s="5" t="inlineStr"/>
      <c r="M360" s="5" t="inlineStr"/>
      <c r="N360" s="5" t="inlineStr"/>
      <c r="O360" s="5" t="inlineStr">
        <is>
          <t>93-95 Ealing Road</t>
        </is>
      </c>
      <c r="P360" s="5" t="inlineStr"/>
      <c r="Q360" s="5" t="inlineStr">
        <is>
          <t>Wembley</t>
        </is>
      </c>
      <c r="R360" s="5" t="inlineStr">
        <is>
          <t>Greater London</t>
        </is>
      </c>
      <c r="S360" s="5" t="inlineStr">
        <is>
          <t>HA0 4TA</t>
        </is>
      </c>
      <c r="T360" s="5" t="inlineStr">
        <is>
          <t>London</t>
        </is>
      </c>
      <c r="U360" s="5" t="inlineStr">
        <is>
          <t>England</t>
        </is>
      </c>
      <c r="V360" s="5" t="inlineStr"/>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South Asian groceries; world foods</t>
        </is>
      </c>
      <c r="AL360" s="5" t="inlineStr"/>
      <c r="AM360" s="5" t="inlineStr">
        <is>
          <t>Independent Supermarket</t>
        </is>
      </c>
      <c r="AN360" s="5" t="inlineStr"/>
      <c r="AO360" s="5" t="inlineStr">
        <is>
          <t>Independent world-food supermarket, Ealing Road, Wembley. Appears alongside Jalaram in Yell listing; individual phone not reliably attributed, left blank.</t>
        </is>
      </c>
      <c r="AP360" s="5" t="inlineStr">
        <is>
          <t>Low</t>
        </is>
      </c>
      <c r="AQ360" s="5" t="inlineStr">
        <is>
          <t>Independent retailer; Relevant category</t>
        </is>
      </c>
      <c r="AR360" s="5" t="inlineStr">
        <is>
          <t>https://www.yell.com/s/supermarkets-wembley.html</t>
        </is>
      </c>
      <c r="AS360" s="5" t="inlineStr"/>
      <c r="AT360" s="5" t="inlineStr">
        <is>
          <t>1</t>
        </is>
      </c>
      <c r="AU360" s="5" t="inlineStr">
        <is>
          <t>No</t>
        </is>
      </c>
      <c r="AV360" s="5" t="inlineStr">
        <is>
          <t>No</t>
        </is>
      </c>
      <c r="AW360" s="5" t="inlineStr">
        <is>
          <t>No</t>
        </is>
      </c>
      <c r="AX360" s="5" t="inlineStr">
        <is>
          <t>No</t>
        </is>
      </c>
      <c r="AY360" s="5" t="inlineStr">
        <is>
          <t>Not Found</t>
        </is>
      </c>
      <c r="AZ360" s="5" t="inlineStr">
        <is>
          <t>Not Found</t>
        </is>
      </c>
      <c r="BA360" s="5" t="inlineStr">
        <is>
          <t>2026-09-17</t>
        </is>
      </c>
      <c r="BB360" s="5" t="inlineStr">
        <is>
          <t>Requires Verification</t>
        </is>
      </c>
      <c r="BC360" s="5" t="inlineStr">
        <is>
          <t>Low</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UK-000596</t>
        </is>
      </c>
      <c r="B361" s="10" t="inlineStr">
        <is>
          <t>UK-000596-01</t>
        </is>
      </c>
      <c r="C361" s="10" t="inlineStr"/>
      <c r="D361" s="10" t="inlineStr">
        <is>
          <t>Dostlar Ltd</t>
        </is>
      </c>
      <c r="E361" s="10" t="inlineStr">
        <is>
          <t>Dostlar</t>
        </is>
      </c>
      <c r="F361" s="10" t="inlineStr"/>
      <c r="G361" s="10" t="inlineStr">
        <is>
          <t>Independent Supermarket</t>
        </is>
      </c>
      <c r="H361" s="10" t="inlineStr">
        <is>
          <t>Turkish / world-food supermarket</t>
        </is>
      </c>
      <c r="I361" s="10" t="inlineStr">
        <is>
          <t>Independent</t>
        </is>
      </c>
      <c r="J361" s="10" t="inlineStr">
        <is>
          <t>1</t>
        </is>
      </c>
      <c r="K361" s="10" t="inlineStr"/>
      <c r="L361" s="10" t="inlineStr"/>
      <c r="M361" s="10" t="inlineStr"/>
      <c r="N361" s="10" t="inlineStr"/>
      <c r="O361" s="10" t="inlineStr">
        <is>
          <t>425-427 Green Lanes</t>
        </is>
      </c>
      <c r="P361" s="10" t="inlineStr"/>
      <c r="Q361" s="10" t="inlineStr">
        <is>
          <t>Harringay</t>
        </is>
      </c>
      <c r="R361" s="10" t="inlineStr">
        <is>
          <t>Greater London</t>
        </is>
      </c>
      <c r="S361" s="10" t="inlineStr">
        <is>
          <t>N4 1EY</t>
        </is>
      </c>
      <c r="T361" s="10" t="inlineStr">
        <is>
          <t>London</t>
        </is>
      </c>
      <c r="U361" s="10" t="inlineStr">
        <is>
          <t>England</t>
        </is>
      </c>
      <c r="V361" s="10" t="inlineStr">
        <is>
          <t>020 8340 9134</t>
        </is>
      </c>
      <c r="W361" s="10" t="inlineStr"/>
      <c r="X361" s="10" t="inlineStr"/>
      <c r="Y361" s="10" t="inlineStr"/>
      <c r="Z361" s="10" t="inlineStr"/>
      <c r="AA361" s="10" t="inlineStr"/>
      <c r="AB361" s="10" t="inlineStr"/>
      <c r="AC361" s="10" t="inlineStr"/>
      <c r="AD361" s="10" t="inlineStr"/>
      <c r="AE361" s="10" t="inlineStr"/>
      <c r="AF361" s="10" t="inlineStr"/>
      <c r="AG361" s="10" t="inlineStr"/>
      <c r="AH361" s="10" t="inlineStr"/>
      <c r="AI361" s="10" t="inlineStr"/>
      <c r="AJ361" s="10" t="inlineStr"/>
      <c r="AK361" s="10" t="inlineStr">
        <is>
          <t>Turkish groceries; fresh produce; halal meat</t>
        </is>
      </c>
      <c r="AL361" s="10" t="inlineStr"/>
      <c r="AM361" s="10" t="inlineStr">
        <is>
          <t>Independent Supermarket</t>
        </is>
      </c>
      <c r="AN361" s="10" t="inlineStr"/>
      <c r="AO361" s="10" t="inlineStr">
        <is>
          <t>Turkish supermarket on Green Lanes, Harringay (fresh veg, fruit, meat, groceries). Address/postcode/phone from Yell directory.</t>
        </is>
      </c>
      <c r="AP361" s="10" t="inlineStr">
        <is>
          <t>Low</t>
        </is>
      </c>
      <c r="AQ361" s="10" t="inlineStr">
        <is>
          <t>Independent retailer; Relevant category</t>
        </is>
      </c>
      <c r="AR361" s="10" t="inlineStr">
        <is>
          <t>https://www.yell.com/s/turkish+supermarket-london+borough+of+haringey.html</t>
        </is>
      </c>
      <c r="AS361" s="10" t="inlineStr"/>
      <c r="AT361" s="10" t="inlineStr">
        <is>
          <t>1</t>
        </is>
      </c>
      <c r="AU361" s="10" t="inlineStr">
        <is>
          <t>No</t>
        </is>
      </c>
      <c r="AV361" s="10" t="inlineStr">
        <is>
          <t>No</t>
        </is>
      </c>
      <c r="AW361" s="10" t="inlineStr">
        <is>
          <t>No</t>
        </is>
      </c>
      <c r="AX361" s="10" t="inlineStr">
        <is>
          <t>No</t>
        </is>
      </c>
      <c r="AY361" s="10" t="inlineStr">
        <is>
          <t>Verified directory</t>
        </is>
      </c>
      <c r="AZ361" s="10" t="inlineStr">
        <is>
          <t>Not Found</t>
        </is>
      </c>
      <c r="BA361" s="10" t="inlineStr">
        <is>
          <t>2026-09-17</t>
        </is>
      </c>
      <c r="BB361" s="10" t="inlineStr">
        <is>
          <t>Requires Verification</t>
        </is>
      </c>
      <c r="BC361" s="10" t="inlineStr">
        <is>
          <t>Medium</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UK-000354</t>
        </is>
      </c>
      <c r="B362" s="5" t="inlineStr">
        <is>
          <t>UK-000354-01</t>
        </is>
      </c>
      <c r="C362" s="5" t="inlineStr"/>
      <c r="D362" s="5" t="inlineStr">
        <is>
          <t>Dragon Vape Leigh</t>
        </is>
      </c>
      <c r="E362" s="5" t="inlineStr">
        <is>
          <t>Dragon Vape</t>
        </is>
      </c>
      <c r="F362" s="5" t="inlineStr"/>
      <c r="G362" s="5" t="inlineStr">
        <is>
          <t>Vape Shop</t>
        </is>
      </c>
      <c r="H362" s="5" t="inlineStr"/>
      <c r="I362" s="5" t="inlineStr">
        <is>
          <t>Independent</t>
        </is>
      </c>
      <c r="J362" s="5" t="inlineStr">
        <is>
          <t>1</t>
        </is>
      </c>
      <c r="K362" s="5" t="inlineStr">
        <is>
          <t>https://dragonvapeuk.com/</t>
        </is>
      </c>
      <c r="L362" s="5" t="inlineStr"/>
      <c r="M362" s="5" t="inlineStr"/>
      <c r="N362" s="5" t="inlineStr"/>
      <c r="O362" s="5" t="inlineStr">
        <is>
          <t>47A-49A Leigh Road</t>
        </is>
      </c>
      <c r="P362" s="5" t="inlineStr"/>
      <c r="Q362" s="5" t="inlineStr">
        <is>
          <t>Leigh</t>
        </is>
      </c>
      <c r="R362" s="5" t="inlineStr">
        <is>
          <t>Greater Manchester</t>
        </is>
      </c>
      <c r="S362" s="5" t="inlineStr"/>
      <c r="T362" s="5" t="inlineStr">
        <is>
          <t>North West</t>
        </is>
      </c>
      <c r="U362" s="5" t="inlineStr">
        <is>
          <t>England</t>
        </is>
      </c>
      <c r="V362" s="5" t="inlineStr">
        <is>
          <t>0161 723 0064</t>
        </is>
      </c>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vape hardware; e-liquids</t>
        </is>
      </c>
      <c r="AL362" s="5" t="inlineStr"/>
      <c r="AM362" s="5" t="inlineStr">
        <is>
          <t>Vape Shop</t>
        </is>
      </c>
      <c r="AN362" s="5" t="inlineStr"/>
      <c r="AO362" s="5" t="inlineStr">
        <is>
          <t>Independent vape shop on Leigh Road with own website (dragonvapeuk.com). Postcode not confirmed in snippet.</t>
        </is>
      </c>
      <c r="AP362" s="5" t="inlineStr">
        <is>
          <t>Medium</t>
        </is>
      </c>
      <c r="AQ362" s="5" t="inlineStr">
        <is>
          <t>Independent retailer; Core relevant category; Active website; Phone verified on official website</t>
        </is>
      </c>
      <c r="AR362" s="5" t="inlineStr">
        <is>
          <t>https://dragonvapeuk.com/more/</t>
        </is>
      </c>
      <c r="AS362" s="5" t="inlineStr"/>
      <c r="AT362" s="5" t="inlineStr">
        <is>
          <t>1</t>
        </is>
      </c>
      <c r="AU362" s="5" t="inlineStr">
        <is>
          <t>No</t>
        </is>
      </c>
      <c r="AV362" s="5" t="inlineStr">
        <is>
          <t>No</t>
        </is>
      </c>
      <c r="AW362" s="5" t="inlineStr">
        <is>
          <t>No</t>
        </is>
      </c>
      <c r="AX362" s="5" t="inlineStr">
        <is>
          <t>No</t>
        </is>
      </c>
      <c r="AY362" s="5" t="inlineStr">
        <is>
          <t>Verified on official website</t>
        </is>
      </c>
      <c r="AZ362" s="5" t="inlineStr">
        <is>
          <t>Website Found</t>
        </is>
      </c>
      <c r="BA362" s="5" t="inlineStr">
        <is>
          <t>2026-09-17</t>
        </is>
      </c>
      <c r="BB362" s="5" t="inlineStr">
        <is>
          <t>Requires Verification</t>
        </is>
      </c>
      <c r="BC362" s="5" t="inlineStr">
        <is>
          <t>Medium</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UK-000355</t>
        </is>
      </c>
      <c r="B363" s="10" t="inlineStr">
        <is>
          <t>UK-000355-01</t>
        </is>
      </c>
      <c r="C363" s="10" t="inlineStr"/>
      <c r="D363" s="10" t="inlineStr">
        <is>
          <t>Draycott Trading Cash &amp; Carry</t>
        </is>
      </c>
      <c r="E363" s="10" t="inlineStr">
        <is>
          <t>Draycott Trading</t>
        </is>
      </c>
      <c r="F363" s="10" t="inlineStr"/>
      <c r="G363" s="10" t="inlineStr">
        <is>
          <t>Cash &amp; Carry</t>
        </is>
      </c>
      <c r="H363" s="10" t="inlineStr">
        <is>
          <t>Wholesale cash and carry</t>
        </is>
      </c>
      <c r="I363" s="10" t="inlineStr">
        <is>
          <t>Independent</t>
        </is>
      </c>
      <c r="J363" s="10" t="inlineStr">
        <is>
          <t>1</t>
        </is>
      </c>
      <c r="K363" s="10" t="inlineStr"/>
      <c r="L363" s="10" t="inlineStr"/>
      <c r="M363" s="10" t="inlineStr"/>
      <c r="N363" s="10" t="inlineStr"/>
      <c r="O363" s="10" t="inlineStr">
        <is>
          <t>Draycott Street East</t>
        </is>
      </c>
      <c r="P363" s="10" t="inlineStr"/>
      <c r="Q363" s="10" t="inlineStr">
        <is>
          <t>Bolton</t>
        </is>
      </c>
      <c r="R363" s="10" t="inlineStr">
        <is>
          <t>Greater Manchester</t>
        </is>
      </c>
      <c r="S363" s="10" t="inlineStr">
        <is>
          <t>BL1 8DS</t>
        </is>
      </c>
      <c r="T363" s="10" t="inlineStr">
        <is>
          <t>North West</t>
        </is>
      </c>
      <c r="U363" s="10" t="inlineStr">
        <is>
          <t>England</t>
        </is>
      </c>
      <c r="V363" s="10" t="inlineStr">
        <is>
          <t>01204 387779</t>
        </is>
      </c>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wholesale grocery; confectionery; soft drinks; tobacco</t>
        </is>
      </c>
      <c r="AL363" s="10" t="inlineStr"/>
      <c r="AM363" s="10" t="inlineStr">
        <is>
          <t>Cash &amp; Carry</t>
        </is>
      </c>
      <c r="AN363" s="10" t="inlineStr">
        <is>
          <t>Independent cash &amp; carry wholesaler</t>
        </is>
      </c>
      <c r="AO363" s="10" t="inlineStr">
        <is>
          <t>Independent cash &amp; carry wholesaler, Draycott Street East, Bolton (BL1 8DS).</t>
        </is>
      </c>
      <c r="AP363" s="10" t="inlineStr">
        <is>
          <t>Medium</t>
        </is>
      </c>
      <c r="AQ363" s="10" t="inlineStr">
        <is>
          <t>Independent retailer; Core relevant category</t>
        </is>
      </c>
      <c r="AR363" s="10" t="inlineStr">
        <is>
          <t>https://nextdoor.co.uk/pages/draycott-trading-cash-carry/</t>
        </is>
      </c>
      <c r="AS363" s="10" t="inlineStr"/>
      <c r="AT363" s="10" t="inlineStr">
        <is>
          <t>1</t>
        </is>
      </c>
      <c r="AU363" s="10" t="inlineStr">
        <is>
          <t>No</t>
        </is>
      </c>
      <c r="AV363" s="10" t="inlineStr">
        <is>
          <t>No</t>
        </is>
      </c>
      <c r="AW363" s="10" t="inlineStr">
        <is>
          <t>No</t>
        </is>
      </c>
      <c r="AX363" s="10" t="inlineStr">
        <is>
          <t>No</t>
        </is>
      </c>
      <c r="AY363" s="10" t="inlineStr">
        <is>
          <t>Verified directory</t>
        </is>
      </c>
      <c r="AZ363" s="10" t="inlineStr">
        <is>
          <t>Not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UK-000768</t>
        </is>
      </c>
      <c r="B364" s="5" t="inlineStr">
        <is>
          <t>UK-000768-01</t>
        </is>
      </c>
      <c r="C364" s="5" t="inlineStr"/>
      <c r="D364" s="5" t="inlineStr">
        <is>
          <t>Drip Crazy Vapes</t>
        </is>
      </c>
      <c r="E364" s="5" t="inlineStr">
        <is>
          <t>Drip Crazy Vapes</t>
        </is>
      </c>
      <c r="F364" s="5" t="inlineStr"/>
      <c r="G364" s="5" t="inlineStr">
        <is>
          <t>Vape Shop</t>
        </is>
      </c>
      <c r="H364" s="5" t="inlineStr">
        <is>
          <t>Vape shop / e-liquids</t>
        </is>
      </c>
      <c r="I364" s="5" t="inlineStr">
        <is>
          <t>Independent</t>
        </is>
      </c>
      <c r="J364" s="5" t="inlineStr">
        <is>
          <t>1</t>
        </is>
      </c>
      <c r="K364" s="5" t="inlineStr"/>
      <c r="L364" s="5" t="inlineStr"/>
      <c r="M364" s="5" t="inlineStr"/>
      <c r="N364" s="5" t="inlineStr"/>
      <c r="O364" s="5" t="inlineStr">
        <is>
          <t>12-13 Olympia Arcade</t>
        </is>
      </c>
      <c r="P364" s="5" t="inlineStr">
        <is>
          <t>High Street</t>
        </is>
      </c>
      <c r="Q364" s="5" t="inlineStr">
        <is>
          <t>Kirkcaldy</t>
        </is>
      </c>
      <c r="R364" s="5" t="inlineStr">
        <is>
          <t>Fife</t>
        </is>
      </c>
      <c r="S364" s="5" t="inlineStr">
        <is>
          <t>KY1 1QF</t>
        </is>
      </c>
      <c r="T364" s="5" t="inlineStr">
        <is>
          <t>Scotland</t>
        </is>
      </c>
      <c r="U364" s="5" t="inlineStr">
        <is>
          <t>Scotland</t>
        </is>
      </c>
      <c r="V364" s="5" t="inlineStr">
        <is>
          <t>01592 560398</t>
        </is>
      </c>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vape hardware; e-liquids</t>
        </is>
      </c>
      <c r="AL364" s="5" t="inlineStr"/>
      <c r="AM364" s="5" t="inlineStr">
        <is>
          <t>Vape Shop</t>
        </is>
      </c>
      <c r="AN364" s="5" t="inlineStr"/>
      <c r="AO364" s="5" t="inlineStr">
        <is>
          <t>Independent vape shop in the Olympia Arcade off Kirkcaldy High Street. Details from Cylex snippet.</t>
        </is>
      </c>
      <c r="AP364" s="5" t="inlineStr">
        <is>
          <t>Medium</t>
        </is>
      </c>
      <c r="AQ364" s="5" t="inlineStr">
        <is>
          <t>Independent retailer; Core relevant category</t>
        </is>
      </c>
      <c r="AR364" s="5" t="inlineStr">
        <is>
          <t>https://kirkcaldy.cylex-uk.co.uk/company/drip-crazy-vapes-26497256.html</t>
        </is>
      </c>
      <c r="AS364" s="5" t="inlineStr"/>
      <c r="AT364" s="5" t="inlineStr">
        <is>
          <t>1</t>
        </is>
      </c>
      <c r="AU364" s="5" t="inlineStr">
        <is>
          <t>No</t>
        </is>
      </c>
      <c r="AV364" s="5" t="inlineStr">
        <is>
          <t>No</t>
        </is>
      </c>
      <c r="AW364" s="5" t="inlineStr">
        <is>
          <t>No</t>
        </is>
      </c>
      <c r="AX364" s="5" t="inlineStr">
        <is>
          <t>No</t>
        </is>
      </c>
      <c r="AY364" s="5" t="inlineStr">
        <is>
          <t>Verified directory</t>
        </is>
      </c>
      <c r="AZ364" s="5" t="inlineStr">
        <is>
          <t>Not Found</t>
        </is>
      </c>
      <c r="BA364" s="5" t="inlineStr">
        <is>
          <t>2026-09-17</t>
        </is>
      </c>
      <c r="BB364" s="5" t="inlineStr">
        <is>
          <t>Requires Verification</t>
        </is>
      </c>
      <c r="BC364" s="5" t="inlineStr">
        <is>
          <t>Medium</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UK-000356</t>
        </is>
      </c>
      <c r="B365" s="10" t="inlineStr">
        <is>
          <t>UK-000356-01</t>
        </is>
      </c>
      <c r="C365" s="10" t="inlineStr"/>
      <c r="D365" s="10" t="inlineStr">
        <is>
          <t>Dubai Cafe &amp; Shisha Bar (Rusholme)</t>
        </is>
      </c>
      <c r="E365" s="10" t="inlineStr">
        <is>
          <t>Dubai Cafe &amp; Shisha Bar</t>
        </is>
      </c>
      <c r="F365" s="10" t="inlineStr"/>
      <c r="G365" s="10" t="inlineStr">
        <is>
          <t>Smoke / Shisha Shop</t>
        </is>
      </c>
      <c r="H365" s="10" t="inlineStr">
        <is>
          <t>Shisha cafe/bar</t>
        </is>
      </c>
      <c r="I365" s="10" t="inlineStr">
        <is>
          <t>Independent</t>
        </is>
      </c>
      <c r="J365" s="10" t="inlineStr">
        <is>
          <t>1</t>
        </is>
      </c>
      <c r="K365" s="10" t="inlineStr"/>
      <c r="L365" s="10" t="inlineStr"/>
      <c r="M365" s="10" t="inlineStr"/>
      <c r="N365" s="10" t="inlineStr"/>
      <c r="O365" s="10" t="inlineStr">
        <is>
          <t>82 Wilmslow Road</t>
        </is>
      </c>
      <c r="P365" s="10" t="inlineStr">
        <is>
          <t>Rusholme</t>
        </is>
      </c>
      <c r="Q365" s="10" t="inlineStr">
        <is>
          <t>Manchester</t>
        </is>
      </c>
      <c r="R365" s="10" t="inlineStr">
        <is>
          <t>Greater Manchester</t>
        </is>
      </c>
      <c r="S365" s="10" t="inlineStr">
        <is>
          <t>M14 5AL</t>
        </is>
      </c>
      <c r="T365" s="10" t="inlineStr">
        <is>
          <t>North West</t>
        </is>
      </c>
      <c r="U365" s="10" t="inlineStr">
        <is>
          <t>England</t>
        </is>
      </c>
      <c r="V365" s="10" t="inlineStr">
        <is>
          <t>0161 224 9040</t>
        </is>
      </c>
      <c r="W365" s="10" t="inlineStr"/>
      <c r="X365" s="10" t="inlineStr"/>
      <c r="Y365" s="10" t="inlineStr"/>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shisha/hookah; tobacco molasses; charcoal; cafe</t>
        </is>
      </c>
      <c r="AL365" s="10" t="inlineStr"/>
      <c r="AM365" s="10" t="inlineStr">
        <is>
          <t>Smoke / Shisha Shop</t>
        </is>
      </c>
      <c r="AN365" s="10" t="inlineStr"/>
      <c r="AO365" s="10" t="inlineStr">
        <is>
          <t>Rusholme (Curry Mile) shisha cafe/bar; address/phone from Hungry British directory.</t>
        </is>
      </c>
      <c r="AP365" s="10" t="inlineStr">
        <is>
          <t>Medium</t>
        </is>
      </c>
      <c r="AQ365" s="10" t="inlineStr">
        <is>
          <t>Independent retailer; Core relevant category</t>
        </is>
      </c>
      <c r="AR365" s="10" t="inlineStr">
        <is>
          <t>https://www.hungrybritish.com/manchester/dubai-cafe-shisha-bar-rusholme/</t>
        </is>
      </c>
      <c r="AS365" s="10" t="inlineStr"/>
      <c r="AT365" s="10" t="inlineStr">
        <is>
          <t>1</t>
        </is>
      </c>
      <c r="AU365" s="10" t="inlineStr">
        <is>
          <t>No</t>
        </is>
      </c>
      <c r="AV365" s="10" t="inlineStr">
        <is>
          <t>No</t>
        </is>
      </c>
      <c r="AW365" s="10" t="inlineStr">
        <is>
          <t>No</t>
        </is>
      </c>
      <c r="AX365" s="10" t="inlineStr">
        <is>
          <t>No</t>
        </is>
      </c>
      <c r="AY365" s="10" t="inlineStr">
        <is>
          <t>Verified directory</t>
        </is>
      </c>
      <c r="AZ365" s="10" t="inlineStr">
        <is>
          <t>Not Found</t>
        </is>
      </c>
      <c r="BA365" s="10" t="inlineStr">
        <is>
          <t>2026-09-17</t>
        </is>
      </c>
      <c r="BB365" s="10" t="inlineStr">
        <is>
          <t>Requires Verification</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2026-09-17</t>
        </is>
      </c>
      <c r="BJ365" s="10" t="inlineStr">
        <is>
          <t>New</t>
        </is>
      </c>
      <c r="BK365" s="10" t="inlineStr">
        <is>
          <t>2026-09-17</t>
        </is>
      </c>
      <c r="BL365" s="10" t="inlineStr"/>
      <c r="BM365" s="10" t="inlineStr"/>
      <c r="BN365" s="10" t="inlineStr"/>
      <c r="BO365" s="10" t="inlineStr"/>
      <c r="BP365" s="10" t="inlineStr"/>
      <c r="BQ365" s="10" t="inlineStr"/>
    </row>
    <row r="366">
      <c r="A366" s="5" t="inlineStr">
        <is>
          <t>UK-000769</t>
        </is>
      </c>
      <c r="B366" s="5" t="inlineStr">
        <is>
          <t>UK-000769-01</t>
        </is>
      </c>
      <c r="C366" s="5" t="inlineStr"/>
      <c r="D366" s="5" t="inlineStr">
        <is>
          <t>Dubai Convenience &amp; Off Licence</t>
        </is>
      </c>
      <c r="E366" s="5" t="inlineStr">
        <is>
          <t>Dubai Convenience &amp; Off Licence</t>
        </is>
      </c>
      <c r="F366" s="5" t="inlineStr"/>
      <c r="G366" s="5" t="inlineStr">
        <is>
          <t>Off-Licence</t>
        </is>
      </c>
      <c r="H366" s="5" t="inlineStr">
        <is>
          <t>Convenience &amp; off-licence</t>
        </is>
      </c>
      <c r="I366" s="5" t="inlineStr">
        <is>
          <t>Independent</t>
        </is>
      </c>
      <c r="J366" s="5" t="inlineStr">
        <is>
          <t>1</t>
        </is>
      </c>
      <c r="K366" s="5" t="inlineStr"/>
      <c r="L366" s="5" t="inlineStr"/>
      <c r="M366" s="5" t="inlineStr"/>
      <c r="N366" s="5" t="inlineStr"/>
      <c r="O366" s="5" t="inlineStr">
        <is>
          <t>71 Walton Vale</t>
        </is>
      </c>
      <c r="P366" s="5" t="inlineStr">
        <is>
          <t>Walton</t>
        </is>
      </c>
      <c r="Q366" s="5" t="inlineStr">
        <is>
          <t>Liverpool</t>
        </is>
      </c>
      <c r="R366" s="5" t="inlineStr">
        <is>
          <t>Merseyside</t>
        </is>
      </c>
      <c r="S366" s="5" t="inlineStr">
        <is>
          <t>L9 4RQ</t>
        </is>
      </c>
      <c r="T366" s="5" t="inlineStr">
        <is>
          <t>North West</t>
        </is>
      </c>
      <c r="U366" s="5" t="inlineStr">
        <is>
          <t>England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convenience groceries; wines; beers; spirits; tobacco</t>
        </is>
      </c>
      <c r="AL366" s="5" t="inlineStr"/>
      <c r="AM366" s="5" t="inlineStr">
        <is>
          <t>Off-Licence</t>
        </is>
      </c>
      <c r="AN366" s="5" t="inlineStr"/>
      <c r="AO366" s="5" t="inlineStr">
        <is>
          <t>Independent convenience store &amp; off-licence on Walton Vale (L9).</t>
        </is>
      </c>
      <c r="AP366" s="5" t="inlineStr">
        <is>
          <t>Low</t>
        </is>
      </c>
      <c r="AQ366" s="5" t="inlineStr">
        <is>
          <t>Independent retailer; Relevant category</t>
        </is>
      </c>
      <c r="AR366" s="5" t="inlineStr">
        <is>
          <t>https://www.yell.com/biz/dubai-convenience-and-off-licence-liverpool-10714449/</t>
        </is>
      </c>
      <c r="AS366" s="5" t="inlineStr"/>
      <c r="AT366" s="5" t="inlineStr">
        <is>
          <t>1</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UK-000467</t>
        </is>
      </c>
      <c r="B367" s="10" t="inlineStr">
        <is>
          <t>UK-000467-01</t>
        </is>
      </c>
      <c r="C367" s="10" t="inlineStr"/>
      <c r="D367" s="10" t="inlineStr">
        <is>
          <t>Dylan's 24/7 Off Licence &amp; Convenience Store</t>
        </is>
      </c>
      <c r="E367" s="10" t="inlineStr">
        <is>
          <t>Dylan's 24/7</t>
        </is>
      </c>
      <c r="F367" s="10" t="inlineStr"/>
      <c r="G367" s="10" t="inlineStr">
        <is>
          <t>Off-Licence</t>
        </is>
      </c>
      <c r="H367" s="10" t="inlineStr">
        <is>
          <t>Off-licence &amp; convenience (24 hour)</t>
        </is>
      </c>
      <c r="I367" s="10" t="inlineStr">
        <is>
          <t>Independent</t>
        </is>
      </c>
      <c r="J367" s="10" t="inlineStr">
        <is>
          <t>1</t>
        </is>
      </c>
      <c r="K367" s="10" t="inlineStr"/>
      <c r="L367" s="10" t="inlineStr"/>
      <c r="M367" s="10" t="inlineStr"/>
      <c r="N367" s="10" t="inlineStr"/>
      <c r="O367" s="10" t="inlineStr">
        <is>
          <t>75 Bridge Street</t>
        </is>
      </c>
      <c r="P367" s="10" t="inlineStr"/>
      <c r="Q367" s="10" t="inlineStr">
        <is>
          <t>Wednesbury</t>
        </is>
      </c>
      <c r="R367" s="10" t="inlineStr">
        <is>
          <t>West Midlands</t>
        </is>
      </c>
      <c r="S367" s="10" t="inlineStr">
        <is>
          <t>WS10 0AH</t>
        </is>
      </c>
      <c r="T367" s="10" t="inlineStr">
        <is>
          <t>West Midlands</t>
        </is>
      </c>
      <c r="U367" s="10" t="inlineStr">
        <is>
          <t>England</t>
        </is>
      </c>
      <c r="V367" s="10" t="inlineStr">
        <is>
          <t>0121 505 5898</t>
        </is>
      </c>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beers; wines; spirits; groceries; convenience</t>
        </is>
      </c>
      <c r="AL367" s="10" t="inlineStr"/>
      <c r="AM367" s="10" t="inlineStr">
        <is>
          <t>Off-Licence</t>
        </is>
      </c>
      <c r="AN367" s="10" t="inlineStr"/>
      <c r="AO367" s="10" t="inlineStr">
        <is>
          <t>Independent 24/7 off-licence and convenience store, 75 Bridge Street, Wednesbury. Address and phone from Cylex Wednesbury convenience stores listing. Same address also historically listed as a Costcutter, likely rebranded.</t>
        </is>
      </c>
      <c r="AP367" s="10" t="inlineStr">
        <is>
          <t>Low</t>
        </is>
      </c>
      <c r="AQ367" s="10" t="inlineStr">
        <is>
          <t>Independent retailer; Relevant category</t>
        </is>
      </c>
      <c r="AR367" s="10" t="inlineStr">
        <is>
          <t>https://wednesbury.cylex-uk.co.uk/convenience-stores/</t>
        </is>
      </c>
      <c r="AS367" s="10" t="inlineStr"/>
      <c r="AT367" s="10" t="inlineStr">
        <is>
          <t>1</t>
        </is>
      </c>
      <c r="AU367" s="10" t="inlineStr">
        <is>
          <t>No</t>
        </is>
      </c>
      <c r="AV367" s="10" t="inlineStr">
        <is>
          <t>No</t>
        </is>
      </c>
      <c r="AW367" s="10" t="inlineStr">
        <is>
          <t>No</t>
        </is>
      </c>
      <c r="AX367" s="10" t="inlineStr">
        <is>
          <t>No</t>
        </is>
      </c>
      <c r="AY367" s="10" t="inlineStr">
        <is>
          <t>Verified directory</t>
        </is>
      </c>
      <c r="AZ367" s="10" t="inlineStr">
        <is>
          <t>Not Found</t>
        </is>
      </c>
      <c r="BA367" s="10" t="inlineStr">
        <is>
          <t>2026-09-17</t>
        </is>
      </c>
      <c r="BB367" s="10" t="inlineStr">
        <is>
          <t>Requires Verification</t>
        </is>
      </c>
      <c r="BC367" s="10" t="inlineStr">
        <is>
          <t>Medium</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UK-000468</t>
        </is>
      </c>
      <c r="B368" s="5" t="inlineStr">
        <is>
          <t>UK-000468-01</t>
        </is>
      </c>
      <c r="C368" s="5" t="inlineStr"/>
      <c r="D368" s="5" t="inlineStr">
        <is>
          <t>Dylans Drink Shop</t>
        </is>
      </c>
      <c r="E368" s="5" t="inlineStr">
        <is>
          <t>Dylans Drink Shop</t>
        </is>
      </c>
      <c r="F368" s="5" t="inlineStr"/>
      <c r="G368" s="5" t="inlineStr">
        <is>
          <t>Off-Licence</t>
        </is>
      </c>
      <c r="H368" s="5" t="inlineStr">
        <is>
          <t>Off-licence &amp; convenience</t>
        </is>
      </c>
      <c r="I368" s="5" t="inlineStr">
        <is>
          <t>Independent</t>
        </is>
      </c>
      <c r="J368" s="5" t="inlineStr">
        <is>
          <t>1</t>
        </is>
      </c>
      <c r="K368" s="5" t="inlineStr"/>
      <c r="L368" s="5" t="inlineStr"/>
      <c r="M368" s="5" t="inlineStr"/>
      <c r="N368" s="5" t="inlineStr"/>
      <c r="O368" s="5" t="inlineStr">
        <is>
          <t>633 Bearwood Road</t>
        </is>
      </c>
      <c r="P368" s="5" t="inlineStr">
        <is>
          <t>Bearwood</t>
        </is>
      </c>
      <c r="Q368" s="5" t="inlineStr">
        <is>
          <t>Smethwick</t>
        </is>
      </c>
      <c r="R368" s="5" t="inlineStr">
        <is>
          <t>West Midlands</t>
        </is>
      </c>
      <c r="S368" s="5" t="inlineStr">
        <is>
          <t>B66 4BL</t>
        </is>
      </c>
      <c r="T368" s="5" t="inlineStr">
        <is>
          <t>West Midlands</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beers; wines; spirits; convenience</t>
        </is>
      </c>
      <c r="AL368" s="5" t="inlineStr"/>
      <c r="AM368" s="5" t="inlineStr">
        <is>
          <t>Off-Licence</t>
        </is>
      </c>
      <c r="AN368" s="5" t="inlineStr"/>
      <c r="AO368" s="5" t="inlineStr">
        <is>
          <t>Independent off-licence, 633 Bearwood Road, Bearwood, Smethwick. Address from Yell Bearwood/Smethwick off-licences listing snippet.</t>
        </is>
      </c>
      <c r="AP368" s="5" t="inlineStr">
        <is>
          <t>Low</t>
        </is>
      </c>
      <c r="AQ368" s="5" t="inlineStr">
        <is>
          <t>Independent retailer; Relevant category</t>
        </is>
      </c>
      <c r="AR368" s="5" t="inlineStr">
        <is>
          <t>https://www.yell.com/s/off+licences-bearwood.html</t>
        </is>
      </c>
      <c r="AS368" s="5" t="inlineStr"/>
      <c r="AT368" s="5" t="inlineStr">
        <is>
          <t>1</t>
        </is>
      </c>
      <c r="AU368" s="5" t="inlineStr">
        <is>
          <t>No</t>
        </is>
      </c>
      <c r="AV368" s="5" t="inlineStr">
        <is>
          <t>No</t>
        </is>
      </c>
      <c r="AW368" s="5" t="inlineStr">
        <is>
          <t>No</t>
        </is>
      </c>
      <c r="AX368" s="5" t="inlineStr">
        <is>
          <t>No</t>
        </is>
      </c>
      <c r="AY368" s="5" t="inlineStr">
        <is>
          <t>Not Found</t>
        </is>
      </c>
      <c r="AZ368" s="5" t="inlineStr">
        <is>
          <t>Not Found</t>
        </is>
      </c>
      <c r="BA368" s="5" t="inlineStr">
        <is>
          <t>2026-09-17</t>
        </is>
      </c>
      <c r="BB368" s="5" t="inlineStr">
        <is>
          <t>Requires Verification</t>
        </is>
      </c>
      <c r="BC368" s="5" t="inlineStr">
        <is>
          <t>Medium</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UK-000357</t>
        </is>
      </c>
      <c r="B369" s="10" t="inlineStr">
        <is>
          <t>UK-000357-01</t>
        </is>
      </c>
      <c r="C369" s="10" t="inlineStr"/>
      <c r="D369" s="10" t="inlineStr">
        <is>
          <t>E-cig &amp; Gadget Shop</t>
        </is>
      </c>
      <c r="E369" s="10" t="inlineStr">
        <is>
          <t>E-cig &amp; Gadget Shop</t>
        </is>
      </c>
      <c r="F369" s="10" t="inlineStr"/>
      <c r="G369" s="10" t="inlineStr">
        <is>
          <t>Vape Shop</t>
        </is>
      </c>
      <c r="H369" s="10" t="inlineStr">
        <is>
          <t>Vape &amp; gadgets</t>
        </is>
      </c>
      <c r="I369" s="10" t="inlineStr">
        <is>
          <t>Independent</t>
        </is>
      </c>
      <c r="J369" s="10" t="inlineStr">
        <is>
          <t>1</t>
        </is>
      </c>
      <c r="K369" s="10" t="inlineStr"/>
      <c r="L369" s="10" t="inlineStr">
        <is>
          <t>https://www.facebook.com/p/Ecig-and-gadget-shop-100057478808075/</t>
        </is>
      </c>
      <c r="M369" s="10" t="inlineStr"/>
      <c r="N369" s="10" t="inlineStr"/>
      <c r="O369" s="10" t="inlineStr">
        <is>
          <t>13 Yorkshire Street</t>
        </is>
      </c>
      <c r="P369" s="10" t="inlineStr"/>
      <c r="Q369" s="10" t="inlineStr">
        <is>
          <t>Rochdale</t>
        </is>
      </c>
      <c r="R369" s="10" t="inlineStr">
        <is>
          <t>Greater Manchester</t>
        </is>
      </c>
      <c r="S369" s="10" t="inlineStr"/>
      <c r="T369" s="10" t="inlineStr">
        <is>
          <t>North West</t>
        </is>
      </c>
      <c r="U369" s="10" t="inlineStr">
        <is>
          <t>England</t>
        </is>
      </c>
      <c r="V369" s="10" t="inlineStr">
        <is>
          <t>07544 490446</t>
        </is>
      </c>
      <c r="W369" s="10" t="inlineStr"/>
      <c r="X369" s="10" t="inlineStr"/>
      <c r="Y369" s="10" t="inlineStr">
        <is>
          <t>admin@ecig-gadgets.com</t>
        </is>
      </c>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e-liquids; vape hardware; gadgets</t>
        </is>
      </c>
      <c r="AL369" s="10" t="inlineStr"/>
      <c r="AM369" s="10" t="inlineStr">
        <is>
          <t>Vape Shop</t>
        </is>
      </c>
      <c r="AN369" s="10" t="inlineStr"/>
      <c r="AO369" s="10" t="inlineStr">
        <is>
          <t>Independent vape and gadget shop on Yorkshire Street, Rochdale. Postcode not confirmed.</t>
        </is>
      </c>
      <c r="AP369" s="10" t="inlineStr">
        <is>
          <t>Medium</t>
        </is>
      </c>
      <c r="AQ369" s="10" t="inlineStr">
        <is>
          <t>Independent retailer; Core relevant category; Public email available; Social presence</t>
        </is>
      </c>
      <c r="AR369" s="10" t="inlineStr">
        <is>
          <t>https://vapeshops.puffingbird.com/england/rochdale/e-cig-gadget-shop</t>
        </is>
      </c>
      <c r="AS369" s="10" t="inlineStr"/>
      <c r="AT369" s="10" t="inlineStr">
        <is>
          <t>1</t>
        </is>
      </c>
      <c r="AU369" s="10" t="inlineStr">
        <is>
          <t>No</t>
        </is>
      </c>
      <c r="AV369" s="10" t="inlineStr">
        <is>
          <t>No</t>
        </is>
      </c>
      <c r="AW369" s="10" t="inlineStr">
        <is>
          <t>No</t>
        </is>
      </c>
      <c r="AX369" s="10" t="inlineStr">
        <is>
          <t>No</t>
        </is>
      </c>
      <c r="AY369" s="10" t="inlineStr">
        <is>
          <t>Verified directory</t>
        </is>
      </c>
      <c r="AZ369" s="10" t="inlineStr">
        <is>
          <t>Publicly Listed</t>
        </is>
      </c>
      <c r="BA369" s="10" t="inlineStr">
        <is>
          <t>2026-09-17</t>
        </is>
      </c>
      <c r="BB369" s="10" t="inlineStr">
        <is>
          <t>Requires Verification</t>
        </is>
      </c>
      <c r="BC369" s="10" t="inlineStr">
        <is>
          <t>Low</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2026-09-17</t>
        </is>
      </c>
      <c r="BJ369" s="10" t="inlineStr">
        <is>
          <t>New</t>
        </is>
      </c>
      <c r="BK369" s="10" t="inlineStr">
        <is>
          <t>2026-09-17</t>
        </is>
      </c>
      <c r="BL369" s="10" t="inlineStr"/>
      <c r="BM369" s="10" t="inlineStr"/>
      <c r="BN369" s="10" t="inlineStr"/>
      <c r="BO369" s="10" t="inlineStr"/>
      <c r="BP369" s="10" t="inlineStr"/>
      <c r="BQ369" s="10" t="inlineStr"/>
    </row>
    <row r="370">
      <c r="A370" s="5" t="inlineStr">
        <is>
          <t>UK-000597</t>
        </is>
      </c>
      <c r="B370" s="5" t="inlineStr">
        <is>
          <t>UK-000597-01</t>
        </is>
      </c>
      <c r="C370" s="5" t="inlineStr"/>
      <c r="D370" s="5" t="inlineStr">
        <is>
          <t>E17 Vape Bar</t>
        </is>
      </c>
      <c r="E370" s="5" t="inlineStr">
        <is>
          <t>E17 Vape Bar</t>
        </is>
      </c>
      <c r="F370" s="5" t="inlineStr"/>
      <c r="G370" s="5" t="inlineStr">
        <is>
          <t>Vape Shop</t>
        </is>
      </c>
      <c r="H370" s="5" t="inlineStr">
        <is>
          <t>Vape hardware &amp; e-liquids</t>
        </is>
      </c>
      <c r="I370" s="5" t="inlineStr">
        <is>
          <t>Independent</t>
        </is>
      </c>
      <c r="J370" s="5" t="inlineStr">
        <is>
          <t>1</t>
        </is>
      </c>
      <c r="K370" s="5" t="inlineStr"/>
      <c r="L370" s="5" t="inlineStr"/>
      <c r="M370" s="5" t="inlineStr"/>
      <c r="N370" s="5" t="inlineStr"/>
      <c r="O370" s="5" t="inlineStr">
        <is>
          <t>52 High Street</t>
        </is>
      </c>
      <c r="P370" s="5" t="inlineStr"/>
      <c r="Q370" s="5" t="inlineStr">
        <is>
          <t>Walthamstow</t>
        </is>
      </c>
      <c r="R370" s="5" t="inlineStr">
        <is>
          <t>Greater London</t>
        </is>
      </c>
      <c r="S370" s="5" t="inlineStr">
        <is>
          <t>E17 7LD</t>
        </is>
      </c>
      <c r="T370" s="5" t="inlineStr">
        <is>
          <t>London</t>
        </is>
      </c>
      <c r="U370" s="5" t="inlineStr">
        <is>
          <t>England</t>
        </is>
      </c>
      <c r="V370" s="5" t="inlineStr"/>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vape hardware; e-liquids</t>
        </is>
      </c>
      <c r="AL370" s="5" t="inlineStr"/>
      <c r="AM370" s="5" t="inlineStr">
        <is>
          <t>Vape Shop</t>
        </is>
      </c>
      <c r="AN370" s="5" t="inlineStr"/>
      <c r="AO370" s="5" t="inlineStr">
        <is>
          <t>Independent vape/tobacconist listed on Yell for Walthamstow High Street. Phone not published in accessible snippet.</t>
        </is>
      </c>
      <c r="AP370" s="5" t="inlineStr">
        <is>
          <t>Medium</t>
        </is>
      </c>
      <c r="AQ370" s="5" t="inlineStr">
        <is>
          <t>Independent retailer; Core relevant category</t>
        </is>
      </c>
      <c r="AR370" s="5" t="inlineStr">
        <is>
          <t>https://www.yell.com/biz/e17-vape-bar-london-9131218/</t>
        </is>
      </c>
      <c r="AS370" s="5" t="inlineStr"/>
      <c r="AT370" s="5" t="inlineStr">
        <is>
          <t>1</t>
        </is>
      </c>
      <c r="AU370" s="5" t="inlineStr">
        <is>
          <t>No</t>
        </is>
      </c>
      <c r="AV370" s="5" t="inlineStr">
        <is>
          <t>No</t>
        </is>
      </c>
      <c r="AW370" s="5" t="inlineStr">
        <is>
          <t>No</t>
        </is>
      </c>
      <c r="AX370" s="5" t="inlineStr">
        <is>
          <t>No</t>
        </is>
      </c>
      <c r="AY370" s="5" t="inlineStr">
        <is>
          <t>Not Found</t>
        </is>
      </c>
      <c r="AZ370" s="5" t="inlineStr">
        <is>
          <t>Not Found</t>
        </is>
      </c>
      <c r="BA370" s="5" t="inlineStr">
        <is>
          <t>2026-09-17</t>
        </is>
      </c>
      <c r="BB370" s="5" t="inlineStr">
        <is>
          <t>Requires Verification</t>
        </is>
      </c>
      <c r="BC370" s="5" t="inlineStr">
        <is>
          <t>Low</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WY-0081</t>
        </is>
      </c>
      <c r="B371" s="10" t="inlineStr">
        <is>
          <t>WY-0081-01</t>
        </is>
      </c>
      <c r="C371" s="10" t="inlineStr"/>
      <c r="D371" s="10" t="inlineStr">
        <is>
          <t>ECigarette Outlet</t>
        </is>
      </c>
      <c r="E371" s="10" t="inlineStr">
        <is>
          <t>ECigarette Outlet</t>
        </is>
      </c>
      <c r="F371" s="10" t="inlineStr"/>
      <c r="G371" s="10" t="inlineStr">
        <is>
          <t>Vape Shop</t>
        </is>
      </c>
      <c r="H371" s="10" t="inlineStr">
        <is>
          <t>E-cigarette retailer</t>
        </is>
      </c>
      <c r="I371" s="10" t="inlineStr">
        <is>
          <t>Independent</t>
        </is>
      </c>
      <c r="J371" s="10" t="inlineStr">
        <is>
          <t>1</t>
        </is>
      </c>
      <c r="K371" s="10" t="inlineStr"/>
      <c r="L371" s="10" t="inlineStr"/>
      <c r="M371" s="10" t="inlineStr"/>
      <c r="N371" s="10" t="inlineStr"/>
      <c r="O371" s="10" t="inlineStr">
        <is>
          <t>27 Kirkgate</t>
        </is>
      </c>
      <c r="P371" s="10" t="inlineStr"/>
      <c r="Q371" s="10" t="inlineStr">
        <is>
          <t>Shipley</t>
        </is>
      </c>
      <c r="R371" s="10" t="inlineStr">
        <is>
          <t>West Yorkshire</t>
        </is>
      </c>
      <c r="S371" s="10" t="inlineStr">
        <is>
          <t>BD18 3QW</t>
        </is>
      </c>
      <c r="T371" s="10" t="inlineStr">
        <is>
          <t>Yorkshire &amp; Humber</t>
        </is>
      </c>
      <c r="U371" s="10" t="inlineStr">
        <is>
          <t>England</t>
        </is>
      </c>
      <c r="V371" s="10" t="inlineStr"/>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vape hardware; e-liquids</t>
        </is>
      </c>
      <c r="AL371" s="10" t="inlineStr"/>
      <c r="AM371" s="10" t="inlineStr">
        <is>
          <t>Vape Shop</t>
        </is>
      </c>
      <c r="AN371" s="10" t="inlineStr"/>
      <c r="AO371" s="10" t="inlineStr">
        <is>
          <t>Listed in the UK eCig Directory with full Shipley town-centre address.</t>
        </is>
      </c>
      <c r="AP371" s="10" t="inlineStr">
        <is>
          <t>Medium</t>
        </is>
      </c>
      <c r="AQ371" s="10" t="inlineStr">
        <is>
          <t>Independent retailer; Core relevant category</t>
        </is>
      </c>
      <c r="AR371" s="10" t="inlineStr">
        <is>
          <t>https://ecigdirectory.co.uk/vape-shop/listing/ecigarette-outlet-shipley</t>
        </is>
      </c>
      <c r="AS371" s="10" t="inlineStr"/>
      <c r="AT371" s="10" t="inlineStr">
        <is>
          <t>1</t>
        </is>
      </c>
      <c r="AU371" s="10" t="inlineStr">
        <is>
          <t>No</t>
        </is>
      </c>
      <c r="AV371" s="10" t="inlineStr">
        <is>
          <t>No</t>
        </is>
      </c>
      <c r="AW371" s="10" t="inlineStr">
        <is>
          <t>No</t>
        </is>
      </c>
      <c r="AX371" s="10" t="inlineStr">
        <is>
          <t>No</t>
        </is>
      </c>
      <c r="AY371" s="10" t="inlineStr">
        <is>
          <t>Not Found</t>
        </is>
      </c>
      <c r="AZ371" s="10" t="inlineStr">
        <is>
          <t>Not Found</t>
        </is>
      </c>
      <c r="BA371" s="10" t="inlineStr">
        <is>
          <t>2026-09-17</t>
        </is>
      </c>
      <c r="BB371" s="10" t="inlineStr">
        <is>
          <t>Requires Verification</t>
        </is>
      </c>
      <c r="BC371" s="10" t="inlineStr">
        <is>
          <t>Medium</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2026-09-16</t>
        </is>
      </c>
      <c r="BJ371" s="10" t="inlineStr">
        <is>
          <t>New</t>
        </is>
      </c>
      <c r="BK371" s="10" t="inlineStr">
        <is>
          <t>2026-09-17</t>
        </is>
      </c>
      <c r="BL371" s="10" t="inlineStr"/>
      <c r="BM371" s="10" t="inlineStr"/>
      <c r="BN371" s="10" t="inlineStr"/>
      <c r="BO371" s="10" t="inlineStr"/>
      <c r="BP371" s="10" t="inlineStr"/>
      <c r="BQ371" s="10" t="inlineStr"/>
    </row>
    <row r="372">
      <c r="A372" s="5" t="inlineStr">
        <is>
          <t>UK-000598</t>
        </is>
      </c>
      <c r="B372" s="5" t="inlineStr">
        <is>
          <t>UK-000598-01</t>
        </is>
      </c>
      <c r="C372" s="5" t="inlineStr"/>
      <c r="D372" s="5" t="inlineStr">
        <is>
          <t>Easy Off Licence (Caledonian Road)</t>
        </is>
      </c>
      <c r="E372" s="5" t="inlineStr">
        <is>
          <t>Easy Off Licence</t>
        </is>
      </c>
      <c r="F372" s="5" t="inlineStr"/>
      <c r="G372" s="5" t="inlineStr">
        <is>
          <t>Off-Licence</t>
        </is>
      </c>
      <c r="H372" s="5" t="inlineStr">
        <is>
          <t>Off-licence &amp; convenience</t>
        </is>
      </c>
      <c r="I372" s="5" t="inlineStr">
        <is>
          <t>Independent</t>
        </is>
      </c>
      <c r="J372" s="5" t="inlineStr">
        <is>
          <t>1</t>
        </is>
      </c>
      <c r="K372" s="5" t="inlineStr"/>
      <c r="L372" s="5" t="inlineStr"/>
      <c r="M372" s="5" t="inlineStr"/>
      <c r="N372" s="5" t="inlineStr"/>
      <c r="O372" s="5" t="inlineStr">
        <is>
          <t>62 Caledonian Road</t>
        </is>
      </c>
      <c r="P372" s="5" t="inlineStr">
        <is>
          <t>King's Cross</t>
        </is>
      </c>
      <c r="Q372" s="5" t="inlineStr">
        <is>
          <t>London</t>
        </is>
      </c>
      <c r="R372" s="5" t="inlineStr">
        <is>
          <t>Greater London</t>
        </is>
      </c>
      <c r="S372" s="5" t="inlineStr">
        <is>
          <t>N1 9DP</t>
        </is>
      </c>
      <c r="T372" s="5" t="inlineStr">
        <is>
          <t>London</t>
        </is>
      </c>
      <c r="U372" s="5" t="inlineStr">
        <is>
          <t>England</t>
        </is>
      </c>
      <c r="V372" s="5" t="inlineStr">
        <is>
          <t>020 7837 1799</t>
        </is>
      </c>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wine; beer; spirits; convenience groceries</t>
        </is>
      </c>
      <c r="AL372" s="5" t="inlineStr"/>
      <c r="AM372" s="5" t="inlineStr">
        <is>
          <t>Off-Licence</t>
        </is>
      </c>
      <c r="AN372" s="5" t="inlineStr"/>
      <c r="AO372" s="5" t="inlineStr">
        <is>
          <t>Independent off-licence on Caledonian Road just north of King's Cross. Address/postcode/phone from 24houralcohol/2pos directory snippets.</t>
        </is>
      </c>
      <c r="AP372" s="5" t="inlineStr">
        <is>
          <t>Low</t>
        </is>
      </c>
      <c r="AQ372" s="5" t="inlineStr">
        <is>
          <t>Independent retailer; Relevant category</t>
        </is>
      </c>
      <c r="AR372" s="5" t="inlineStr">
        <is>
          <t>http://2pos.org.uk/2808/140518</t>
        </is>
      </c>
      <c r="AS372" s="5" t="inlineStr">
        <is>
          <t>https://www.24houralcohol.co.uk/islington-off-licences</t>
        </is>
      </c>
      <c r="AT372" s="5" t="inlineStr">
        <is>
          <t>2</t>
        </is>
      </c>
      <c r="AU372" s="5" t="inlineStr">
        <is>
          <t>No</t>
        </is>
      </c>
      <c r="AV372" s="5" t="inlineStr">
        <is>
          <t>No</t>
        </is>
      </c>
      <c r="AW372" s="5" t="inlineStr">
        <is>
          <t>No</t>
        </is>
      </c>
      <c r="AX372" s="5" t="inlineStr">
        <is>
          <t>No</t>
        </is>
      </c>
      <c r="AY372" s="5" t="inlineStr">
        <is>
          <t>Verified directory</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UK-000599</t>
        </is>
      </c>
      <c r="B373" s="10" t="inlineStr">
        <is>
          <t>UK-000599-01</t>
        </is>
      </c>
      <c r="C373" s="10" t="inlineStr"/>
      <c r="D373" s="10" t="inlineStr">
        <is>
          <t>Eatmore Express</t>
        </is>
      </c>
      <c r="E373" s="10" t="inlineStr">
        <is>
          <t>Eatmore Express</t>
        </is>
      </c>
      <c r="F373" s="10" t="inlineStr"/>
      <c r="G373" s="10" t="inlineStr">
        <is>
          <t>Off-Licence</t>
        </is>
      </c>
      <c r="H373" s="10" t="inlineStr">
        <is>
          <t>Convenience &amp; off-licence</t>
        </is>
      </c>
      <c r="I373" s="10" t="inlineStr">
        <is>
          <t>Independent</t>
        </is>
      </c>
      <c r="J373" s="10" t="inlineStr">
        <is>
          <t>1</t>
        </is>
      </c>
      <c r="K373" s="10" t="inlineStr"/>
      <c r="L373" s="10" t="inlineStr"/>
      <c r="M373" s="10" t="inlineStr"/>
      <c r="N373" s="10" t="inlineStr"/>
      <c r="O373" s="10" t="inlineStr">
        <is>
          <t>421 New Kings Road</t>
        </is>
      </c>
      <c r="P373" s="10" t="inlineStr"/>
      <c r="Q373" s="10" t="inlineStr">
        <is>
          <t>London</t>
        </is>
      </c>
      <c r="R373" s="10" t="inlineStr">
        <is>
          <t>Greater London</t>
        </is>
      </c>
      <c r="S373" s="10" t="inlineStr">
        <is>
          <t>SW6 4RN</t>
        </is>
      </c>
      <c r="T373" s="10" t="inlineStr">
        <is>
          <t>London</t>
        </is>
      </c>
      <c r="U373" s="10" t="inlineStr">
        <is>
          <t>England</t>
        </is>
      </c>
      <c r="V373" s="10" t="inlineStr">
        <is>
          <t>020 7736 0335</t>
        </is>
      </c>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convenience groceries; wine; beer; spirits</t>
        </is>
      </c>
      <c r="AL373" s="10" t="inlineStr"/>
      <c r="AM373" s="10" t="inlineStr">
        <is>
          <t>Off-Licence</t>
        </is>
      </c>
      <c r="AN373" s="10" t="inlineStr"/>
      <c r="AO373" s="10" t="inlineStr">
        <is>
          <t>Independent convenience/off-licence on New Kings Road, Fulham. Address/postcode/phone from Yell Fulham off-licences listing snippet.</t>
        </is>
      </c>
      <c r="AP373" s="10" t="inlineStr">
        <is>
          <t>Low</t>
        </is>
      </c>
      <c r="AQ373" s="10" t="inlineStr">
        <is>
          <t>Independent retailer; Relevant category</t>
        </is>
      </c>
      <c r="AR373" s="10" t="inlineStr">
        <is>
          <t>https://www.yell.com/s/off+licences-fulham-london.html</t>
        </is>
      </c>
      <c r="AS373" s="10" t="inlineStr"/>
      <c r="AT373" s="10" t="inlineStr">
        <is>
          <t>1</t>
        </is>
      </c>
      <c r="AU373" s="10" t="inlineStr">
        <is>
          <t>No</t>
        </is>
      </c>
      <c r="AV373" s="10" t="inlineStr">
        <is>
          <t>No</t>
        </is>
      </c>
      <c r="AW373" s="10" t="inlineStr">
        <is>
          <t>No</t>
        </is>
      </c>
      <c r="AX373" s="10" t="inlineStr">
        <is>
          <t>No</t>
        </is>
      </c>
      <c r="AY373" s="10" t="inlineStr">
        <is>
          <t>Verified directory</t>
        </is>
      </c>
      <c r="AZ373" s="10" t="inlineStr">
        <is>
          <t>Not Found</t>
        </is>
      </c>
      <c r="BA373" s="10" t="inlineStr">
        <is>
          <t>2026-09-17</t>
        </is>
      </c>
      <c r="BB373" s="10" t="inlineStr">
        <is>
          <t>Requires Verification</t>
        </is>
      </c>
      <c r="BC373" s="10" t="inlineStr">
        <is>
          <t>Medium</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2026-09-17</t>
        </is>
      </c>
      <c r="BJ373" s="10" t="inlineStr">
        <is>
          <t>New</t>
        </is>
      </c>
      <c r="BK373" s="10" t="inlineStr">
        <is>
          <t>2026-09-17</t>
        </is>
      </c>
      <c r="BL373" s="10" t="inlineStr"/>
      <c r="BM373" s="10" t="inlineStr"/>
      <c r="BN373" s="10" t="inlineStr"/>
      <c r="BO373" s="10" t="inlineStr"/>
      <c r="BP373" s="10" t="inlineStr"/>
      <c r="BQ373" s="10" t="inlineStr"/>
    </row>
    <row r="374">
      <c r="A374" s="5" t="inlineStr">
        <is>
          <t>WY-0082</t>
        </is>
      </c>
      <c r="B374" s="5" t="inlineStr">
        <is>
          <t>WY-0082-01</t>
        </is>
      </c>
      <c r="C374" s="5" t="inlineStr"/>
      <c r="D374" s="5" t="inlineStr">
        <is>
          <t>Ecig N Vape</t>
        </is>
      </c>
      <c r="E374" s="5" t="inlineStr">
        <is>
          <t>Ecig N Vape</t>
        </is>
      </c>
      <c r="F374" s="5" t="inlineStr"/>
      <c r="G374" s="5" t="inlineStr">
        <is>
          <t>Vape Shop</t>
        </is>
      </c>
      <c r="H374" s="5" t="inlineStr">
        <is>
          <t>Vape retailer</t>
        </is>
      </c>
      <c r="I374" s="5" t="inlineStr">
        <is>
          <t>Independent</t>
        </is>
      </c>
      <c r="J374" s="5" t="inlineStr">
        <is>
          <t>1</t>
        </is>
      </c>
      <c r="K374" s="5" t="inlineStr"/>
      <c r="L374" s="5" t="inlineStr"/>
      <c r="M374" s="5" t="inlineStr"/>
      <c r="N374" s="5" t="inlineStr"/>
      <c r="O374" s="5" t="inlineStr">
        <is>
          <t>49 Market Street</t>
        </is>
      </c>
      <c r="P374" s="5" t="inlineStr"/>
      <c r="Q374" s="5" t="inlineStr">
        <is>
          <t>Heckmondwike</t>
        </is>
      </c>
      <c r="R374" s="5" t="inlineStr">
        <is>
          <t>West Yorkshire</t>
        </is>
      </c>
      <c r="S374" s="5" t="inlineStr">
        <is>
          <t>WF16 0EU</t>
        </is>
      </c>
      <c r="T374" s="5" t="inlineStr">
        <is>
          <t>Yorkshire &amp; Humber</t>
        </is>
      </c>
      <c r="U374" s="5" t="inlineStr">
        <is>
          <t>England</t>
        </is>
      </c>
      <c r="V374" s="5" t="inlineStr">
        <is>
          <t>01924 402342</t>
        </is>
      </c>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vape hardware; e-liquids; disposable vapes</t>
        </is>
      </c>
      <c r="AL374" s="5" t="inlineStr"/>
      <c r="AM374" s="5" t="inlineStr">
        <is>
          <t>Vape Shop</t>
        </is>
      </c>
      <c r="AN374" s="5" t="inlineStr"/>
      <c r="AO374" s="5" t="inlineStr"/>
      <c r="AP374" s="5" t="inlineStr">
        <is>
          <t>Medium</t>
        </is>
      </c>
      <c r="AQ374" s="5" t="inlineStr">
        <is>
          <t>Independent retailer; Core relevant category</t>
        </is>
      </c>
      <c r="AR374" s="5" t="inlineStr">
        <is>
          <t>https://heckmondwike.cylex-uk.co.uk/company/ecig-n-vape-26993170.html</t>
        </is>
      </c>
      <c r="AS374" s="5" t="inlineStr">
        <is>
          <t>https://www.tripadvisor.co.uk/Attraction_Review-g3207739-d28330163-Reviews-Ecig_N_Vape-Heckmondwike_Dewsbury_West_Yorkshire_England.html</t>
        </is>
      </c>
      <c r="AT374" s="5" t="inlineStr">
        <is>
          <t>2</t>
        </is>
      </c>
      <c r="AU374" s="5" t="inlineStr">
        <is>
          <t>No</t>
        </is>
      </c>
      <c r="AV374" s="5" t="inlineStr">
        <is>
          <t>No</t>
        </is>
      </c>
      <c r="AW374" s="5" t="inlineStr">
        <is>
          <t>No</t>
        </is>
      </c>
      <c r="AX374" s="5" t="inlineStr">
        <is>
          <t>No</t>
        </is>
      </c>
      <c r="AY374" s="5" t="inlineStr">
        <is>
          <t>Verified directory</t>
        </is>
      </c>
      <c r="AZ374" s="5" t="inlineStr">
        <is>
          <t>Not Found</t>
        </is>
      </c>
      <c r="BA374" s="5" t="inlineStr">
        <is>
          <t>2026-09-17</t>
        </is>
      </c>
      <c r="BB374" s="5" t="inlineStr">
        <is>
          <t>Requires Verification</t>
        </is>
      </c>
      <c r="BC374" s="5" t="inlineStr">
        <is>
          <t>Medium</t>
        </is>
      </c>
      <c r="BD374" s="5" t="inlineStr"/>
      <c r="BE374" s="5" t="inlineStr">
        <is>
          <t>Business (B2B)</t>
        </is>
      </c>
      <c r="BF374" s="5" t="inlineStr">
        <is>
          <t>Legitimate interest (B2B) - assess per campaign; PECR: corporate subscribers</t>
        </is>
      </c>
      <c r="BG374" s="5" t="inlineStr"/>
      <c r="BH374" s="5" t="inlineStr">
        <is>
          <t>No</t>
        </is>
      </c>
      <c r="BI374" s="5" t="inlineStr">
        <is>
          <t>2026-09-16</t>
        </is>
      </c>
      <c r="BJ374" s="5" t="inlineStr">
        <is>
          <t>New</t>
        </is>
      </c>
      <c r="BK374" s="5" t="inlineStr">
        <is>
          <t>2026-09-17</t>
        </is>
      </c>
      <c r="BL374" s="5" t="inlineStr"/>
      <c r="BM374" s="5" t="inlineStr"/>
      <c r="BN374" s="5" t="inlineStr"/>
      <c r="BO374" s="5" t="inlineStr"/>
      <c r="BP374" s="5" t="inlineStr"/>
      <c r="BQ374" s="5" t="inlineStr"/>
    </row>
    <row r="375">
      <c r="A375" s="10" t="inlineStr">
        <is>
          <t>UK-000243</t>
        </is>
      </c>
      <c r="B375" s="10" t="inlineStr">
        <is>
          <t>UK-000243-01</t>
        </is>
      </c>
      <c r="C375" s="10" t="inlineStr"/>
      <c r="D375" s="10" t="inlineStr">
        <is>
          <t>Ecigbox Northallerton</t>
        </is>
      </c>
      <c r="E375" s="10" t="inlineStr">
        <is>
          <t>Ecigbox</t>
        </is>
      </c>
      <c r="F375" s="10" t="inlineStr"/>
      <c r="G375" s="10" t="inlineStr">
        <is>
          <t>Vape Shop</t>
        </is>
      </c>
      <c r="H375" s="10" t="inlineStr">
        <is>
          <t>E-cigarette &amp; e-liquid shop</t>
        </is>
      </c>
      <c r="I375" s="10" t="inlineStr">
        <is>
          <t>Independent</t>
        </is>
      </c>
      <c r="J375" s="10" t="inlineStr">
        <is>
          <t>1</t>
        </is>
      </c>
      <c r="K375" s="10" t="inlineStr"/>
      <c r="L375" s="10" t="inlineStr">
        <is>
          <t>https://www.facebook.com/Ecigboxnorthallerton/</t>
        </is>
      </c>
      <c r="M375" s="10" t="inlineStr"/>
      <c r="N375" s="10" t="inlineStr"/>
      <c r="O375" s="10" t="inlineStr">
        <is>
          <t>231 High Street</t>
        </is>
      </c>
      <c r="P375" s="10" t="inlineStr"/>
      <c r="Q375" s="10" t="inlineStr">
        <is>
          <t>Northallerton</t>
        </is>
      </c>
      <c r="R375" s="10" t="inlineStr">
        <is>
          <t>North Yorkshire</t>
        </is>
      </c>
      <c r="S375" s="10" t="inlineStr">
        <is>
          <t>DL7 8LU</t>
        </is>
      </c>
      <c r="T375" s="10" t="inlineStr">
        <is>
          <t>Yorkshire &amp; Humber</t>
        </is>
      </c>
      <c r="U375" s="10" t="inlineStr">
        <is>
          <t>England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e-cigarettes; e-liquids</t>
        </is>
      </c>
      <c r="AL375" s="10" t="inlineStr"/>
      <c r="AM375" s="10" t="inlineStr">
        <is>
          <t>Vape Shop</t>
        </is>
      </c>
      <c r="AN375" s="10" t="inlineStr"/>
      <c r="AO375" s="10" t="inlineStr">
        <is>
          <t>Independent Northallerton vape shop at 231 High Street (DL7 8LU) per eCig Directory listing and Facebook page, via search snippets. No phone surfaced.</t>
        </is>
      </c>
      <c r="AP375" s="10" t="inlineStr">
        <is>
          <t>Medium</t>
        </is>
      </c>
      <c r="AQ375" s="10" t="inlineStr">
        <is>
          <t>Independent retailer; Core relevant category; Social presence</t>
        </is>
      </c>
      <c r="AR375" s="10" t="inlineStr">
        <is>
          <t>https://www.facebook.com/Ecigboxnorthallerton/</t>
        </is>
      </c>
      <c r="AS375" s="10" t="inlineStr">
        <is>
          <t>https://ecigdirectory.co.uk/vape-shop/listing/ecigbox-northallerton</t>
        </is>
      </c>
      <c r="AT375" s="10" t="inlineStr">
        <is>
          <t>2</t>
        </is>
      </c>
      <c r="AU375" s="10" t="inlineStr">
        <is>
          <t>No</t>
        </is>
      </c>
      <c r="AV375" s="10" t="inlineStr">
        <is>
          <t>No</t>
        </is>
      </c>
      <c r="AW375" s="10" t="inlineStr">
        <is>
          <t>No</t>
        </is>
      </c>
      <c r="AX375" s="10" t="inlineStr">
        <is>
          <t>No</t>
        </is>
      </c>
      <c r="AY375" s="10" t="inlineStr">
        <is>
          <t>Not Found</t>
        </is>
      </c>
      <c r="AZ375" s="10" t="inlineStr">
        <is>
          <t>Not Found</t>
        </is>
      </c>
      <c r="BA375" s="10" t="inlineStr">
        <is>
          <t>2026-09-17</t>
        </is>
      </c>
      <c r="BB375" s="10" t="inlineStr">
        <is>
          <t>Requires Verification</t>
        </is>
      </c>
      <c r="BC375" s="10" t="inlineStr">
        <is>
          <t>Low</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2026-09-16</t>
        </is>
      </c>
      <c r="BJ375" s="10" t="inlineStr">
        <is>
          <t>New</t>
        </is>
      </c>
      <c r="BK375" s="10" t="inlineStr">
        <is>
          <t>2026-09-17</t>
        </is>
      </c>
      <c r="BL375" s="10" t="inlineStr"/>
      <c r="BM375" s="10" t="inlineStr"/>
      <c r="BN375" s="10" t="inlineStr"/>
      <c r="BO375" s="10" t="inlineStr"/>
      <c r="BP375" s="10" t="inlineStr"/>
      <c r="BQ375" s="10" t="inlineStr"/>
    </row>
    <row r="376">
      <c r="A376" s="5" t="inlineStr">
        <is>
          <t>UK-000600</t>
        </is>
      </c>
      <c r="B376" s="5" t="inlineStr">
        <is>
          <t>UK-000600-01</t>
        </is>
      </c>
      <c r="C376" s="5" t="inlineStr"/>
      <c r="D376" s="5" t="inlineStr">
        <is>
          <t>Edmonton Supermarket</t>
        </is>
      </c>
      <c r="E376" s="5" t="inlineStr">
        <is>
          <t>Edmonton Supermarket</t>
        </is>
      </c>
      <c r="F376" s="5" t="inlineStr"/>
      <c r="G376" s="5" t="inlineStr">
        <is>
          <t>Independent Supermarket</t>
        </is>
      </c>
      <c r="H376" s="5" t="inlineStr">
        <is>
          <t>World-food supermarket (24hr)</t>
        </is>
      </c>
      <c r="I376" s="5" t="inlineStr">
        <is>
          <t>Independent</t>
        </is>
      </c>
      <c r="J376" s="5" t="inlineStr">
        <is>
          <t>1</t>
        </is>
      </c>
      <c r="K376" s="5" t="inlineStr"/>
      <c r="L376" s="5" t="inlineStr"/>
      <c r="M376" s="5" t="inlineStr"/>
      <c r="N376" s="5" t="inlineStr"/>
      <c r="O376" s="5" t="inlineStr">
        <is>
          <t>321 Fore Street</t>
        </is>
      </c>
      <c r="P376" s="5" t="inlineStr"/>
      <c r="Q376" s="5" t="inlineStr">
        <is>
          <t>Edmonton</t>
        </is>
      </c>
      <c r="R376" s="5" t="inlineStr">
        <is>
          <t>Greater London</t>
        </is>
      </c>
      <c r="S376" s="5" t="inlineStr">
        <is>
          <t>N9 0PD</t>
        </is>
      </c>
      <c r="T376" s="5" t="inlineStr">
        <is>
          <t>London</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world foods; groceries; fresh produce</t>
        </is>
      </c>
      <c r="AL376" s="5" t="inlineStr"/>
      <c r="AM376" s="5" t="inlineStr">
        <is>
          <t>Independent Supermarket</t>
        </is>
      </c>
      <c r="AN376" s="5" t="inlineStr"/>
      <c r="AO376" s="5" t="inlineStr">
        <is>
          <t>Independent supermarket on Fore Street, Edmonton (24-hour). Address/postcode from Yell/192 Edmonton listings; name shown variously as Edmonton Supermarket / Ekin Food Centre at this address.</t>
        </is>
      </c>
      <c r="AP376" s="5" t="inlineStr">
        <is>
          <t>Low</t>
        </is>
      </c>
      <c r="AQ376" s="5" t="inlineStr">
        <is>
          <t>Independent retailer; Relevant category</t>
        </is>
      </c>
      <c r="AR376" s="5" t="inlineStr">
        <is>
          <t>https://www.yell.com/s/grocers+and+convenience+stores-edmonton-north+london.html</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UK-000770</t>
        </is>
      </c>
      <c r="B377" s="10" t="inlineStr">
        <is>
          <t>UK-000770-01</t>
        </is>
      </c>
      <c r="C377" s="10" t="inlineStr"/>
      <c r="D377" s="10" t="inlineStr">
        <is>
          <t>Electro Vapors</t>
        </is>
      </c>
      <c r="E377" s="10" t="inlineStr">
        <is>
          <t>Electro Vapors</t>
        </is>
      </c>
      <c r="F377" s="10" t="inlineStr"/>
      <c r="G377" s="10" t="inlineStr">
        <is>
          <t>Vape Shop</t>
        </is>
      </c>
      <c r="H377" s="10" t="inlineStr">
        <is>
          <t>Vape &amp; e-liquid retailer</t>
        </is>
      </c>
      <c r="I377" s="10" t="inlineStr">
        <is>
          <t>Independent</t>
        </is>
      </c>
      <c r="J377" s="10" t="inlineStr">
        <is>
          <t>1</t>
        </is>
      </c>
      <c r="K377" s="10" t="inlineStr"/>
      <c r="L377" s="10" t="inlineStr"/>
      <c r="M377" s="10" t="inlineStr"/>
      <c r="N377" s="10" t="inlineStr"/>
      <c r="O377" s="10" t="inlineStr">
        <is>
          <t>268 Stanley Road</t>
        </is>
      </c>
      <c r="P377" s="10" t="inlineStr"/>
      <c r="Q377" s="10" t="inlineStr">
        <is>
          <t>Bootle</t>
        </is>
      </c>
      <c r="R377" s="10" t="inlineStr">
        <is>
          <t>Merseyside</t>
        </is>
      </c>
      <c r="S377" s="10" t="inlineStr">
        <is>
          <t>L20 3ER</t>
        </is>
      </c>
      <c r="T377" s="10" t="inlineStr">
        <is>
          <t>North West</t>
        </is>
      </c>
      <c r="U377" s="10" t="inlineStr">
        <is>
          <t>England</t>
        </is>
      </c>
      <c r="V377" s="10" t="inlineStr">
        <is>
          <t>0151 922 3994</t>
        </is>
      </c>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vape hardware; e-liquids; smokers requisites</t>
        </is>
      </c>
      <c r="AL377" s="10" t="inlineStr"/>
      <c r="AM377" s="10" t="inlineStr">
        <is>
          <t>Vape Shop</t>
        </is>
      </c>
      <c r="AN377" s="10" t="inlineStr"/>
      <c r="AO377" s="10" t="inlineStr">
        <is>
          <t>Independent vape shop / smokers requisites on Stanley Road, Bootle.</t>
        </is>
      </c>
      <c r="AP377" s="10" t="inlineStr">
        <is>
          <t>Medium</t>
        </is>
      </c>
      <c r="AQ377" s="10" t="inlineStr">
        <is>
          <t>Independent retailer; Core relevant category</t>
        </is>
      </c>
      <c r="AR377" s="10" t="inlineStr">
        <is>
          <t>https://www.192.com/atoz/business/bootle-l20/smokers-requisites/electro-vapors/ac598b271ee3f114bcec85266ae32878ffa1c07b/ml/</t>
        </is>
      </c>
      <c r="AS377" s="10" t="inlineStr">
        <is>
          <t>https://bootle-merseyside.cylex-uk.co.uk/company/electro-vapors-26615302.html</t>
        </is>
      </c>
      <c r="AT377" s="10" t="inlineStr">
        <is>
          <t>2</t>
        </is>
      </c>
      <c r="AU377" s="10" t="inlineStr">
        <is>
          <t>No</t>
        </is>
      </c>
      <c r="AV377" s="10" t="inlineStr">
        <is>
          <t>No</t>
        </is>
      </c>
      <c r="AW377" s="10" t="inlineStr">
        <is>
          <t>No</t>
        </is>
      </c>
      <c r="AX377" s="10" t="inlineStr">
        <is>
          <t>No</t>
        </is>
      </c>
      <c r="AY377" s="10" t="inlineStr">
        <is>
          <t>Verified directory</t>
        </is>
      </c>
      <c r="AZ377" s="10" t="inlineStr">
        <is>
          <t>Not Found</t>
        </is>
      </c>
      <c r="BA377" s="10" t="inlineStr">
        <is>
          <t>2026-09-17</t>
        </is>
      </c>
      <c r="BB377" s="10" t="inlineStr">
        <is>
          <t>Requires Verification</t>
        </is>
      </c>
      <c r="BC377" s="10" t="inlineStr">
        <is>
          <t>Medium</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UK-000601</t>
        </is>
      </c>
      <c r="B378" s="5" t="inlineStr">
        <is>
          <t>UK-000601-01</t>
        </is>
      </c>
      <c r="C378" s="5" t="inlineStr"/>
      <c r="D378" s="5" t="inlineStr">
        <is>
          <t>Eliquid Base (Kentish Town)</t>
        </is>
      </c>
      <c r="E378" s="5" t="inlineStr">
        <is>
          <t>Eliquid Base</t>
        </is>
      </c>
      <c r="F378" s="5" t="inlineStr"/>
      <c r="G378" s="5" t="inlineStr">
        <is>
          <t>Vape Shop</t>
        </is>
      </c>
      <c r="H378" s="5" t="inlineStr">
        <is>
          <t>E-liquids &amp; vape hardware</t>
        </is>
      </c>
      <c r="I378" s="5" t="inlineStr">
        <is>
          <t>Independent</t>
        </is>
      </c>
      <c r="J378" s="5" t="inlineStr">
        <is>
          <t>1</t>
        </is>
      </c>
      <c r="K378" s="5" t="inlineStr"/>
      <c r="L378" s="5" t="inlineStr"/>
      <c r="M378" s="5" t="inlineStr"/>
      <c r="N378" s="5" t="inlineStr"/>
      <c r="O378" s="5" t="inlineStr">
        <is>
          <t>17 Kentish Town Road</t>
        </is>
      </c>
      <c r="P378" s="5" t="inlineStr"/>
      <c r="Q378" s="5" t="inlineStr">
        <is>
          <t>London</t>
        </is>
      </c>
      <c r="R378" s="5" t="inlineStr">
        <is>
          <t>Greater London</t>
        </is>
      </c>
      <c r="S378" s="5" t="inlineStr">
        <is>
          <t>NW1 8NH</t>
        </is>
      </c>
      <c r="T378" s="5" t="inlineStr">
        <is>
          <t>London</t>
        </is>
      </c>
      <c r="U378" s="5" t="inlineStr">
        <is>
          <t>England</t>
        </is>
      </c>
      <c r="V378" s="5" t="inlineStr">
        <is>
          <t>020 3475 6519</t>
        </is>
      </c>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e-liquids; vape hardware</t>
        </is>
      </c>
      <c r="AL378" s="5" t="inlineStr"/>
      <c r="AM378" s="5" t="inlineStr">
        <is>
          <t>Vape Shop</t>
        </is>
      </c>
      <c r="AN378" s="5" t="inlineStr"/>
      <c r="AO378" s="5" t="inlineStr">
        <is>
          <t>Independent vape/e-liquid shop on Kentish Town Road (Camden). Address/postcode/phone from Yell Camden Town vape shops listing snippet.</t>
        </is>
      </c>
      <c r="AP378" s="5" t="inlineStr">
        <is>
          <t>Medium</t>
        </is>
      </c>
      <c r="AQ378" s="5" t="inlineStr">
        <is>
          <t>Independent retailer; Core relevant category</t>
        </is>
      </c>
      <c r="AR378" s="5" t="inlineStr">
        <is>
          <t>https://www.yell.com/s/vape+shops-camden+town-central+london.html</t>
        </is>
      </c>
      <c r="AS378" s="5" t="inlineStr"/>
      <c r="AT378" s="5" t="inlineStr">
        <is>
          <t>1</t>
        </is>
      </c>
      <c r="AU378" s="5" t="inlineStr">
        <is>
          <t>No</t>
        </is>
      </c>
      <c r="AV378" s="5" t="inlineStr">
        <is>
          <t>No</t>
        </is>
      </c>
      <c r="AW378" s="5" t="inlineStr">
        <is>
          <t>No</t>
        </is>
      </c>
      <c r="AX378" s="5" t="inlineStr">
        <is>
          <t>No</t>
        </is>
      </c>
      <c r="AY378" s="5" t="inlineStr">
        <is>
          <t>Verified directory</t>
        </is>
      </c>
      <c r="AZ378" s="5" t="inlineStr">
        <is>
          <t>Not Found</t>
        </is>
      </c>
      <c r="BA378" s="5" t="inlineStr">
        <is>
          <t>2026-09-17</t>
        </is>
      </c>
      <c r="BB378" s="5" t="inlineStr">
        <is>
          <t>Requires Verification</t>
        </is>
      </c>
      <c r="BC378" s="5" t="inlineStr">
        <is>
          <t>Medium</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UK-000771</t>
        </is>
      </c>
      <c r="B379" s="10" t="inlineStr">
        <is>
          <t>UK-000771-01</t>
        </is>
      </c>
      <c r="C379" s="10" t="inlineStr"/>
      <c r="D379" s="10" t="inlineStr">
        <is>
          <t>Elite Wholesale</t>
        </is>
      </c>
      <c r="E379" s="10" t="inlineStr">
        <is>
          <t>Elite Wholesale</t>
        </is>
      </c>
      <c r="F379" s="10" t="inlineStr"/>
      <c r="G379" s="10" t="inlineStr">
        <is>
          <t>Cash &amp; Carry</t>
        </is>
      </c>
      <c r="H379" s="10" t="inlineStr">
        <is>
          <t>Independent cash &amp; carry wholesaler</t>
        </is>
      </c>
      <c r="I379" s="10" t="inlineStr">
        <is>
          <t>Independent</t>
        </is>
      </c>
      <c r="J379" s="10" t="inlineStr">
        <is>
          <t>1</t>
        </is>
      </c>
      <c r="K379" s="10" t="inlineStr"/>
      <c r="L379" s="10" t="inlineStr"/>
      <c r="M379" s="10" t="inlineStr"/>
      <c r="N379" s="10" t="inlineStr"/>
      <c r="O379" s="10" t="inlineStr"/>
      <c r="P379" s="10" t="inlineStr"/>
      <c r="Q379" s="10" t="inlineStr">
        <is>
          <t>Edinburgh</t>
        </is>
      </c>
      <c r="R379" s="10" t="inlineStr">
        <is>
          <t>City of Edinburgh</t>
        </is>
      </c>
      <c r="S379" s="10" t="inlineStr">
        <is>
          <t>EH7 5RS</t>
        </is>
      </c>
      <c r="T379" s="10" t="inlineStr">
        <is>
          <t>Scotland</t>
        </is>
      </c>
      <c r="U379" s="10" t="inlineStr">
        <is>
          <t>Scotland</t>
        </is>
      </c>
      <c r="V379" s="10" t="inlineStr"/>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wholesale groceries; convenience supply</t>
        </is>
      </c>
      <c r="AL379" s="10" t="inlineStr"/>
      <c r="AM379" s="10" t="inlineStr">
        <is>
          <t>Cash &amp; Carry</t>
        </is>
      </c>
      <c r="AN379" s="10" t="inlineStr"/>
      <c r="AO379" s="10" t="inlineStr">
        <is>
          <t>Independent cash &amp; carry wholesaler in Edinburgh EH7 (near McDonald Road / Leith). Listed on 192.com; street number and phone not in snippet, left blank rather than guessed.</t>
        </is>
      </c>
      <c r="AP379" s="10" t="inlineStr">
        <is>
          <t>Medium</t>
        </is>
      </c>
      <c r="AQ379" s="10" t="inlineStr">
        <is>
          <t>Independent retailer; Core relevant category</t>
        </is>
      </c>
      <c r="AR379" s="10" t="inlineStr">
        <is>
          <t>https://www.192.com/atoz/business/edinburgh-eh7/cash-and-carry-wholesalers/elite-wholesale/5e5495a162d31d863ca424ed90b18654b0a965af/ml/</t>
        </is>
      </c>
      <c r="AS379" s="10" t="inlineStr"/>
      <c r="AT379" s="10" t="inlineStr">
        <is>
          <t>1</t>
        </is>
      </c>
      <c r="AU379" s="10" t="inlineStr">
        <is>
          <t>No</t>
        </is>
      </c>
      <c r="AV379" s="10" t="inlineStr">
        <is>
          <t>No</t>
        </is>
      </c>
      <c r="AW379" s="10" t="inlineStr">
        <is>
          <t>No</t>
        </is>
      </c>
      <c r="AX379" s="10" t="inlineStr">
        <is>
          <t>No</t>
        </is>
      </c>
      <c r="AY379" s="10" t="inlineStr">
        <is>
          <t>Not Found</t>
        </is>
      </c>
      <c r="AZ379" s="10" t="inlineStr">
        <is>
          <t>Not Found</t>
        </is>
      </c>
      <c r="BA379" s="10" t="inlineStr">
        <is>
          <t>2026-09-17</t>
        </is>
      </c>
      <c r="BB379" s="10" t="inlineStr">
        <is>
          <t>Requires Verification</t>
        </is>
      </c>
      <c r="BC379" s="10" t="inlineStr">
        <is>
          <t>Low</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2026-09-17</t>
        </is>
      </c>
      <c r="BJ379" s="10" t="inlineStr">
        <is>
          <t>New</t>
        </is>
      </c>
      <c r="BK379" s="10" t="inlineStr">
        <is>
          <t>2026-09-17</t>
        </is>
      </c>
      <c r="BL379" s="10" t="inlineStr"/>
      <c r="BM379" s="10" t="inlineStr"/>
      <c r="BN379" s="10" t="inlineStr"/>
      <c r="BO379" s="10" t="inlineStr"/>
      <c r="BP379" s="10" t="inlineStr"/>
      <c r="BQ379" s="10" t="inlineStr"/>
    </row>
    <row r="380">
      <c r="A380" s="5" t="inlineStr">
        <is>
          <t>UK-000602</t>
        </is>
      </c>
      <c r="B380" s="5" t="inlineStr">
        <is>
          <t>UK-000602-01</t>
        </is>
      </c>
      <c r="C380" s="5" t="inlineStr"/>
      <c r="D380" s="5" t="inlineStr">
        <is>
          <t>Elite Wine Merchants</t>
        </is>
      </c>
      <c r="E380" s="5" t="inlineStr">
        <is>
          <t>Elite Wine Merchants</t>
        </is>
      </c>
      <c r="F380" s="5" t="inlineStr"/>
      <c r="G380" s="5" t="inlineStr">
        <is>
          <t>Off-Licence</t>
        </is>
      </c>
      <c r="H380" s="5" t="inlineStr">
        <is>
          <t>Off-licence / wine merchant</t>
        </is>
      </c>
      <c r="I380" s="5" t="inlineStr">
        <is>
          <t>Independent</t>
        </is>
      </c>
      <c r="J380" s="5" t="inlineStr">
        <is>
          <t>1</t>
        </is>
      </c>
      <c r="K380" s="5" t="inlineStr"/>
      <c r="L380" s="5" t="inlineStr"/>
      <c r="M380" s="5" t="inlineStr"/>
      <c r="N380" s="5" t="inlineStr"/>
      <c r="O380" s="5" t="inlineStr">
        <is>
          <t>176 Earls Court Road</t>
        </is>
      </c>
      <c r="P380" s="5" t="inlineStr">
        <is>
          <t>Earls Court</t>
        </is>
      </c>
      <c r="Q380" s="5" t="inlineStr">
        <is>
          <t>London</t>
        </is>
      </c>
      <c r="R380" s="5" t="inlineStr">
        <is>
          <t>Greater London</t>
        </is>
      </c>
      <c r="S380" s="5" t="inlineStr">
        <is>
          <t>SW5 9QQ</t>
        </is>
      </c>
      <c r="T380" s="5" t="inlineStr">
        <is>
          <t>London</t>
        </is>
      </c>
      <c r="U380" s="5" t="inlineStr">
        <is>
          <t>England</t>
        </is>
      </c>
      <c r="V380" s="5" t="inlineStr"/>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wine; beer; spirits</t>
        </is>
      </c>
      <c r="AL380" s="5" t="inlineStr"/>
      <c r="AM380" s="5" t="inlineStr">
        <is>
          <t>Off-Licence</t>
        </is>
      </c>
      <c r="AN380" s="5" t="inlineStr"/>
      <c r="AO380" s="5" t="inlineStr">
        <is>
          <t>Independent off-licence/wine merchant on Earls Court Road (SW5). Address/postcode from Yell Earls Court off-licences listing snippet; phone not published in accessible snippet.</t>
        </is>
      </c>
      <c r="AP380" s="5" t="inlineStr">
        <is>
          <t>Low</t>
        </is>
      </c>
      <c r="AQ380" s="5" t="inlineStr">
        <is>
          <t>Independent retailer; Relevant category</t>
        </is>
      </c>
      <c r="AR380" s="5" t="inlineStr">
        <is>
          <t>https://www.yell.com/s/off+licences-earls+court-south+west+london.html</t>
        </is>
      </c>
      <c r="AS380" s="5" t="inlineStr"/>
      <c r="AT380" s="5" t="inlineStr">
        <is>
          <t>1</t>
        </is>
      </c>
      <c r="AU380" s="5" t="inlineStr">
        <is>
          <t>No</t>
        </is>
      </c>
      <c r="AV380" s="5" t="inlineStr">
        <is>
          <t>No</t>
        </is>
      </c>
      <c r="AW380" s="5" t="inlineStr">
        <is>
          <t>No</t>
        </is>
      </c>
      <c r="AX380" s="5" t="inlineStr">
        <is>
          <t>No</t>
        </is>
      </c>
      <c r="AY380" s="5" t="inlineStr">
        <is>
          <t>Not Found</t>
        </is>
      </c>
      <c r="AZ380" s="5" t="inlineStr">
        <is>
          <t>Not Found</t>
        </is>
      </c>
      <c r="BA380" s="5" t="inlineStr">
        <is>
          <t>2026-09-17</t>
        </is>
      </c>
      <c r="BB380" s="5" t="inlineStr">
        <is>
          <t>Requires Verification</t>
        </is>
      </c>
      <c r="BC380" s="5" t="inlineStr">
        <is>
          <t>Low</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UK-000469</t>
        </is>
      </c>
      <c r="B381" s="10" t="inlineStr">
        <is>
          <t>UK-000469-01</t>
        </is>
      </c>
      <c r="C381" s="10" t="inlineStr"/>
      <c r="D381" s="10" t="inlineStr">
        <is>
          <t>Elite Wines</t>
        </is>
      </c>
      <c r="E381" s="10" t="inlineStr">
        <is>
          <t>Elite Wines</t>
        </is>
      </c>
      <c r="F381" s="10" t="inlineStr"/>
      <c r="G381" s="10" t="inlineStr">
        <is>
          <t>Off-Licence</t>
        </is>
      </c>
      <c r="H381" s="10" t="inlineStr">
        <is>
          <t>Off-licence &amp; convenience</t>
        </is>
      </c>
      <c r="I381" s="10" t="inlineStr">
        <is>
          <t>Independent</t>
        </is>
      </c>
      <c r="J381" s="10" t="inlineStr">
        <is>
          <t>1</t>
        </is>
      </c>
      <c r="K381" s="10" t="inlineStr"/>
      <c r="L381" s="10" t="inlineStr"/>
      <c r="M381" s="10" t="inlineStr"/>
      <c r="N381" s="10" t="inlineStr"/>
      <c r="O381" s="10" t="inlineStr">
        <is>
          <t>20 Carters Green</t>
        </is>
      </c>
      <c r="P381" s="10" t="inlineStr"/>
      <c r="Q381" s="10" t="inlineStr">
        <is>
          <t>West Bromwich</t>
        </is>
      </c>
      <c r="R381" s="10" t="inlineStr">
        <is>
          <t>West Midlands</t>
        </is>
      </c>
      <c r="S381" s="10" t="inlineStr">
        <is>
          <t>B70 9LW</t>
        </is>
      </c>
      <c r="T381" s="10" t="inlineStr">
        <is>
          <t>West Midlands</t>
        </is>
      </c>
      <c r="U381" s="10" t="inlineStr">
        <is>
          <t>England</t>
        </is>
      </c>
      <c r="V381" s="10" t="inlineStr">
        <is>
          <t>0121 553 5218</t>
        </is>
      </c>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beers; wines; spirits; convenience</t>
        </is>
      </c>
      <c r="AL381" s="10" t="inlineStr"/>
      <c r="AM381" s="10" t="inlineStr">
        <is>
          <t>Off-Licence</t>
        </is>
      </c>
      <c r="AN381" s="10" t="inlineStr"/>
      <c r="AO381" s="10" t="inlineStr">
        <is>
          <t>Independent off-licence, 20 Carters Green, West Bromwich. Address and phone from Cylex/Yell West Bromwich off-licence listings.</t>
        </is>
      </c>
      <c r="AP381" s="10" t="inlineStr">
        <is>
          <t>Low</t>
        </is>
      </c>
      <c r="AQ381" s="10" t="inlineStr">
        <is>
          <t>Independent retailer; Relevant category</t>
        </is>
      </c>
      <c r="AR381" s="10" t="inlineStr">
        <is>
          <t>https://west-bromwich.cylex-uk.co.uk/beer-wine-spirits/</t>
        </is>
      </c>
      <c r="AS381" s="10" t="inlineStr"/>
      <c r="AT381" s="10" t="inlineStr">
        <is>
          <t>1</t>
        </is>
      </c>
      <c r="AU381" s="10" t="inlineStr">
        <is>
          <t>No</t>
        </is>
      </c>
      <c r="AV381" s="10" t="inlineStr">
        <is>
          <t>No</t>
        </is>
      </c>
      <c r="AW381" s="10" t="inlineStr">
        <is>
          <t>No</t>
        </is>
      </c>
      <c r="AX381" s="10" t="inlineStr">
        <is>
          <t>No</t>
        </is>
      </c>
      <c r="AY381" s="10" t="inlineStr">
        <is>
          <t>Verified directory</t>
        </is>
      </c>
      <c r="AZ381" s="10" t="inlineStr">
        <is>
          <t>Not Found</t>
        </is>
      </c>
      <c r="BA381" s="10" t="inlineStr">
        <is>
          <t>2026-09-17</t>
        </is>
      </c>
      <c r="BB381" s="10" t="inlineStr">
        <is>
          <t>Requires Verification</t>
        </is>
      </c>
      <c r="BC381" s="10" t="inlineStr">
        <is>
          <t>Medium</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UK-000772</t>
        </is>
      </c>
      <c r="B382" s="5" t="inlineStr">
        <is>
          <t>UK-000772-01</t>
        </is>
      </c>
      <c r="C382" s="5" t="inlineStr"/>
      <c r="D382" s="5" t="inlineStr">
        <is>
          <t>Ellie's Cellar</t>
        </is>
      </c>
      <c r="E382" s="5" t="inlineStr">
        <is>
          <t>Ellie's Cellar</t>
        </is>
      </c>
      <c r="F382" s="5" t="inlineStr"/>
      <c r="G382" s="5" t="inlineStr">
        <is>
          <t>Off-Licence</t>
        </is>
      </c>
      <c r="H382" s="5" t="inlineStr">
        <is>
          <t>Off-licence / wine &amp; spirits</t>
        </is>
      </c>
      <c r="I382" s="5" t="inlineStr">
        <is>
          <t>Independent</t>
        </is>
      </c>
      <c r="J382" s="5" t="inlineStr">
        <is>
          <t>1</t>
        </is>
      </c>
      <c r="K382" s="5" t="inlineStr"/>
      <c r="L382" s="5" t="inlineStr"/>
      <c r="M382" s="5" t="inlineStr"/>
      <c r="N382" s="5" t="inlineStr"/>
      <c r="O382" s="5" t="inlineStr">
        <is>
          <t>24 Henderson Street</t>
        </is>
      </c>
      <c r="P382" s="5" t="inlineStr">
        <is>
          <t>Bridge of Allan</t>
        </is>
      </c>
      <c r="Q382" s="5" t="inlineStr">
        <is>
          <t>Stirling</t>
        </is>
      </c>
      <c r="R382" s="5" t="inlineStr">
        <is>
          <t>Stirling</t>
        </is>
      </c>
      <c r="S382" s="5" t="inlineStr">
        <is>
          <t>FK9 4HP</t>
        </is>
      </c>
      <c r="T382" s="5" t="inlineStr">
        <is>
          <t>Scotland</t>
        </is>
      </c>
      <c r="U382" s="5" t="inlineStr">
        <is>
          <t>Scotland</t>
        </is>
      </c>
      <c r="V382" s="5" t="inlineStr">
        <is>
          <t>01786 834894</t>
        </is>
      </c>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wine; spirits; beer; off-licence</t>
        </is>
      </c>
      <c r="AL382" s="5" t="inlineStr"/>
      <c r="AM382" s="5" t="inlineStr">
        <is>
          <t>Off-Licence</t>
        </is>
      </c>
      <c r="AN382" s="5" t="inlineStr"/>
      <c r="AO382" s="5" t="inlineStr">
        <is>
          <t>Independent off-licence at Bridge of Allan (Stirling council area). Details from Cylex/Yell off-licence Falkirk-Stirling snippet.</t>
        </is>
      </c>
      <c r="AP382" s="5" t="inlineStr">
        <is>
          <t>Low</t>
        </is>
      </c>
      <c r="AQ382" s="5" t="inlineStr">
        <is>
          <t>Independent retailer; Relevant category</t>
        </is>
      </c>
      <c r="AR382" s="5" t="inlineStr">
        <is>
          <t>https://falkirk.cylex-uk.co.uk/off-licence.html</t>
        </is>
      </c>
      <c r="AS382" s="5" t="inlineStr"/>
      <c r="AT382" s="5" t="inlineStr">
        <is>
          <t>1</t>
        </is>
      </c>
      <c r="AU382" s="5" t="inlineStr">
        <is>
          <t>No</t>
        </is>
      </c>
      <c r="AV382" s="5" t="inlineStr">
        <is>
          <t>No</t>
        </is>
      </c>
      <c r="AW382" s="5" t="inlineStr">
        <is>
          <t>No</t>
        </is>
      </c>
      <c r="AX382" s="5" t="inlineStr">
        <is>
          <t>No</t>
        </is>
      </c>
      <c r="AY382" s="5" t="inlineStr">
        <is>
          <t>Verified directory</t>
        </is>
      </c>
      <c r="AZ382" s="5" t="inlineStr">
        <is>
          <t>Not Found</t>
        </is>
      </c>
      <c r="BA382" s="5" t="inlineStr">
        <is>
          <t>2026-09-17</t>
        </is>
      </c>
      <c r="BB382" s="5" t="inlineStr">
        <is>
          <t>Requires Verification</t>
        </is>
      </c>
      <c r="BC382" s="5" t="inlineStr">
        <is>
          <t>Medium</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UK-000773</t>
        </is>
      </c>
      <c r="B383" s="10" t="inlineStr">
        <is>
          <t>UK-000773-01</t>
        </is>
      </c>
      <c r="C383" s="10" t="inlineStr"/>
      <c r="D383" s="10" t="inlineStr">
        <is>
          <t>Elm Row Grocer &amp; Off Licence</t>
        </is>
      </c>
      <c r="E383" s="10" t="inlineStr">
        <is>
          <t>Elm Row Grocer &amp; Off Licence</t>
        </is>
      </c>
      <c r="F383" s="10" t="inlineStr"/>
      <c r="G383" s="10" t="inlineStr">
        <is>
          <t>Off-Licence</t>
        </is>
      </c>
      <c r="H383" s="10" t="inlineStr">
        <is>
          <t>Grocer &amp; off-licence</t>
        </is>
      </c>
      <c r="I383" s="10" t="inlineStr">
        <is>
          <t>Independent</t>
        </is>
      </c>
      <c r="J383" s="10" t="inlineStr">
        <is>
          <t>1</t>
        </is>
      </c>
      <c r="K383" s="10" t="inlineStr"/>
      <c r="L383" s="10" t="inlineStr"/>
      <c r="M383" s="10" t="inlineStr"/>
      <c r="N383" s="10" t="inlineStr"/>
      <c r="O383" s="10" t="inlineStr">
        <is>
          <t>26 Elm Row</t>
        </is>
      </c>
      <c r="P383" s="10" t="inlineStr">
        <is>
          <t>Leith Walk</t>
        </is>
      </c>
      <c r="Q383" s="10" t="inlineStr">
        <is>
          <t>Edinburgh</t>
        </is>
      </c>
      <c r="R383" s="10" t="inlineStr">
        <is>
          <t>City of Edinburgh</t>
        </is>
      </c>
      <c r="S383" s="10" t="inlineStr">
        <is>
          <t>EH7 4AH</t>
        </is>
      </c>
      <c r="T383" s="10" t="inlineStr">
        <is>
          <t>Scotland</t>
        </is>
      </c>
      <c r="U383" s="10" t="inlineStr">
        <is>
          <t>Scotland</t>
        </is>
      </c>
      <c r="V383" s="10" t="inlineStr">
        <is>
          <t>0131 558 3058</t>
        </is>
      </c>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groceries; alcohol; tobacco</t>
        </is>
      </c>
      <c r="AL383" s="10" t="inlineStr"/>
      <c r="AM383" s="10" t="inlineStr">
        <is>
          <t>Off-Licence</t>
        </is>
      </c>
      <c r="AN383" s="10" t="inlineStr"/>
      <c r="AO383" s="10" t="inlineStr">
        <is>
          <t>Independent grocer and off-licence at the top of Leith Walk (Elm Row). Details from Yell snippet.</t>
        </is>
      </c>
      <c r="AP383" s="10" t="inlineStr">
        <is>
          <t>Low</t>
        </is>
      </c>
      <c r="AQ383" s="10" t="inlineStr">
        <is>
          <t>Independent retailer; Relevant category</t>
        </is>
      </c>
      <c r="AR383" s="10" t="inlineStr">
        <is>
          <t>https://www.yell.com/biz/elm-row-grocer-and-off-licence-edinburgh-7953638/</t>
        </is>
      </c>
      <c r="AS383" s="10" t="inlineStr"/>
      <c r="AT383" s="10" t="inlineStr">
        <is>
          <t>1</t>
        </is>
      </c>
      <c r="AU383" s="10" t="inlineStr">
        <is>
          <t>No</t>
        </is>
      </c>
      <c r="AV383" s="10" t="inlineStr">
        <is>
          <t>No</t>
        </is>
      </c>
      <c r="AW383" s="10" t="inlineStr">
        <is>
          <t>No</t>
        </is>
      </c>
      <c r="AX383" s="10" t="inlineStr">
        <is>
          <t>No</t>
        </is>
      </c>
      <c r="AY383" s="10" t="inlineStr">
        <is>
          <t>Verified directory</t>
        </is>
      </c>
      <c r="AZ383" s="10" t="inlineStr">
        <is>
          <t>Not Found</t>
        </is>
      </c>
      <c r="BA383" s="10" t="inlineStr">
        <is>
          <t>2026-09-17</t>
        </is>
      </c>
      <c r="BB383" s="10" t="inlineStr">
        <is>
          <t>Requires Verification</t>
        </is>
      </c>
      <c r="BC383" s="10" t="inlineStr">
        <is>
          <t>Medium</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UK-000470</t>
        </is>
      </c>
      <c r="B384" s="5" t="inlineStr">
        <is>
          <t>UK-000470-01</t>
        </is>
      </c>
      <c r="C384" s="5" t="inlineStr"/>
      <c r="D384" s="5" t="inlineStr">
        <is>
          <t>Emperors Shisha Lounge Cafe</t>
        </is>
      </c>
      <c r="E384" s="5" t="inlineStr">
        <is>
          <t>Emperors Shisha Lounge Cafe</t>
        </is>
      </c>
      <c r="F384" s="5" t="inlineStr"/>
      <c r="G384" s="5" t="inlineStr">
        <is>
          <t>Smoke / Shisha Shop</t>
        </is>
      </c>
      <c r="H384" s="5" t="inlineStr">
        <is>
          <t>Shisha lounge &amp; cafe</t>
        </is>
      </c>
      <c r="I384" s="5" t="inlineStr">
        <is>
          <t>Independent</t>
        </is>
      </c>
      <c r="J384" s="5" t="inlineStr">
        <is>
          <t>1</t>
        </is>
      </c>
      <c r="K384" s="5" t="inlineStr">
        <is>
          <t>https://www.emperorscafe.co.uk/</t>
        </is>
      </c>
      <c r="L384" s="5" t="inlineStr">
        <is>
          <t>https://www.facebook.com/emperorslounge/</t>
        </is>
      </c>
      <c r="M384" s="5" t="inlineStr">
        <is>
          <t>https://www.instagram.com/emperorscafe/</t>
        </is>
      </c>
      <c r="N384" s="5" t="inlineStr">
        <is>
          <t>https://www.tiktok.com/@emperorsbirmingham</t>
        </is>
      </c>
      <c r="O384" s="5" t="inlineStr">
        <is>
          <t>15 Studley Street</t>
        </is>
      </c>
      <c r="P384" s="5" t="inlineStr">
        <is>
          <t>Sparkbrook / Balsall Heath</t>
        </is>
      </c>
      <c r="Q384" s="5" t="inlineStr">
        <is>
          <t>Birmingham</t>
        </is>
      </c>
      <c r="R384" s="5" t="inlineStr">
        <is>
          <t>West Midlands</t>
        </is>
      </c>
      <c r="S384" s="5" t="inlineStr">
        <is>
          <t>B12 8JB</t>
        </is>
      </c>
      <c r="T384" s="5" t="inlineStr">
        <is>
          <t>West Midlands</t>
        </is>
      </c>
      <c r="U384" s="5" t="inlineStr">
        <is>
          <t>England</t>
        </is>
      </c>
      <c r="V384" s="5" t="inlineStr"/>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shisha; halal food; desserts</t>
        </is>
      </c>
      <c r="AL384" s="5" t="inlineStr"/>
      <c r="AM384" s="5" t="inlineStr">
        <is>
          <t>Smoke / Shisha Shop</t>
        </is>
      </c>
      <c r="AN384" s="5" t="inlineStr"/>
      <c r="AO384" s="5" t="inlineStr">
        <is>
          <t>Shisha lounge &amp; cafe on Studley Street (Sparkbrook/Balsall Heath, B12). Active on Facebook, Instagram and TikTok. Address per TikTok profile.</t>
        </is>
      </c>
      <c r="AP384" s="5" t="inlineStr">
        <is>
          <t>Medium</t>
        </is>
      </c>
      <c r="AQ384" s="5" t="inlineStr">
        <is>
          <t>Independent retailer; Core relevant category; Active website; Social presence</t>
        </is>
      </c>
      <c r="AR384" s="5" t="inlineStr">
        <is>
          <t>https://www.emperorscafe.co.uk/contact</t>
        </is>
      </c>
      <c r="AS384" s="5" t="inlineStr">
        <is>
          <t>https://www.tiktok.com/@emperorsbirmingham</t>
        </is>
      </c>
      <c r="AT384" s="5" t="inlineStr">
        <is>
          <t>2</t>
        </is>
      </c>
      <c r="AU384" s="5" t="inlineStr">
        <is>
          <t>No</t>
        </is>
      </c>
      <c r="AV384" s="5" t="inlineStr">
        <is>
          <t>No</t>
        </is>
      </c>
      <c r="AW384" s="5" t="inlineStr">
        <is>
          <t>No</t>
        </is>
      </c>
      <c r="AX384" s="5" t="inlineStr">
        <is>
          <t>No</t>
        </is>
      </c>
      <c r="AY384" s="5" t="inlineStr">
        <is>
          <t>Not Found</t>
        </is>
      </c>
      <c r="AZ384" s="5" t="inlineStr">
        <is>
          <t>Website Found</t>
        </is>
      </c>
      <c r="BA384" s="5" t="inlineStr">
        <is>
          <t>2026-09-17</t>
        </is>
      </c>
      <c r="BB384" s="5" t="inlineStr">
        <is>
          <t>Requires Verification</t>
        </is>
      </c>
      <c r="BC384" s="5" t="inlineStr">
        <is>
          <t>Low</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WY-0083</t>
        </is>
      </c>
      <c r="B385" s="10" t="inlineStr">
        <is>
          <t>WY-0083-01</t>
        </is>
      </c>
      <c r="C385" s="10" t="inlineStr"/>
      <c r="D385" s="10" t="inlineStr">
        <is>
          <t>Emporium Vapez</t>
        </is>
      </c>
      <c r="E385" s="10" t="inlineStr">
        <is>
          <t>Emporium Vapez</t>
        </is>
      </c>
      <c r="F385" s="10" t="inlineStr"/>
      <c r="G385" s="10" t="inlineStr">
        <is>
          <t>Vape Shop</t>
        </is>
      </c>
      <c r="H385" s="10" t="inlineStr">
        <is>
          <t>Vape retailer</t>
        </is>
      </c>
      <c r="I385" s="10" t="inlineStr">
        <is>
          <t>Independent</t>
        </is>
      </c>
      <c r="J385" s="10" t="inlineStr">
        <is>
          <t>1</t>
        </is>
      </c>
      <c r="K385" s="10" t="inlineStr"/>
      <c r="L385" s="10" t="inlineStr"/>
      <c r="M385" s="10" t="inlineStr"/>
      <c r="N385" s="10" t="inlineStr"/>
      <c r="O385" s="10" t="inlineStr">
        <is>
          <t>21 Crackenedge Lane</t>
        </is>
      </c>
      <c r="P385" s="10" t="inlineStr"/>
      <c r="Q385" s="10" t="inlineStr">
        <is>
          <t>Dewsbury</t>
        </is>
      </c>
      <c r="R385" s="10" t="inlineStr">
        <is>
          <t>West Yorkshire</t>
        </is>
      </c>
      <c r="S385" s="10" t="inlineStr">
        <is>
          <t>WF13 1PU</t>
        </is>
      </c>
      <c r="T385" s="10" t="inlineStr">
        <is>
          <t>Yorkshire &amp; Humber</t>
        </is>
      </c>
      <c r="U385" s="10" t="inlineStr">
        <is>
          <t>England</t>
        </is>
      </c>
      <c r="V385" s="10" t="inlineStr">
        <is>
          <t>07375 706970</t>
        </is>
      </c>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vape hardware; e-liquids; disposable vapes</t>
        </is>
      </c>
      <c r="AL385" s="10" t="inlineStr"/>
      <c r="AM385" s="10" t="inlineStr">
        <is>
          <t>Vape Shop</t>
        </is>
      </c>
      <c r="AN385" s="10" t="inlineStr"/>
      <c r="AO385" s="10" t="inlineStr"/>
      <c r="AP385" s="10" t="inlineStr">
        <is>
          <t>Medium</t>
        </is>
      </c>
      <c r="AQ385" s="10" t="inlineStr">
        <is>
          <t>Independent retailer; Core relevant category</t>
        </is>
      </c>
      <c r="AR385" s="10" t="inlineStr">
        <is>
          <t>https://www.yelp.com/biz/emporium-vapez-dewsbury</t>
        </is>
      </c>
      <c r="AS385" s="10" t="inlineStr"/>
      <c r="AT385" s="10" t="inlineStr">
        <is>
          <t>1</t>
        </is>
      </c>
      <c r="AU385" s="10" t="inlineStr">
        <is>
          <t>No</t>
        </is>
      </c>
      <c r="AV385" s="10" t="inlineStr">
        <is>
          <t>No</t>
        </is>
      </c>
      <c r="AW385" s="10" t="inlineStr">
        <is>
          <t>No</t>
        </is>
      </c>
      <c r="AX385" s="10" t="inlineStr">
        <is>
          <t>No</t>
        </is>
      </c>
      <c r="AY385" s="10" t="inlineStr">
        <is>
          <t>Verified directory</t>
        </is>
      </c>
      <c r="AZ385" s="10" t="inlineStr">
        <is>
          <t>Not Found</t>
        </is>
      </c>
      <c r="BA385" s="10" t="inlineStr">
        <is>
          <t>2026-09-17</t>
        </is>
      </c>
      <c r="BB385" s="10" t="inlineStr">
        <is>
          <t>Requires Verification</t>
        </is>
      </c>
      <c r="BC385" s="10" t="inlineStr">
        <is>
          <t>Medium</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2026-09-16</t>
        </is>
      </c>
      <c r="BJ385" s="10" t="inlineStr">
        <is>
          <t>New</t>
        </is>
      </c>
      <c r="BK385" s="10" t="inlineStr">
        <is>
          <t>2026-09-17</t>
        </is>
      </c>
      <c r="BL385" s="10" t="inlineStr"/>
      <c r="BM385" s="10" t="inlineStr"/>
      <c r="BN385" s="10" t="inlineStr"/>
      <c r="BO385" s="10" t="inlineStr"/>
      <c r="BP385" s="10" t="inlineStr"/>
      <c r="BQ385" s="10" t="inlineStr"/>
    </row>
    <row r="386">
      <c r="A386" s="5" t="inlineStr">
        <is>
          <t>UK-000774</t>
        </is>
      </c>
      <c r="B386" s="5" t="inlineStr">
        <is>
          <t>UK-000774-01</t>
        </is>
      </c>
      <c r="C386" s="5" t="inlineStr"/>
      <c r="D386" s="5" t="inlineStr">
        <is>
          <t>Emporium Vapour</t>
        </is>
      </c>
      <c r="E386" s="5" t="inlineStr">
        <is>
          <t>Emporium Vapour</t>
        </is>
      </c>
      <c r="F386" s="5" t="inlineStr"/>
      <c r="G386" s="5" t="inlineStr">
        <is>
          <t>Vape Shop</t>
        </is>
      </c>
      <c r="H386" s="5" t="inlineStr">
        <is>
          <t>Vape shop / e-liquids</t>
        </is>
      </c>
      <c r="I386" s="5" t="inlineStr">
        <is>
          <t>Independent</t>
        </is>
      </c>
      <c r="J386" s="5" t="inlineStr">
        <is>
          <t>1</t>
        </is>
      </c>
      <c r="K386" s="5" t="inlineStr"/>
      <c r="L386" s="5" t="inlineStr"/>
      <c r="M386" s="5" t="inlineStr"/>
      <c r="N386" s="5" t="inlineStr"/>
      <c r="O386" s="5" t="inlineStr">
        <is>
          <t>1 Dalderse Avenue</t>
        </is>
      </c>
      <c r="P386" s="5" t="inlineStr"/>
      <c r="Q386" s="5" t="inlineStr">
        <is>
          <t>Falkirk</t>
        </is>
      </c>
      <c r="R386" s="5" t="inlineStr">
        <is>
          <t>Falkirk</t>
        </is>
      </c>
      <c r="S386" s="5" t="inlineStr">
        <is>
          <t>FK2 7EF</t>
        </is>
      </c>
      <c r="T386" s="5" t="inlineStr">
        <is>
          <t>Scotland</t>
        </is>
      </c>
      <c r="U386" s="5" t="inlineStr">
        <is>
          <t>Scotland</t>
        </is>
      </c>
      <c r="V386" s="5" t="inlineStr">
        <is>
          <t>0800 612 7270</t>
        </is>
      </c>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vape hardware; e-liquids</t>
        </is>
      </c>
      <c r="AL386" s="5" t="inlineStr"/>
      <c r="AM386" s="5" t="inlineStr">
        <is>
          <t>Vape Shop</t>
        </is>
      </c>
      <c r="AN386" s="5" t="inlineStr"/>
      <c r="AO386" s="5" t="inlineStr">
        <is>
          <t>Independent vape shop in Falkirk (Dalderse Avenue). Details from Yell/Cylex Falkirk vape listing snippet.</t>
        </is>
      </c>
      <c r="AP386" s="5" t="inlineStr">
        <is>
          <t>Medium</t>
        </is>
      </c>
      <c r="AQ386" s="5" t="inlineStr">
        <is>
          <t>Independent retailer; Core relevant category</t>
        </is>
      </c>
      <c r="AR386" s="5" t="inlineStr">
        <is>
          <t>https://www.yell.com/s/vape+shops-falkirk.html</t>
        </is>
      </c>
      <c r="AS386" s="5" t="inlineStr"/>
      <c r="AT386" s="5" t="inlineStr">
        <is>
          <t>1</t>
        </is>
      </c>
      <c r="AU386" s="5" t="inlineStr">
        <is>
          <t>No</t>
        </is>
      </c>
      <c r="AV386" s="5" t="inlineStr">
        <is>
          <t>No</t>
        </is>
      </c>
      <c r="AW386" s="5" t="inlineStr">
        <is>
          <t>No</t>
        </is>
      </c>
      <c r="AX386" s="5" t="inlineStr">
        <is>
          <t>No</t>
        </is>
      </c>
      <c r="AY386" s="5" t="inlineStr">
        <is>
          <t>Verified directory</t>
        </is>
      </c>
      <c r="AZ386" s="5" t="inlineStr">
        <is>
          <t>Not Found</t>
        </is>
      </c>
      <c r="BA386" s="5" t="inlineStr">
        <is>
          <t>2026-09-17</t>
        </is>
      </c>
      <c r="BB386" s="5" t="inlineStr">
        <is>
          <t>Requires Verification</t>
        </is>
      </c>
      <c r="BC386" s="5" t="inlineStr">
        <is>
          <t>Medium</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UK-000603</t>
        </is>
      </c>
      <c r="B387" s="10" t="inlineStr">
        <is>
          <t>UK-000603-01</t>
        </is>
      </c>
      <c r="C387" s="10" t="inlineStr"/>
      <c r="D387" s="10" t="inlineStr">
        <is>
          <t>Express Kentish Town Food &amp; Wine</t>
        </is>
      </c>
      <c r="E387" s="10" t="inlineStr">
        <is>
          <t>Express Kentish Town Food &amp; Wine</t>
        </is>
      </c>
      <c r="F387" s="10" t="inlineStr"/>
      <c r="G387" s="10" t="inlineStr">
        <is>
          <t>Off-Licence</t>
        </is>
      </c>
      <c r="H387" s="10" t="inlineStr">
        <is>
          <t>Convenience &amp; off-licence</t>
        </is>
      </c>
      <c r="I387" s="10" t="inlineStr">
        <is>
          <t>Independent</t>
        </is>
      </c>
      <c r="J387" s="10" t="inlineStr">
        <is>
          <t>1</t>
        </is>
      </c>
      <c r="K387" s="10" t="inlineStr"/>
      <c r="L387" s="10" t="inlineStr"/>
      <c r="M387" s="10" t="inlineStr"/>
      <c r="N387" s="10" t="inlineStr"/>
      <c r="O387" s="10" t="inlineStr"/>
      <c r="P387" s="10" t="inlineStr">
        <is>
          <t>Kentish Town</t>
        </is>
      </c>
      <c r="Q387" s="10" t="inlineStr">
        <is>
          <t>London</t>
        </is>
      </c>
      <c r="R387" s="10" t="inlineStr">
        <is>
          <t>Greater London</t>
        </is>
      </c>
      <c r="S387" s="10" t="inlineStr"/>
      <c r="T387" s="10" t="inlineStr">
        <is>
          <t>London</t>
        </is>
      </c>
      <c r="U387" s="10" t="inlineStr">
        <is>
          <t>England</t>
        </is>
      </c>
      <c r="V387" s="10" t="inlineStr"/>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convenience groceries; wine; beer; spirits</t>
        </is>
      </c>
      <c r="AL387" s="10" t="inlineStr"/>
      <c r="AM387" s="10" t="inlineStr">
        <is>
          <t>Off-Licence</t>
        </is>
      </c>
      <c r="AN387" s="10" t="inlineStr"/>
      <c r="AO387" s="10" t="inlineStr">
        <is>
          <t>Independent Kentish Town (NW5) convenience/off-licence listed on Yell. Only the Yell business listing was accessible in snippet form; street address, postcode and phone not captured (direct fetch blocked). Needs enrichment.</t>
        </is>
      </c>
      <c r="AP387" s="10" t="inlineStr">
        <is>
          <t>Low</t>
        </is>
      </c>
      <c r="AQ387" s="10" t="inlineStr">
        <is>
          <t>Independent retailer; Relevant category</t>
        </is>
      </c>
      <c r="AR387" s="10" t="inlineStr">
        <is>
          <t>https://www.yell.com/biz/express-kentish-town-food-and-wine-london-8768068/</t>
        </is>
      </c>
      <c r="AS387" s="10" t="inlineStr"/>
      <c r="AT387" s="10" t="inlineStr">
        <is>
          <t>1</t>
        </is>
      </c>
      <c r="AU387" s="10" t="inlineStr">
        <is>
          <t>No</t>
        </is>
      </c>
      <c r="AV387" s="10" t="inlineStr">
        <is>
          <t>No</t>
        </is>
      </c>
      <c r="AW387" s="10" t="inlineStr">
        <is>
          <t>No</t>
        </is>
      </c>
      <c r="AX387" s="10" t="inlineStr">
        <is>
          <t>No</t>
        </is>
      </c>
      <c r="AY387" s="10" t="inlineStr">
        <is>
          <t>Not Found</t>
        </is>
      </c>
      <c r="AZ387" s="10" t="inlineStr">
        <is>
          <t>Not Found</t>
        </is>
      </c>
      <c r="BA387" s="10" t="inlineStr">
        <is>
          <t>2026-09-17</t>
        </is>
      </c>
      <c r="BB387" s="10" t="inlineStr">
        <is>
          <t>Requires Verification</t>
        </is>
      </c>
      <c r="BC387" s="10" t="inlineStr">
        <is>
          <t>Low</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2026-09-17</t>
        </is>
      </c>
      <c r="BJ387" s="10" t="inlineStr">
        <is>
          <t>New</t>
        </is>
      </c>
      <c r="BK387" s="10" t="inlineStr">
        <is>
          <t>2026-09-17</t>
        </is>
      </c>
      <c r="BL387" s="10" t="inlineStr"/>
      <c r="BM387" s="10" t="inlineStr"/>
      <c r="BN387" s="10" t="inlineStr"/>
      <c r="BO387" s="10" t="inlineStr"/>
      <c r="BP387" s="10" t="inlineStr"/>
      <c r="BQ387" s="10" t="inlineStr"/>
    </row>
    <row r="388">
      <c r="A388" s="5" t="inlineStr">
        <is>
          <t>UK-000358</t>
        </is>
      </c>
      <c r="B388" s="5" t="inlineStr">
        <is>
          <t>UK-000358-01</t>
        </is>
      </c>
      <c r="C388" s="5" t="inlineStr"/>
      <c r="D388" s="5" t="inlineStr">
        <is>
          <t>Ezee-Quit</t>
        </is>
      </c>
      <c r="E388" s="5" t="inlineStr">
        <is>
          <t>Ezee-Quit</t>
        </is>
      </c>
      <c r="F388" s="5" t="inlineStr"/>
      <c r="G388" s="5" t="inlineStr">
        <is>
          <t>Vape Shop</t>
        </is>
      </c>
      <c r="H388" s="5" t="inlineStr"/>
      <c r="I388" s="5" t="inlineStr">
        <is>
          <t>Independent</t>
        </is>
      </c>
      <c r="J388" s="5" t="inlineStr">
        <is>
          <t>1</t>
        </is>
      </c>
      <c r="K388" s="5" t="inlineStr"/>
      <c r="L388" s="5" t="inlineStr"/>
      <c r="M388" s="5" t="inlineStr"/>
      <c r="N388" s="5" t="inlineStr"/>
      <c r="O388" s="5" t="inlineStr">
        <is>
          <t>7b Windmill Lane</t>
        </is>
      </c>
      <c r="P388" s="5" t="inlineStr">
        <is>
          <t>Tameside Business Park</t>
        </is>
      </c>
      <c r="Q388" s="5" t="inlineStr">
        <is>
          <t>Denton</t>
        </is>
      </c>
      <c r="R388" s="5" t="inlineStr">
        <is>
          <t>Greater Manchester</t>
        </is>
      </c>
      <c r="S388" s="5" t="inlineStr">
        <is>
          <t>M34 3DS</t>
        </is>
      </c>
      <c r="T388" s="5" t="inlineStr">
        <is>
          <t>North West</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e-liquids; vape hardware; disposables</t>
        </is>
      </c>
      <c r="AL388" s="5" t="inlineStr"/>
      <c r="AM388" s="5" t="inlineStr">
        <is>
          <t>Vape Shop</t>
        </is>
      </c>
      <c r="AN388" s="5" t="inlineStr"/>
      <c r="AO388" s="5" t="inlineStr">
        <is>
          <t>Vape shop at Tameside Business Park, Denton.</t>
        </is>
      </c>
      <c r="AP388" s="5" t="inlineStr">
        <is>
          <t>Medium</t>
        </is>
      </c>
      <c r="AQ388" s="5" t="inlineStr">
        <is>
          <t>Independent retailer; Core relevant category</t>
        </is>
      </c>
      <c r="AR388" s="5" t="inlineStr">
        <is>
          <t>https://denton-tameside.cylex-uk.co.uk/vape-shops/</t>
        </is>
      </c>
      <c r="AS388" s="5" t="inlineStr"/>
      <c r="AT388" s="5" t="inlineStr">
        <is>
          <t>1</t>
        </is>
      </c>
      <c r="AU388" s="5" t="inlineStr">
        <is>
          <t>No</t>
        </is>
      </c>
      <c r="AV388" s="5" t="inlineStr">
        <is>
          <t>No</t>
        </is>
      </c>
      <c r="AW388" s="5" t="inlineStr">
        <is>
          <t>No</t>
        </is>
      </c>
      <c r="AX388" s="5" t="inlineStr">
        <is>
          <t>No</t>
        </is>
      </c>
      <c r="AY388" s="5" t="inlineStr">
        <is>
          <t>Not Found</t>
        </is>
      </c>
      <c r="AZ388" s="5" t="inlineStr">
        <is>
          <t>Not Found</t>
        </is>
      </c>
      <c r="BA388" s="5" t="inlineStr">
        <is>
          <t>2026-09-17</t>
        </is>
      </c>
      <c r="BB388" s="5" t="inlineStr">
        <is>
          <t>Requires Verification</t>
        </is>
      </c>
      <c r="BC388" s="5" t="inlineStr">
        <is>
          <t>Low</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UK-000471</t>
        </is>
      </c>
      <c r="B389" s="10" t="inlineStr">
        <is>
          <t>UK-000471-01</t>
        </is>
      </c>
      <c r="C389" s="10" t="inlineStr"/>
      <c r="D389" s="10" t="inlineStr">
        <is>
          <t>F B Supermarket</t>
        </is>
      </c>
      <c r="E389" s="10" t="inlineStr">
        <is>
          <t>F B Supermarket</t>
        </is>
      </c>
      <c r="F389" s="10" t="inlineStr"/>
      <c r="G389" s="10" t="inlineStr">
        <is>
          <t>Independent Supermarket</t>
        </is>
      </c>
      <c r="H389" s="10" t="inlineStr">
        <is>
          <t>Halal / international grocery &amp; meat</t>
        </is>
      </c>
      <c r="I389" s="10" t="inlineStr">
        <is>
          <t>Independent</t>
        </is>
      </c>
      <c r="J389" s="10" t="inlineStr">
        <is>
          <t>1</t>
        </is>
      </c>
      <c r="K389" s="10" t="inlineStr"/>
      <c r="L389" s="10" t="inlineStr"/>
      <c r="M389" s="10" t="inlineStr"/>
      <c r="N389" s="10" t="inlineStr"/>
      <c r="O389" s="10" t="inlineStr">
        <is>
          <t>78-82 Milton Street</t>
        </is>
      </c>
      <c r="P389" s="10" t="inlineStr">
        <is>
          <t>Palfrey</t>
        </is>
      </c>
      <c r="Q389" s="10" t="inlineStr">
        <is>
          <t>Walsall</t>
        </is>
      </c>
      <c r="R389" s="10" t="inlineStr">
        <is>
          <t>West Midlands</t>
        </is>
      </c>
      <c r="S389" s="10" t="inlineStr">
        <is>
          <t>WS1 4JT</t>
        </is>
      </c>
      <c r="T389" s="10" t="inlineStr">
        <is>
          <t>West Midlands</t>
        </is>
      </c>
      <c r="U389" s="10" t="inlineStr">
        <is>
          <t>England</t>
        </is>
      </c>
      <c r="V389" s="10" t="inlineStr">
        <is>
          <t>01922 640177</t>
        </is>
      </c>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halal meat; groceries; exotic fruit &amp; veg; frozen foods</t>
        </is>
      </c>
      <c r="AL389" s="10" t="inlineStr"/>
      <c r="AM389" s="10" t="inlineStr">
        <is>
          <t>Independent Supermarket</t>
        </is>
      </c>
      <c r="AN389" s="10" t="inlineStr"/>
      <c r="AO389" s="10" t="inlineStr">
        <is>
          <t>Family-run halal supermarket and butcher in Palfrey (Milton Street), Walsall.</t>
        </is>
      </c>
      <c r="AP389" s="10" t="inlineStr">
        <is>
          <t>Low</t>
        </is>
      </c>
      <c r="AQ389" s="10" t="inlineStr">
        <is>
          <t>Independent retailer; Relevant category</t>
        </is>
      </c>
      <c r="AR389" s="10" t="inlineStr">
        <is>
          <t>https://www.yell.com/biz/f-b-supermarket-walsall-1579799/</t>
        </is>
      </c>
      <c r="AS389" s="10" t="inlineStr">
        <is>
          <t>https://directory.expressandstar.co.uk/company/437687065624577</t>
        </is>
      </c>
      <c r="AT389" s="10" t="inlineStr">
        <is>
          <t>2</t>
        </is>
      </c>
      <c r="AU389" s="10" t="inlineStr">
        <is>
          <t>No</t>
        </is>
      </c>
      <c r="AV389" s="10" t="inlineStr">
        <is>
          <t>No</t>
        </is>
      </c>
      <c r="AW389" s="10" t="inlineStr">
        <is>
          <t>No</t>
        </is>
      </c>
      <c r="AX389" s="10" t="inlineStr">
        <is>
          <t>No</t>
        </is>
      </c>
      <c r="AY389" s="10" t="inlineStr">
        <is>
          <t>Verified directory</t>
        </is>
      </c>
      <c r="AZ389" s="10" t="inlineStr">
        <is>
          <t>Not Found</t>
        </is>
      </c>
      <c r="BA389" s="10" t="inlineStr">
        <is>
          <t>2026-09-17</t>
        </is>
      </c>
      <c r="BB389" s="10" t="inlineStr">
        <is>
          <t>Requires Verification</t>
        </is>
      </c>
      <c r="BC389" s="10" t="inlineStr">
        <is>
          <t>Medium</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2026-09-17</t>
        </is>
      </c>
      <c r="BJ389" s="10" t="inlineStr">
        <is>
          <t>New</t>
        </is>
      </c>
      <c r="BK389" s="10" t="inlineStr">
        <is>
          <t>2026-09-17</t>
        </is>
      </c>
      <c r="BL389" s="10" t="inlineStr"/>
      <c r="BM389" s="10" t="inlineStr"/>
      <c r="BN389" s="10" t="inlineStr"/>
      <c r="BO389" s="10" t="inlineStr"/>
      <c r="BP389" s="10" t="inlineStr"/>
      <c r="BQ389" s="10" t="inlineStr"/>
    </row>
    <row r="390">
      <c r="A390" s="5" t="inlineStr">
        <is>
          <t>UK-000604</t>
        </is>
      </c>
      <c r="B390" s="5" t="inlineStr">
        <is>
          <t>UK-000604-01</t>
        </is>
      </c>
      <c r="C390" s="5" t="inlineStr"/>
      <c r="D390" s="5" t="inlineStr">
        <is>
          <t>Falcon Supermarket Ltd</t>
        </is>
      </c>
      <c r="E390" s="5" t="inlineStr">
        <is>
          <t>Falcon Supermarket</t>
        </is>
      </c>
      <c r="F390" s="5" t="inlineStr"/>
      <c r="G390" s="5" t="inlineStr">
        <is>
          <t>Independent Supermarket</t>
        </is>
      </c>
      <c r="H390" s="5" t="inlineStr">
        <is>
          <t>World-food supermarket</t>
        </is>
      </c>
      <c r="I390" s="5" t="inlineStr">
        <is>
          <t>Independent</t>
        </is>
      </c>
      <c r="J390" s="5" t="inlineStr">
        <is>
          <t>1</t>
        </is>
      </c>
      <c r="K390" s="5" t="inlineStr"/>
      <c r="L390" s="5" t="inlineStr"/>
      <c r="M390" s="5" t="inlineStr"/>
      <c r="N390" s="5" t="inlineStr"/>
      <c r="O390" s="5" t="inlineStr"/>
      <c r="P390" s="5" t="inlineStr"/>
      <c r="Q390" s="5" t="inlineStr">
        <is>
          <t>Barking</t>
        </is>
      </c>
      <c r="R390" s="5" t="inlineStr">
        <is>
          <t>Greater London</t>
        </is>
      </c>
      <c r="S390" s="5" t="inlineStr">
        <is>
          <t>IG11 8AG</t>
        </is>
      </c>
      <c r="T390" s="5" t="inlineStr">
        <is>
          <t>London</t>
        </is>
      </c>
      <c r="U390" s="5" t="inlineStr">
        <is>
          <t>England</t>
        </is>
      </c>
      <c r="V390" s="5" t="inlineStr"/>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world foods; groceries; fresh produce</t>
        </is>
      </c>
      <c r="AL390" s="5" t="inlineStr"/>
      <c r="AM390" s="5" t="inlineStr">
        <is>
          <t>Independent Supermarket</t>
        </is>
      </c>
      <c r="AN390" s="5" t="inlineStr"/>
      <c r="AO390" s="5" t="inlineStr">
        <is>
          <t>Independent supermarket in Barking (IG11) listed on 192.com. Street address and phone not in accessible snippet.</t>
        </is>
      </c>
      <c r="AP390" s="5" t="inlineStr">
        <is>
          <t>Low</t>
        </is>
      </c>
      <c r="AQ390" s="5" t="inlineStr">
        <is>
          <t>Independent retailer; Relevant category</t>
        </is>
      </c>
      <c r="AR390" s="5" t="inlineStr">
        <is>
          <t>https://www.192.com/atoz/business/barking-ig11/convenience-stores/falcon-supermarket-ltd/d207ce31292b5e7e5310b42c3d9b883c0af23641/comp/</t>
        </is>
      </c>
      <c r="AS390" s="5" t="inlineStr"/>
      <c r="AT390" s="5" t="inlineStr">
        <is>
          <t>1</t>
        </is>
      </c>
      <c r="AU390" s="5" t="inlineStr">
        <is>
          <t>No</t>
        </is>
      </c>
      <c r="AV390" s="5" t="inlineStr">
        <is>
          <t>No</t>
        </is>
      </c>
      <c r="AW390" s="5" t="inlineStr">
        <is>
          <t>No</t>
        </is>
      </c>
      <c r="AX390" s="5" t="inlineStr">
        <is>
          <t>No</t>
        </is>
      </c>
      <c r="AY390" s="5" t="inlineStr">
        <is>
          <t>Not Found</t>
        </is>
      </c>
      <c r="AZ390" s="5" t="inlineStr">
        <is>
          <t>Not Found</t>
        </is>
      </c>
      <c r="BA390" s="5" t="inlineStr">
        <is>
          <t>2026-09-17</t>
        </is>
      </c>
      <c r="BB390" s="5" t="inlineStr">
        <is>
          <t>Requires Verification</t>
        </is>
      </c>
      <c r="BC390" s="5" t="inlineStr">
        <is>
          <t>Low</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UK-000244</t>
        </is>
      </c>
      <c r="B391" s="10" t="inlineStr">
        <is>
          <t>UK-000244-01</t>
        </is>
      </c>
      <c r="C391" s="10" t="inlineStr"/>
      <c r="D391" s="10" t="inlineStr">
        <is>
          <t>Fantasy Vapez</t>
        </is>
      </c>
      <c r="E391" s="10" t="inlineStr">
        <is>
          <t>Fantasy Vapez</t>
        </is>
      </c>
      <c r="F391" s="10" t="inlineStr"/>
      <c r="G391" s="10" t="inlineStr">
        <is>
          <t>Vape Shop</t>
        </is>
      </c>
      <c r="H391" s="10" t="inlineStr">
        <is>
          <t>Vape shop</t>
        </is>
      </c>
      <c r="I391" s="10" t="inlineStr">
        <is>
          <t>Independent</t>
        </is>
      </c>
      <c r="J391" s="10" t="inlineStr">
        <is>
          <t>1</t>
        </is>
      </c>
      <c r="K391" s="10" t="inlineStr"/>
      <c r="L391" s="10" t="inlineStr"/>
      <c r="M391" s="10" t="inlineStr"/>
      <c r="N391" s="10" t="inlineStr"/>
      <c r="O391" s="10" t="inlineStr">
        <is>
          <t>4 Market Street</t>
        </is>
      </c>
      <c r="P391" s="10" t="inlineStr"/>
      <c r="Q391" s="10" t="inlineStr">
        <is>
          <t>Cleethorpes</t>
        </is>
      </c>
      <c r="R391" s="10" t="inlineStr">
        <is>
          <t>Lincolnshire</t>
        </is>
      </c>
      <c r="S391" s="10" t="inlineStr">
        <is>
          <t>DN35 8LY</t>
        </is>
      </c>
      <c r="T391" s="10" t="inlineStr">
        <is>
          <t>Yorkshire &amp; Humber</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vape hardware; e-liquids; disposables</t>
        </is>
      </c>
      <c r="AL391" s="10" t="inlineStr"/>
      <c r="AM391" s="10" t="inlineStr">
        <is>
          <t>Vape Shop</t>
        </is>
      </c>
      <c r="AN391" s="10" t="inlineStr"/>
      <c r="AO391" s="10" t="inlineStr">
        <is>
          <t>Independent vape shop on Market Street, Cleethorpes. No phone published in search results.</t>
        </is>
      </c>
      <c r="AP391" s="10" t="inlineStr">
        <is>
          <t>Medium</t>
        </is>
      </c>
      <c r="AQ391" s="10" t="inlineStr">
        <is>
          <t>Independent retailer; Core relevant category</t>
        </is>
      </c>
      <c r="AR391" s="10" t="inlineStr">
        <is>
          <t>https://cleethorpes.cylex-uk.co.uk/vape-shops/</t>
        </is>
      </c>
      <c r="AS391" s="10" t="inlineStr"/>
      <c r="AT391" s="10" t="inlineStr">
        <is>
          <t>1</t>
        </is>
      </c>
      <c r="AU391" s="10" t="inlineStr">
        <is>
          <t>No</t>
        </is>
      </c>
      <c r="AV391" s="10" t="inlineStr">
        <is>
          <t>No</t>
        </is>
      </c>
      <c r="AW391" s="10" t="inlineStr">
        <is>
          <t>No</t>
        </is>
      </c>
      <c r="AX391" s="10" t="inlineStr">
        <is>
          <t>No</t>
        </is>
      </c>
      <c r="AY391" s="10" t="inlineStr">
        <is>
          <t>Not Found</t>
        </is>
      </c>
      <c r="AZ391" s="10" t="inlineStr">
        <is>
          <t>Not Found</t>
        </is>
      </c>
      <c r="BA391" s="10" t="inlineStr">
        <is>
          <t>2026-09-17</t>
        </is>
      </c>
      <c r="BB391" s="10" t="inlineStr">
        <is>
          <t>Requires Verification</t>
        </is>
      </c>
      <c r="BC391" s="10" t="inlineStr">
        <is>
          <t>Low</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2026-09-16</t>
        </is>
      </c>
      <c r="BJ391" s="10" t="inlineStr">
        <is>
          <t>New</t>
        </is>
      </c>
      <c r="BK391" s="10" t="inlineStr">
        <is>
          <t>2026-09-17</t>
        </is>
      </c>
      <c r="BL391" s="10" t="inlineStr"/>
      <c r="BM391" s="10" t="inlineStr"/>
      <c r="BN391" s="10" t="inlineStr"/>
      <c r="BO391" s="10" t="inlineStr"/>
      <c r="BP391" s="10" t="inlineStr"/>
      <c r="BQ391" s="10" t="inlineStr"/>
    </row>
    <row r="392">
      <c r="A392" s="5" t="inlineStr">
        <is>
          <t>WY-0084</t>
        </is>
      </c>
      <c r="B392" s="5" t="inlineStr">
        <is>
          <t>WY-0084-01</t>
        </is>
      </c>
      <c r="C392" s="5" t="inlineStr"/>
      <c r="D392" s="5" t="inlineStr">
        <is>
          <t>FilFoods Filipino Store</t>
        </is>
      </c>
      <c r="E392" s="5" t="inlineStr">
        <is>
          <t>FilFoods</t>
        </is>
      </c>
      <c r="F392" s="5" t="inlineStr"/>
      <c r="G392" s="5" t="inlineStr">
        <is>
          <t>Independent Supermarket</t>
        </is>
      </c>
      <c r="H392" s="5" t="inlineStr">
        <is>
          <t>Filipino supermarket</t>
        </is>
      </c>
      <c r="I392" s="5" t="inlineStr">
        <is>
          <t>Independent</t>
        </is>
      </c>
      <c r="J392" s="5" t="inlineStr">
        <is>
          <t>1</t>
        </is>
      </c>
      <c r="K392" s="5" t="inlineStr"/>
      <c r="L392" s="5" t="inlineStr">
        <is>
          <t>https://www.facebook.com/FilFoods/</t>
        </is>
      </c>
      <c r="M392" s="5" t="inlineStr"/>
      <c r="N392" s="5" t="inlineStr"/>
      <c r="O392" s="5" t="inlineStr">
        <is>
          <t>46b Harehills Road</t>
        </is>
      </c>
      <c r="P392" s="5" t="inlineStr">
        <is>
          <t>Harehills</t>
        </is>
      </c>
      <c r="Q392" s="5" t="inlineStr">
        <is>
          <t>Leeds</t>
        </is>
      </c>
      <c r="R392" s="5" t="inlineStr">
        <is>
          <t>West Yorkshire</t>
        </is>
      </c>
      <c r="S392" s="5" t="inlineStr">
        <is>
          <t>LS8 5PB</t>
        </is>
      </c>
      <c r="T392" s="5" t="inlineStr">
        <is>
          <t>Yorkshire &amp; Humber</t>
        </is>
      </c>
      <c r="U392" s="5" t="inlineStr">
        <is>
          <t>England</t>
        </is>
      </c>
      <c r="V392" s="5" t="inlineStr">
        <is>
          <t>0113 440 1031</t>
        </is>
      </c>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Filipino groceries; frozen meat and fish; fresh produce; convenience goods; money transfer</t>
        </is>
      </c>
      <c r="AL392" s="5" t="inlineStr"/>
      <c r="AM392" s="5" t="inlineStr">
        <is>
          <t>Independent Supermarket</t>
        </is>
      </c>
      <c r="AN392" s="5" t="inlineStr"/>
      <c r="AO392" s="5" t="inlineStr">
        <is>
          <t>Only Filipino store in Yorkshire; 1,800+ product lines in-store and online; agent for LCC Smallworld money transfer; offers scheduled home delivery.</t>
        </is>
      </c>
      <c r="AP392" s="5" t="inlineStr">
        <is>
          <t>Medium</t>
        </is>
      </c>
      <c r="AQ392" s="5" t="inlineStr">
        <is>
          <t>Independent retailer; Relevant category; Social presence</t>
        </is>
      </c>
      <c r="AR392" s="5" t="inlineStr">
        <is>
          <t>https://www.yell.com/biz/filfoods-filipino-store-leeds-8549203/</t>
        </is>
      </c>
      <c r="AS392" s="5" t="inlineStr">
        <is>
          <t>https://directory.grimsbytelegraph.co.uk/company/437837462491136</t>
        </is>
      </c>
      <c r="AT392" s="5" t="inlineStr">
        <is>
          <t>3</t>
        </is>
      </c>
      <c r="AU392" s="5" t="inlineStr">
        <is>
          <t>No</t>
        </is>
      </c>
      <c r="AV392" s="5" t="inlineStr">
        <is>
          <t>No</t>
        </is>
      </c>
      <c r="AW392" s="5" t="inlineStr">
        <is>
          <t>No</t>
        </is>
      </c>
      <c r="AX392" s="5" t="inlineStr">
        <is>
          <t>No</t>
        </is>
      </c>
      <c r="AY392" s="5" t="inlineStr">
        <is>
          <t>Verified directory</t>
        </is>
      </c>
      <c r="AZ392" s="5" t="inlineStr">
        <is>
          <t>Not Found</t>
        </is>
      </c>
      <c r="BA392" s="5" t="inlineStr">
        <is>
          <t>2026-09-17</t>
        </is>
      </c>
      <c r="BB392" s="5" t="inlineStr">
        <is>
          <t>Requires Verification</t>
        </is>
      </c>
      <c r="BC392" s="5" t="inlineStr">
        <is>
          <t>Medium</t>
        </is>
      </c>
      <c r="BD392" s="5" t="inlineStr"/>
      <c r="BE392" s="5" t="inlineStr">
        <is>
          <t>Business (B2B)</t>
        </is>
      </c>
      <c r="BF392" s="5" t="inlineStr">
        <is>
          <t>Legitimate interest (B2B) - assess per campaign; PECR: corporate subscribers</t>
        </is>
      </c>
      <c r="BG392" s="5" t="inlineStr"/>
      <c r="BH392" s="5" t="inlineStr">
        <is>
          <t>No</t>
        </is>
      </c>
      <c r="BI392" s="5" t="inlineStr">
        <is>
          <t>2026-09-16</t>
        </is>
      </c>
      <c r="BJ392" s="5" t="inlineStr">
        <is>
          <t>New</t>
        </is>
      </c>
      <c r="BK392" s="5" t="inlineStr">
        <is>
          <t>2026-09-17</t>
        </is>
      </c>
      <c r="BL392" s="5" t="inlineStr"/>
      <c r="BM392" s="5" t="inlineStr"/>
      <c r="BN392" s="5" t="inlineStr"/>
      <c r="BO392" s="5" t="inlineStr"/>
      <c r="BP392" s="5" t="inlineStr"/>
      <c r="BQ392" s="5" t="inlineStr"/>
    </row>
    <row r="393">
      <c r="A393" s="10" t="inlineStr">
        <is>
          <t>UK-000245</t>
        </is>
      </c>
      <c r="B393" s="10" t="inlineStr">
        <is>
          <t>UK-000245-01</t>
        </is>
      </c>
      <c r="C393" s="10" t="inlineStr"/>
      <c r="D393" s="10" t="inlineStr">
        <is>
          <t>First Choice Off Licence</t>
        </is>
      </c>
      <c r="E393" s="10" t="inlineStr">
        <is>
          <t>First Choice Off Licence</t>
        </is>
      </c>
      <c r="F393" s="10" t="inlineStr"/>
      <c r="G393" s="10" t="inlineStr">
        <is>
          <t>Off-Licence</t>
        </is>
      </c>
      <c r="H393" s="10" t="inlineStr">
        <is>
          <t>Off-licence</t>
        </is>
      </c>
      <c r="I393" s="10" t="inlineStr">
        <is>
          <t>Independent</t>
        </is>
      </c>
      <c r="J393" s="10" t="inlineStr">
        <is>
          <t>1</t>
        </is>
      </c>
      <c r="K393" s="10" t="inlineStr"/>
      <c r="L393" s="10" t="inlineStr">
        <is>
          <t>https://www.facebook.com/FirstChoiceOffLicence/</t>
        </is>
      </c>
      <c r="M393" s="10" t="inlineStr"/>
      <c r="N393" s="10" t="inlineStr"/>
      <c r="O393" s="10" t="inlineStr"/>
      <c r="P393" s="10" t="inlineStr"/>
      <c r="Q393" s="10" t="inlineStr">
        <is>
          <t>Sheffield</t>
        </is>
      </c>
      <c r="R393" s="10" t="inlineStr">
        <is>
          <t>South Yorkshire</t>
        </is>
      </c>
      <c r="S393" s="10" t="inlineStr"/>
      <c r="T393" s="10" t="inlineStr">
        <is>
          <t>Yorkshire &amp; Humber</t>
        </is>
      </c>
      <c r="U393" s="10" t="inlineStr">
        <is>
          <t>England</t>
        </is>
      </c>
      <c r="V393" s="10" t="inlineStr"/>
      <c r="W393" s="10" t="inlineStr"/>
      <c r="X393" s="10" t="inlineStr"/>
      <c r="Y393" s="10" t="inlineStr"/>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beer; cider; wine; spirits</t>
        </is>
      </c>
      <c r="AL393" s="10" t="inlineStr"/>
      <c r="AM393" s="10" t="inlineStr">
        <is>
          <t>Off-Licence</t>
        </is>
      </c>
      <c r="AN393" s="10" t="inlineStr"/>
      <c r="AO393" s="10" t="inlineStr">
        <is>
          <t>Small independent off-licence in Sheffield stocking beer, cider, wine and spirits. Facebook page found; street address/postcode not captured.</t>
        </is>
      </c>
      <c r="AP393" s="10" t="inlineStr">
        <is>
          <t>Medium</t>
        </is>
      </c>
      <c r="AQ393" s="10" t="inlineStr">
        <is>
          <t>Independent retailer; Relevant category; Social presence</t>
        </is>
      </c>
      <c r="AR393" s="10" t="inlineStr">
        <is>
          <t>https://www.facebook.com/FirstChoiceOffLicence/</t>
        </is>
      </c>
      <c r="AS393" s="10" t="inlineStr"/>
      <c r="AT393" s="10" t="inlineStr">
        <is>
          <t>1</t>
        </is>
      </c>
      <c r="AU393" s="10" t="inlineStr">
        <is>
          <t>No</t>
        </is>
      </c>
      <c r="AV393" s="10" t="inlineStr">
        <is>
          <t>No</t>
        </is>
      </c>
      <c r="AW393" s="10" t="inlineStr">
        <is>
          <t>No</t>
        </is>
      </c>
      <c r="AX393" s="10" t="inlineStr">
        <is>
          <t>No</t>
        </is>
      </c>
      <c r="AY393" s="10" t="inlineStr">
        <is>
          <t>Not Found</t>
        </is>
      </c>
      <c r="AZ393" s="10" t="inlineStr">
        <is>
          <t>Not Found</t>
        </is>
      </c>
      <c r="BA393" s="10" t="inlineStr">
        <is>
          <t>2026-09-17</t>
        </is>
      </c>
      <c r="BB393" s="10" t="inlineStr">
        <is>
          <t>Requires Verification</t>
        </is>
      </c>
      <c r="BC393" s="10" t="inlineStr">
        <is>
          <t>Low</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2026-09-16</t>
        </is>
      </c>
      <c r="BJ393" s="10" t="inlineStr">
        <is>
          <t>New</t>
        </is>
      </c>
      <c r="BK393" s="10" t="inlineStr">
        <is>
          <t>2026-09-17</t>
        </is>
      </c>
      <c r="BL393" s="10" t="inlineStr"/>
      <c r="BM393" s="10" t="inlineStr"/>
      <c r="BN393" s="10" t="inlineStr"/>
      <c r="BO393" s="10" t="inlineStr"/>
      <c r="BP393" s="10" t="inlineStr"/>
      <c r="BQ393" s="10" t="inlineStr"/>
    </row>
    <row r="394">
      <c r="A394" s="5" t="inlineStr">
        <is>
          <t>UK-000605</t>
        </is>
      </c>
      <c r="B394" s="5" t="inlineStr">
        <is>
          <t>UK-000605-01</t>
        </is>
      </c>
      <c r="C394" s="5" t="inlineStr"/>
      <c r="D394" s="5" t="inlineStr">
        <is>
          <t>First Gear Convenience Store</t>
        </is>
      </c>
      <c r="E394" s="5" t="inlineStr">
        <is>
          <t>First Gear</t>
        </is>
      </c>
      <c r="F394" s="5" t="inlineStr"/>
      <c r="G394" s="5" t="inlineStr">
        <is>
          <t>Convenience Store</t>
        </is>
      </c>
      <c r="H394" s="5" t="inlineStr"/>
      <c r="I394" s="5" t="inlineStr">
        <is>
          <t>Independent</t>
        </is>
      </c>
      <c r="J394" s="5" t="inlineStr">
        <is>
          <t>1</t>
        </is>
      </c>
      <c r="K394" s="5" t="inlineStr"/>
      <c r="L394" s="5" t="inlineStr"/>
      <c r="M394" s="5" t="inlineStr"/>
      <c r="N394" s="5" t="inlineStr"/>
      <c r="O394" s="5" t="inlineStr">
        <is>
          <t>49 Brixton Station Road</t>
        </is>
      </c>
      <c r="P394" s="5" t="inlineStr"/>
      <c r="Q394" s="5" t="inlineStr">
        <is>
          <t>London</t>
        </is>
      </c>
      <c r="R394" s="5" t="inlineStr">
        <is>
          <t>Greater London</t>
        </is>
      </c>
      <c r="S394" s="5" t="inlineStr">
        <is>
          <t>SW9 8PQ</t>
        </is>
      </c>
      <c r="T394" s="5" t="inlineStr">
        <is>
          <t>London</t>
        </is>
      </c>
      <c r="U394" s="5" t="inlineStr">
        <is>
          <t>England</t>
        </is>
      </c>
      <c r="V394" s="5" t="inlineStr">
        <is>
          <t>020 3633 3986</t>
        </is>
      </c>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grocery; off-licence; convenience</t>
        </is>
      </c>
      <c r="AL394" s="5" t="inlineStr"/>
      <c r="AM394" s="5" t="inlineStr">
        <is>
          <t>Convenience Store</t>
        </is>
      </c>
      <c r="AN394" s="5" t="inlineStr"/>
      <c r="AO394" s="5" t="inlineStr">
        <is>
          <t>Independent convenience store on Brixton Station Road. Address and phone from Yell directory.</t>
        </is>
      </c>
      <c r="AP394" s="5" t="inlineStr">
        <is>
          <t>Low</t>
        </is>
      </c>
      <c r="AQ394" s="5" t="inlineStr">
        <is>
          <t>Independent retailer; Relevant category</t>
        </is>
      </c>
      <c r="AR394" s="5" t="inlineStr">
        <is>
          <t>https://www.yell.com/s/off+licences-sw9.html</t>
        </is>
      </c>
      <c r="AS394" s="5" t="inlineStr"/>
      <c r="AT394" s="5" t="inlineStr">
        <is>
          <t>1</t>
        </is>
      </c>
      <c r="AU394" s="5" t="inlineStr">
        <is>
          <t>No</t>
        </is>
      </c>
      <c r="AV394" s="5" t="inlineStr">
        <is>
          <t>No</t>
        </is>
      </c>
      <c r="AW394" s="5" t="inlineStr">
        <is>
          <t>No</t>
        </is>
      </c>
      <c r="AX394" s="5" t="inlineStr">
        <is>
          <t>No</t>
        </is>
      </c>
      <c r="AY394" s="5" t="inlineStr">
        <is>
          <t>Verified directory</t>
        </is>
      </c>
      <c r="AZ394" s="5" t="inlineStr">
        <is>
          <t>Not Found</t>
        </is>
      </c>
      <c r="BA394" s="5" t="inlineStr">
        <is>
          <t>2026-09-17</t>
        </is>
      </c>
      <c r="BB394" s="5" t="inlineStr">
        <is>
          <t>Requires Verification</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2026-09-17</t>
        </is>
      </c>
      <c r="BJ394" s="5" t="inlineStr">
        <is>
          <t>New</t>
        </is>
      </c>
      <c r="BK394" s="5" t="inlineStr">
        <is>
          <t>2026-09-17</t>
        </is>
      </c>
      <c r="BL394" s="5" t="inlineStr"/>
      <c r="BM394" s="5" t="inlineStr"/>
      <c r="BN394" s="5" t="inlineStr"/>
      <c r="BO394" s="5" t="inlineStr"/>
      <c r="BP394" s="5" t="inlineStr"/>
      <c r="BQ394" s="5" t="inlineStr"/>
    </row>
    <row r="395">
      <c r="A395" s="10" t="inlineStr">
        <is>
          <t>UK-000246</t>
        </is>
      </c>
      <c r="B395" s="10" t="inlineStr">
        <is>
          <t>UK-000246-01</t>
        </is>
      </c>
      <c r="C395" s="10" t="inlineStr"/>
      <c r="D395" s="10" t="inlineStr">
        <is>
          <t>Flemingate News</t>
        </is>
      </c>
      <c r="E395" s="10" t="inlineStr">
        <is>
          <t>Flemingate News</t>
        </is>
      </c>
      <c r="F395" s="10" t="inlineStr"/>
      <c r="G395" s="10" t="inlineStr">
        <is>
          <t>Newsagent</t>
        </is>
      </c>
      <c r="H395" s="10" t="inlineStr">
        <is>
          <t>Newsagent</t>
        </is>
      </c>
      <c r="I395" s="10" t="inlineStr">
        <is>
          <t>Independent</t>
        </is>
      </c>
      <c r="J395" s="10" t="inlineStr">
        <is>
          <t>1</t>
        </is>
      </c>
      <c r="K395" s="10" t="inlineStr"/>
      <c r="L395" s="10" t="inlineStr"/>
      <c r="M395" s="10" t="inlineStr"/>
      <c r="N395" s="10" t="inlineStr"/>
      <c r="O395" s="10" t="inlineStr">
        <is>
          <t>83 Flemingate</t>
        </is>
      </c>
      <c r="P395" s="10" t="inlineStr"/>
      <c r="Q395" s="10" t="inlineStr">
        <is>
          <t>Beverley</t>
        </is>
      </c>
      <c r="R395" s="10" t="inlineStr">
        <is>
          <t>East Riding of Yorkshire</t>
        </is>
      </c>
      <c r="S395" s="10" t="inlineStr">
        <is>
          <t>HU17 0NZ</t>
        </is>
      </c>
      <c r="T395" s="10" t="inlineStr">
        <is>
          <t>Yorkshire &amp; Humber</t>
        </is>
      </c>
      <c r="U395" s="10" t="inlineStr">
        <is>
          <t>England</t>
        </is>
      </c>
      <c r="V395" s="10" t="inlineStr">
        <is>
          <t>01482 881429</t>
        </is>
      </c>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newspapers; magazines; confectionery; convenience</t>
        </is>
      </c>
      <c r="AL395" s="10" t="inlineStr"/>
      <c r="AM395" s="10" t="inlineStr">
        <is>
          <t>Newsagent</t>
        </is>
      </c>
      <c r="AN395" s="10" t="inlineStr"/>
      <c r="AO395" s="10" t="inlineStr">
        <is>
          <t>Independent newsagent, 83 Flemingate, Beverley HU17 0NZ.</t>
        </is>
      </c>
      <c r="AP395" s="10" t="inlineStr">
        <is>
          <t>Low</t>
        </is>
      </c>
      <c r="AQ395" s="10" t="inlineStr">
        <is>
          <t>Independent retailer; Relevant category</t>
        </is>
      </c>
      <c r="AR395" s="10" t="inlineStr">
        <is>
          <t>https://beverley.cylex-uk.co.uk/newsagents/</t>
        </is>
      </c>
      <c r="AS395" s="10" t="inlineStr"/>
      <c r="AT395" s="10" t="inlineStr">
        <is>
          <t>1</t>
        </is>
      </c>
      <c r="AU395" s="10" t="inlineStr">
        <is>
          <t>No</t>
        </is>
      </c>
      <c r="AV395" s="10" t="inlineStr">
        <is>
          <t>No</t>
        </is>
      </c>
      <c r="AW395" s="10" t="inlineStr">
        <is>
          <t>No</t>
        </is>
      </c>
      <c r="AX395" s="10" t="inlineStr">
        <is>
          <t>No</t>
        </is>
      </c>
      <c r="AY395" s="10" t="inlineStr">
        <is>
          <t>Verified directory</t>
        </is>
      </c>
      <c r="AZ395" s="10" t="inlineStr">
        <is>
          <t>Not Found</t>
        </is>
      </c>
      <c r="BA395" s="10" t="inlineStr">
        <is>
          <t>2026-09-17</t>
        </is>
      </c>
      <c r="BB395" s="10" t="inlineStr">
        <is>
          <t>Requires Verification</t>
        </is>
      </c>
      <c r="BC395" s="10" t="inlineStr">
        <is>
          <t>Medium</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2026-09-16</t>
        </is>
      </c>
      <c r="BJ395" s="10" t="inlineStr">
        <is>
          <t>New</t>
        </is>
      </c>
      <c r="BK395" s="10" t="inlineStr">
        <is>
          <t>2026-09-17</t>
        </is>
      </c>
      <c r="BL395" s="10" t="inlineStr"/>
      <c r="BM395" s="10" t="inlineStr"/>
      <c r="BN395" s="10" t="inlineStr"/>
      <c r="BO395" s="10" t="inlineStr"/>
      <c r="BP395" s="10" t="inlineStr"/>
      <c r="BQ395" s="10" t="inlineStr"/>
    </row>
    <row r="396">
      <c r="A396" s="5" t="inlineStr">
        <is>
          <t>UK-000247</t>
        </is>
      </c>
      <c r="B396" s="5" t="inlineStr">
        <is>
          <t>UK-000247-01</t>
        </is>
      </c>
      <c r="C396" s="5" t="inlineStr"/>
      <c r="D396" s="5" t="inlineStr">
        <is>
          <t>FonFix &amp; Vape Shop</t>
        </is>
      </c>
      <c r="E396" s="5" t="inlineStr">
        <is>
          <t>FonFix &amp; Vape Shop</t>
        </is>
      </c>
      <c r="F396" s="5" t="inlineStr"/>
      <c r="G396" s="5" t="inlineStr">
        <is>
          <t>Vape Shop</t>
        </is>
      </c>
      <c r="H396" s="5" t="inlineStr">
        <is>
          <t>Phone repair and vape shop</t>
        </is>
      </c>
      <c r="I396" s="5" t="inlineStr">
        <is>
          <t>Independent</t>
        </is>
      </c>
      <c r="J396" s="5" t="inlineStr">
        <is>
          <t>1</t>
        </is>
      </c>
      <c r="K396" s="5" t="inlineStr"/>
      <c r="L396" s="5" t="inlineStr">
        <is>
          <t>https://www.facebook.com/p/FonFix-Vape-Shop-100067673350065/</t>
        </is>
      </c>
      <c r="M396" s="5" t="inlineStr"/>
      <c r="N396" s="5" t="inlineStr"/>
      <c r="O396" s="5" t="inlineStr">
        <is>
          <t>217 Freeman Street</t>
        </is>
      </c>
      <c r="P396" s="5" t="inlineStr"/>
      <c r="Q396" s="5" t="inlineStr">
        <is>
          <t>Grimsby</t>
        </is>
      </c>
      <c r="R396" s="5" t="inlineStr">
        <is>
          <t>Lincolnshire</t>
        </is>
      </c>
      <c r="S396" s="5" t="inlineStr"/>
      <c r="T396" s="5" t="inlineStr">
        <is>
          <t>Yorkshire &amp; Humber</t>
        </is>
      </c>
      <c r="U396" s="5" t="inlineStr">
        <is>
          <t>England</t>
        </is>
      </c>
      <c r="V396" s="5" t="inlineStr">
        <is>
          <t>07404 435088</t>
        </is>
      </c>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vape hardware; e-liquids; phone accessories</t>
        </is>
      </c>
      <c r="AL396" s="5" t="inlineStr"/>
      <c r="AM396" s="5" t="inlineStr">
        <is>
          <t>Vape Shop</t>
        </is>
      </c>
      <c r="AN396" s="5" t="inlineStr"/>
      <c r="AO396" s="5" t="inlineStr">
        <is>
          <t>Combined phone-repair and vape shop on Freeman Street. Postcode incomplete in sources (DN32 area).</t>
        </is>
      </c>
      <c r="AP396" s="5" t="inlineStr">
        <is>
          <t>Medium</t>
        </is>
      </c>
      <c r="AQ396" s="5" t="inlineStr">
        <is>
          <t>Independent retailer; Core relevant category; Social presence</t>
        </is>
      </c>
      <c r="AR396" s="5" t="inlineStr">
        <is>
          <t>https://www.facebook.com/p/FonFix-Vape-Shop-100067673350065/</t>
        </is>
      </c>
      <c r="AS396" s="5" t="inlineStr"/>
      <c r="AT396" s="5" t="inlineStr">
        <is>
          <t>1</t>
        </is>
      </c>
      <c r="AU396" s="5" t="inlineStr">
        <is>
          <t>No</t>
        </is>
      </c>
      <c r="AV396" s="5" t="inlineStr">
        <is>
          <t>No</t>
        </is>
      </c>
      <c r="AW396" s="5" t="inlineStr">
        <is>
          <t>No</t>
        </is>
      </c>
      <c r="AX396" s="5" t="inlineStr">
        <is>
          <t>No</t>
        </is>
      </c>
      <c r="AY396" s="5" t="inlineStr">
        <is>
          <t>Verified directory</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2026-09-16</t>
        </is>
      </c>
      <c r="BJ396" s="5" t="inlineStr">
        <is>
          <t>New</t>
        </is>
      </c>
      <c r="BK396" s="5" t="inlineStr">
        <is>
          <t>2026-09-17</t>
        </is>
      </c>
      <c r="BL396" s="5" t="inlineStr"/>
      <c r="BM396" s="5" t="inlineStr"/>
      <c r="BN396" s="5" t="inlineStr"/>
      <c r="BO396" s="5" t="inlineStr"/>
      <c r="BP396" s="5" t="inlineStr"/>
      <c r="BQ396" s="5" t="inlineStr"/>
    </row>
    <row r="397">
      <c r="A397" s="10" t="inlineStr">
        <is>
          <t>UK-000248</t>
        </is>
      </c>
      <c r="B397" s="10" t="inlineStr">
        <is>
          <t>UK-000248-01</t>
        </is>
      </c>
      <c r="C397" s="10" t="inlineStr"/>
      <c r="D397" s="10" t="inlineStr">
        <is>
          <t>Food Plus (Babylon Supermarket 7)</t>
        </is>
      </c>
      <c r="E397" s="10" t="inlineStr">
        <is>
          <t>Food Plus</t>
        </is>
      </c>
      <c r="F397" s="10" t="inlineStr"/>
      <c r="G397" s="10" t="inlineStr">
        <is>
          <t>Independent Supermarket</t>
        </is>
      </c>
      <c r="H397" s="10" t="inlineStr">
        <is>
          <t>Polish / world foods store</t>
        </is>
      </c>
      <c r="I397" s="10" t="inlineStr">
        <is>
          <t>Independent</t>
        </is>
      </c>
      <c r="J397" s="10" t="inlineStr">
        <is>
          <t>1</t>
        </is>
      </c>
      <c r="K397" s="10" t="inlineStr"/>
      <c r="L397" s="10" t="inlineStr"/>
      <c r="M397" s="10" t="inlineStr"/>
      <c r="N397" s="10" t="inlineStr"/>
      <c r="O397" s="10" t="inlineStr"/>
      <c r="P397" s="10" t="inlineStr"/>
      <c r="Q397" s="10" t="inlineStr">
        <is>
          <t>Kingston upon Hull</t>
        </is>
      </c>
      <c r="R397" s="10" t="inlineStr">
        <is>
          <t>East Riding of Yorkshire</t>
        </is>
      </c>
      <c r="S397" s="10" t="inlineStr">
        <is>
          <t>HU3 4BJ</t>
        </is>
      </c>
      <c r="T397" s="10" t="inlineStr">
        <is>
          <t>Yorkshire &amp; Humber</t>
        </is>
      </c>
      <c r="U397" s="10" t="inlineStr">
        <is>
          <t>England</t>
        </is>
      </c>
      <c r="V397" s="10" t="inlineStr"/>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Polish foods; world groceries</t>
        </is>
      </c>
      <c r="AL397" s="10" t="inlineStr"/>
      <c r="AM397" s="10" t="inlineStr">
        <is>
          <t>Independent Supermarket</t>
        </is>
      </c>
      <c r="AN397" s="10" t="inlineStr"/>
      <c r="AO397" s="10" t="inlineStr">
        <is>
          <t>Polish grocery store (Food Plus / Babylon Supermarket 7), HU3 4BJ, Hull. No street address/phone in search results.</t>
        </is>
      </c>
      <c r="AP397" s="10" t="inlineStr">
        <is>
          <t>Low</t>
        </is>
      </c>
      <c r="AQ397" s="10" t="inlineStr">
        <is>
          <t>Independent retailer; Relevant category</t>
        </is>
      </c>
      <c r="AR397" s="10" t="inlineStr">
        <is>
          <t>https://www.foodplus.eu/en/products/food-plus-babylon-supermarket-7-hu3-4bj-kingston-upon-hull</t>
        </is>
      </c>
      <c r="AS397" s="10" t="inlineStr"/>
      <c r="AT397" s="10" t="inlineStr">
        <is>
          <t>1</t>
        </is>
      </c>
      <c r="AU397" s="10" t="inlineStr">
        <is>
          <t>No</t>
        </is>
      </c>
      <c r="AV397" s="10" t="inlineStr">
        <is>
          <t>No</t>
        </is>
      </c>
      <c r="AW397" s="10" t="inlineStr">
        <is>
          <t>No</t>
        </is>
      </c>
      <c r="AX397" s="10" t="inlineStr">
        <is>
          <t>No</t>
        </is>
      </c>
      <c r="AY397" s="10" t="inlineStr">
        <is>
          <t>Not Found</t>
        </is>
      </c>
      <c r="AZ397" s="10" t="inlineStr">
        <is>
          <t>Not Found</t>
        </is>
      </c>
      <c r="BA397" s="10" t="inlineStr">
        <is>
          <t>2026-09-17</t>
        </is>
      </c>
      <c r="BB397" s="10" t="inlineStr">
        <is>
          <t>Requires Verification</t>
        </is>
      </c>
      <c r="BC397" s="10" t="inlineStr">
        <is>
          <t>Low</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2026-09-16</t>
        </is>
      </c>
      <c r="BJ397" s="10" t="inlineStr">
        <is>
          <t>New</t>
        </is>
      </c>
      <c r="BK397" s="10" t="inlineStr">
        <is>
          <t>2026-09-17</t>
        </is>
      </c>
      <c r="BL397" s="10" t="inlineStr"/>
      <c r="BM397" s="10" t="inlineStr"/>
      <c r="BN397" s="10" t="inlineStr"/>
      <c r="BO397" s="10" t="inlineStr"/>
      <c r="BP397" s="10" t="inlineStr"/>
      <c r="BQ397" s="10" t="inlineStr"/>
    </row>
    <row r="398">
      <c r="A398" s="5" t="inlineStr">
        <is>
          <t>UK-000775</t>
        </is>
      </c>
      <c r="B398" s="5" t="inlineStr">
        <is>
          <t>UK-000775-01</t>
        </is>
      </c>
      <c r="C398" s="5" t="inlineStr"/>
      <c r="D398" s="5" t="inlineStr">
        <is>
          <t>Food World</t>
        </is>
      </c>
      <c r="E398" s="5" t="inlineStr">
        <is>
          <t>Food World</t>
        </is>
      </c>
      <c r="F398" s="5" t="inlineStr"/>
      <c r="G398" s="5" t="inlineStr">
        <is>
          <t>Independent Supermarket</t>
        </is>
      </c>
      <c r="H398" s="5" t="inlineStr">
        <is>
          <t>World-food / grocery store</t>
        </is>
      </c>
      <c r="I398" s="5" t="inlineStr">
        <is>
          <t>Independent</t>
        </is>
      </c>
      <c r="J398" s="5" t="inlineStr">
        <is>
          <t>1</t>
        </is>
      </c>
      <c r="K398" s="5" t="inlineStr"/>
      <c r="L398" s="5" t="inlineStr"/>
      <c r="M398" s="5" t="inlineStr"/>
      <c r="N398" s="5" t="inlineStr"/>
      <c r="O398" s="5" t="inlineStr">
        <is>
          <t>165 Whitefield Road</t>
        </is>
      </c>
      <c r="P398" s="5" t="inlineStr">
        <is>
          <t>Everton</t>
        </is>
      </c>
      <c r="Q398" s="5" t="inlineStr">
        <is>
          <t>Liverpool</t>
        </is>
      </c>
      <c r="R398" s="5" t="inlineStr">
        <is>
          <t>Merseyside</t>
        </is>
      </c>
      <c r="S398" s="5" t="inlineStr">
        <is>
          <t>L6 5DB</t>
        </is>
      </c>
      <c r="T398" s="5" t="inlineStr">
        <is>
          <t>North West</t>
        </is>
      </c>
      <c r="U398" s="5" t="inlineStr">
        <is>
          <t>England</t>
        </is>
      </c>
      <c r="V398" s="5" t="inlineStr"/>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international groceries; world food; convenience groceries</t>
        </is>
      </c>
      <c r="AL398" s="5" t="inlineStr"/>
      <c r="AM398" s="5" t="inlineStr">
        <is>
          <t>Independent Supermarket</t>
        </is>
      </c>
      <c r="AN398" s="5" t="inlineStr"/>
      <c r="AO398" s="5" t="inlineStr">
        <is>
          <t>Independent grocery / world-food supermarket on Whitefield Road (L6).</t>
        </is>
      </c>
      <c r="AP398" s="5" t="inlineStr">
        <is>
          <t>Low</t>
        </is>
      </c>
      <c r="AQ398" s="5" t="inlineStr">
        <is>
          <t>Independent retailer; Relevant category</t>
        </is>
      </c>
      <c r="AR398" s="5" t="inlineStr">
        <is>
          <t>https://www.yell.com/biz/foodworld-liverpool-7634386/</t>
        </is>
      </c>
      <c r="AS398" s="5" t="inlineStr"/>
      <c r="AT398" s="5" t="inlineStr">
        <is>
          <t>1</t>
        </is>
      </c>
      <c r="AU398" s="5" t="inlineStr">
        <is>
          <t>No</t>
        </is>
      </c>
      <c r="AV398" s="5" t="inlineStr">
        <is>
          <t>No</t>
        </is>
      </c>
      <c r="AW398" s="5" t="inlineStr">
        <is>
          <t>No</t>
        </is>
      </c>
      <c r="AX398" s="5" t="inlineStr">
        <is>
          <t>No</t>
        </is>
      </c>
      <c r="AY398" s="5" t="inlineStr">
        <is>
          <t>Not Found</t>
        </is>
      </c>
      <c r="AZ398" s="5" t="inlineStr">
        <is>
          <t>Not Found</t>
        </is>
      </c>
      <c r="BA398" s="5" t="inlineStr">
        <is>
          <t>2026-09-17</t>
        </is>
      </c>
      <c r="BB398" s="5" t="inlineStr">
        <is>
          <t>Requires Verification</t>
        </is>
      </c>
      <c r="BC398" s="5" t="inlineStr">
        <is>
          <t>Low</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UK-000776</t>
        </is>
      </c>
      <c r="B399" s="10" t="inlineStr">
        <is>
          <t>UK-000776-01</t>
        </is>
      </c>
      <c r="C399" s="10" t="inlineStr"/>
      <c r="D399" s="10" t="inlineStr">
        <is>
          <t>Foodasia Hypermart</t>
        </is>
      </c>
      <c r="E399" s="10" t="inlineStr">
        <is>
          <t>Foodasia</t>
        </is>
      </c>
      <c r="F399" s="10" t="inlineStr"/>
      <c r="G399" s="10" t="inlineStr">
        <is>
          <t>Independent Supermarket</t>
        </is>
      </c>
      <c r="H399" s="10" t="inlineStr">
        <is>
          <t>World foods superstore</t>
        </is>
      </c>
      <c r="I399" s="10" t="inlineStr">
        <is>
          <t>Independent</t>
        </is>
      </c>
      <c r="J399" s="10" t="inlineStr">
        <is>
          <t>1</t>
        </is>
      </c>
      <c r="K399" s="10" t="inlineStr">
        <is>
          <t>https://foodasiaonline.com/</t>
        </is>
      </c>
      <c r="L399" s="10" t="inlineStr">
        <is>
          <t>https://www.facebook.com/foodasiaglasgow/</t>
        </is>
      </c>
      <c r="M399" s="10" t="inlineStr">
        <is>
          <t>https://www.instagram.com/foodasiascotland/</t>
        </is>
      </c>
      <c r="N399" s="10" t="inlineStr"/>
      <c r="O399" s="10" t="inlineStr">
        <is>
          <t>101 Centre Street</t>
        </is>
      </c>
      <c r="P399" s="10" t="inlineStr">
        <is>
          <t>Tradeston</t>
        </is>
      </c>
      <c r="Q399" s="10" t="inlineStr">
        <is>
          <t>Glasgow</t>
        </is>
      </c>
      <c r="R399" s="10" t="inlineStr">
        <is>
          <t>Glasgow City</t>
        </is>
      </c>
      <c r="S399" s="10" t="inlineStr">
        <is>
          <t>G5 8BU</t>
        </is>
      </c>
      <c r="T399" s="10" t="inlineStr">
        <is>
          <t>Scotland</t>
        </is>
      </c>
      <c r="U399" s="10" t="inlineStr">
        <is>
          <t>Scotland</t>
        </is>
      </c>
      <c r="V399" s="10" t="inlineStr"/>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world foods; halal; fresh produce; grocery; frozen</t>
        </is>
      </c>
      <c r="AL399" s="10" t="inlineStr"/>
      <c r="AM399" s="10" t="inlineStr">
        <is>
          <t>Independent Supermarket</t>
        </is>
      </c>
      <c r="AN399" s="10" t="inlineStr">
        <is>
          <t>Describes itself as a pioneering UK world-foods brand and Scotland's biggest world foods superstore</t>
        </is>
      </c>
      <c r="AO399" s="10" t="inlineStr">
        <is>
          <t>Large independent world-foods superstore at 101 Centre Street (G5), just south of the city centre. Own website states a phone number is 'coming soon'; an older directory number appears tied to another location, so phone left blank to avoid error.</t>
        </is>
      </c>
      <c r="AP399" s="10" t="inlineStr">
        <is>
          <t>Medium</t>
        </is>
      </c>
      <c r="AQ399" s="10" t="inlineStr">
        <is>
          <t>Independent retailer; Relevant category; Active website; Social presence</t>
        </is>
      </c>
      <c r="AR399" s="10" t="inlineStr">
        <is>
          <t>https://foodasiaonline.com/</t>
        </is>
      </c>
      <c r="AS399" s="10" t="inlineStr">
        <is>
          <t>https://ratings.food.gov.uk/business/1206701/foodasia-supermarket-glasgow</t>
        </is>
      </c>
      <c r="AT399" s="10" t="inlineStr">
        <is>
          <t>2</t>
        </is>
      </c>
      <c r="AU399" s="10" t="inlineStr">
        <is>
          <t>No</t>
        </is>
      </c>
      <c r="AV399" s="10" t="inlineStr">
        <is>
          <t>No</t>
        </is>
      </c>
      <c r="AW399" s="10" t="inlineStr">
        <is>
          <t>No</t>
        </is>
      </c>
      <c r="AX399" s="10" t="inlineStr">
        <is>
          <t>No</t>
        </is>
      </c>
      <c r="AY399" s="10" t="inlineStr">
        <is>
          <t>Not Found</t>
        </is>
      </c>
      <c r="AZ399" s="10" t="inlineStr">
        <is>
          <t>Website Found</t>
        </is>
      </c>
      <c r="BA399" s="10" t="inlineStr">
        <is>
          <t>2026-09-17</t>
        </is>
      </c>
      <c r="BB399" s="10" t="inlineStr">
        <is>
          <t>Requires Verification</t>
        </is>
      </c>
      <c r="BC399" s="10" t="inlineStr">
        <is>
          <t>Medium</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WY-0085</t>
        </is>
      </c>
      <c r="B400" s="5" t="inlineStr">
        <is>
          <t>WY-0085-01</t>
        </is>
      </c>
      <c r="C400" s="5" t="inlineStr"/>
      <c r="D400" s="5" t="inlineStr">
        <is>
          <t>Forever Vapes</t>
        </is>
      </c>
      <c r="E400" s="5" t="inlineStr">
        <is>
          <t>Forever Vapes</t>
        </is>
      </c>
      <c r="F400" s="5" t="inlineStr">
        <is>
          <t>Forever Vapes Ltd</t>
        </is>
      </c>
      <c r="G400" s="5" t="inlineStr">
        <is>
          <t>Vape Shop</t>
        </is>
      </c>
      <c r="H400" s="5" t="inlineStr">
        <is>
          <t>Vape retailer</t>
        </is>
      </c>
      <c r="I400" s="5" t="inlineStr">
        <is>
          <t>Independent</t>
        </is>
      </c>
      <c r="J400" s="5" t="inlineStr">
        <is>
          <t>1</t>
        </is>
      </c>
      <c r="K400" s="5" t="inlineStr"/>
      <c r="L400" s="5" t="inlineStr"/>
      <c r="M400" s="5" t="inlineStr"/>
      <c r="N400" s="5" t="inlineStr"/>
      <c r="O400" s="5" t="inlineStr">
        <is>
          <t>Market Street</t>
        </is>
      </c>
      <c r="P400" s="5" t="inlineStr"/>
      <c r="Q400" s="5" t="inlineStr">
        <is>
          <t>Heckmondwike</t>
        </is>
      </c>
      <c r="R400" s="5" t="inlineStr">
        <is>
          <t>West Yorkshire</t>
        </is>
      </c>
      <c r="S400" s="5" t="inlineStr">
        <is>
          <t>WF16 0JU</t>
        </is>
      </c>
      <c r="T400" s="5" t="inlineStr">
        <is>
          <t>Yorkshire &amp; Humber</t>
        </is>
      </c>
      <c r="U400" s="5" t="inlineStr">
        <is>
          <t>England</t>
        </is>
      </c>
      <c r="V400" s="5" t="inlineStr"/>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vape hardware; e-liquids</t>
        </is>
      </c>
      <c r="AL400" s="5" t="inlineStr"/>
      <c r="AM400" s="5" t="inlineStr">
        <is>
          <t>Vape Shop</t>
        </is>
      </c>
      <c r="AN400" s="5" t="inlineStr"/>
      <c r="AO400" s="5" t="inlineStr">
        <is>
          <t>Directory lists it as 'Forever Vapes LTD', Market Street WF16 0JU; street number and phone not published in accessible sources.</t>
        </is>
      </c>
      <c r="AP400" s="5" t="inlineStr">
        <is>
          <t>Medium</t>
        </is>
      </c>
      <c r="AQ400" s="5" t="inlineStr">
        <is>
          <t>Independent retailer; Core relevant category</t>
        </is>
      </c>
      <c r="AR400" s="5" t="inlineStr">
        <is>
          <t>https://vapeshops.puffingbird.com/yorkshire-and-the-humber/heckmondwike/forever-vapes-ltd</t>
        </is>
      </c>
      <c r="AS400" s="5" t="inlineStr"/>
      <c r="AT400" s="5" t="inlineStr">
        <is>
          <t>1</t>
        </is>
      </c>
      <c r="AU400" s="5" t="inlineStr">
        <is>
          <t>No</t>
        </is>
      </c>
      <c r="AV400" s="5" t="inlineStr">
        <is>
          <t>No</t>
        </is>
      </c>
      <c r="AW400" s="5" t="inlineStr">
        <is>
          <t>No</t>
        </is>
      </c>
      <c r="AX400" s="5" t="inlineStr">
        <is>
          <t>No</t>
        </is>
      </c>
      <c r="AY400" s="5" t="inlineStr">
        <is>
          <t>Not Found</t>
        </is>
      </c>
      <c r="AZ400" s="5" t="inlineStr">
        <is>
          <t>Not Found</t>
        </is>
      </c>
      <c r="BA400" s="5" t="inlineStr">
        <is>
          <t>2026-09-17</t>
        </is>
      </c>
      <c r="BB400" s="5" t="inlineStr">
        <is>
          <t>Requires Verification</t>
        </is>
      </c>
      <c r="BC400" s="5" t="inlineStr">
        <is>
          <t>Low</t>
        </is>
      </c>
      <c r="BD400" s="5" t="inlineStr"/>
      <c r="BE400" s="5" t="inlineStr">
        <is>
          <t>Business (B2B)</t>
        </is>
      </c>
      <c r="BF400" s="5" t="inlineStr">
        <is>
          <t>Legitimate interest (B2B) - assess per campaign; PECR: corporate subscribers</t>
        </is>
      </c>
      <c r="BG400" s="5" t="inlineStr"/>
      <c r="BH400" s="5" t="inlineStr">
        <is>
          <t>No</t>
        </is>
      </c>
      <c r="BI400" s="5" t="inlineStr">
        <is>
          <t>2026-09-16</t>
        </is>
      </c>
      <c r="BJ400" s="5" t="inlineStr">
        <is>
          <t>New</t>
        </is>
      </c>
      <c r="BK400" s="5" t="inlineStr">
        <is>
          <t>2026-09-17</t>
        </is>
      </c>
      <c r="BL400" s="5" t="inlineStr"/>
      <c r="BM400" s="5" t="inlineStr"/>
      <c r="BN400" s="5" t="inlineStr"/>
      <c r="BO400" s="5" t="inlineStr"/>
      <c r="BP400" s="5" t="inlineStr"/>
      <c r="BQ400" s="5" t="inlineStr"/>
    </row>
    <row r="401">
      <c r="A401" s="10" t="inlineStr">
        <is>
          <t>UK-000606</t>
        </is>
      </c>
      <c r="B401" s="10" t="inlineStr">
        <is>
          <t>UK-000606-01</t>
        </is>
      </c>
      <c r="C401" s="10" t="inlineStr"/>
      <c r="D401" s="10" t="inlineStr">
        <is>
          <t>Fresh Bazaar Ltd</t>
        </is>
      </c>
      <c r="E401" s="10" t="inlineStr">
        <is>
          <t>Fresh Bazaar</t>
        </is>
      </c>
      <c r="F401" s="10" t="inlineStr"/>
      <c r="G401" s="10" t="inlineStr">
        <is>
          <t>Convenience Store</t>
        </is>
      </c>
      <c r="H401" s="10" t="inlineStr">
        <is>
          <t>Convenience &amp; grocery</t>
        </is>
      </c>
      <c r="I401" s="10" t="inlineStr">
        <is>
          <t>Independent</t>
        </is>
      </c>
      <c r="J401" s="10" t="inlineStr">
        <is>
          <t>1</t>
        </is>
      </c>
      <c r="K401" s="10" t="inlineStr"/>
      <c r="L401" s="10" t="inlineStr"/>
      <c r="M401" s="10" t="inlineStr"/>
      <c r="N401" s="10" t="inlineStr"/>
      <c r="O401" s="10" t="inlineStr"/>
      <c r="P401" s="10" t="inlineStr"/>
      <c r="Q401" s="10" t="inlineStr">
        <is>
          <t>Bethnal Green</t>
        </is>
      </c>
      <c r="R401" s="10" t="inlineStr">
        <is>
          <t>Greater London</t>
        </is>
      </c>
      <c r="S401" s="10" t="inlineStr">
        <is>
          <t>E2 0AH</t>
        </is>
      </c>
      <c r="T401" s="10" t="inlineStr">
        <is>
          <t>London</t>
        </is>
      </c>
      <c r="U401" s="10" t="inlineStr">
        <is>
          <t>England</t>
        </is>
      </c>
      <c r="V401" s="10" t="inlineStr"/>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groceries; fresh produce; tobacco</t>
        </is>
      </c>
      <c r="AL401" s="10" t="inlineStr"/>
      <c r="AM401" s="10" t="inlineStr">
        <is>
          <t>Convenience Store</t>
        </is>
      </c>
      <c r="AN401" s="10" t="inlineStr"/>
      <c r="AO401" s="10" t="inlineStr">
        <is>
          <t>Convenience/grocery store in Bethnal Green (E2) listed on 192.com. Street address and phone not in accessible snippet.</t>
        </is>
      </c>
      <c r="AP401" s="10" t="inlineStr">
        <is>
          <t>Low</t>
        </is>
      </c>
      <c r="AQ401" s="10" t="inlineStr">
        <is>
          <t>Independent retailer; Relevant category</t>
        </is>
      </c>
      <c r="AR401" s="10" t="inlineStr">
        <is>
          <t>https://www.192.com/atoz/business/london-e2/convenience-stores/fresh-bazaar-ltd/931f21171fde778d06198bb33ab9a5f663a96283/ml/</t>
        </is>
      </c>
      <c r="AS401" s="10" t="inlineStr"/>
      <c r="AT401" s="10" t="inlineStr">
        <is>
          <t>1</t>
        </is>
      </c>
      <c r="AU401" s="10" t="inlineStr">
        <is>
          <t>No</t>
        </is>
      </c>
      <c r="AV401" s="10" t="inlineStr">
        <is>
          <t>No</t>
        </is>
      </c>
      <c r="AW401" s="10" t="inlineStr">
        <is>
          <t>No</t>
        </is>
      </c>
      <c r="AX401" s="10" t="inlineStr">
        <is>
          <t>No</t>
        </is>
      </c>
      <c r="AY401" s="10" t="inlineStr">
        <is>
          <t>Not Found</t>
        </is>
      </c>
      <c r="AZ401" s="10" t="inlineStr">
        <is>
          <t>Not Found</t>
        </is>
      </c>
      <c r="BA401" s="10" t="inlineStr">
        <is>
          <t>2026-09-17</t>
        </is>
      </c>
      <c r="BB401" s="10" t="inlineStr">
        <is>
          <t>Requires Verification</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WY-0086</t>
        </is>
      </c>
      <c r="B402" s="5" t="inlineStr">
        <is>
          <t>WY-0086-01</t>
        </is>
      </c>
      <c r="C402" s="5" t="inlineStr"/>
      <c r="D402" s="5" t="inlineStr">
        <is>
          <t>FreshCo Wakefield</t>
        </is>
      </c>
      <c r="E402" s="5" t="inlineStr">
        <is>
          <t>FreshCo</t>
        </is>
      </c>
      <c r="F402" s="5" t="inlineStr">
        <is>
          <t>Fresh Co Superstore Ltd</t>
        </is>
      </c>
      <c r="G402" s="5" t="inlineStr">
        <is>
          <t>Independent Supermarket</t>
        </is>
      </c>
      <c r="H402" s="5" t="inlineStr">
        <is>
          <t>Halal / world foods supermarket with Turkish restaurant and cafe</t>
        </is>
      </c>
      <c r="I402" s="5" t="inlineStr">
        <is>
          <t>Independent</t>
        </is>
      </c>
      <c r="J402" s="5" t="inlineStr">
        <is>
          <t>1</t>
        </is>
      </c>
      <c r="K402" s="5" t="inlineStr">
        <is>
          <t>https://freshcowakefield.com</t>
        </is>
      </c>
      <c r="L402" s="5" t="inlineStr">
        <is>
          <t>https://www.facebook.com/FreshCoWakefield/</t>
        </is>
      </c>
      <c r="M402" s="5" t="inlineStr"/>
      <c r="N402" s="5" t="inlineStr"/>
      <c r="O402" s="5" t="inlineStr">
        <is>
          <t>St Andrews Hall, Upper Warrengate</t>
        </is>
      </c>
      <c r="P402" s="5" t="inlineStr"/>
      <c r="Q402" s="5" t="inlineStr">
        <is>
          <t>Wakefield</t>
        </is>
      </c>
      <c r="R402" s="5" t="inlineStr">
        <is>
          <t>West Yorkshire</t>
        </is>
      </c>
      <c r="S402" s="5" t="inlineStr">
        <is>
          <t>WF1 4JZ</t>
        </is>
      </c>
      <c r="T402" s="5" t="inlineStr">
        <is>
          <t>Yorkshire &amp; Humber</t>
        </is>
      </c>
      <c r="U402" s="5" t="inlineStr">
        <is>
          <t>England</t>
        </is>
      </c>
      <c r="V402" s="5" t="inlineStr">
        <is>
          <t>01924 781869</t>
        </is>
      </c>
      <c r="W402" s="5" t="inlineStr"/>
      <c r="X402" s="5" t="inlineStr"/>
      <c r="Y402" s="5" t="inlineStr">
        <is>
          <t>Hoa1@hotmail.co.uk</t>
        </is>
      </c>
      <c r="Z402" s="5" t="inlineStr"/>
      <c r="AA402" s="5" t="inlineStr"/>
      <c r="AB402" s="5" t="inlineStr">
        <is>
          <t>Aras Ali</t>
        </is>
      </c>
      <c r="AC402" s="5" t="inlineStr">
        <is>
          <t>Owner</t>
        </is>
      </c>
      <c r="AD402" s="5" t="inlineStr">
        <is>
          <t>Named as FreshCo owner in Wakefield Express feature article (2023)</t>
        </is>
      </c>
      <c r="AE402" s="5" t="inlineStr">
        <is>
          <t>13746881</t>
        </is>
      </c>
      <c r="AF402" s="5" t="inlineStr">
        <is>
          <t>Active</t>
        </is>
      </c>
      <c r="AG402" s="5" t="inlineStr">
        <is>
          <t>FRESH CO SUPERSTORE LTD</t>
        </is>
      </c>
      <c r="AH402" s="5" t="inlineStr"/>
      <c r="AI402" s="5" t="inlineStr">
        <is>
          <t>2021-11-16</t>
        </is>
      </c>
      <c r="AJ402" s="5" t="inlineStr"/>
      <c r="AK402" s="5" t="inlineStr">
        <is>
          <t>world foods (European, Asian, African, Middle Eastern); halal meat; fresh produce; bakery</t>
        </is>
      </c>
      <c r="AL402" s="5" t="inlineStr"/>
      <c r="AM402" s="5" t="inlineStr">
        <is>
          <t>Independent Supermarket</t>
        </is>
      </c>
      <c r="AN402" s="5" t="inlineStr"/>
      <c r="AO402" s="5" t="inlineStr">
        <is>
          <t>Purpose-built store with own car park, open 8am-9pm daily; opened circa late 2022/early 2023. Owner opened his first supermarket in London before Wakefield.</t>
        </is>
      </c>
      <c r="AP402" s="5" t="inlineStr">
        <is>
          <t>Medium</t>
        </is>
      </c>
      <c r="AQ402" s="5" t="inlineStr">
        <is>
          <t>Independent retailer; Relevant category; Public email available; Active website; Social presence</t>
        </is>
      </c>
      <c r="AR402" s="5" t="inlineStr">
        <is>
          <t>https://freshcowakefield.com/restaurant</t>
        </is>
      </c>
      <c r="AS402" s="5" t="inlineStr">
        <is>
          <t>https://find-and-update.company-information.service.gov.uk/company/13746881</t>
        </is>
      </c>
      <c r="AT402" s="5" t="inlineStr">
        <is>
          <t>4</t>
        </is>
      </c>
      <c r="AU402" s="5" t="inlineStr">
        <is>
          <t>No</t>
        </is>
      </c>
      <c r="AV402" s="5" t="inlineStr">
        <is>
          <t>No</t>
        </is>
      </c>
      <c r="AW402" s="5" t="inlineStr">
        <is>
          <t>Yes</t>
        </is>
      </c>
      <c r="AX402" s="5" t="inlineStr">
        <is>
          <t>Yes</t>
        </is>
      </c>
      <c r="AY402" s="5" t="inlineStr">
        <is>
          <t>Verified directory</t>
        </is>
      </c>
      <c r="AZ402" s="5" t="inlineStr">
        <is>
          <t>Website Found</t>
        </is>
      </c>
      <c r="BA402" s="5" t="inlineStr">
        <is>
          <t>2026-09-17</t>
        </is>
      </c>
      <c r="BB402" s="5" t="inlineStr">
        <is>
          <t>Partially Verified</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2026-09-16</t>
        </is>
      </c>
      <c r="BJ402" s="5" t="inlineStr">
        <is>
          <t>New</t>
        </is>
      </c>
      <c r="BK402" s="5" t="inlineStr">
        <is>
          <t>2026-09-17</t>
        </is>
      </c>
      <c r="BL402" s="5" t="inlineStr"/>
      <c r="BM402" s="5" t="inlineStr"/>
      <c r="BN402" s="5" t="inlineStr"/>
      <c r="BO402" s="5" t="inlineStr"/>
      <c r="BP402" s="5" t="inlineStr"/>
      <c r="BQ402" s="5" t="inlineStr"/>
    </row>
    <row r="403">
      <c r="A403" s="10" t="inlineStr">
        <is>
          <t>UK-000249</t>
        </is>
      </c>
      <c r="B403" s="10" t="inlineStr">
        <is>
          <t>UK-000249-01</t>
        </is>
      </c>
      <c r="C403" s="10" t="inlineStr"/>
      <c r="D403" s="10" t="inlineStr">
        <is>
          <t>Freshco Cash &amp; Carry</t>
        </is>
      </c>
      <c r="E403" s="10" t="inlineStr">
        <is>
          <t>Freshco Cash &amp; Carry</t>
        </is>
      </c>
      <c r="F403" s="10" t="inlineStr">
        <is>
          <t>FRESHCO CASH &amp; CARRY LIMITED</t>
        </is>
      </c>
      <c r="G403" s="10" t="inlineStr">
        <is>
          <t>Cash &amp; Carry</t>
        </is>
      </c>
      <c r="H403" s="10" t="inlineStr">
        <is>
          <t>Wholesale cash &amp; carry / supermarket</t>
        </is>
      </c>
      <c r="I403" s="10" t="inlineStr">
        <is>
          <t>Independent</t>
        </is>
      </c>
      <c r="J403" s="10" t="inlineStr">
        <is>
          <t>1</t>
        </is>
      </c>
      <c r="K403" s="10" t="inlineStr">
        <is>
          <t>https://freshcocashcarry.co.uk</t>
        </is>
      </c>
      <c r="L403" s="10" t="inlineStr">
        <is>
          <t>https://www.facebook.com/p/Feshco-cashcarry-limited-61556302407551/</t>
        </is>
      </c>
      <c r="M403" s="10" t="inlineStr"/>
      <c r="N403" s="10" t="inlineStr"/>
      <c r="O403" s="10" t="inlineStr">
        <is>
          <t>185-201 Spring Bank</t>
        </is>
      </c>
      <c r="P403" s="10" t="inlineStr"/>
      <c r="Q403" s="10" t="inlineStr">
        <is>
          <t>Kingston upon Hull</t>
        </is>
      </c>
      <c r="R403" s="10" t="inlineStr">
        <is>
          <t>East Riding of Yorkshire</t>
        </is>
      </c>
      <c r="S403" s="10" t="inlineStr">
        <is>
          <t>HU3 1LP</t>
        </is>
      </c>
      <c r="T403" s="10" t="inlineStr">
        <is>
          <t>Yorkshire &amp; Humber</t>
        </is>
      </c>
      <c r="U403" s="10" t="inlineStr">
        <is>
          <t>England</t>
        </is>
      </c>
      <c r="V403" s="10" t="inlineStr"/>
      <c r="W403" s="10" t="inlineStr"/>
      <c r="X403" s="10" t="inlineStr"/>
      <c r="Y403" s="10" t="inlineStr"/>
      <c r="Z403" s="10" t="inlineStr"/>
      <c r="AA403" s="10" t="inlineStr"/>
      <c r="AB403" s="10" t="inlineStr"/>
      <c r="AC403" s="10" t="inlineStr"/>
      <c r="AD403" s="10" t="inlineStr"/>
      <c r="AE403" s="10" t="inlineStr">
        <is>
          <t>14599796</t>
        </is>
      </c>
      <c r="AF403" s="10" t="inlineStr">
        <is>
          <t>Active</t>
        </is>
      </c>
      <c r="AG403" s="10" t="inlineStr">
        <is>
          <t>FRESHCO CASH &amp; CARRY LIMITED</t>
        </is>
      </c>
      <c r="AH403" s="10" t="inlineStr"/>
      <c r="AI403" s="10" t="inlineStr">
        <is>
          <t>2023-01-18</t>
        </is>
      </c>
      <c r="AJ403" s="10" t="inlineStr"/>
      <c r="AK403" s="10" t="inlineStr">
        <is>
          <t>fresh produce; halal meat; bakery; drinks; wholesale groceries</t>
        </is>
      </c>
      <c r="AL403" s="10" t="inlineStr"/>
      <c r="AM403" s="10" t="inlineStr">
        <is>
          <t>Cash &amp; Carry</t>
        </is>
      </c>
      <c r="AN403" s="10" t="inlineStr"/>
      <c r="AO403" s="10" t="inlineStr">
        <is>
          <t>Wholesale cash &amp; carry and retail supermarket, 185-201 Spring Bank, Hull HU3 1LP. Companies House 14599796 (incorporated 18 Jan 2023, active). No phone/email published in search results.</t>
        </is>
      </c>
      <c r="AP403" s="10" t="inlineStr">
        <is>
          <t>Medium</t>
        </is>
      </c>
      <c r="AQ403" s="10" t="inlineStr">
        <is>
          <t>Independent retailer; Core relevant category; Active website; Social presence</t>
        </is>
      </c>
      <c r="AR403" s="10" t="inlineStr">
        <is>
          <t>https://freshcocashcarry.co.uk/</t>
        </is>
      </c>
      <c r="AS403" s="10" t="inlineStr">
        <is>
          <t>https://find-and-update.company-information.service.gov.uk/company/14599796</t>
        </is>
      </c>
      <c r="AT403" s="10" t="inlineStr">
        <is>
          <t>3</t>
        </is>
      </c>
      <c r="AU403" s="10" t="inlineStr">
        <is>
          <t>Yes</t>
        </is>
      </c>
      <c r="AV403" s="10" t="inlineStr">
        <is>
          <t>No</t>
        </is>
      </c>
      <c r="AW403" s="10" t="inlineStr">
        <is>
          <t>No</t>
        </is>
      </c>
      <c r="AX403" s="10" t="inlineStr">
        <is>
          <t>Yes</t>
        </is>
      </c>
      <c r="AY403" s="10" t="inlineStr">
        <is>
          <t>Not Found</t>
        </is>
      </c>
      <c r="AZ403" s="10" t="inlineStr">
        <is>
          <t>Not Found</t>
        </is>
      </c>
      <c r="BA403" s="10" t="inlineStr">
        <is>
          <t>2026-09-17</t>
        </is>
      </c>
      <c r="BB403" s="10" t="inlineStr">
        <is>
          <t>Verified (website + Companies House)</t>
        </is>
      </c>
      <c r="BC403" s="10" t="inlineStr">
        <is>
          <t>Medium</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2026-09-16</t>
        </is>
      </c>
      <c r="BJ403" s="10" t="inlineStr">
        <is>
          <t>New</t>
        </is>
      </c>
      <c r="BK403" s="10" t="inlineStr">
        <is>
          <t>2026-09-17</t>
        </is>
      </c>
      <c r="BL403" s="10" t="inlineStr"/>
      <c r="BM403" s="10" t="inlineStr"/>
      <c r="BN403" s="10" t="inlineStr"/>
      <c r="BO403" s="10" t="inlineStr"/>
      <c r="BP403" s="10" t="inlineStr"/>
      <c r="BQ403" s="10" t="inlineStr"/>
    </row>
    <row r="404">
      <c r="A404" s="5" t="inlineStr">
        <is>
          <t>WY-0087</t>
        </is>
      </c>
      <c r="B404" s="5" t="inlineStr">
        <is>
          <t>WY-0087-01</t>
        </is>
      </c>
      <c r="C404" s="5" t="inlineStr"/>
      <c r="D404" s="5" t="inlineStr">
        <is>
          <t>Freshco UK</t>
        </is>
      </c>
      <c r="E404" s="5" t="inlineStr">
        <is>
          <t>Freshco</t>
        </is>
      </c>
      <c r="F404" s="5" t="inlineStr">
        <is>
          <t>Freshco UK Ltd</t>
        </is>
      </c>
      <c r="G404" s="5" t="inlineStr">
        <is>
          <t>Convenience Store</t>
        </is>
      </c>
      <c r="H404" s="5" t="inlineStr">
        <is>
          <t>Grocery store with halal meat</t>
        </is>
      </c>
      <c r="I404" s="5" t="inlineStr">
        <is>
          <t>Independent</t>
        </is>
      </c>
      <c r="J404" s="5" t="inlineStr">
        <is>
          <t>1</t>
        </is>
      </c>
      <c r="K404" s="5" t="inlineStr"/>
      <c r="L404" s="5" t="inlineStr"/>
      <c r="M404" s="5" t="inlineStr"/>
      <c r="N404" s="5" t="inlineStr"/>
      <c r="O404" s="5" t="inlineStr"/>
      <c r="P404" s="5" t="inlineStr">
        <is>
          <t>Manningham</t>
        </is>
      </c>
      <c r="Q404" s="5" t="inlineStr">
        <is>
          <t>Bradford</t>
        </is>
      </c>
      <c r="R404" s="5" t="inlineStr">
        <is>
          <t>West Yorkshire</t>
        </is>
      </c>
      <c r="S404" s="5" t="inlineStr"/>
      <c r="T404" s="5" t="inlineStr">
        <is>
          <t>Yorkshire &amp; Humber</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groceries; halal meat; fresh produce</t>
        </is>
      </c>
      <c r="AL404" s="5" t="inlineStr"/>
      <c r="AM404" s="5" t="inlineStr">
        <is>
          <t>Convenience Store</t>
        </is>
      </c>
      <c r="AN404" s="5" t="inlineStr"/>
      <c r="AO404" s="5" t="inlineStr">
        <is>
          <t>Grocery store in Manningham, Bradford, offering halal meat (directory listing). Street address not captured - needs enrichment. Legal name taken from listing title 'FRESHCO UK LTD', not yet Companies House verified.</t>
        </is>
      </c>
      <c r="AP404" s="5" t="inlineStr">
        <is>
          <t>Low</t>
        </is>
      </c>
      <c r="AQ404" s="5" t="inlineStr">
        <is>
          <t>Independent retailer; Relevant category</t>
        </is>
      </c>
      <c r="AR404" s="5" t="inlineStr">
        <is>
          <t>https://freshco-uk-ltd.wheree.com/</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UK-000607</t>
        </is>
      </c>
      <c r="B405" s="10" t="inlineStr">
        <is>
          <t>UK-000607-01</t>
        </is>
      </c>
      <c r="C405" s="10" t="inlineStr"/>
      <c r="D405" s="10" t="inlineStr">
        <is>
          <t>Fulham Food &amp; Wine</t>
        </is>
      </c>
      <c r="E405" s="10" t="inlineStr">
        <is>
          <t>Fulham Food &amp; Wine</t>
        </is>
      </c>
      <c r="F405" s="10" t="inlineStr"/>
      <c r="G405" s="10" t="inlineStr">
        <is>
          <t>Off-Licence</t>
        </is>
      </c>
      <c r="H405" s="10" t="inlineStr">
        <is>
          <t>Convenience &amp; off-licence</t>
        </is>
      </c>
      <c r="I405" s="10" t="inlineStr">
        <is>
          <t>Independent</t>
        </is>
      </c>
      <c r="J405" s="10" t="inlineStr">
        <is>
          <t>1</t>
        </is>
      </c>
      <c r="K405" s="10" t="inlineStr"/>
      <c r="L405" s="10" t="inlineStr"/>
      <c r="M405" s="10" t="inlineStr"/>
      <c r="N405" s="10" t="inlineStr"/>
      <c r="O405" s="10" t="inlineStr">
        <is>
          <t>320 Munster Road</t>
        </is>
      </c>
      <c r="P405" s="10" t="inlineStr"/>
      <c r="Q405" s="10" t="inlineStr">
        <is>
          <t>London</t>
        </is>
      </c>
      <c r="R405" s="10" t="inlineStr">
        <is>
          <t>Greater London</t>
        </is>
      </c>
      <c r="S405" s="10" t="inlineStr">
        <is>
          <t>SW6 6BH</t>
        </is>
      </c>
      <c r="T405" s="10" t="inlineStr">
        <is>
          <t>London</t>
        </is>
      </c>
      <c r="U405" s="10" t="inlineStr">
        <is>
          <t>England</t>
        </is>
      </c>
      <c r="V405" s="10" t="inlineStr">
        <is>
          <t>020 7610 0070</t>
        </is>
      </c>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convenience groceries; wine; beer; spirits</t>
        </is>
      </c>
      <c r="AL405" s="10" t="inlineStr"/>
      <c r="AM405" s="10" t="inlineStr">
        <is>
          <t>Off-Licence</t>
        </is>
      </c>
      <c r="AN405" s="10" t="inlineStr"/>
      <c r="AO405" s="10" t="inlineStr">
        <is>
          <t>Independent convenience/off-licence on Munster Road, Fulham. Address/postcode/phone from Yell Fulham off-licences listing snippet.</t>
        </is>
      </c>
      <c r="AP405" s="10" t="inlineStr">
        <is>
          <t>Low</t>
        </is>
      </c>
      <c r="AQ405" s="10" t="inlineStr">
        <is>
          <t>Independent retailer; Relevant category</t>
        </is>
      </c>
      <c r="AR405" s="10" t="inlineStr">
        <is>
          <t>https://www.yell.com/s/off+licences-fulham-london.html</t>
        </is>
      </c>
      <c r="AS405" s="10" t="inlineStr"/>
      <c r="AT405" s="10" t="inlineStr">
        <is>
          <t>1</t>
        </is>
      </c>
      <c r="AU405" s="10" t="inlineStr">
        <is>
          <t>No</t>
        </is>
      </c>
      <c r="AV405" s="10" t="inlineStr">
        <is>
          <t>No</t>
        </is>
      </c>
      <c r="AW405" s="10" t="inlineStr">
        <is>
          <t>No</t>
        </is>
      </c>
      <c r="AX405" s="10" t="inlineStr">
        <is>
          <t>No</t>
        </is>
      </c>
      <c r="AY405" s="10" t="inlineStr">
        <is>
          <t>Verified directory</t>
        </is>
      </c>
      <c r="AZ405" s="10" t="inlineStr">
        <is>
          <t>Not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2026-09-17</t>
        </is>
      </c>
      <c r="BJ405" s="10" t="inlineStr">
        <is>
          <t>New</t>
        </is>
      </c>
      <c r="BK405" s="10" t="inlineStr">
        <is>
          <t>2026-09-17</t>
        </is>
      </c>
      <c r="BL405" s="10" t="inlineStr"/>
      <c r="BM405" s="10" t="inlineStr"/>
      <c r="BN405" s="10" t="inlineStr"/>
      <c r="BO405" s="10" t="inlineStr"/>
      <c r="BP405" s="10" t="inlineStr"/>
      <c r="BQ405" s="10" t="inlineStr"/>
    </row>
    <row r="406">
      <c r="A406" s="5" t="inlineStr">
        <is>
          <t>UK-000608</t>
        </is>
      </c>
      <c r="B406" s="5" t="inlineStr">
        <is>
          <t>UK-000608-01</t>
        </is>
      </c>
      <c r="C406" s="5" t="inlineStr"/>
      <c r="D406" s="5" t="inlineStr">
        <is>
          <t>G S Wines</t>
        </is>
      </c>
      <c r="E406" s="5" t="inlineStr">
        <is>
          <t>G S Wines</t>
        </is>
      </c>
      <c r="F406" s="5" t="inlineStr"/>
      <c r="G406" s="5" t="inlineStr">
        <is>
          <t>Off-Licence</t>
        </is>
      </c>
      <c r="H406" s="5" t="inlineStr">
        <is>
          <t>Off-licence</t>
        </is>
      </c>
      <c r="I406" s="5" t="inlineStr">
        <is>
          <t>Independent</t>
        </is>
      </c>
      <c r="J406" s="5" t="inlineStr">
        <is>
          <t>1</t>
        </is>
      </c>
      <c r="K406" s="5" t="inlineStr"/>
      <c r="L406" s="5" t="inlineStr"/>
      <c r="M406" s="5" t="inlineStr"/>
      <c r="N406" s="5" t="inlineStr"/>
      <c r="O406" s="5" t="inlineStr">
        <is>
          <t>436 Hedgemans Road</t>
        </is>
      </c>
      <c r="P406" s="5" t="inlineStr"/>
      <c r="Q406" s="5" t="inlineStr">
        <is>
          <t>Dagenham</t>
        </is>
      </c>
      <c r="R406" s="5" t="inlineStr">
        <is>
          <t>Greater London</t>
        </is>
      </c>
      <c r="S406" s="5" t="inlineStr">
        <is>
          <t>RM9 6BU</t>
        </is>
      </c>
      <c r="T406" s="5" t="inlineStr">
        <is>
          <t>London</t>
        </is>
      </c>
      <c r="U406" s="5" t="inlineStr">
        <is>
          <t>England</t>
        </is>
      </c>
      <c r="V406" s="5" t="inlineStr">
        <is>
          <t>020 8592 5465</t>
        </is>
      </c>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alcohol; tobacco</t>
        </is>
      </c>
      <c r="AL406" s="5" t="inlineStr"/>
      <c r="AM406" s="5" t="inlineStr">
        <is>
          <t>Off-Licence</t>
        </is>
      </c>
      <c r="AN406" s="5" t="inlineStr"/>
      <c r="AO406" s="5" t="inlineStr">
        <is>
          <t>Off-licence on Hedgemans Road, Dagenham. Address/postcode/phone from Yell directory.</t>
        </is>
      </c>
      <c r="AP406" s="5" t="inlineStr">
        <is>
          <t>Low</t>
        </is>
      </c>
      <c r="AQ406" s="5" t="inlineStr">
        <is>
          <t>Independent retailer; Relevant category</t>
        </is>
      </c>
      <c r="AR406" s="5" t="inlineStr">
        <is>
          <t>https://www.yell.com/s/off+licences-london+borough+of+barking+and+dagenham.html</t>
        </is>
      </c>
      <c r="AS406" s="5" t="inlineStr"/>
      <c r="AT406" s="5" t="inlineStr">
        <is>
          <t>1</t>
        </is>
      </c>
      <c r="AU406" s="5" t="inlineStr">
        <is>
          <t>No</t>
        </is>
      </c>
      <c r="AV406" s="5" t="inlineStr">
        <is>
          <t>No</t>
        </is>
      </c>
      <c r="AW406" s="5" t="inlineStr">
        <is>
          <t>No</t>
        </is>
      </c>
      <c r="AX406" s="5" t="inlineStr">
        <is>
          <t>No</t>
        </is>
      </c>
      <c r="AY406" s="5" t="inlineStr">
        <is>
          <t>Verified directory</t>
        </is>
      </c>
      <c r="AZ406" s="5" t="inlineStr">
        <is>
          <t>Not Found</t>
        </is>
      </c>
      <c r="BA406" s="5" t="inlineStr">
        <is>
          <t>2026-09-17</t>
        </is>
      </c>
      <c r="BB406" s="5" t="inlineStr">
        <is>
          <t>Requires Verification</t>
        </is>
      </c>
      <c r="BC406" s="5" t="inlineStr">
        <is>
          <t>Medium</t>
        </is>
      </c>
      <c r="BD406" s="5" t="inlineStr"/>
      <c r="BE406" s="5" t="inlineStr">
        <is>
          <t>Business (B2B)</t>
        </is>
      </c>
      <c r="BF406" s="5" t="inlineStr">
        <is>
          <t>Legitimate interest (B2B) - assess per campaign; PECR: corporate subscribers</t>
        </is>
      </c>
      <c r="BG406" s="5" t="inlineStr"/>
      <c r="BH406" s="5" t="inlineStr">
        <is>
          <t>No</t>
        </is>
      </c>
      <c r="BI406" s="5" t="inlineStr">
        <is>
          <t>2026-09-17</t>
        </is>
      </c>
      <c r="BJ406" s="5" t="inlineStr">
        <is>
          <t>New</t>
        </is>
      </c>
      <c r="BK406" s="5" t="inlineStr">
        <is>
          <t>2026-09-17</t>
        </is>
      </c>
      <c r="BL406" s="5" t="inlineStr"/>
      <c r="BM406" s="5" t="inlineStr"/>
      <c r="BN406" s="5" t="inlineStr"/>
      <c r="BO406" s="5" t="inlineStr"/>
      <c r="BP406" s="5" t="inlineStr"/>
      <c r="BQ406" s="5" t="inlineStr"/>
    </row>
    <row r="407">
      <c r="A407" s="10" t="inlineStr">
        <is>
          <t>UK-000250</t>
        </is>
      </c>
      <c r="B407" s="10" t="inlineStr">
        <is>
          <t>UK-000250-01</t>
        </is>
      </c>
      <c r="C407" s="10" t="inlineStr"/>
      <c r="D407" s="10" t="inlineStr">
        <is>
          <t>GDF Vape Shop</t>
        </is>
      </c>
      <c r="E407" s="10" t="inlineStr">
        <is>
          <t>GDF Vape Shop</t>
        </is>
      </c>
      <c r="F407" s="10" t="inlineStr"/>
      <c r="G407" s="10" t="inlineStr">
        <is>
          <t>Vape Shop</t>
        </is>
      </c>
      <c r="H407" s="10" t="inlineStr">
        <is>
          <t>Vape shop</t>
        </is>
      </c>
      <c r="I407" s="10" t="inlineStr">
        <is>
          <t>Independent</t>
        </is>
      </c>
      <c r="J407" s="10" t="inlineStr">
        <is>
          <t>1</t>
        </is>
      </c>
      <c r="K407" s="10" t="inlineStr">
        <is>
          <t>https://gdf-vape-shop.ueniweb.com/</t>
        </is>
      </c>
      <c r="L407" s="10" t="inlineStr"/>
      <c r="M407" s="10" t="inlineStr"/>
      <c r="N407" s="10" t="inlineStr"/>
      <c r="O407" s="10" t="inlineStr"/>
      <c r="P407" s="10" t="inlineStr"/>
      <c r="Q407" s="10" t="inlineStr">
        <is>
          <t>Doncaster</t>
        </is>
      </c>
      <c r="R407" s="10" t="inlineStr">
        <is>
          <t>South Yorkshire</t>
        </is>
      </c>
      <c r="S407" s="10" t="inlineStr"/>
      <c r="T407" s="10" t="inlineStr">
        <is>
          <t>Yorkshire &amp; Humber</t>
        </is>
      </c>
      <c r="U407" s="10" t="inlineStr">
        <is>
          <t>England</t>
        </is>
      </c>
      <c r="V407" s="10" t="inlineStr"/>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vape pens; e-liquids; accessories</t>
        </is>
      </c>
      <c r="AL407" s="10" t="inlineStr"/>
      <c r="AM407" s="10" t="inlineStr">
        <is>
          <t>Vape Shop</t>
        </is>
      </c>
      <c r="AN407" s="10" t="inlineStr"/>
      <c r="AO407" s="10" t="inlineStr">
        <is>
          <t>Independent Doncaster vape shop (vape pens, juices, accessories) with a UENI web listing; address/postcode not captured.</t>
        </is>
      </c>
      <c r="AP407" s="10" t="inlineStr">
        <is>
          <t>Medium</t>
        </is>
      </c>
      <c r="AQ407" s="10" t="inlineStr">
        <is>
          <t>Independent retailer; Core relevant category; Active website</t>
        </is>
      </c>
      <c r="AR407" s="10" t="inlineStr">
        <is>
          <t>https://gdf-vape-shop.ueniweb.com/</t>
        </is>
      </c>
      <c r="AS407" s="10" t="inlineStr"/>
      <c r="AT407" s="10" t="inlineStr">
        <is>
          <t>1</t>
        </is>
      </c>
      <c r="AU407" s="10" t="inlineStr">
        <is>
          <t>No</t>
        </is>
      </c>
      <c r="AV407" s="10" t="inlineStr">
        <is>
          <t>No</t>
        </is>
      </c>
      <c r="AW407" s="10" t="inlineStr">
        <is>
          <t>No</t>
        </is>
      </c>
      <c r="AX407" s="10" t="inlineStr">
        <is>
          <t>No</t>
        </is>
      </c>
      <c r="AY407" s="10" t="inlineStr">
        <is>
          <t>Not Found</t>
        </is>
      </c>
      <c r="AZ407" s="10" t="inlineStr">
        <is>
          <t>Website Found</t>
        </is>
      </c>
      <c r="BA407" s="10" t="inlineStr">
        <is>
          <t>2026-09-17</t>
        </is>
      </c>
      <c r="BB407" s="10" t="inlineStr">
        <is>
          <t>Requires Verification</t>
        </is>
      </c>
      <c r="BC407" s="10" t="inlineStr">
        <is>
          <t>Low</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2026-09-16</t>
        </is>
      </c>
      <c r="BJ407" s="10" t="inlineStr">
        <is>
          <t>New</t>
        </is>
      </c>
      <c r="BK407" s="10" t="inlineStr">
        <is>
          <t>2026-09-17</t>
        </is>
      </c>
      <c r="BL407" s="10" t="inlineStr"/>
      <c r="BM407" s="10" t="inlineStr"/>
      <c r="BN407" s="10" t="inlineStr"/>
      <c r="BO407" s="10" t="inlineStr"/>
      <c r="BP407" s="10" t="inlineStr"/>
      <c r="BQ407" s="10" t="inlineStr"/>
    </row>
    <row r="408">
      <c r="A408" s="5" t="inlineStr">
        <is>
          <t>UK-000472</t>
        </is>
      </c>
      <c r="B408" s="5" t="inlineStr">
        <is>
          <t>UK-000472-01</t>
        </is>
      </c>
      <c r="C408" s="5" t="inlineStr"/>
      <c r="D408" s="5" t="inlineStr">
        <is>
          <t>Gadgets And Vape House</t>
        </is>
      </c>
      <c r="E408" s="5" t="inlineStr">
        <is>
          <t>Gadgets And Vape House</t>
        </is>
      </c>
      <c r="F408" s="5" t="inlineStr"/>
      <c r="G408" s="5" t="inlineStr">
        <is>
          <t>Vape Shop</t>
        </is>
      </c>
      <c r="H408" s="5" t="inlineStr">
        <is>
          <t>Vapes, e-cigarettes &amp; accessories</t>
        </is>
      </c>
      <c r="I408" s="5" t="inlineStr">
        <is>
          <t>Independent</t>
        </is>
      </c>
      <c r="J408" s="5" t="inlineStr">
        <is>
          <t>1</t>
        </is>
      </c>
      <c r="K408" s="5" t="inlineStr"/>
      <c r="L408" s="5" t="inlineStr"/>
      <c r="M408" s="5" t="inlineStr"/>
      <c r="N408" s="5" t="inlineStr"/>
      <c r="O408" s="5" t="inlineStr"/>
      <c r="P408" s="5" t="inlineStr"/>
      <c r="Q408" s="5" t="inlineStr">
        <is>
          <t>Dudley</t>
        </is>
      </c>
      <c r="R408" s="5" t="inlineStr">
        <is>
          <t>West Midlands</t>
        </is>
      </c>
      <c r="S408" s="5" t="inlineStr"/>
      <c r="T408" s="5" t="inlineStr">
        <is>
          <t>West Midlands</t>
        </is>
      </c>
      <c r="U408" s="5" t="inlineStr">
        <is>
          <t>England</t>
        </is>
      </c>
      <c r="V408" s="5" t="inlineStr"/>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vape hardware; e-liquids; accessories</t>
        </is>
      </c>
      <c r="AL408" s="5" t="inlineStr"/>
      <c r="AM408" s="5" t="inlineStr">
        <is>
          <t>Vape Shop</t>
        </is>
      </c>
      <c r="AN408" s="5" t="inlineStr"/>
      <c r="AO408" s="5" t="inlineStr">
        <is>
          <t>Vape shop in Dudley town centre listed on Shop Dudley business directory. Related brand (Stourbridge Gadgets And Vape House LTD) trades in Stourbridge. Exact street address not shown in snippet.</t>
        </is>
      </c>
      <c r="AP408" s="5" t="inlineStr">
        <is>
          <t>Medium</t>
        </is>
      </c>
      <c r="AQ408" s="5" t="inlineStr">
        <is>
          <t>Independent retailer; Core relevant category</t>
        </is>
      </c>
      <c r="AR408" s="5" t="inlineStr">
        <is>
          <t>https://shopdudley.co.uk/listing/gadgets-and-vape-house/</t>
        </is>
      </c>
      <c r="AS408" s="5" t="inlineStr"/>
      <c r="AT408" s="5" t="inlineStr">
        <is>
          <t>1</t>
        </is>
      </c>
      <c r="AU408" s="5" t="inlineStr">
        <is>
          <t>No</t>
        </is>
      </c>
      <c r="AV408" s="5" t="inlineStr">
        <is>
          <t>No</t>
        </is>
      </c>
      <c r="AW408" s="5" t="inlineStr">
        <is>
          <t>No</t>
        </is>
      </c>
      <c r="AX408" s="5" t="inlineStr">
        <is>
          <t>No</t>
        </is>
      </c>
      <c r="AY408" s="5" t="inlineStr">
        <is>
          <t>Not Found</t>
        </is>
      </c>
      <c r="AZ408" s="5" t="inlineStr">
        <is>
          <t>Not Found</t>
        </is>
      </c>
      <c r="BA408" s="5" t="inlineStr">
        <is>
          <t>2026-09-17</t>
        </is>
      </c>
      <c r="BB408" s="5" t="inlineStr">
        <is>
          <t>Requires Verification</t>
        </is>
      </c>
      <c r="BC408" s="5" t="inlineStr">
        <is>
          <t>Low</t>
        </is>
      </c>
      <c r="BD408" s="5" t="inlineStr"/>
      <c r="BE408" s="5" t="inlineStr">
        <is>
          <t>Business (B2B)</t>
        </is>
      </c>
      <c r="BF408" s="5" t="inlineStr">
        <is>
          <t>Legitimate interest (B2B) - assess per campaign; PECR: corporate subscribers</t>
        </is>
      </c>
      <c r="BG408" s="5" t="inlineStr"/>
      <c r="BH408" s="5" t="inlineStr">
        <is>
          <t>No</t>
        </is>
      </c>
      <c r="BI408" s="5" t="inlineStr">
        <is>
          <t>2026-09-17</t>
        </is>
      </c>
      <c r="BJ408" s="5" t="inlineStr">
        <is>
          <t>New</t>
        </is>
      </c>
      <c r="BK408" s="5" t="inlineStr">
        <is>
          <t>2026-09-17</t>
        </is>
      </c>
      <c r="BL408" s="5" t="inlineStr"/>
      <c r="BM408" s="5" t="inlineStr"/>
      <c r="BN408" s="5" t="inlineStr"/>
      <c r="BO408" s="5" t="inlineStr"/>
      <c r="BP408" s="5" t="inlineStr"/>
      <c r="BQ408" s="5" t="inlineStr"/>
    </row>
    <row r="409">
      <c r="A409" s="10" t="inlineStr">
        <is>
          <t>UK-000609</t>
        </is>
      </c>
      <c r="B409" s="10" t="inlineStr">
        <is>
          <t>UK-000609-01</t>
        </is>
      </c>
      <c r="C409" s="10" t="inlineStr"/>
      <c r="D409" s="10" t="inlineStr">
        <is>
          <t>Galaxy Convenient Store</t>
        </is>
      </c>
      <c r="E409" s="10" t="inlineStr">
        <is>
          <t>Galaxy Convenient Store</t>
        </is>
      </c>
      <c r="F409" s="10" t="inlineStr"/>
      <c r="G409" s="10" t="inlineStr">
        <is>
          <t>Convenience Store</t>
        </is>
      </c>
      <c r="H409" s="10" t="inlineStr"/>
      <c r="I409" s="10" t="inlineStr">
        <is>
          <t>Independent</t>
        </is>
      </c>
      <c r="J409" s="10" t="inlineStr">
        <is>
          <t>1</t>
        </is>
      </c>
      <c r="K409" s="10" t="inlineStr"/>
      <c r="L409" s="10" t="inlineStr"/>
      <c r="M409" s="10" t="inlineStr"/>
      <c r="N409" s="10" t="inlineStr"/>
      <c r="O409" s="10" t="inlineStr">
        <is>
          <t>247 London Road</t>
        </is>
      </c>
      <c r="P409" s="10" t="inlineStr"/>
      <c r="Q409" s="10" t="inlineStr">
        <is>
          <t>Mitcham</t>
        </is>
      </c>
      <c r="R409" s="10" t="inlineStr">
        <is>
          <t>Greater London</t>
        </is>
      </c>
      <c r="S409" s="10" t="inlineStr">
        <is>
          <t>CR4 3NH</t>
        </is>
      </c>
      <c r="T409" s="10" t="inlineStr">
        <is>
          <t>London</t>
        </is>
      </c>
      <c r="U409" s="10" t="inlineStr">
        <is>
          <t>England</t>
        </is>
      </c>
      <c r="V409" s="10" t="inlineStr"/>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grocery; off-licence; convenience</t>
        </is>
      </c>
      <c r="AL409" s="10" t="inlineStr"/>
      <c r="AM409" s="10" t="inlineStr">
        <is>
          <t>Convenience Store</t>
        </is>
      </c>
      <c r="AN409" s="10" t="inlineStr"/>
      <c r="AO409" s="10" t="inlineStr">
        <is>
          <t>Independent convenience store on London Road, Mitcham. Address from Yell listing; phone not confirmed.</t>
        </is>
      </c>
      <c r="AP409" s="10" t="inlineStr">
        <is>
          <t>Low</t>
        </is>
      </c>
      <c r="AQ409" s="10" t="inlineStr">
        <is>
          <t>Independent retailer; Relevant category</t>
        </is>
      </c>
      <c r="AR409" s="10" t="inlineStr">
        <is>
          <t>https://www.yell.com/biz/galaxy-convienient-store-mitcham-6771299/</t>
        </is>
      </c>
      <c r="AS409" s="10" t="inlineStr"/>
      <c r="AT409" s="10" t="inlineStr">
        <is>
          <t>1</t>
        </is>
      </c>
      <c r="AU409" s="10" t="inlineStr">
        <is>
          <t>No</t>
        </is>
      </c>
      <c r="AV409" s="10" t="inlineStr">
        <is>
          <t>No</t>
        </is>
      </c>
      <c r="AW409" s="10" t="inlineStr">
        <is>
          <t>No</t>
        </is>
      </c>
      <c r="AX409" s="10" t="inlineStr">
        <is>
          <t>No</t>
        </is>
      </c>
      <c r="AY409" s="10" t="inlineStr">
        <is>
          <t>Not Found</t>
        </is>
      </c>
      <c r="AZ409" s="10" t="inlineStr">
        <is>
          <t>Not Found</t>
        </is>
      </c>
      <c r="BA409" s="10" t="inlineStr">
        <is>
          <t>2026-09-17</t>
        </is>
      </c>
      <c r="BB409" s="10" t="inlineStr">
        <is>
          <t>Requires Verification</t>
        </is>
      </c>
      <c r="BC409" s="10" t="inlineStr">
        <is>
          <t>Low</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2026-09-17</t>
        </is>
      </c>
      <c r="BJ409" s="10" t="inlineStr">
        <is>
          <t>New</t>
        </is>
      </c>
      <c r="BK409" s="10" t="inlineStr">
        <is>
          <t>2026-09-17</t>
        </is>
      </c>
      <c r="BL409" s="10" t="inlineStr"/>
      <c r="BM409" s="10" t="inlineStr"/>
      <c r="BN409" s="10" t="inlineStr"/>
      <c r="BO409" s="10" t="inlineStr"/>
      <c r="BP409" s="10" t="inlineStr"/>
      <c r="BQ409" s="10" t="inlineStr"/>
    </row>
    <row r="410">
      <c r="A410" s="5" t="inlineStr">
        <is>
          <t>UK-000610</t>
        </is>
      </c>
      <c r="B410" s="5" t="inlineStr">
        <is>
          <t>UK-000610-01</t>
        </is>
      </c>
      <c r="C410" s="5" t="inlineStr"/>
      <c r="D410" s="5" t="inlineStr">
        <is>
          <t>Ganapathy Cash &amp; Carry</t>
        </is>
      </c>
      <c r="E410" s="5" t="inlineStr">
        <is>
          <t>Ganapathy Cash &amp; Carry</t>
        </is>
      </c>
      <c r="F410" s="5" t="inlineStr"/>
      <c r="G410" s="5" t="inlineStr">
        <is>
          <t>Cash &amp; Carry</t>
        </is>
      </c>
      <c r="H410" s="5" t="inlineStr"/>
      <c r="I410" s="5" t="inlineStr">
        <is>
          <t>Independent</t>
        </is>
      </c>
      <c r="J410" s="5" t="inlineStr">
        <is>
          <t>1</t>
        </is>
      </c>
      <c r="K410" s="5" t="inlineStr"/>
      <c r="L410" s="5" t="inlineStr"/>
      <c r="M410" s="5" t="inlineStr"/>
      <c r="N410" s="5" t="inlineStr"/>
      <c r="O410" s="5" t="inlineStr">
        <is>
          <t>34-38 Ealing Road</t>
        </is>
      </c>
      <c r="P410" s="5" t="inlineStr"/>
      <c r="Q410" s="5" t="inlineStr">
        <is>
          <t>Wembley</t>
        </is>
      </c>
      <c r="R410" s="5" t="inlineStr">
        <is>
          <t>Greater London</t>
        </is>
      </c>
      <c r="S410" s="5" t="inlineStr">
        <is>
          <t>HA0 4TL</t>
        </is>
      </c>
      <c r="T410" s="5" t="inlineStr">
        <is>
          <t>London</t>
        </is>
      </c>
      <c r="U410" s="5" t="inlineStr">
        <is>
          <t>England</t>
        </is>
      </c>
      <c r="V410" s="5" t="inlineStr">
        <is>
          <t>020 8900 0100</t>
        </is>
      </c>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grocery wholesale; South Asian foods</t>
        </is>
      </c>
      <c r="AL410" s="5" t="inlineStr"/>
      <c r="AM410" s="5" t="inlineStr">
        <is>
          <t>Cash &amp; Carry</t>
        </is>
      </c>
      <c r="AN410" s="5" t="inlineStr"/>
      <c r="AO410" s="5" t="inlineStr">
        <is>
          <t>Independent cash &amp; carry, Ealing Road, Wembley. Address and phone from Yell listings.</t>
        </is>
      </c>
      <c r="AP410" s="5" t="inlineStr">
        <is>
          <t>Medium</t>
        </is>
      </c>
      <c r="AQ410" s="5" t="inlineStr">
        <is>
          <t>Independent retailer; Core relevant category</t>
        </is>
      </c>
      <c r="AR410" s="5" t="inlineStr">
        <is>
          <t>https://www.yell.com/biz/ganapathy-cash-and-carry-wembley-5472445/</t>
        </is>
      </c>
      <c r="AS410" s="5" t="inlineStr"/>
      <c r="AT410" s="5" t="inlineStr">
        <is>
          <t>1</t>
        </is>
      </c>
      <c r="AU410" s="5" t="inlineStr">
        <is>
          <t>No</t>
        </is>
      </c>
      <c r="AV410" s="5" t="inlineStr">
        <is>
          <t>No</t>
        </is>
      </c>
      <c r="AW410" s="5" t="inlineStr">
        <is>
          <t>No</t>
        </is>
      </c>
      <c r="AX410" s="5" t="inlineStr">
        <is>
          <t>No</t>
        </is>
      </c>
      <c r="AY410" s="5" t="inlineStr">
        <is>
          <t>Verified directory</t>
        </is>
      </c>
      <c r="AZ410" s="5" t="inlineStr">
        <is>
          <t>Not Found</t>
        </is>
      </c>
      <c r="BA410" s="5" t="inlineStr">
        <is>
          <t>2026-09-17</t>
        </is>
      </c>
      <c r="BB410" s="5" t="inlineStr">
        <is>
          <t>Requires Verification</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WY-0088</t>
        </is>
      </c>
      <c r="B411" s="10" t="inlineStr">
        <is>
          <t>WY-0088-01</t>
        </is>
      </c>
      <c r="C411" s="10" t="inlineStr"/>
      <c r="D411" s="10" t="inlineStr">
        <is>
          <t>Get Plugged</t>
        </is>
      </c>
      <c r="E411" s="10" t="inlineStr">
        <is>
          <t>Get Plugged</t>
        </is>
      </c>
      <c r="F411" s="10" t="inlineStr"/>
      <c r="G411" s="10" t="inlineStr">
        <is>
          <t>Vape Shop</t>
        </is>
      </c>
      <c r="H411" s="10" t="inlineStr">
        <is>
          <t>Vape shop and convenience snacks</t>
        </is>
      </c>
      <c r="I411" s="10" t="inlineStr">
        <is>
          <t>Independent</t>
        </is>
      </c>
      <c r="J411" s="10" t="inlineStr">
        <is>
          <t>1</t>
        </is>
      </c>
      <c r="K411" s="10" t="inlineStr">
        <is>
          <t>https://getplugged.co.uk/</t>
        </is>
      </c>
      <c r="L411" s="10" t="inlineStr">
        <is>
          <t>https://www.facebook.com/p/Get-Plugged-61559687350403/</t>
        </is>
      </c>
      <c r="M411" s="10" t="inlineStr"/>
      <c r="N411" s="10" t="inlineStr"/>
      <c r="O411" s="10" t="inlineStr">
        <is>
          <t>Bradford Road</t>
        </is>
      </c>
      <c r="P411" s="10" t="inlineStr"/>
      <c r="Q411" s="10" t="inlineStr">
        <is>
          <t>Huddersfield</t>
        </is>
      </c>
      <c r="R411" s="10" t="inlineStr">
        <is>
          <t>West Yorkshire</t>
        </is>
      </c>
      <c r="S411" s="10" t="inlineStr"/>
      <c r="T411" s="10" t="inlineStr">
        <is>
          <t>Yorkshire &amp; Humber</t>
        </is>
      </c>
      <c r="U411" s="10" t="inlineStr">
        <is>
          <t>England</t>
        </is>
      </c>
      <c r="V411" s="10" t="inlineStr"/>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vape hardware; e-liquids; disposable vapes; snacks and drinks</t>
        </is>
      </c>
      <c r="AL411" s="10" t="inlineStr"/>
      <c r="AM411" s="10" t="inlineStr">
        <is>
          <t>Vape Shop</t>
        </is>
      </c>
      <c r="AN411" s="10" t="inlineStr"/>
      <c r="AO411" s="10" t="inlineStr">
        <is>
          <t>Open 10am-midnight seven days. Street number and postcode not published in accessible sources; own site getplugged.co.uk could not be fetched (proxy blocked).</t>
        </is>
      </c>
      <c r="AP411" s="10" t="inlineStr">
        <is>
          <t>Medium</t>
        </is>
      </c>
      <c r="AQ411" s="10" t="inlineStr">
        <is>
          <t>Independent retailer; Core relevant category; Active website; Social presence</t>
        </is>
      </c>
      <c r="AR411" s="10" t="inlineStr">
        <is>
          <t>https://getplugged.co.uk/</t>
        </is>
      </c>
      <c r="AS411" s="10" t="inlineStr">
        <is>
          <t>https://www.facebook.com/p/Get-Plugged-61559687350403/</t>
        </is>
      </c>
      <c r="AT411" s="10" t="inlineStr">
        <is>
          <t>3</t>
        </is>
      </c>
      <c r="AU411" s="10" t="inlineStr">
        <is>
          <t>No</t>
        </is>
      </c>
      <c r="AV411" s="10" t="inlineStr">
        <is>
          <t>No</t>
        </is>
      </c>
      <c r="AW411" s="10" t="inlineStr">
        <is>
          <t>No</t>
        </is>
      </c>
      <c r="AX411" s="10" t="inlineStr">
        <is>
          <t>No</t>
        </is>
      </c>
      <c r="AY411" s="10" t="inlineStr">
        <is>
          <t>Not Found</t>
        </is>
      </c>
      <c r="AZ411" s="10" t="inlineStr">
        <is>
          <t>Website Found</t>
        </is>
      </c>
      <c r="BA411" s="10" t="inlineStr">
        <is>
          <t>2026-09-17</t>
        </is>
      </c>
      <c r="BB411" s="10" t="inlineStr">
        <is>
          <t>Requires Verification</t>
        </is>
      </c>
      <c r="BC411" s="10" t="inlineStr">
        <is>
          <t>Medium</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2026-09-16</t>
        </is>
      </c>
      <c r="BJ411" s="10" t="inlineStr">
        <is>
          <t>New</t>
        </is>
      </c>
      <c r="BK411" s="10" t="inlineStr">
        <is>
          <t>2026-09-17</t>
        </is>
      </c>
      <c r="BL411" s="10" t="inlineStr"/>
      <c r="BM411" s="10" t="inlineStr"/>
      <c r="BN411" s="10" t="inlineStr"/>
      <c r="BO411" s="10" t="inlineStr"/>
      <c r="BP411" s="10" t="inlineStr"/>
      <c r="BQ411" s="10" t="inlineStr"/>
    </row>
    <row r="412">
      <c r="A412" s="5" t="inlineStr">
        <is>
          <t>WY-0089</t>
        </is>
      </c>
      <c r="B412" s="5" t="inlineStr">
        <is>
          <t>WY-0089-01</t>
        </is>
      </c>
      <c r="C412" s="5" t="inlineStr"/>
      <c r="D412" s="5" t="inlineStr">
        <is>
          <t>Gibraltar Mini Mart</t>
        </is>
      </c>
      <c r="E412" s="5" t="inlineStr">
        <is>
          <t>Gibraltar Mini Mart Vape &amp; Mobile Shop</t>
        </is>
      </c>
      <c r="F412" s="5" t="inlineStr"/>
      <c r="G412" s="5" t="inlineStr">
        <is>
          <t>Convenience Store</t>
        </is>
      </c>
      <c r="H412" s="5" t="inlineStr">
        <is>
          <t>Convenience store with vapes and mobile accessories</t>
        </is>
      </c>
      <c r="I412" s="5" t="inlineStr">
        <is>
          <t>Independent</t>
        </is>
      </c>
      <c r="J412" s="5" t="inlineStr">
        <is>
          <t>1</t>
        </is>
      </c>
      <c r="K412" s="5" t="inlineStr"/>
      <c r="L412" s="5" t="inlineStr"/>
      <c r="M412" s="5" t="inlineStr"/>
      <c r="N412" s="5" t="inlineStr"/>
      <c r="O412" s="5" t="inlineStr">
        <is>
          <t>101 Hopwood Lane</t>
        </is>
      </c>
      <c r="P412" s="5" t="inlineStr"/>
      <c r="Q412" s="5" t="inlineStr">
        <is>
          <t>Halifax</t>
        </is>
      </c>
      <c r="R412" s="5" t="inlineStr">
        <is>
          <t>West Yorkshire</t>
        </is>
      </c>
      <c r="S412" s="5" t="inlineStr"/>
      <c r="T412" s="5" t="inlineStr">
        <is>
          <t>Yorkshire &amp; Humber</t>
        </is>
      </c>
      <c r="U412" s="5" t="inlineStr">
        <is>
          <t>England</t>
        </is>
      </c>
      <c r="V412" s="5" t="inlineStr"/>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convenience; vapes; mobile accessories</t>
        </is>
      </c>
      <c r="AL412" s="5" t="inlineStr"/>
      <c r="AM412" s="5" t="inlineStr">
        <is>
          <t>Convenience Store</t>
        </is>
      </c>
      <c r="AN412" s="5" t="inlineStr"/>
      <c r="AO412" s="5" t="inlineStr">
        <is>
          <t>Sells vapes alongside daily essentials - relevant crossover prospect.</t>
        </is>
      </c>
      <c r="AP412" s="5" t="inlineStr">
        <is>
          <t>Low</t>
        </is>
      </c>
      <c r="AQ412" s="5" t="inlineStr">
        <is>
          <t>Independent retailer; Relevant category</t>
        </is>
      </c>
      <c r="AR412" s="5" t="inlineStr">
        <is>
          <t>https://www.yorkshire.com/halifax/shopping/corner-shops/gibraltar-mini-mart-vapemobile-shop</t>
        </is>
      </c>
      <c r="AS412" s="5" t="inlineStr"/>
      <c r="AT412" s="5" t="inlineStr">
        <is>
          <t>1</t>
        </is>
      </c>
      <c r="AU412" s="5" t="inlineStr">
        <is>
          <t>No</t>
        </is>
      </c>
      <c r="AV412" s="5" t="inlineStr">
        <is>
          <t>No</t>
        </is>
      </c>
      <c r="AW412" s="5" t="inlineStr">
        <is>
          <t>No</t>
        </is>
      </c>
      <c r="AX412" s="5" t="inlineStr">
        <is>
          <t>No</t>
        </is>
      </c>
      <c r="AY412" s="5" t="inlineStr">
        <is>
          <t>Not Found</t>
        </is>
      </c>
      <c r="AZ412" s="5" t="inlineStr">
        <is>
          <t>Not Found</t>
        </is>
      </c>
      <c r="BA412" s="5" t="inlineStr">
        <is>
          <t>2026-09-17</t>
        </is>
      </c>
      <c r="BB412" s="5" t="inlineStr">
        <is>
          <t>Requires Verification</t>
        </is>
      </c>
      <c r="BC412" s="5" t="inlineStr">
        <is>
          <t>Low</t>
        </is>
      </c>
      <c r="BD412" s="5" t="inlineStr"/>
      <c r="BE412" s="5" t="inlineStr">
        <is>
          <t>Business (B2B)</t>
        </is>
      </c>
      <c r="BF412" s="5" t="inlineStr">
        <is>
          <t>Legitimate interest (B2B) - assess per campaign; PECR: corporate subscribers</t>
        </is>
      </c>
      <c r="BG412" s="5" t="inlineStr"/>
      <c r="BH412" s="5" t="inlineStr">
        <is>
          <t>No</t>
        </is>
      </c>
      <c r="BI412" s="5" t="inlineStr">
        <is>
          <t>2026-09-16</t>
        </is>
      </c>
      <c r="BJ412" s="5" t="inlineStr">
        <is>
          <t>New</t>
        </is>
      </c>
      <c r="BK412" s="5" t="inlineStr">
        <is>
          <t>2026-09-17</t>
        </is>
      </c>
      <c r="BL412" s="5" t="inlineStr"/>
      <c r="BM412" s="5" t="inlineStr"/>
      <c r="BN412" s="5" t="inlineStr"/>
      <c r="BO412" s="5" t="inlineStr"/>
      <c r="BP412" s="5" t="inlineStr"/>
      <c r="BQ412" s="5" t="inlineStr"/>
    </row>
    <row r="413">
      <c r="A413" s="10" t="inlineStr">
        <is>
          <t>UK-000359</t>
        </is>
      </c>
      <c r="B413" s="10" t="inlineStr">
        <is>
          <t>UK-000359-01</t>
        </is>
      </c>
      <c r="C413" s="10" t="inlineStr"/>
      <c r="D413" s="10" t="inlineStr">
        <is>
          <t>Global Food Ashton</t>
        </is>
      </c>
      <c r="E413" s="10" t="inlineStr">
        <is>
          <t>Global Food Ashton</t>
        </is>
      </c>
      <c r="F413" s="10" t="inlineStr"/>
      <c r="G413" s="10" t="inlineStr">
        <is>
          <t>Cash &amp; Carry</t>
        </is>
      </c>
      <c r="H413" s="10" t="inlineStr">
        <is>
          <t>Food wholesale</t>
        </is>
      </c>
      <c r="I413" s="10" t="inlineStr">
        <is>
          <t>Independent</t>
        </is>
      </c>
      <c r="J413" s="10" t="inlineStr">
        <is>
          <t>1</t>
        </is>
      </c>
      <c r="K413" s="10" t="inlineStr"/>
      <c r="L413" s="10" t="inlineStr"/>
      <c r="M413" s="10" t="inlineStr"/>
      <c r="N413" s="10" t="inlineStr"/>
      <c r="O413" s="10" t="inlineStr">
        <is>
          <t>Unit 2-5 Union Garage</t>
        </is>
      </c>
      <c r="P413" s="10" t="inlineStr">
        <is>
          <t>Union Street</t>
        </is>
      </c>
      <c r="Q413" s="10" t="inlineStr">
        <is>
          <t>Ashton-under-Lyne</t>
        </is>
      </c>
      <c r="R413" s="10" t="inlineStr">
        <is>
          <t>Greater Manchester</t>
        </is>
      </c>
      <c r="S413" s="10" t="inlineStr">
        <is>
          <t>OL6 6HL</t>
        </is>
      </c>
      <c r="T413" s="10" t="inlineStr">
        <is>
          <t>North West</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wholesale food; cash and carry</t>
        </is>
      </c>
      <c r="AL413" s="10" t="inlineStr"/>
      <c r="AM413" s="10" t="inlineStr">
        <is>
          <t>Cash &amp; Carry</t>
        </is>
      </c>
      <c r="AN413" s="10" t="inlineStr"/>
      <c r="AO413" s="10" t="inlineStr">
        <is>
          <t>Cash &amp; carry wholesaler on Union Street, Ashton-under-Lyne.</t>
        </is>
      </c>
      <c r="AP413" s="10" t="inlineStr">
        <is>
          <t>Medium</t>
        </is>
      </c>
      <c r="AQ413" s="10" t="inlineStr">
        <is>
          <t>Independent retailer; Core relevant category</t>
        </is>
      </c>
      <c r="AR413" s="10" t="inlineStr">
        <is>
          <t>https://www.yell.com/biz/global-food-ashton-ashton-under-lyne-8490812/</t>
        </is>
      </c>
      <c r="AS413" s="10" t="inlineStr"/>
      <c r="AT413" s="10" t="inlineStr">
        <is>
          <t>1</t>
        </is>
      </c>
      <c r="AU413" s="10" t="inlineStr">
        <is>
          <t>No</t>
        </is>
      </c>
      <c r="AV413" s="10" t="inlineStr">
        <is>
          <t>No</t>
        </is>
      </c>
      <c r="AW413" s="10" t="inlineStr">
        <is>
          <t>No</t>
        </is>
      </c>
      <c r="AX413" s="10" t="inlineStr">
        <is>
          <t>No</t>
        </is>
      </c>
      <c r="AY413" s="10" t="inlineStr">
        <is>
          <t>Not Found</t>
        </is>
      </c>
      <c r="AZ413" s="10" t="inlineStr">
        <is>
          <t>Not Found</t>
        </is>
      </c>
      <c r="BA413" s="10" t="inlineStr">
        <is>
          <t>2026-09-17</t>
        </is>
      </c>
      <c r="BB413" s="10" t="inlineStr">
        <is>
          <t>Requires Verification</t>
        </is>
      </c>
      <c r="BC413" s="10" t="inlineStr">
        <is>
          <t>Low</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WY-0090</t>
        </is>
      </c>
      <c r="B414" s="5" t="inlineStr">
        <is>
          <t>WY-0090-01</t>
        </is>
      </c>
      <c r="C414" s="5" t="inlineStr"/>
      <c r="D414" s="5" t="inlineStr">
        <is>
          <t>Global Mini Market 2</t>
        </is>
      </c>
      <c r="E414" s="5" t="inlineStr">
        <is>
          <t>Global Mini Market 2</t>
        </is>
      </c>
      <c r="F414" s="5" t="inlineStr"/>
      <c r="G414" s="5" t="inlineStr">
        <is>
          <t>Convenience Store</t>
        </is>
      </c>
      <c r="H414" s="5" t="inlineStr">
        <is>
          <t>24-hour convenience store &amp; off-licence</t>
        </is>
      </c>
      <c r="I414" s="5" t="inlineStr">
        <is>
          <t>Independent</t>
        </is>
      </c>
      <c r="J414" s="5" t="inlineStr">
        <is>
          <t>1</t>
        </is>
      </c>
      <c r="K414" s="5" t="inlineStr"/>
      <c r="L414" s="5" t="inlineStr"/>
      <c r="M414" s="5" t="inlineStr"/>
      <c r="N414" s="5" t="inlineStr"/>
      <c r="O414" s="5" t="inlineStr">
        <is>
          <t>83-85 Main Street</t>
        </is>
      </c>
      <c r="P414" s="5" t="inlineStr"/>
      <c r="Q414" s="5" t="inlineStr">
        <is>
          <t>Bingley</t>
        </is>
      </c>
      <c r="R414" s="5" t="inlineStr">
        <is>
          <t>West Yorkshire</t>
        </is>
      </c>
      <c r="S414" s="5" t="inlineStr">
        <is>
          <t>BD16 2JA</t>
        </is>
      </c>
      <c r="T414" s="5" t="inlineStr">
        <is>
          <t>Yorkshire &amp; Humber</t>
        </is>
      </c>
      <c r="U414" s="5" t="inlineStr">
        <is>
          <t>England</t>
        </is>
      </c>
      <c r="V414" s="5" t="inlineStr"/>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alcohol; convenience lines; groceries</t>
        </is>
      </c>
      <c r="AL414" s="5" t="inlineStr"/>
      <c r="AM414" s="5" t="inlineStr">
        <is>
          <t>Convenience Store</t>
        </is>
      </c>
      <c r="AN414" s="5" t="inlineStr"/>
      <c r="AO414" s="5" t="inlineStr">
        <is>
          <t>24/7 convenience store / off-licence on Bingley Main Street per 24houralcohol.co.uk listing.</t>
        </is>
      </c>
      <c r="AP414" s="5" t="inlineStr">
        <is>
          <t>Low</t>
        </is>
      </c>
      <c r="AQ414" s="5" t="inlineStr">
        <is>
          <t>Independent retailer; Relevant category</t>
        </is>
      </c>
      <c r="AR414" s="5" t="inlineStr">
        <is>
          <t>https://www.24houralcohol.co.uk/bradford-off-licences</t>
        </is>
      </c>
      <c r="AS414" s="5" t="inlineStr"/>
      <c r="AT414" s="5" t="inlineStr">
        <is>
          <t>1</t>
        </is>
      </c>
      <c r="AU414" s="5" t="inlineStr">
        <is>
          <t>No</t>
        </is>
      </c>
      <c r="AV414" s="5" t="inlineStr">
        <is>
          <t>No</t>
        </is>
      </c>
      <c r="AW414" s="5" t="inlineStr">
        <is>
          <t>No</t>
        </is>
      </c>
      <c r="AX414" s="5" t="inlineStr">
        <is>
          <t>No</t>
        </is>
      </c>
      <c r="AY414" s="5" t="inlineStr">
        <is>
          <t>Not Found</t>
        </is>
      </c>
      <c r="AZ414" s="5" t="inlineStr">
        <is>
          <t>Not Found</t>
        </is>
      </c>
      <c r="BA414" s="5" t="inlineStr">
        <is>
          <t>2026-09-17</t>
        </is>
      </c>
      <c r="BB414" s="5" t="inlineStr">
        <is>
          <t>Requires Verification</t>
        </is>
      </c>
      <c r="BC414" s="5" t="inlineStr">
        <is>
          <t>Medium</t>
        </is>
      </c>
      <c r="BD414" s="5" t="inlineStr"/>
      <c r="BE414" s="5" t="inlineStr">
        <is>
          <t>Business (B2B)</t>
        </is>
      </c>
      <c r="BF414" s="5" t="inlineStr">
        <is>
          <t>Legitimate interest (B2B) - assess per campaign; PECR: corporate subscribers</t>
        </is>
      </c>
      <c r="BG414" s="5" t="inlineStr"/>
      <c r="BH414" s="5" t="inlineStr">
        <is>
          <t>No</t>
        </is>
      </c>
      <c r="BI414" s="5" t="inlineStr">
        <is>
          <t>2026-09-16</t>
        </is>
      </c>
      <c r="BJ414" s="5" t="inlineStr">
        <is>
          <t>New</t>
        </is>
      </c>
      <c r="BK414" s="5" t="inlineStr">
        <is>
          <t>2026-09-17</t>
        </is>
      </c>
      <c r="BL414" s="5" t="inlineStr"/>
      <c r="BM414" s="5" t="inlineStr"/>
      <c r="BN414" s="5" t="inlineStr"/>
      <c r="BO414" s="5" t="inlineStr"/>
      <c r="BP414" s="5" t="inlineStr"/>
      <c r="BQ414" s="5" t="inlineStr"/>
    </row>
    <row r="415">
      <c r="A415" s="10" t="inlineStr">
        <is>
          <t>UK-000611</t>
        </is>
      </c>
      <c r="B415" s="10" t="inlineStr">
        <is>
          <t>UK-000611-01</t>
        </is>
      </c>
      <c r="C415" s="10" t="inlineStr"/>
      <c r="D415" s="10" t="inlineStr">
        <is>
          <t>Global News</t>
        </is>
      </c>
      <c r="E415" s="10" t="inlineStr">
        <is>
          <t>Global News</t>
        </is>
      </c>
      <c r="F415" s="10" t="inlineStr"/>
      <c r="G415" s="10" t="inlineStr">
        <is>
          <t>Newsagent</t>
        </is>
      </c>
      <c r="H415" s="10" t="inlineStr">
        <is>
          <t>Newsagent &amp; off-licence</t>
        </is>
      </c>
      <c r="I415" s="10" t="inlineStr">
        <is>
          <t>Independent</t>
        </is>
      </c>
      <c r="J415" s="10" t="inlineStr">
        <is>
          <t>1</t>
        </is>
      </c>
      <c r="K415" s="10" t="inlineStr"/>
      <c r="L415" s="10" t="inlineStr"/>
      <c r="M415" s="10" t="inlineStr"/>
      <c r="N415" s="10" t="inlineStr"/>
      <c r="O415" s="10" t="inlineStr">
        <is>
          <t>55 Broadway</t>
        </is>
      </c>
      <c r="P415" s="10" t="inlineStr"/>
      <c r="Q415" s="10" t="inlineStr">
        <is>
          <t>Stratford</t>
        </is>
      </c>
      <c r="R415" s="10" t="inlineStr">
        <is>
          <t>Greater London</t>
        </is>
      </c>
      <c r="S415" s="10" t="inlineStr">
        <is>
          <t>E15 4BQ</t>
        </is>
      </c>
      <c r="T415" s="10" t="inlineStr">
        <is>
          <t>London</t>
        </is>
      </c>
      <c r="U415" s="10" t="inlineStr">
        <is>
          <t>England</t>
        </is>
      </c>
      <c r="V415" s="10" t="inlineStr"/>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newspapers; confectionery; tobacco; alcohol</t>
        </is>
      </c>
      <c r="AL415" s="10" t="inlineStr"/>
      <c r="AM415" s="10" t="inlineStr">
        <is>
          <t>Newsagent</t>
        </is>
      </c>
      <c r="AN415" s="10" t="inlineStr"/>
      <c r="AO415" s="10" t="inlineStr">
        <is>
          <t>Newsagent/off-licence on Broadway, Stratford. Address/postcode from Yell directory. Phone not in snippet.</t>
        </is>
      </c>
      <c r="AP415" s="10" t="inlineStr">
        <is>
          <t>Low</t>
        </is>
      </c>
      <c r="AQ415" s="10" t="inlineStr">
        <is>
          <t>Independent retailer; Relevant category</t>
        </is>
      </c>
      <c r="AR415" s="10" t="inlineStr">
        <is>
          <t>https://www.yell.com/s/vape+shops-stratford-east+london.html</t>
        </is>
      </c>
      <c r="AS415" s="10" t="inlineStr"/>
      <c r="AT415" s="10" t="inlineStr">
        <is>
          <t>1</t>
        </is>
      </c>
      <c r="AU415" s="10" t="inlineStr">
        <is>
          <t>No</t>
        </is>
      </c>
      <c r="AV415" s="10" t="inlineStr">
        <is>
          <t>No</t>
        </is>
      </c>
      <c r="AW415" s="10" t="inlineStr">
        <is>
          <t>No</t>
        </is>
      </c>
      <c r="AX415" s="10" t="inlineStr">
        <is>
          <t>No</t>
        </is>
      </c>
      <c r="AY415" s="10" t="inlineStr">
        <is>
          <t>Not Found</t>
        </is>
      </c>
      <c r="AZ415" s="10" t="inlineStr">
        <is>
          <t>Not Found</t>
        </is>
      </c>
      <c r="BA415" s="10" t="inlineStr">
        <is>
          <t>2026-09-17</t>
        </is>
      </c>
      <c r="BB415" s="10" t="inlineStr">
        <is>
          <t>Requires Verification</t>
        </is>
      </c>
      <c r="BC415" s="10" t="inlineStr">
        <is>
          <t>Low</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UK-000777</t>
        </is>
      </c>
      <c r="B416" s="5" t="inlineStr">
        <is>
          <t>UK-000777-01</t>
        </is>
      </c>
      <c r="C416" s="5" t="inlineStr"/>
      <c r="D416" s="5" t="inlineStr">
        <is>
          <t>Goldenacre Wines</t>
        </is>
      </c>
      <c r="E416" s="5" t="inlineStr">
        <is>
          <t>Goldenacre Wines</t>
        </is>
      </c>
      <c r="F416" s="5" t="inlineStr"/>
      <c r="G416" s="5" t="inlineStr">
        <is>
          <t>Off-Licence</t>
        </is>
      </c>
      <c r="H416" s="5" t="inlineStr">
        <is>
          <t>Wine merchant &amp; off-licence</t>
        </is>
      </c>
      <c r="I416" s="5" t="inlineStr">
        <is>
          <t>Independent</t>
        </is>
      </c>
      <c r="J416" s="5" t="inlineStr">
        <is>
          <t>1</t>
        </is>
      </c>
      <c r="K416" s="5" t="inlineStr"/>
      <c r="L416" s="5" t="inlineStr"/>
      <c r="M416" s="5" t="inlineStr"/>
      <c r="N416" s="5" t="inlineStr"/>
      <c r="O416" s="5" t="inlineStr">
        <is>
          <t>58-59 Inverleith Row</t>
        </is>
      </c>
      <c r="P416" s="5" t="inlineStr"/>
      <c r="Q416" s="5" t="inlineStr">
        <is>
          <t>Edinburgh</t>
        </is>
      </c>
      <c r="R416" s="5" t="inlineStr">
        <is>
          <t>City of Edinburgh</t>
        </is>
      </c>
      <c r="S416" s="5" t="inlineStr">
        <is>
          <t>EH3 5PX</t>
        </is>
      </c>
      <c r="T416" s="5" t="inlineStr">
        <is>
          <t>Scotland</t>
        </is>
      </c>
      <c r="U416" s="5" t="inlineStr">
        <is>
          <t>Scotland</t>
        </is>
      </c>
      <c r="V416" s="5" t="inlineStr">
        <is>
          <t>0131 552 8064</t>
        </is>
      </c>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wine; spirits; groceries; tobacco</t>
        </is>
      </c>
      <c r="AL416" s="5" t="inlineStr"/>
      <c r="AM416" s="5" t="inlineStr">
        <is>
          <t>Off-Licence</t>
        </is>
      </c>
      <c r="AN416" s="5" t="inlineStr"/>
      <c r="AO416" s="5" t="inlineStr">
        <is>
          <t>Independent off-licence / wine merchant near Goldenacre (Inverleith Row). Details from Yell off-licences Leith listing snippet.</t>
        </is>
      </c>
      <c r="AP416" s="5" t="inlineStr">
        <is>
          <t>Low</t>
        </is>
      </c>
      <c r="AQ416" s="5" t="inlineStr">
        <is>
          <t>Independent retailer; Relevant category</t>
        </is>
      </c>
      <c r="AR416" s="5" t="inlineStr">
        <is>
          <t>https://www.yell.com/s/off+licences-leith.html</t>
        </is>
      </c>
      <c r="AS416" s="5" t="inlineStr"/>
      <c r="AT416" s="5" t="inlineStr">
        <is>
          <t>1</t>
        </is>
      </c>
      <c r="AU416" s="5" t="inlineStr">
        <is>
          <t>No</t>
        </is>
      </c>
      <c r="AV416" s="5" t="inlineStr">
        <is>
          <t>No</t>
        </is>
      </c>
      <c r="AW416" s="5" t="inlineStr">
        <is>
          <t>No</t>
        </is>
      </c>
      <c r="AX416" s="5" t="inlineStr">
        <is>
          <t>No</t>
        </is>
      </c>
      <c r="AY416" s="5" t="inlineStr">
        <is>
          <t>Verified directory</t>
        </is>
      </c>
      <c r="AZ416" s="5" t="inlineStr">
        <is>
          <t>Not Found</t>
        </is>
      </c>
      <c r="BA416" s="5" t="inlineStr">
        <is>
          <t>2026-09-17</t>
        </is>
      </c>
      <c r="BB416" s="5" t="inlineStr">
        <is>
          <t>Requires Verification</t>
        </is>
      </c>
      <c r="BC416" s="5" t="inlineStr">
        <is>
          <t>Medium</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UK-000778</t>
        </is>
      </c>
      <c r="B417" s="10" t="inlineStr">
        <is>
          <t>UK-000778-01</t>
        </is>
      </c>
      <c r="C417" s="10" t="inlineStr"/>
      <c r="D417" s="10" t="inlineStr">
        <is>
          <t>Granby Supermarkets</t>
        </is>
      </c>
      <c r="E417" s="10" t="inlineStr">
        <is>
          <t>Granby Supermarkets</t>
        </is>
      </c>
      <c r="F417" s="10" t="inlineStr"/>
      <c r="G417" s="10" t="inlineStr">
        <is>
          <t>Independent Supermarket</t>
        </is>
      </c>
      <c r="H417" s="10" t="inlineStr">
        <is>
          <t>World-food / international supermarket</t>
        </is>
      </c>
      <c r="I417" s="10" t="inlineStr">
        <is>
          <t>Independent</t>
        </is>
      </c>
      <c r="J417" s="10" t="inlineStr">
        <is>
          <t>1</t>
        </is>
      </c>
      <c r="K417" s="10" t="inlineStr"/>
      <c r="L417" s="10" t="inlineStr"/>
      <c r="M417" s="10" t="inlineStr"/>
      <c r="N417" s="10" t="inlineStr"/>
      <c r="O417" s="10" t="inlineStr">
        <is>
          <t>83 Granby Street</t>
        </is>
      </c>
      <c r="P417" s="10" t="inlineStr">
        <is>
          <t>Toxteth</t>
        </is>
      </c>
      <c r="Q417" s="10" t="inlineStr">
        <is>
          <t>Liverpool</t>
        </is>
      </c>
      <c r="R417" s="10" t="inlineStr">
        <is>
          <t>Merseyside</t>
        </is>
      </c>
      <c r="S417" s="10" t="inlineStr">
        <is>
          <t>L8 2US</t>
        </is>
      </c>
      <c r="T417" s="10" t="inlineStr">
        <is>
          <t>North West</t>
        </is>
      </c>
      <c r="U417" s="10" t="inlineStr">
        <is>
          <t>England</t>
        </is>
      </c>
      <c r="V417" s="10" t="inlineStr">
        <is>
          <t>0151 709 7732</t>
        </is>
      </c>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international groceries; world food; halal foods</t>
        </is>
      </c>
      <c r="AL417" s="10" t="inlineStr"/>
      <c r="AM417" s="10" t="inlineStr">
        <is>
          <t>Independent Supermarket</t>
        </is>
      </c>
      <c r="AN417" s="10" t="inlineStr"/>
      <c r="AO417" s="10" t="inlineStr">
        <is>
          <t>Independent world-food supermarket on Granby Street, Toxteth (L8, Granby/Four Streets area).</t>
        </is>
      </c>
      <c r="AP417" s="10" t="inlineStr">
        <is>
          <t>Low</t>
        </is>
      </c>
      <c r="AQ417" s="10" t="inlineStr">
        <is>
          <t>Independent retailer; Relevant category</t>
        </is>
      </c>
      <c r="AR417" s="10" t="inlineStr">
        <is>
          <t>https://www.yell.com/biz/granby-supermarkets-liverpool-8906587/</t>
        </is>
      </c>
      <c r="AS417" s="10" t="inlineStr"/>
      <c r="AT417" s="10" t="inlineStr">
        <is>
          <t>1</t>
        </is>
      </c>
      <c r="AU417" s="10" t="inlineStr">
        <is>
          <t>No</t>
        </is>
      </c>
      <c r="AV417" s="10" t="inlineStr">
        <is>
          <t>No</t>
        </is>
      </c>
      <c r="AW417" s="10" t="inlineStr">
        <is>
          <t>No</t>
        </is>
      </c>
      <c r="AX417" s="10" t="inlineStr">
        <is>
          <t>No</t>
        </is>
      </c>
      <c r="AY417" s="10" t="inlineStr">
        <is>
          <t>Verified directory</t>
        </is>
      </c>
      <c r="AZ417" s="10" t="inlineStr">
        <is>
          <t>Not Found</t>
        </is>
      </c>
      <c r="BA417" s="10" t="inlineStr">
        <is>
          <t>2026-09-17</t>
        </is>
      </c>
      <c r="BB417" s="10" t="inlineStr">
        <is>
          <t>Requires Verification</t>
        </is>
      </c>
      <c r="BC417" s="10" t="inlineStr">
        <is>
          <t>Low</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UK-000473</t>
        </is>
      </c>
      <c r="B418" s="5" t="inlineStr">
        <is>
          <t>UK-000473-01</t>
        </is>
      </c>
      <c r="C418" s="5" t="inlineStr"/>
      <c r="D418" s="5" t="inlineStr">
        <is>
          <t>Green Supermarket</t>
        </is>
      </c>
      <c r="E418" s="5" t="inlineStr">
        <is>
          <t>Green Supermarket</t>
        </is>
      </c>
      <c r="F418" s="5" t="inlineStr"/>
      <c r="G418" s="5" t="inlineStr">
        <is>
          <t>Independent Supermarket</t>
        </is>
      </c>
      <c r="H418" s="5" t="inlineStr">
        <is>
          <t>Halal / world food supermarket</t>
        </is>
      </c>
      <c r="I418" s="5" t="inlineStr">
        <is>
          <t>Independent</t>
        </is>
      </c>
      <c r="J418" s="5" t="inlineStr">
        <is>
          <t>1</t>
        </is>
      </c>
      <c r="K418" s="5" t="inlineStr"/>
      <c r="L418" s="5" t="inlineStr"/>
      <c r="M418" s="5" t="inlineStr"/>
      <c r="N418" s="5" t="inlineStr"/>
      <c r="O418" s="5" t="inlineStr">
        <is>
          <t>325 Washwood Heath Road</t>
        </is>
      </c>
      <c r="P418" s="5" t="inlineStr">
        <is>
          <t>Washwood Heath</t>
        </is>
      </c>
      <c r="Q418" s="5" t="inlineStr">
        <is>
          <t>Birmingham</t>
        </is>
      </c>
      <c r="R418" s="5" t="inlineStr">
        <is>
          <t>West Midlands</t>
        </is>
      </c>
      <c r="S418" s="5" t="inlineStr">
        <is>
          <t>B8 2XJ</t>
        </is>
      </c>
      <c r="T418" s="5" t="inlineStr">
        <is>
          <t>West Midlands</t>
        </is>
      </c>
      <c r="U418" s="5" t="inlineStr">
        <is>
          <t>England</t>
        </is>
      </c>
      <c r="V418" s="5" t="inlineStr"/>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world food; grocery; fresh produce</t>
        </is>
      </c>
      <c r="AL418" s="5" t="inlineStr"/>
      <c r="AM418" s="5" t="inlineStr">
        <is>
          <t>Independent Supermarket</t>
        </is>
      </c>
      <c r="AN418" s="5" t="inlineStr"/>
      <c r="AO418" s="5" t="inlineStr">
        <is>
          <t>Independent supermarket on Washwood Heath Road (Alum Rock/Washwood Heath).</t>
        </is>
      </c>
      <c r="AP418" s="5" t="inlineStr">
        <is>
          <t>Low</t>
        </is>
      </c>
      <c r="AQ418" s="5" t="inlineStr">
        <is>
          <t>Independent retailer; Relevant category</t>
        </is>
      </c>
      <c r="AR418" s="5" t="inlineStr">
        <is>
          <t>https://birmingham.ukintouch.com/supermarket/green-supermarket/</t>
        </is>
      </c>
      <c r="AS418" s="5" t="inlineStr"/>
      <c r="AT418" s="5" t="inlineStr">
        <is>
          <t>1</t>
        </is>
      </c>
      <c r="AU418" s="5" t="inlineStr">
        <is>
          <t>No</t>
        </is>
      </c>
      <c r="AV418" s="5" t="inlineStr">
        <is>
          <t>No</t>
        </is>
      </c>
      <c r="AW418" s="5" t="inlineStr">
        <is>
          <t>No</t>
        </is>
      </c>
      <c r="AX418" s="5" t="inlineStr">
        <is>
          <t>No</t>
        </is>
      </c>
      <c r="AY418" s="5" t="inlineStr">
        <is>
          <t>Not Found</t>
        </is>
      </c>
      <c r="AZ418" s="5" t="inlineStr">
        <is>
          <t>Not Found</t>
        </is>
      </c>
      <c r="BA418" s="5" t="inlineStr">
        <is>
          <t>2026-09-17</t>
        </is>
      </c>
      <c r="BB418" s="5" t="inlineStr">
        <is>
          <t>Requires Verification</t>
        </is>
      </c>
      <c r="BC418" s="5" t="inlineStr">
        <is>
          <t>Low</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WY-0091</t>
        </is>
      </c>
      <c r="B419" s="10" t="inlineStr">
        <is>
          <t>WY-0091-01</t>
        </is>
      </c>
      <c r="C419" s="10" t="inlineStr"/>
      <c r="D419" s="10" t="inlineStr">
        <is>
          <t>Greengates Service Station</t>
        </is>
      </c>
      <c r="E419" s="10" t="inlineStr">
        <is>
          <t>Greengates Service Station</t>
        </is>
      </c>
      <c r="F419" s="10" t="inlineStr"/>
      <c r="G419" s="10" t="inlineStr">
        <is>
          <t>Petrol Station / Forecourt</t>
        </is>
      </c>
      <c r="H419" s="10" t="inlineStr">
        <is>
          <t>Forecourt with shop</t>
        </is>
      </c>
      <c r="I419" s="10" t="inlineStr">
        <is>
          <t>Unknown</t>
        </is>
      </c>
      <c r="J419" s="10" t="inlineStr">
        <is>
          <t>1</t>
        </is>
      </c>
      <c r="K419" s="10" t="inlineStr"/>
      <c r="L419" s="10" t="inlineStr"/>
      <c r="M419" s="10" t="inlineStr"/>
      <c r="N419" s="10" t="inlineStr"/>
      <c r="O419" s="10" t="inlineStr"/>
      <c r="P419" s="10" t="inlineStr">
        <is>
          <t>Greengates</t>
        </is>
      </c>
      <c r="Q419" s="10" t="inlineStr">
        <is>
          <t>Bradford</t>
        </is>
      </c>
      <c r="R419" s="10" t="inlineStr">
        <is>
          <t>West Yorkshire</t>
        </is>
      </c>
      <c r="S419" s="10" t="inlineStr"/>
      <c r="T419" s="10" t="inlineStr">
        <is>
          <t>Yorkshire &amp; Humber</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fuel; convenience shop lines</t>
        </is>
      </c>
      <c r="AL419" s="10" t="inlineStr"/>
      <c r="AM419" s="10" t="inlineStr">
        <is>
          <t>Petrol Station / Forecourt</t>
        </is>
      </c>
      <c r="AN419" s="10" t="inlineStr"/>
      <c r="AO419" s="10" t="inlineStr">
        <is>
          <t>Forecourt in the Greengates area (near Eccleshill), listed on Fuel Map UK. Operator/ownership not yet established - verify independence before outreach.</t>
        </is>
      </c>
      <c r="AP419" s="10" t="inlineStr">
        <is>
          <t>Low</t>
        </is>
      </c>
      <c r="AQ419" s="10" t="inlineStr">
        <is>
          <t>Relevant category</t>
        </is>
      </c>
      <c r="AR419" s="10" t="inlineStr">
        <is>
          <t>https://fuelmap.co.uk/forecourt/612/</t>
        </is>
      </c>
      <c r="AS419" s="10" t="inlineStr"/>
      <c r="AT419" s="10" t="inlineStr">
        <is>
          <t>1</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2026-09-16</t>
        </is>
      </c>
      <c r="BJ419" s="10" t="inlineStr">
        <is>
          <t>New</t>
        </is>
      </c>
      <c r="BK419" s="10" t="inlineStr">
        <is>
          <t>2026-09-17</t>
        </is>
      </c>
      <c r="BL419" s="10" t="inlineStr"/>
      <c r="BM419" s="10" t="inlineStr"/>
      <c r="BN419" s="10" t="inlineStr"/>
      <c r="BO419" s="10" t="inlineStr"/>
      <c r="BP419" s="10" t="inlineStr"/>
      <c r="BQ419" s="10" t="inlineStr"/>
    </row>
    <row r="420">
      <c r="A420" s="5" t="inlineStr">
        <is>
          <t>UK-000251</t>
        </is>
      </c>
      <c r="B420" s="5" t="inlineStr">
        <is>
          <t>UK-000251-01</t>
        </is>
      </c>
      <c r="C420" s="5" t="inlineStr"/>
      <c r="D420" s="5" t="inlineStr">
        <is>
          <t>Greenroof Service Station</t>
        </is>
      </c>
      <c r="E420" s="5" t="inlineStr">
        <is>
          <t>Greenroof Service Station</t>
        </is>
      </c>
      <c r="F420" s="5" t="inlineStr"/>
      <c r="G420" s="5" t="inlineStr">
        <is>
          <t>Petrol Station / Forecourt</t>
        </is>
      </c>
      <c r="H420" s="5" t="inlineStr">
        <is>
          <t>Independent forecourt</t>
        </is>
      </c>
      <c r="I420" s="5" t="inlineStr">
        <is>
          <t>Independent</t>
        </is>
      </c>
      <c r="J420" s="5" t="inlineStr">
        <is>
          <t>1</t>
        </is>
      </c>
      <c r="K420" s="5" t="inlineStr"/>
      <c r="L420" s="5" t="inlineStr"/>
      <c r="M420" s="5" t="inlineStr"/>
      <c r="N420" s="5" t="inlineStr"/>
      <c r="O420" s="5" t="inlineStr">
        <is>
          <t>Low Street</t>
        </is>
      </c>
      <c r="P420" s="5" t="inlineStr">
        <is>
          <t>Swinefleet</t>
        </is>
      </c>
      <c r="Q420" s="5" t="inlineStr">
        <is>
          <t>Goole</t>
        </is>
      </c>
      <c r="R420" s="5" t="inlineStr">
        <is>
          <t>East Riding of Yorkshire</t>
        </is>
      </c>
      <c r="S420" s="5" t="inlineStr"/>
      <c r="T420" s="5" t="inlineStr">
        <is>
          <t>Yorkshire &amp; Humber</t>
        </is>
      </c>
      <c r="U420" s="5" t="inlineStr">
        <is>
          <t>England</t>
        </is>
      </c>
      <c r="V420" s="5" t="inlineStr"/>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fuel; forecourt convenience</t>
        </is>
      </c>
      <c r="AL420" s="5" t="inlineStr"/>
      <c r="AM420" s="5" t="inlineStr">
        <is>
          <t>Petrol Station / Forecourt</t>
        </is>
      </c>
      <c r="AN420" s="5" t="inlineStr"/>
      <c r="AO420" s="5" t="inlineStr">
        <is>
          <t>Independent petrol service station, Low Street, Swinefleet, near Goole. No postcode/phone in search results.</t>
        </is>
      </c>
      <c r="AP420" s="5" t="inlineStr">
        <is>
          <t>Low</t>
        </is>
      </c>
      <c r="AQ420" s="5" t="inlineStr">
        <is>
          <t>Independent retailer; Relevant category</t>
        </is>
      </c>
      <c r="AR420" s="5" t="inlineStr">
        <is>
          <t>https://directory.hinckleytimes.net/search/scunthorpe/petrol-service-stations</t>
        </is>
      </c>
      <c r="AS420" s="5" t="inlineStr"/>
      <c r="AT420" s="5" t="inlineStr">
        <is>
          <t>1</t>
        </is>
      </c>
      <c r="AU420" s="5" t="inlineStr">
        <is>
          <t>No</t>
        </is>
      </c>
      <c r="AV420" s="5" t="inlineStr">
        <is>
          <t>No</t>
        </is>
      </c>
      <c r="AW420" s="5" t="inlineStr">
        <is>
          <t>No</t>
        </is>
      </c>
      <c r="AX420" s="5" t="inlineStr">
        <is>
          <t>No</t>
        </is>
      </c>
      <c r="AY420" s="5" t="inlineStr">
        <is>
          <t>Not Found</t>
        </is>
      </c>
      <c r="AZ420" s="5" t="inlineStr">
        <is>
          <t>Not Found</t>
        </is>
      </c>
      <c r="BA420" s="5" t="inlineStr">
        <is>
          <t>2026-09-17</t>
        </is>
      </c>
      <c r="BB420" s="5" t="inlineStr">
        <is>
          <t>Requires Verification</t>
        </is>
      </c>
      <c r="BC420" s="5" t="inlineStr">
        <is>
          <t>Low</t>
        </is>
      </c>
      <c r="BD420" s="5" t="inlineStr"/>
      <c r="BE420" s="5" t="inlineStr">
        <is>
          <t>Business (B2B)</t>
        </is>
      </c>
      <c r="BF420" s="5" t="inlineStr">
        <is>
          <t>Legitimate interest (B2B) - assess per campaign; PECR: corporate subscribers</t>
        </is>
      </c>
      <c r="BG420" s="5" t="inlineStr"/>
      <c r="BH420" s="5" t="inlineStr">
        <is>
          <t>No</t>
        </is>
      </c>
      <c r="BI420" s="5" t="inlineStr">
        <is>
          <t>2026-09-16</t>
        </is>
      </c>
      <c r="BJ420" s="5" t="inlineStr">
        <is>
          <t>New</t>
        </is>
      </c>
      <c r="BK420" s="5" t="inlineStr">
        <is>
          <t>2026-09-17</t>
        </is>
      </c>
      <c r="BL420" s="5" t="inlineStr"/>
      <c r="BM420" s="5" t="inlineStr"/>
      <c r="BN420" s="5" t="inlineStr"/>
      <c r="BO420" s="5" t="inlineStr"/>
      <c r="BP420" s="5" t="inlineStr"/>
      <c r="BQ420" s="5" t="inlineStr"/>
    </row>
    <row r="421">
      <c r="A421" s="10" t="inlineStr">
        <is>
          <t>UK-000252</t>
        </is>
      </c>
      <c r="B421" s="10" t="inlineStr">
        <is>
          <t>UK-000252-01</t>
        </is>
      </c>
      <c r="C421" s="10" t="inlineStr"/>
      <c r="D421" s="10" t="inlineStr">
        <is>
          <t>Grimsby Toys and Vapes</t>
        </is>
      </c>
      <c r="E421" s="10" t="inlineStr">
        <is>
          <t>Grimsby Toys and Vapes</t>
        </is>
      </c>
      <c r="F421" s="10" t="inlineStr"/>
      <c r="G421" s="10" t="inlineStr">
        <is>
          <t>Vape Shop</t>
        </is>
      </c>
      <c r="H421" s="10" t="inlineStr">
        <is>
          <t>Vape and toy shop</t>
        </is>
      </c>
      <c r="I421" s="10" t="inlineStr">
        <is>
          <t>Independent</t>
        </is>
      </c>
      <c r="J421" s="10" t="inlineStr">
        <is>
          <t>1</t>
        </is>
      </c>
      <c r="K421" s="10" t="inlineStr"/>
      <c r="L421" s="10" t="inlineStr"/>
      <c r="M421" s="10" t="inlineStr"/>
      <c r="N421" s="10" t="inlineStr"/>
      <c r="O421" s="10" t="inlineStr">
        <is>
          <t>Pasture Street</t>
        </is>
      </c>
      <c r="P421" s="10" t="inlineStr"/>
      <c r="Q421" s="10" t="inlineStr">
        <is>
          <t>Grimsby</t>
        </is>
      </c>
      <c r="R421" s="10" t="inlineStr">
        <is>
          <t>Lincolnshire</t>
        </is>
      </c>
      <c r="S421" s="10" t="inlineStr"/>
      <c r="T421" s="10" t="inlineStr">
        <is>
          <t>Yorkshire &amp; Humber</t>
        </is>
      </c>
      <c r="U421" s="10" t="inlineStr">
        <is>
          <t>England</t>
        </is>
      </c>
      <c r="V421" s="10" t="inlineStr">
        <is>
          <t>07429 286555</t>
        </is>
      </c>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vape hardware; e-liquids; toys</t>
        </is>
      </c>
      <c r="AL421" s="10" t="inlineStr"/>
      <c r="AM421" s="10" t="inlineStr">
        <is>
          <t>Vape Shop</t>
        </is>
      </c>
      <c r="AN421" s="10" t="inlineStr"/>
      <c r="AO421" s="10" t="inlineStr">
        <is>
          <t>Independent vape/toy shop in Grimsby town centre (Pasture Street). No postcode in sources.</t>
        </is>
      </c>
      <c r="AP421" s="10" t="inlineStr">
        <is>
          <t>Medium</t>
        </is>
      </c>
      <c r="AQ421" s="10" t="inlineStr">
        <is>
          <t>Independent retailer; Core relevant category</t>
        </is>
      </c>
      <c r="AR421" s="10" t="inlineStr">
        <is>
          <t>https://grimsbylocal.co.uk/businesses/grimsby-toys-and-vapes</t>
        </is>
      </c>
      <c r="AS421" s="10" t="inlineStr"/>
      <c r="AT421" s="10" t="inlineStr">
        <is>
          <t>1</t>
        </is>
      </c>
      <c r="AU421" s="10" t="inlineStr">
        <is>
          <t>No</t>
        </is>
      </c>
      <c r="AV421" s="10" t="inlineStr">
        <is>
          <t>No</t>
        </is>
      </c>
      <c r="AW421" s="10" t="inlineStr">
        <is>
          <t>No</t>
        </is>
      </c>
      <c r="AX421" s="10" t="inlineStr">
        <is>
          <t>No</t>
        </is>
      </c>
      <c r="AY421" s="10" t="inlineStr">
        <is>
          <t>Verified directory</t>
        </is>
      </c>
      <c r="AZ421" s="10" t="inlineStr">
        <is>
          <t>Not Found</t>
        </is>
      </c>
      <c r="BA421" s="10" t="inlineStr">
        <is>
          <t>2026-09-17</t>
        </is>
      </c>
      <c r="BB421" s="10" t="inlineStr">
        <is>
          <t>Requires Verification</t>
        </is>
      </c>
      <c r="BC421" s="10" t="inlineStr">
        <is>
          <t>Low</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2026-09-16</t>
        </is>
      </c>
      <c r="BJ421" s="10" t="inlineStr">
        <is>
          <t>New</t>
        </is>
      </c>
      <c r="BK421" s="10" t="inlineStr">
        <is>
          <t>2026-09-17</t>
        </is>
      </c>
      <c r="BL421" s="10" t="inlineStr"/>
      <c r="BM421" s="10" t="inlineStr"/>
      <c r="BN421" s="10" t="inlineStr"/>
      <c r="BO421" s="10" t="inlineStr"/>
      <c r="BP421" s="10" t="inlineStr"/>
      <c r="BQ421" s="10" t="inlineStr"/>
    </row>
    <row r="422">
      <c r="A422" s="5" t="inlineStr">
        <is>
          <t>UK-000779</t>
        </is>
      </c>
      <c r="B422" s="5" t="inlineStr">
        <is>
          <t>UK-000779-01</t>
        </is>
      </c>
      <c r="C422" s="5" t="inlineStr"/>
      <c r="D422" s="5" t="inlineStr">
        <is>
          <t>Grog Shop</t>
        </is>
      </c>
      <c r="E422" s="5" t="inlineStr">
        <is>
          <t>Grog Shop</t>
        </is>
      </c>
      <c r="F422" s="5" t="inlineStr"/>
      <c r="G422" s="5" t="inlineStr">
        <is>
          <t>Off-Licence</t>
        </is>
      </c>
      <c r="H422" s="5" t="inlineStr">
        <is>
          <t>Off-licence / convenience</t>
        </is>
      </c>
      <c r="I422" s="5" t="inlineStr">
        <is>
          <t>Independent</t>
        </is>
      </c>
      <c r="J422" s="5" t="inlineStr">
        <is>
          <t>1</t>
        </is>
      </c>
      <c r="K422" s="5" t="inlineStr"/>
      <c r="L422" s="5" t="inlineStr"/>
      <c r="M422" s="5" t="inlineStr"/>
      <c r="N422" s="5" t="inlineStr"/>
      <c r="O422" s="5" t="inlineStr">
        <is>
          <t>21 Richard Hesketh Drive</t>
        </is>
      </c>
      <c r="P422" s="5" t="inlineStr">
        <is>
          <t>Kirkby</t>
        </is>
      </c>
      <c r="Q422" s="5" t="inlineStr">
        <is>
          <t>Liverpool</t>
        </is>
      </c>
      <c r="R422" s="5" t="inlineStr">
        <is>
          <t>Merseyside</t>
        </is>
      </c>
      <c r="S422" s="5" t="inlineStr">
        <is>
          <t>L32 0TU</t>
        </is>
      </c>
      <c r="T422" s="5" t="inlineStr">
        <is>
          <t>North West</t>
        </is>
      </c>
      <c r="U422" s="5" t="inlineStr">
        <is>
          <t>England</t>
        </is>
      </c>
      <c r="V422" s="5" t="inlineStr">
        <is>
          <t>0151 549 1773</t>
        </is>
      </c>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wines; beers; spirits; convenience groceries</t>
        </is>
      </c>
      <c r="AL422" s="5" t="inlineStr"/>
      <c r="AM422" s="5" t="inlineStr">
        <is>
          <t>Off-Licence</t>
        </is>
      </c>
      <c r="AN422" s="5" t="inlineStr"/>
      <c r="AO422" s="5" t="inlineStr">
        <is>
          <t>Independent off-licence on Richard Hesketh Drive, Kirkby (Knowsley).</t>
        </is>
      </c>
      <c r="AP422" s="5" t="inlineStr">
        <is>
          <t>Low</t>
        </is>
      </c>
      <c r="AQ422" s="5" t="inlineStr">
        <is>
          <t>Independent retailer; Relevant category</t>
        </is>
      </c>
      <c r="AR422" s="5" t="inlineStr">
        <is>
          <t>https://kirkby.cylex-uk.co.uk/convenience-stores/</t>
        </is>
      </c>
      <c r="AS422" s="5" t="inlineStr"/>
      <c r="AT422" s="5" t="inlineStr">
        <is>
          <t>1</t>
        </is>
      </c>
      <c r="AU422" s="5" t="inlineStr">
        <is>
          <t>No</t>
        </is>
      </c>
      <c r="AV422" s="5" t="inlineStr">
        <is>
          <t>No</t>
        </is>
      </c>
      <c r="AW422" s="5" t="inlineStr">
        <is>
          <t>No</t>
        </is>
      </c>
      <c r="AX422" s="5" t="inlineStr">
        <is>
          <t>No</t>
        </is>
      </c>
      <c r="AY422" s="5" t="inlineStr">
        <is>
          <t>Verified directory</t>
        </is>
      </c>
      <c r="AZ422" s="5" t="inlineStr">
        <is>
          <t>Not Found</t>
        </is>
      </c>
      <c r="BA422" s="5" t="inlineStr">
        <is>
          <t>2026-09-17</t>
        </is>
      </c>
      <c r="BB422" s="5" t="inlineStr">
        <is>
          <t>Requires Verification</t>
        </is>
      </c>
      <c r="BC422" s="5" t="inlineStr">
        <is>
          <t>Low</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WY-0092</t>
        </is>
      </c>
      <c r="B423" s="10" t="inlineStr">
        <is>
          <t>WY-0092-01</t>
        </is>
      </c>
      <c r="C423" s="10" t="inlineStr"/>
      <c r="D423" s="10" t="inlineStr">
        <is>
          <t>Gulf Service Station Featherstone</t>
        </is>
      </c>
      <c r="E423" s="10" t="inlineStr">
        <is>
          <t>Gulf Service Station</t>
        </is>
      </c>
      <c r="F423" s="10" t="inlineStr"/>
      <c r="G423" s="10" t="inlineStr">
        <is>
          <t>Petrol Station / Forecourt</t>
        </is>
      </c>
      <c r="H423" s="10" t="inlineStr">
        <is>
          <t>Gulf-branded dealer forecourt with shop</t>
        </is>
      </c>
      <c r="I423" s="10" t="inlineStr">
        <is>
          <t>Independent</t>
        </is>
      </c>
      <c r="J423" s="10" t="inlineStr">
        <is>
          <t>1</t>
        </is>
      </c>
      <c r="K423" s="10" t="inlineStr"/>
      <c r="L423" s="10" t="inlineStr"/>
      <c r="M423" s="10" t="inlineStr"/>
      <c r="N423" s="10" t="inlineStr"/>
      <c r="O423" s="10" t="inlineStr">
        <is>
          <t>Wakefield Road</t>
        </is>
      </c>
      <c r="P423" s="10" t="inlineStr"/>
      <c r="Q423" s="10" t="inlineStr">
        <is>
          <t>Featherstone</t>
        </is>
      </c>
      <c r="R423" s="10" t="inlineStr">
        <is>
          <t>West Yorkshire</t>
        </is>
      </c>
      <c r="S423" s="10" t="inlineStr">
        <is>
          <t>WF7 5BP</t>
        </is>
      </c>
      <c r="T423" s="10" t="inlineStr">
        <is>
          <t>Yorkshire &amp; Humber</t>
        </is>
      </c>
      <c r="U423" s="10" t="inlineStr">
        <is>
          <t>England</t>
        </is>
      </c>
      <c r="V423" s="10" t="inlineStr"/>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fuel; convenience shop</t>
        </is>
      </c>
      <c r="AL423" s="10" t="inlineStr"/>
      <c r="AM423" s="10" t="inlineStr">
        <is>
          <t>Petrol Station / Forecourt</t>
        </is>
      </c>
      <c r="AN423" s="10" t="inlineStr">
        <is>
          <t>Gulf-branded fuel (Gulf UK supplies independent dealers)</t>
        </is>
      </c>
      <c r="AO423" s="10" t="inlineStr">
        <is>
          <t>Gulf branding in the UK is used almost exclusively by independent dealers; operator identity needs follow-up.</t>
        </is>
      </c>
      <c r="AP423" s="10" t="inlineStr">
        <is>
          <t>Low</t>
        </is>
      </c>
      <c r="AQ423" s="10" t="inlineStr">
        <is>
          <t>Independent retailer; Relevant category</t>
        </is>
      </c>
      <c r="AR423" s="10" t="inlineStr">
        <is>
          <t>https://www.yorkshire.com/featherstone/services/petrol-stations</t>
        </is>
      </c>
      <c r="AS423" s="10" t="inlineStr"/>
      <c r="AT423" s="10" t="inlineStr">
        <is>
          <t>1</t>
        </is>
      </c>
      <c r="AU423" s="10" t="inlineStr">
        <is>
          <t>No</t>
        </is>
      </c>
      <c r="AV423" s="10" t="inlineStr">
        <is>
          <t>No</t>
        </is>
      </c>
      <c r="AW423" s="10" t="inlineStr">
        <is>
          <t>No</t>
        </is>
      </c>
      <c r="AX423" s="10" t="inlineStr">
        <is>
          <t>No</t>
        </is>
      </c>
      <c r="AY423" s="10" t="inlineStr">
        <is>
          <t>Not Found</t>
        </is>
      </c>
      <c r="AZ423" s="10" t="inlineStr">
        <is>
          <t>Not Found</t>
        </is>
      </c>
      <c r="BA423" s="10" t="inlineStr">
        <is>
          <t>2026-09-17</t>
        </is>
      </c>
      <c r="BB423" s="10" t="inlineStr">
        <is>
          <t>Requires Verification</t>
        </is>
      </c>
      <c r="BC423" s="10" t="inlineStr">
        <is>
          <t>Low</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2026-09-16</t>
        </is>
      </c>
      <c r="BJ423" s="10" t="inlineStr">
        <is>
          <t>New</t>
        </is>
      </c>
      <c r="BK423" s="10" t="inlineStr">
        <is>
          <t>2026-09-17</t>
        </is>
      </c>
      <c r="BL423" s="10" t="inlineStr"/>
      <c r="BM423" s="10" t="inlineStr"/>
      <c r="BN423" s="10" t="inlineStr"/>
      <c r="BO423" s="10" t="inlineStr"/>
      <c r="BP423" s="10" t="inlineStr"/>
      <c r="BQ423" s="10" t="inlineStr"/>
    </row>
    <row r="424">
      <c r="A424" s="5" t="inlineStr">
        <is>
          <t>WY-0093</t>
        </is>
      </c>
      <c r="B424" s="5" t="inlineStr">
        <is>
          <t>WY-0093-01</t>
        </is>
      </c>
      <c r="C424" s="5" t="inlineStr"/>
      <c r="D424" s="5" t="inlineStr">
        <is>
          <t>Halal Sweets Company</t>
        </is>
      </c>
      <c r="E424" s="5" t="inlineStr">
        <is>
          <t>Halal Sweets</t>
        </is>
      </c>
      <c r="F424" s="5" t="inlineStr"/>
      <c r="G424" s="5" t="inlineStr">
        <is>
          <t>Cash &amp; Carry</t>
        </is>
      </c>
      <c r="H424" s="5" t="inlineStr">
        <is>
          <t>Sweets &amp; snacks wholesaler / cash &amp; carry</t>
        </is>
      </c>
      <c r="I424" s="5" t="inlineStr">
        <is>
          <t>Independent</t>
        </is>
      </c>
      <c r="J424" s="5" t="inlineStr">
        <is>
          <t>1</t>
        </is>
      </c>
      <c r="K424" s="5" t="inlineStr">
        <is>
          <t>https://halalsweets.company.site/</t>
        </is>
      </c>
      <c r="L424" s="5" t="inlineStr">
        <is>
          <t>https://www.facebook.com/halalsweetscompany/</t>
        </is>
      </c>
      <c r="M424" s="5" t="inlineStr"/>
      <c r="N424" s="5" t="inlineStr"/>
      <c r="O424" s="5" t="inlineStr"/>
      <c r="P424" s="5" t="inlineStr"/>
      <c r="Q424" s="5" t="inlineStr">
        <is>
          <t>Bradford</t>
        </is>
      </c>
      <c r="R424" s="5" t="inlineStr">
        <is>
          <t>West Yorkshire</t>
        </is>
      </c>
      <c r="S424" s="5" t="inlineStr"/>
      <c r="T424" s="5" t="inlineStr">
        <is>
          <t>Yorkshire &amp; Humber</t>
        </is>
      </c>
      <c r="U424" s="5" t="inlineStr">
        <is>
          <t>England</t>
        </is>
      </c>
      <c r="V424" s="5" t="inlineStr"/>
      <c r="W424" s="5" t="inlineStr"/>
      <c r="X424" s="5" t="inlineStr"/>
      <c r="Y424" s="5" t="inlineStr">
        <is>
          <t>support@halalsweetscompany.co.uk</t>
        </is>
      </c>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halal sweets; snacks; confectionery wholesale</t>
        </is>
      </c>
      <c r="AL424" s="5" t="inlineStr"/>
      <c r="AM424" s="5" t="inlineStr">
        <is>
          <t>Cash &amp; Carry</t>
        </is>
      </c>
      <c r="AN424" s="5" t="inlineStr"/>
      <c r="AO424" s="5" t="inlineStr">
        <is>
          <t>Family-run Bradford-based wholesaler/distributor, cash &amp; carry and delivery, specialising in halal sweets and snacks. Street address not captured - needs enrichment.</t>
        </is>
      </c>
      <c r="AP424" s="5" t="inlineStr">
        <is>
          <t>High</t>
        </is>
      </c>
      <c r="AQ424" s="5" t="inlineStr">
        <is>
          <t>Independent retailer; Core relevant category; Public email available; Active website; Social presence</t>
        </is>
      </c>
      <c r="AR424" s="5" t="inlineStr">
        <is>
          <t>https://halalsweets.company.site/</t>
        </is>
      </c>
      <c r="AS424" s="5" t="inlineStr">
        <is>
          <t>https://halalsweetscompany.co.uk/</t>
        </is>
      </c>
      <c r="AT424" s="5" t="inlineStr">
        <is>
          <t>2</t>
        </is>
      </c>
      <c r="AU424" s="5" t="inlineStr">
        <is>
          <t>No</t>
        </is>
      </c>
      <c r="AV424" s="5" t="inlineStr">
        <is>
          <t>No</t>
        </is>
      </c>
      <c r="AW424" s="5" t="inlineStr">
        <is>
          <t>Yes</t>
        </is>
      </c>
      <c r="AX424" s="5" t="inlineStr">
        <is>
          <t>No</t>
        </is>
      </c>
      <c r="AY424" s="5" t="inlineStr">
        <is>
          <t>Not Found</t>
        </is>
      </c>
      <c r="AZ424" s="5" t="inlineStr">
        <is>
          <t>Website Found</t>
        </is>
      </c>
      <c r="BA424" s="5" t="inlineStr">
        <is>
          <t>2026-09-17</t>
        </is>
      </c>
      <c r="BB424" s="5" t="inlineStr">
        <is>
          <t>Partially Verified</t>
        </is>
      </c>
      <c r="BC424" s="5" t="inlineStr">
        <is>
          <t>Medium</t>
        </is>
      </c>
      <c r="BD424" s="5" t="inlineStr"/>
      <c r="BE424" s="5" t="inlineStr">
        <is>
          <t>Business (B2B)</t>
        </is>
      </c>
      <c r="BF424" s="5" t="inlineStr">
        <is>
          <t>Legitimate interest (B2B) - assess per campaign; PECR: corporate subscribers</t>
        </is>
      </c>
      <c r="BG424" s="5" t="inlineStr"/>
      <c r="BH424" s="5" t="inlineStr">
        <is>
          <t>No</t>
        </is>
      </c>
      <c r="BI424" s="5" t="inlineStr">
        <is>
          <t>2026-09-16</t>
        </is>
      </c>
      <c r="BJ424" s="5" t="inlineStr">
        <is>
          <t>New</t>
        </is>
      </c>
      <c r="BK424" s="5" t="inlineStr">
        <is>
          <t>2026-09-17</t>
        </is>
      </c>
      <c r="BL424" s="5" t="inlineStr"/>
      <c r="BM424" s="5" t="inlineStr"/>
      <c r="BN424" s="5" t="inlineStr"/>
      <c r="BO424" s="5" t="inlineStr"/>
      <c r="BP424" s="5" t="inlineStr"/>
      <c r="BQ424" s="5" t="inlineStr"/>
    </row>
    <row r="425">
      <c r="A425" s="10" t="inlineStr">
        <is>
          <t>UK-000474</t>
        </is>
      </c>
      <c r="B425" s="10" t="inlineStr">
        <is>
          <t>UK-000474-01</t>
        </is>
      </c>
      <c r="C425" s="10" t="inlineStr"/>
      <c r="D425" s="10" t="inlineStr">
        <is>
          <t>Hall Green Convenience Store</t>
        </is>
      </c>
      <c r="E425" s="10" t="inlineStr">
        <is>
          <t>Hall Green Convenience Store</t>
        </is>
      </c>
      <c r="F425" s="10" t="inlineStr"/>
      <c r="G425" s="10" t="inlineStr">
        <is>
          <t>Convenience Store</t>
        </is>
      </c>
      <c r="H425" s="10" t="inlineStr">
        <is>
          <t>Convenience store</t>
        </is>
      </c>
      <c r="I425" s="10" t="inlineStr">
        <is>
          <t>Independent</t>
        </is>
      </c>
      <c r="J425" s="10" t="inlineStr">
        <is>
          <t>1</t>
        </is>
      </c>
      <c r="K425" s="10" t="inlineStr"/>
      <c r="L425" s="10" t="inlineStr"/>
      <c r="M425" s="10" t="inlineStr"/>
      <c r="N425" s="10" t="inlineStr"/>
      <c r="O425" s="10" t="inlineStr">
        <is>
          <t>1162 Stratford Road</t>
        </is>
      </c>
      <c r="P425" s="10" t="inlineStr">
        <is>
          <t>Hall Green</t>
        </is>
      </c>
      <c r="Q425" s="10" t="inlineStr">
        <is>
          <t>Birmingham</t>
        </is>
      </c>
      <c r="R425" s="10" t="inlineStr">
        <is>
          <t>West Midlands</t>
        </is>
      </c>
      <c r="S425" s="10" t="inlineStr">
        <is>
          <t>B28 8AF</t>
        </is>
      </c>
      <c r="T425" s="10" t="inlineStr">
        <is>
          <t>West Midlands</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convenience grocery</t>
        </is>
      </c>
      <c r="AL425" s="10" t="inlineStr"/>
      <c r="AM425" s="10" t="inlineStr">
        <is>
          <t>Convenience Store</t>
        </is>
      </c>
      <c r="AN425" s="10" t="inlineStr"/>
      <c r="AO425" s="10" t="inlineStr">
        <is>
          <t>Convenience store on Stratford Road, Hall Green. Directory listed a mobile number only - left blank pending verification.</t>
        </is>
      </c>
      <c r="AP425" s="10" t="inlineStr">
        <is>
          <t>Low</t>
        </is>
      </c>
      <c r="AQ425" s="10" t="inlineStr">
        <is>
          <t>Independent retailer; Relevant category</t>
        </is>
      </c>
      <c r="AR425" s="10" t="inlineStr">
        <is>
          <t>https://firmania.co.uk/birmingham/hall-green-convenience-store-6482223</t>
        </is>
      </c>
      <c r="AS425" s="10" t="inlineStr"/>
      <c r="AT425" s="10" t="inlineStr">
        <is>
          <t>1</t>
        </is>
      </c>
      <c r="AU425" s="10" t="inlineStr">
        <is>
          <t>No</t>
        </is>
      </c>
      <c r="AV425" s="10" t="inlineStr">
        <is>
          <t>No</t>
        </is>
      </c>
      <c r="AW425" s="10" t="inlineStr">
        <is>
          <t>No</t>
        </is>
      </c>
      <c r="AX425" s="10" t="inlineStr">
        <is>
          <t>No</t>
        </is>
      </c>
      <c r="AY425" s="10" t="inlineStr">
        <is>
          <t>Not Found</t>
        </is>
      </c>
      <c r="AZ425" s="10" t="inlineStr">
        <is>
          <t>Not Found</t>
        </is>
      </c>
      <c r="BA425" s="10" t="inlineStr">
        <is>
          <t>2026-09-17</t>
        </is>
      </c>
      <c r="BB425" s="10" t="inlineStr">
        <is>
          <t>Requires Verification</t>
        </is>
      </c>
      <c r="BC425" s="10" t="inlineStr">
        <is>
          <t>Low</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UK-000475</t>
        </is>
      </c>
      <c r="B426" s="5" t="inlineStr">
        <is>
          <t>UK-000475-01</t>
        </is>
      </c>
      <c r="C426" s="5" t="inlineStr"/>
      <c r="D426" s="5" t="inlineStr">
        <is>
          <t>Hall Green News &amp; Mini Mart Ltd</t>
        </is>
      </c>
      <c r="E426" s="5" t="inlineStr">
        <is>
          <t>Hall Green News &amp; Mini Mart</t>
        </is>
      </c>
      <c r="F426" s="5" t="inlineStr">
        <is>
          <t>Hall Green News &amp; Mini Mart Ltd</t>
        </is>
      </c>
      <c r="G426" s="5" t="inlineStr">
        <is>
          <t>Newsagent</t>
        </is>
      </c>
      <c r="H426" s="5" t="inlineStr">
        <is>
          <t>Newsagent / convenience store</t>
        </is>
      </c>
      <c r="I426" s="5" t="inlineStr">
        <is>
          <t>Independent</t>
        </is>
      </c>
      <c r="J426" s="5" t="inlineStr">
        <is>
          <t>1</t>
        </is>
      </c>
      <c r="K426" s="5" t="inlineStr"/>
      <c r="L426" s="5" t="inlineStr"/>
      <c r="M426" s="5" t="inlineStr"/>
      <c r="N426" s="5" t="inlineStr"/>
      <c r="O426" s="5" t="inlineStr">
        <is>
          <t>861 Stratford Road</t>
        </is>
      </c>
      <c r="P426" s="5" t="inlineStr">
        <is>
          <t>Hall Green</t>
        </is>
      </c>
      <c r="Q426" s="5" t="inlineStr">
        <is>
          <t>Birmingham</t>
        </is>
      </c>
      <c r="R426" s="5" t="inlineStr">
        <is>
          <t>West Midlands</t>
        </is>
      </c>
      <c r="S426" s="5" t="inlineStr">
        <is>
          <t>B28 8BH</t>
        </is>
      </c>
      <c r="T426" s="5" t="inlineStr">
        <is>
          <t>West Midlands</t>
        </is>
      </c>
      <c r="U426" s="5" t="inlineStr">
        <is>
          <t>England</t>
        </is>
      </c>
      <c r="V426" s="5" t="inlineStr"/>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newsagent; convenience grocery</t>
        </is>
      </c>
      <c r="AL426" s="5" t="inlineStr"/>
      <c r="AM426" s="5" t="inlineStr">
        <is>
          <t>Newsagent</t>
        </is>
      </c>
      <c r="AN426" s="5" t="inlineStr"/>
      <c r="AO426" s="5" t="inlineStr">
        <is>
          <t>Newsagent / mini mart on Stratford Road, Hall Green. Directory listed a mobile number only (07597 443547) - left blank pending verification.</t>
        </is>
      </c>
      <c r="AP426" s="5" t="inlineStr">
        <is>
          <t>Low</t>
        </is>
      </c>
      <c r="AQ426" s="5" t="inlineStr">
        <is>
          <t>Independent retailer; Relevant category</t>
        </is>
      </c>
      <c r="AR426" s="5" t="inlineStr">
        <is>
          <t>https://firmania.co.uk/birmingham/hall-green-news-mini-mart-ltd-4938374</t>
        </is>
      </c>
      <c r="AS426" s="5" t="inlineStr"/>
      <c r="AT426" s="5" t="inlineStr">
        <is>
          <t>1</t>
        </is>
      </c>
      <c r="AU426" s="5" t="inlineStr">
        <is>
          <t>No</t>
        </is>
      </c>
      <c r="AV426" s="5" t="inlineStr">
        <is>
          <t>No</t>
        </is>
      </c>
      <c r="AW426" s="5" t="inlineStr">
        <is>
          <t>No</t>
        </is>
      </c>
      <c r="AX426" s="5" t="inlineStr">
        <is>
          <t>No</t>
        </is>
      </c>
      <c r="AY426" s="5" t="inlineStr">
        <is>
          <t>Not Found</t>
        </is>
      </c>
      <c r="AZ426" s="5" t="inlineStr">
        <is>
          <t>Not Found</t>
        </is>
      </c>
      <c r="BA426" s="5" t="inlineStr">
        <is>
          <t>2026-09-17</t>
        </is>
      </c>
      <c r="BB426" s="5" t="inlineStr">
        <is>
          <t>Requires Verification</t>
        </is>
      </c>
      <c r="BC426" s="5" t="inlineStr">
        <is>
          <t>Low</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UK-000476</t>
        </is>
      </c>
      <c r="B427" s="10" t="inlineStr">
        <is>
          <t>UK-000476-01</t>
        </is>
      </c>
      <c r="C427" s="10" t="inlineStr"/>
      <c r="D427" s="10" t="inlineStr">
        <is>
          <t>Hall Green PFS</t>
        </is>
      </c>
      <c r="E427" s="10" t="inlineStr">
        <is>
          <t>Hall Green PFS</t>
        </is>
      </c>
      <c r="F427" s="10" t="inlineStr"/>
      <c r="G427" s="10" t="inlineStr">
        <is>
          <t>Petrol Station / Forecourt</t>
        </is>
      </c>
      <c r="H427" s="10" t="inlineStr">
        <is>
          <t>Petrol filling station with forecourt shop</t>
        </is>
      </c>
      <c r="I427" s="10" t="inlineStr">
        <is>
          <t>Unknown</t>
        </is>
      </c>
      <c r="J427" s="10" t="inlineStr">
        <is>
          <t>1</t>
        </is>
      </c>
      <c r="K427" s="10" t="inlineStr">
        <is>
          <t>https://eg-otm.com/locations/Birmingham/HALL/hall-green-pfs</t>
        </is>
      </c>
      <c r="L427" s="10" t="inlineStr"/>
      <c r="M427" s="10" t="inlineStr"/>
      <c r="N427" s="10" t="inlineStr"/>
      <c r="O427" s="10" t="inlineStr">
        <is>
          <t>Stratford Road</t>
        </is>
      </c>
      <c r="P427" s="10" t="inlineStr">
        <is>
          <t>Hall Green</t>
        </is>
      </c>
      <c r="Q427" s="10" t="inlineStr">
        <is>
          <t>Birmingham</t>
        </is>
      </c>
      <c r="R427" s="10" t="inlineStr">
        <is>
          <t>West Midlands</t>
        </is>
      </c>
      <c r="S427" s="10" t="inlineStr">
        <is>
          <t>B28 8BN</t>
        </is>
      </c>
      <c r="T427" s="10" t="inlineStr">
        <is>
          <t>West Midlands</t>
        </is>
      </c>
      <c r="U427" s="10" t="inlineStr">
        <is>
          <t>England</t>
        </is>
      </c>
      <c r="V427" s="10" t="inlineStr"/>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fuel; forecourt convenience</t>
        </is>
      </c>
      <c r="AL427" s="10" t="inlineStr"/>
      <c r="AM427" s="10" t="inlineStr">
        <is>
          <t>Petrol Station / Forecourt</t>
        </is>
      </c>
      <c r="AN427" s="10" t="inlineStr"/>
      <c r="AO427" s="10" t="inlineStr">
        <is>
          <t>Petrol filling station with forecourt shop on Stratford Road, Hall Green. Listed via EG On the Move locator; operator/brand not confirmed.</t>
        </is>
      </c>
      <c r="AP427" s="10" t="inlineStr">
        <is>
          <t>Low</t>
        </is>
      </c>
      <c r="AQ427" s="10" t="inlineStr">
        <is>
          <t>Relevant category; Active website</t>
        </is>
      </c>
      <c r="AR427" s="10" t="inlineStr">
        <is>
          <t>https://eg-otm.com/locations/Birmingham/HALL/hall-green-pfs</t>
        </is>
      </c>
      <c r="AS427" s="10" t="inlineStr"/>
      <c r="AT427" s="10" t="inlineStr">
        <is>
          <t>1</t>
        </is>
      </c>
      <c r="AU427" s="10" t="inlineStr">
        <is>
          <t>No</t>
        </is>
      </c>
      <c r="AV427" s="10" t="inlineStr">
        <is>
          <t>No</t>
        </is>
      </c>
      <c r="AW427" s="10" t="inlineStr">
        <is>
          <t>No</t>
        </is>
      </c>
      <c r="AX427" s="10" t="inlineStr">
        <is>
          <t>No</t>
        </is>
      </c>
      <c r="AY427" s="10" t="inlineStr">
        <is>
          <t>Not Found</t>
        </is>
      </c>
      <c r="AZ427" s="10" t="inlineStr">
        <is>
          <t>Website Found</t>
        </is>
      </c>
      <c r="BA427" s="10" t="inlineStr">
        <is>
          <t>2026-09-17</t>
        </is>
      </c>
      <c r="BB427" s="10" t="inlineStr">
        <is>
          <t>Requires Verification</t>
        </is>
      </c>
      <c r="BC427" s="10" t="inlineStr">
        <is>
          <t>Low</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WY-0094</t>
        </is>
      </c>
      <c r="B428" s="5" t="inlineStr">
        <is>
          <t>WY-0094-01</t>
        </is>
      </c>
      <c r="C428" s="5" t="inlineStr"/>
      <c r="D428" s="5" t="inlineStr">
        <is>
          <t>Hang Sing Hong</t>
        </is>
      </c>
      <c r="E428" s="5" t="inlineStr">
        <is>
          <t>Hang Sing Hong</t>
        </is>
      </c>
      <c r="F428" s="5" t="inlineStr"/>
      <c r="G428" s="5" t="inlineStr">
        <is>
          <t>Independent Supermarket</t>
        </is>
      </c>
      <c r="H428" s="5" t="inlineStr">
        <is>
          <t>Chinese / Oriental supermarket</t>
        </is>
      </c>
      <c r="I428" s="5" t="inlineStr">
        <is>
          <t>Independent</t>
        </is>
      </c>
      <c r="J428" s="5" t="inlineStr">
        <is>
          <t>1</t>
        </is>
      </c>
      <c r="K428" s="5" t="inlineStr"/>
      <c r="L428" s="5" t="inlineStr"/>
      <c r="M428" s="5" t="inlineStr"/>
      <c r="N428" s="5" t="inlineStr"/>
      <c r="O428" s="5" t="inlineStr">
        <is>
          <t>117-119 Vicar Lane</t>
        </is>
      </c>
      <c r="P428" s="5" t="inlineStr">
        <is>
          <t>City Centre</t>
        </is>
      </c>
      <c r="Q428" s="5" t="inlineStr">
        <is>
          <t>Leeds</t>
        </is>
      </c>
      <c r="R428" s="5" t="inlineStr">
        <is>
          <t>West Yorkshire</t>
        </is>
      </c>
      <c r="S428" s="5" t="inlineStr">
        <is>
          <t>LS1 6PJ</t>
        </is>
      </c>
      <c r="T428" s="5" t="inlineStr">
        <is>
          <t>Yorkshire &amp; Humber</t>
        </is>
      </c>
      <c r="U428" s="5" t="inlineStr">
        <is>
          <t>England</t>
        </is>
      </c>
      <c r="V428" s="5" t="inlineStr"/>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Chinese and East Asian groceries</t>
        </is>
      </c>
      <c r="AL428" s="5" t="inlineStr"/>
      <c r="AM428" s="5" t="inlineStr">
        <is>
          <t>Independent Supermarket</t>
        </is>
      </c>
      <c r="AN428" s="5" t="inlineStr"/>
      <c r="AO428" s="5" t="inlineStr">
        <is>
          <t>Long-established Chinese supermarket on Vicar Lane in the city centre.</t>
        </is>
      </c>
      <c r="AP428" s="5" t="inlineStr">
        <is>
          <t>Low</t>
        </is>
      </c>
      <c r="AQ428" s="5" t="inlineStr">
        <is>
          <t>Independent retailer; Relevant category</t>
        </is>
      </c>
      <c r="AR428" s="5" t="inlineStr">
        <is>
          <t>https://www.yelp.co.uk/biz/hang-sing-hong-leeds-2</t>
        </is>
      </c>
      <c r="AS428" s="5" t="inlineStr"/>
      <c r="AT428" s="5" t="inlineStr">
        <is>
          <t>1</t>
        </is>
      </c>
      <c r="AU428" s="5" t="inlineStr">
        <is>
          <t>No</t>
        </is>
      </c>
      <c r="AV428" s="5" t="inlineStr">
        <is>
          <t>No</t>
        </is>
      </c>
      <c r="AW428" s="5" t="inlineStr">
        <is>
          <t>No</t>
        </is>
      </c>
      <c r="AX428" s="5" t="inlineStr">
        <is>
          <t>No</t>
        </is>
      </c>
      <c r="AY428" s="5" t="inlineStr">
        <is>
          <t>Not Found</t>
        </is>
      </c>
      <c r="AZ428" s="5" t="inlineStr">
        <is>
          <t>Not Found</t>
        </is>
      </c>
      <c r="BA428" s="5" t="inlineStr">
        <is>
          <t>2026-09-17</t>
        </is>
      </c>
      <c r="BB428" s="5" t="inlineStr">
        <is>
          <t>Requires Verification</t>
        </is>
      </c>
      <c r="BC428" s="5" t="inlineStr">
        <is>
          <t>Medium</t>
        </is>
      </c>
      <c r="BD428" s="5" t="inlineStr"/>
      <c r="BE428" s="5" t="inlineStr">
        <is>
          <t>Business (B2B)</t>
        </is>
      </c>
      <c r="BF428" s="5" t="inlineStr">
        <is>
          <t>Legitimate interest (B2B) - assess per campaign; PECR: corporate subscribers</t>
        </is>
      </c>
      <c r="BG428" s="5" t="inlineStr"/>
      <c r="BH428" s="5" t="inlineStr">
        <is>
          <t>No</t>
        </is>
      </c>
      <c r="BI428" s="5" t="inlineStr">
        <is>
          <t>2026-09-16</t>
        </is>
      </c>
      <c r="BJ428" s="5" t="inlineStr">
        <is>
          <t>New</t>
        </is>
      </c>
      <c r="BK428" s="5" t="inlineStr">
        <is>
          <t>2026-09-17</t>
        </is>
      </c>
      <c r="BL428" s="5" t="inlineStr"/>
      <c r="BM428" s="5" t="inlineStr"/>
      <c r="BN428" s="5" t="inlineStr"/>
      <c r="BO428" s="5" t="inlineStr"/>
      <c r="BP428" s="5" t="inlineStr"/>
      <c r="BQ428" s="5" t="inlineStr"/>
    </row>
    <row r="429">
      <c r="A429" s="10" t="inlineStr">
        <is>
          <t>UK-000612</t>
        </is>
      </c>
      <c r="B429" s="10" t="inlineStr">
        <is>
          <t>UK-000612-01</t>
        </is>
      </c>
      <c r="C429" s="10" t="inlineStr"/>
      <c r="D429" s="10" t="inlineStr">
        <is>
          <t>Happy Wines</t>
        </is>
      </c>
      <c r="E429" s="10" t="inlineStr">
        <is>
          <t>Happy Wines</t>
        </is>
      </c>
      <c r="F429" s="10" t="inlineStr"/>
      <c r="G429" s="10" t="inlineStr">
        <is>
          <t>Off-Licence</t>
        </is>
      </c>
      <c r="H429" s="10" t="inlineStr">
        <is>
          <t>Off-licence</t>
        </is>
      </c>
      <c r="I429" s="10" t="inlineStr">
        <is>
          <t>Independent</t>
        </is>
      </c>
      <c r="J429" s="10" t="inlineStr">
        <is>
          <t>1</t>
        </is>
      </c>
      <c r="K429" s="10" t="inlineStr"/>
      <c r="L429" s="10" t="inlineStr"/>
      <c r="M429" s="10" t="inlineStr"/>
      <c r="N429" s="10" t="inlineStr"/>
      <c r="O429" s="10" t="inlineStr">
        <is>
          <t>56a Whalebone Lane South</t>
        </is>
      </c>
      <c r="P429" s="10" t="inlineStr"/>
      <c r="Q429" s="10" t="inlineStr">
        <is>
          <t>Dagenham</t>
        </is>
      </c>
      <c r="R429" s="10" t="inlineStr">
        <is>
          <t>Greater London</t>
        </is>
      </c>
      <c r="S429" s="10" t="inlineStr">
        <is>
          <t>RM8 1BB</t>
        </is>
      </c>
      <c r="T429" s="10" t="inlineStr">
        <is>
          <t>London</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alcohol; tobacco</t>
        </is>
      </c>
      <c r="AL429" s="10" t="inlineStr"/>
      <c r="AM429" s="10" t="inlineStr">
        <is>
          <t>Off-Licence</t>
        </is>
      </c>
      <c r="AN429" s="10" t="inlineStr"/>
      <c r="AO429" s="10" t="inlineStr">
        <is>
          <t>Off-licence on Whalebone Lane South, Dagenham. Address/postcode from Yell directory. Phone not in snippet.</t>
        </is>
      </c>
      <c r="AP429" s="10" t="inlineStr">
        <is>
          <t>Low</t>
        </is>
      </c>
      <c r="AQ429" s="10" t="inlineStr">
        <is>
          <t>Independent retailer; Relevant category</t>
        </is>
      </c>
      <c r="AR429" s="10" t="inlineStr">
        <is>
          <t>https://www.yell.com/s/off+licences-london+borough+of+barking+and+dagenham.html</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Not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2026-09-17</t>
        </is>
      </c>
      <c r="BJ429" s="10" t="inlineStr">
        <is>
          <t>New</t>
        </is>
      </c>
      <c r="BK429" s="10" t="inlineStr">
        <is>
          <t>2026-09-17</t>
        </is>
      </c>
      <c r="BL429" s="10" t="inlineStr"/>
      <c r="BM429" s="10" t="inlineStr"/>
      <c r="BN429" s="10" t="inlineStr"/>
      <c r="BO429" s="10" t="inlineStr"/>
      <c r="BP429" s="10" t="inlineStr"/>
      <c r="BQ429" s="10" t="inlineStr"/>
    </row>
    <row r="430">
      <c r="A430" s="5" t="inlineStr">
        <is>
          <t>UK-000253</t>
        </is>
      </c>
      <c r="B430" s="5" t="inlineStr">
        <is>
          <t>UK-000253-01</t>
        </is>
      </c>
      <c r="C430" s="5" t="inlineStr"/>
      <c r="D430" s="5" t="inlineStr">
        <is>
          <t>Haris&amp;Co Supermarket</t>
        </is>
      </c>
      <c r="E430" s="5" t="inlineStr">
        <is>
          <t>Haris&amp;Co Supermarket</t>
        </is>
      </c>
      <c r="F430" s="5" t="inlineStr"/>
      <c r="G430" s="5" t="inlineStr">
        <is>
          <t>Independent Supermarket</t>
        </is>
      </c>
      <c r="H430" s="5" t="inlineStr">
        <is>
          <t>International / world foods supermarket</t>
        </is>
      </c>
      <c r="I430" s="5" t="inlineStr">
        <is>
          <t>Independent</t>
        </is>
      </c>
      <c r="J430" s="5" t="inlineStr">
        <is>
          <t>1</t>
        </is>
      </c>
      <c r="K430" s="5" t="inlineStr">
        <is>
          <t>https://harrisandco.vercel.app</t>
        </is>
      </c>
      <c r="L430" s="5" t="inlineStr"/>
      <c r="M430" s="5" t="inlineStr"/>
      <c r="N430" s="5" t="inlineStr"/>
      <c r="O430" s="5" t="inlineStr">
        <is>
          <t>Terry Street</t>
        </is>
      </c>
      <c r="P430" s="5" t="inlineStr">
        <is>
          <t>off Beverley Road</t>
        </is>
      </c>
      <c r="Q430" s="5" t="inlineStr">
        <is>
          <t>Kingston upon Hull</t>
        </is>
      </c>
      <c r="R430" s="5" t="inlineStr">
        <is>
          <t>East Riding of Yorkshire</t>
        </is>
      </c>
      <c r="S430" s="5" t="inlineStr">
        <is>
          <t>HU3 1TY</t>
        </is>
      </c>
      <c r="T430" s="5" t="inlineStr">
        <is>
          <t>Yorkshire &amp; Humber</t>
        </is>
      </c>
      <c r="U430" s="5" t="inlineStr">
        <is>
          <t>England</t>
        </is>
      </c>
      <c r="V430" s="5" t="inlineStr"/>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world foods; groceries; fresh produce</t>
        </is>
      </c>
      <c r="AL430" s="5" t="inlineStr"/>
      <c r="AM430" s="5" t="inlineStr">
        <is>
          <t>Independent Supermarket</t>
        </is>
      </c>
      <c r="AN430" s="5" t="inlineStr"/>
      <c r="AO430" s="5" t="inlineStr">
        <is>
          <t>Self-described as Hull's largest independent supermarket, world foods, Terry Street (off Beverley Road) HU3 1TY. No phone/email in search results.</t>
        </is>
      </c>
      <c r="AP430" s="5" t="inlineStr">
        <is>
          <t>Medium</t>
        </is>
      </c>
      <c r="AQ430" s="5" t="inlineStr">
        <is>
          <t>Independent retailer; Relevant category; Active website</t>
        </is>
      </c>
      <c r="AR430" s="5" t="inlineStr">
        <is>
          <t>https://harrisandco.vercel.app/</t>
        </is>
      </c>
      <c r="AS430" s="5" t="inlineStr"/>
      <c r="AT430" s="5" t="inlineStr">
        <is>
          <t>1</t>
        </is>
      </c>
      <c r="AU430" s="5" t="inlineStr">
        <is>
          <t>Yes</t>
        </is>
      </c>
      <c r="AV430" s="5" t="inlineStr">
        <is>
          <t>No</t>
        </is>
      </c>
      <c r="AW430" s="5" t="inlineStr">
        <is>
          <t>No</t>
        </is>
      </c>
      <c r="AX430" s="5" t="inlineStr">
        <is>
          <t>No</t>
        </is>
      </c>
      <c r="AY430" s="5" t="inlineStr">
        <is>
          <t>Not Found</t>
        </is>
      </c>
      <c r="AZ430" s="5" t="inlineStr">
        <is>
          <t>Not Found</t>
        </is>
      </c>
      <c r="BA430" s="5" t="inlineStr">
        <is>
          <t>2026-09-17</t>
        </is>
      </c>
      <c r="BB430" s="5" t="inlineStr">
        <is>
          <t>Partially Verified</t>
        </is>
      </c>
      <c r="BC430" s="5" t="inlineStr">
        <is>
          <t>Medium</t>
        </is>
      </c>
      <c r="BD430" s="5" t="inlineStr"/>
      <c r="BE430" s="5" t="inlineStr">
        <is>
          <t>Business (B2B)</t>
        </is>
      </c>
      <c r="BF430" s="5" t="inlineStr">
        <is>
          <t>Legitimate interest (B2B) - assess per campaign; PECR: corporate subscribers</t>
        </is>
      </c>
      <c r="BG430" s="5" t="inlineStr"/>
      <c r="BH430" s="5" t="inlineStr">
        <is>
          <t>No</t>
        </is>
      </c>
      <c r="BI430" s="5" t="inlineStr">
        <is>
          <t>2026-09-16</t>
        </is>
      </c>
      <c r="BJ430" s="5" t="inlineStr">
        <is>
          <t>New</t>
        </is>
      </c>
      <c r="BK430" s="5" t="inlineStr">
        <is>
          <t>2026-09-17</t>
        </is>
      </c>
      <c r="BL430" s="5" t="inlineStr"/>
      <c r="BM430" s="5" t="inlineStr"/>
      <c r="BN430" s="5" t="inlineStr"/>
      <c r="BO430" s="5" t="inlineStr"/>
      <c r="BP430" s="5" t="inlineStr"/>
      <c r="BQ430" s="5" t="inlineStr"/>
    </row>
    <row r="431">
      <c r="A431" s="10" t="inlineStr">
        <is>
          <t>UK-000254</t>
        </is>
      </c>
      <c r="B431" s="10" t="inlineStr">
        <is>
          <t>UK-000254-01</t>
        </is>
      </c>
      <c r="C431" s="10" t="inlineStr"/>
      <c r="D431" s="10" t="inlineStr">
        <is>
          <t>Harvest Service Station</t>
        </is>
      </c>
      <c r="E431" s="10" t="inlineStr">
        <is>
          <t>Harvest Service Station</t>
        </is>
      </c>
      <c r="F431" s="10" t="inlineStr"/>
      <c r="G431" s="10" t="inlineStr">
        <is>
          <t>Petrol Station / Forecourt</t>
        </is>
      </c>
      <c r="H431" s="10" t="inlineStr">
        <is>
          <t>Independent forecourt with convenience store</t>
        </is>
      </c>
      <c r="I431" s="10" t="inlineStr">
        <is>
          <t>Independent</t>
        </is>
      </c>
      <c r="J431" s="10" t="inlineStr">
        <is>
          <t>1</t>
        </is>
      </c>
      <c r="K431" s="10" t="inlineStr"/>
      <c r="L431" s="10" t="inlineStr"/>
      <c r="M431" s="10" t="inlineStr"/>
      <c r="N431" s="10" t="inlineStr"/>
      <c r="O431" s="10" t="inlineStr">
        <is>
          <t>Wheatley Hall Road</t>
        </is>
      </c>
      <c r="P431" s="10" t="inlineStr"/>
      <c r="Q431" s="10" t="inlineStr">
        <is>
          <t>Doncaster</t>
        </is>
      </c>
      <c r="R431" s="10" t="inlineStr">
        <is>
          <t>South Yorkshire</t>
        </is>
      </c>
      <c r="S431" s="10" t="inlineStr"/>
      <c r="T431" s="10" t="inlineStr">
        <is>
          <t>Yorkshire &amp; Humber</t>
        </is>
      </c>
      <c r="U431" s="10" t="inlineStr">
        <is>
          <t>England</t>
        </is>
      </c>
      <c r="V431" s="10" t="inlineStr"/>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fuel; convenience groceries; forecourt shop</t>
        </is>
      </c>
      <c r="AL431" s="10" t="inlineStr"/>
      <c r="AM431" s="10" t="inlineStr">
        <is>
          <t>Petrol Station / Forecourt</t>
        </is>
      </c>
      <c r="AN431" s="10" t="inlineStr"/>
      <c r="AO431" s="10" t="inlineStr">
        <is>
          <t>Independent service station/forecourt on Wheatley Hall Road, Doncaster. Listed in Doncaster petrol-station directory; exact house number/postcode not captured.</t>
        </is>
      </c>
      <c r="AP431" s="10" t="inlineStr">
        <is>
          <t>Low</t>
        </is>
      </c>
      <c r="AQ431" s="10" t="inlineStr">
        <is>
          <t>Independent retailer; Relevant category</t>
        </is>
      </c>
      <c r="AR431" s="10" t="inlineStr">
        <is>
          <t>https://www.mylocalservices.co.uk/24+Hr+Petrol+Stations-Doncaster.html</t>
        </is>
      </c>
      <c r="AS431" s="10" t="inlineStr"/>
      <c r="AT431" s="10" t="inlineStr">
        <is>
          <t>1</t>
        </is>
      </c>
      <c r="AU431" s="10" t="inlineStr">
        <is>
          <t>No</t>
        </is>
      </c>
      <c r="AV431" s="10" t="inlineStr">
        <is>
          <t>No</t>
        </is>
      </c>
      <c r="AW431" s="10" t="inlineStr">
        <is>
          <t>No</t>
        </is>
      </c>
      <c r="AX431" s="10" t="inlineStr">
        <is>
          <t>No</t>
        </is>
      </c>
      <c r="AY431" s="10" t="inlineStr">
        <is>
          <t>Not Found</t>
        </is>
      </c>
      <c r="AZ431" s="10" t="inlineStr">
        <is>
          <t>Not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2026-09-16</t>
        </is>
      </c>
      <c r="BJ431" s="10" t="inlineStr">
        <is>
          <t>New</t>
        </is>
      </c>
      <c r="BK431" s="10" t="inlineStr">
        <is>
          <t>2026-09-17</t>
        </is>
      </c>
      <c r="BL431" s="10" t="inlineStr"/>
      <c r="BM431" s="10" t="inlineStr"/>
      <c r="BN431" s="10" t="inlineStr"/>
      <c r="BO431" s="10" t="inlineStr"/>
      <c r="BP431" s="10" t="inlineStr"/>
      <c r="BQ431" s="10" t="inlineStr"/>
    </row>
    <row r="432">
      <c r="A432" s="5" t="inlineStr">
        <is>
          <t>UK-000477</t>
        </is>
      </c>
      <c r="B432" s="5" t="inlineStr">
        <is>
          <t>UK-000477-01</t>
        </is>
      </c>
      <c r="C432" s="5" t="inlineStr"/>
      <c r="D432" s="5" t="inlineStr">
        <is>
          <t>Hayer Brothers Groceries &amp; Off Licence</t>
        </is>
      </c>
      <c r="E432" s="5" t="inlineStr">
        <is>
          <t>Hayer Brothers Groceries &amp; Off Licence</t>
        </is>
      </c>
      <c r="F432" s="5" t="inlineStr"/>
      <c r="G432" s="5" t="inlineStr">
        <is>
          <t>Off-Licence</t>
        </is>
      </c>
      <c r="H432" s="5" t="inlineStr">
        <is>
          <t>Grocery and off-licence</t>
        </is>
      </c>
      <c r="I432" s="5" t="inlineStr">
        <is>
          <t>Independent</t>
        </is>
      </c>
      <c r="J432" s="5" t="inlineStr">
        <is>
          <t>1</t>
        </is>
      </c>
      <c r="K432" s="5" t="inlineStr"/>
      <c r="L432" s="5" t="inlineStr"/>
      <c r="M432" s="5" t="inlineStr"/>
      <c r="N432" s="5" t="inlineStr"/>
      <c r="O432" s="5" t="inlineStr">
        <is>
          <t>350 Soho Road</t>
        </is>
      </c>
      <c r="P432" s="5" t="inlineStr">
        <is>
          <t>Handsworth</t>
        </is>
      </c>
      <c r="Q432" s="5" t="inlineStr">
        <is>
          <t>Birmingham</t>
        </is>
      </c>
      <c r="R432" s="5" t="inlineStr">
        <is>
          <t>West Midlands</t>
        </is>
      </c>
      <c r="S432" s="5" t="inlineStr">
        <is>
          <t>B21 9QL</t>
        </is>
      </c>
      <c r="T432" s="5" t="inlineStr">
        <is>
          <t>West Midlands</t>
        </is>
      </c>
      <c r="U432" s="5" t="inlineStr">
        <is>
          <t>England</t>
        </is>
      </c>
      <c r="V432" s="5" t="inlineStr">
        <is>
          <t>0121 725 6829</t>
        </is>
      </c>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grocery; off-licence</t>
        </is>
      </c>
      <c r="AL432" s="5" t="inlineStr"/>
      <c r="AM432" s="5" t="inlineStr">
        <is>
          <t>Off-Licence</t>
        </is>
      </c>
      <c r="AN432" s="5" t="inlineStr"/>
      <c r="AO432" s="5" t="inlineStr">
        <is>
          <t>Groceries and off-licence on Soho Road, Handsworth.</t>
        </is>
      </c>
      <c r="AP432" s="5" t="inlineStr">
        <is>
          <t>Low</t>
        </is>
      </c>
      <c r="AQ432" s="5" t="inlineStr">
        <is>
          <t>Independent retailer; Relevant category</t>
        </is>
      </c>
      <c r="AR432" s="5" t="inlineStr">
        <is>
          <t>https://www.yell.com/s/off+licences-handsworth-birmingham.html</t>
        </is>
      </c>
      <c r="AS432" s="5" t="inlineStr"/>
      <c r="AT432" s="5" t="inlineStr">
        <is>
          <t>1</t>
        </is>
      </c>
      <c r="AU432" s="5" t="inlineStr">
        <is>
          <t>No</t>
        </is>
      </c>
      <c r="AV432" s="5" t="inlineStr">
        <is>
          <t>No</t>
        </is>
      </c>
      <c r="AW432" s="5" t="inlineStr">
        <is>
          <t>No</t>
        </is>
      </c>
      <c r="AX432" s="5" t="inlineStr">
        <is>
          <t>No</t>
        </is>
      </c>
      <c r="AY432" s="5" t="inlineStr">
        <is>
          <t>Verified directory</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2026-09-17</t>
        </is>
      </c>
      <c r="BJ432" s="5" t="inlineStr">
        <is>
          <t>New</t>
        </is>
      </c>
      <c r="BK432" s="5" t="inlineStr">
        <is>
          <t>2026-09-17</t>
        </is>
      </c>
      <c r="BL432" s="5" t="inlineStr"/>
      <c r="BM432" s="5" t="inlineStr"/>
      <c r="BN432" s="5" t="inlineStr"/>
      <c r="BO432" s="5" t="inlineStr"/>
      <c r="BP432" s="5" t="inlineStr"/>
      <c r="BQ432" s="5" t="inlineStr"/>
    </row>
    <row r="433">
      <c r="A433" s="10" t="inlineStr">
        <is>
          <t>UK-000613</t>
        </is>
      </c>
      <c r="B433" s="10" t="inlineStr">
        <is>
          <t>UK-000613-01</t>
        </is>
      </c>
      <c r="C433" s="10" t="inlineStr"/>
      <c r="D433" s="10" t="inlineStr">
        <is>
          <t>Hayes Vapes</t>
        </is>
      </c>
      <c r="E433" s="10" t="inlineStr">
        <is>
          <t>Hayes Vapes</t>
        </is>
      </c>
      <c r="F433" s="10" t="inlineStr"/>
      <c r="G433" s="10" t="inlineStr">
        <is>
          <t>Vape Shop</t>
        </is>
      </c>
      <c r="H433" s="10" t="inlineStr"/>
      <c r="I433" s="10" t="inlineStr">
        <is>
          <t>Independent</t>
        </is>
      </c>
      <c r="J433" s="10" t="inlineStr">
        <is>
          <t>1</t>
        </is>
      </c>
      <c r="K433" s="10" t="inlineStr"/>
      <c r="L433" s="10" t="inlineStr"/>
      <c r="M433" s="10" t="inlineStr"/>
      <c r="N433" s="10" t="inlineStr"/>
      <c r="O433" s="10" t="inlineStr">
        <is>
          <t>111-113 Station Road</t>
        </is>
      </c>
      <c r="P433" s="10" t="inlineStr"/>
      <c r="Q433" s="10" t="inlineStr">
        <is>
          <t>Hayes</t>
        </is>
      </c>
      <c r="R433" s="10" t="inlineStr">
        <is>
          <t>Greater London</t>
        </is>
      </c>
      <c r="S433" s="10" t="inlineStr">
        <is>
          <t>UB3 4BX</t>
        </is>
      </c>
      <c r="T433" s="10" t="inlineStr">
        <is>
          <t>London</t>
        </is>
      </c>
      <c r="U433" s="10" t="inlineStr">
        <is>
          <t>England</t>
        </is>
      </c>
      <c r="V433" s="10" t="inlineStr">
        <is>
          <t>020 3261 2053</t>
        </is>
      </c>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vape hardware; e-liquids; disposables</t>
        </is>
      </c>
      <c r="AL433" s="10" t="inlineStr"/>
      <c r="AM433" s="10" t="inlineStr">
        <is>
          <t>Vape Shop</t>
        </is>
      </c>
      <c r="AN433" s="10" t="inlineStr"/>
      <c r="AO433" s="10" t="inlineStr">
        <is>
          <t>Independent vape shop on Station Road, Hayes. Address and phone from allinlondon / Yell directories.</t>
        </is>
      </c>
      <c r="AP433" s="10" t="inlineStr">
        <is>
          <t>Medium</t>
        </is>
      </c>
      <c r="AQ433" s="10" t="inlineStr">
        <is>
          <t>Independent retailer; Core relevant category</t>
        </is>
      </c>
      <c r="AR433" s="10" t="inlineStr">
        <is>
          <t>https://www.yell.com/biz/hayes-vapes-hayes-10161586/</t>
        </is>
      </c>
      <c r="AS433" s="10" t="inlineStr">
        <is>
          <t>https://www.allinlondon.co.uk/directory/tobacconists/214481-hayes-vapes</t>
        </is>
      </c>
      <c r="AT433" s="10" t="inlineStr">
        <is>
          <t>2</t>
        </is>
      </c>
      <c r="AU433" s="10" t="inlineStr">
        <is>
          <t>No</t>
        </is>
      </c>
      <c r="AV433" s="10" t="inlineStr">
        <is>
          <t>No</t>
        </is>
      </c>
      <c r="AW433" s="10" t="inlineStr">
        <is>
          <t>No</t>
        </is>
      </c>
      <c r="AX433" s="10" t="inlineStr">
        <is>
          <t>No</t>
        </is>
      </c>
      <c r="AY433" s="10" t="inlineStr">
        <is>
          <t>Verified directory</t>
        </is>
      </c>
      <c r="AZ433" s="10" t="inlineStr">
        <is>
          <t>Not Found</t>
        </is>
      </c>
      <c r="BA433" s="10" t="inlineStr">
        <is>
          <t>2026-09-17</t>
        </is>
      </c>
      <c r="BB433" s="10" t="inlineStr">
        <is>
          <t>Requires Verification</t>
        </is>
      </c>
      <c r="BC433" s="10" t="inlineStr">
        <is>
          <t>Medium</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WY-0095</t>
        </is>
      </c>
      <c r="B434" s="5" t="inlineStr">
        <is>
          <t>WY-0095-01</t>
        </is>
      </c>
      <c r="C434" s="5" t="inlineStr"/>
      <c r="D434" s="5" t="inlineStr">
        <is>
          <t>Heckmondwike Service Station</t>
        </is>
      </c>
      <c r="E434" s="5" t="inlineStr">
        <is>
          <t>Heckmondwike Service Station</t>
        </is>
      </c>
      <c r="F434" s="5" t="inlineStr"/>
      <c r="G434" s="5" t="inlineStr">
        <is>
          <t>Petrol Station / Forecourt</t>
        </is>
      </c>
      <c r="H434" s="5" t="inlineStr">
        <is>
          <t>BP-branded forecourt with shop</t>
        </is>
      </c>
      <c r="I434" s="5" t="inlineStr">
        <is>
          <t>Unknown</t>
        </is>
      </c>
      <c r="J434" s="5" t="inlineStr">
        <is>
          <t>1</t>
        </is>
      </c>
      <c r="K434" s="5" t="inlineStr"/>
      <c r="L434" s="5" t="inlineStr"/>
      <c r="M434" s="5" t="inlineStr"/>
      <c r="N434" s="5" t="inlineStr"/>
      <c r="O434" s="5" t="inlineStr">
        <is>
          <t>Halifax Road</t>
        </is>
      </c>
      <c r="P434" s="5" t="inlineStr"/>
      <c r="Q434" s="5" t="inlineStr">
        <is>
          <t>Heckmondwike</t>
        </is>
      </c>
      <c r="R434" s="5" t="inlineStr">
        <is>
          <t>West Yorkshire</t>
        </is>
      </c>
      <c r="S434" s="5" t="inlineStr"/>
      <c r="T434" s="5" t="inlineStr">
        <is>
          <t>Yorkshire &amp; Humber</t>
        </is>
      </c>
      <c r="U434" s="5" t="inlineStr">
        <is>
          <t>England</t>
        </is>
      </c>
      <c r="V434" s="5" t="inlineStr"/>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fuel; convenience goods</t>
        </is>
      </c>
      <c r="AL434" s="5" t="inlineStr"/>
      <c r="AM434" s="5" t="inlineStr">
        <is>
          <t>Petrol Station / Forecourt</t>
        </is>
      </c>
      <c r="AN434" s="5" t="inlineStr">
        <is>
          <t>BP fuel supply</t>
        </is>
      </c>
      <c r="AO434" s="5" t="inlineStr">
        <is>
          <t>BP dealer forecourt on Halifax Road listed under Dewsbury/Heckmondwike; operator company not identified from accessible sources, so ownership marked Unknown.</t>
        </is>
      </c>
      <c r="AP434" s="5" t="inlineStr">
        <is>
          <t>Low</t>
        </is>
      </c>
      <c r="AQ434" s="5" t="inlineStr">
        <is>
          <t>Relevant category</t>
        </is>
      </c>
      <c r="AR434" s="5" t="inlineStr">
        <is>
          <t>https://map.bp.com/en-US/GB/gas-station/dewsbury/heckmondwike-service-station/137101962</t>
        </is>
      </c>
      <c r="AS434" s="5" t="inlineStr">
        <is>
          <t>https://fuelfox.uk/station/heckmondwike-service-station-dewsbury-3798</t>
        </is>
      </c>
      <c r="AT434" s="5" t="inlineStr">
        <is>
          <t>2</t>
        </is>
      </c>
      <c r="AU434" s="5" t="inlineStr">
        <is>
          <t>No</t>
        </is>
      </c>
      <c r="AV434" s="5" t="inlineStr">
        <is>
          <t>No</t>
        </is>
      </c>
      <c r="AW434" s="5" t="inlineStr">
        <is>
          <t>No</t>
        </is>
      </c>
      <c r="AX434" s="5" t="inlineStr">
        <is>
          <t>No</t>
        </is>
      </c>
      <c r="AY434" s="5" t="inlineStr">
        <is>
          <t>Not Found</t>
        </is>
      </c>
      <c r="AZ434" s="5" t="inlineStr">
        <is>
          <t>Not Found</t>
        </is>
      </c>
      <c r="BA434" s="5" t="inlineStr">
        <is>
          <t>2026-09-17</t>
        </is>
      </c>
      <c r="BB434" s="5" t="inlineStr">
        <is>
          <t>Requires Verification</t>
        </is>
      </c>
      <c r="BC434" s="5" t="inlineStr">
        <is>
          <t>Low</t>
        </is>
      </c>
      <c r="BD434" s="5" t="inlineStr"/>
      <c r="BE434" s="5" t="inlineStr">
        <is>
          <t>Business (B2B)</t>
        </is>
      </c>
      <c r="BF434" s="5" t="inlineStr">
        <is>
          <t>Legitimate interest (B2B) - assess per campaign; PECR: corporate subscribers</t>
        </is>
      </c>
      <c r="BG434" s="5" t="inlineStr"/>
      <c r="BH434" s="5" t="inlineStr">
        <is>
          <t>No</t>
        </is>
      </c>
      <c r="BI434" s="5" t="inlineStr">
        <is>
          <t>2026-09-16</t>
        </is>
      </c>
      <c r="BJ434" s="5" t="inlineStr">
        <is>
          <t>New</t>
        </is>
      </c>
      <c r="BK434" s="5" t="inlineStr">
        <is>
          <t>2026-09-17</t>
        </is>
      </c>
      <c r="BL434" s="5" t="inlineStr"/>
      <c r="BM434" s="5" t="inlineStr"/>
      <c r="BN434" s="5" t="inlineStr"/>
      <c r="BO434" s="5" t="inlineStr"/>
      <c r="BP434" s="5" t="inlineStr"/>
      <c r="BQ434" s="5" t="inlineStr"/>
    </row>
    <row r="435">
      <c r="A435" s="10" t="inlineStr">
        <is>
          <t>UK-000614</t>
        </is>
      </c>
      <c r="B435" s="10" t="inlineStr">
        <is>
          <t>UK-000614-01</t>
        </is>
      </c>
      <c r="C435" s="10" t="inlineStr"/>
      <c r="D435" s="10" t="inlineStr">
        <is>
          <t>Helena News</t>
        </is>
      </c>
      <c r="E435" s="10" t="inlineStr">
        <is>
          <t>Helena News</t>
        </is>
      </c>
      <c r="F435" s="10" t="inlineStr"/>
      <c r="G435" s="10" t="inlineStr">
        <is>
          <t>Newsagent</t>
        </is>
      </c>
      <c r="H435" s="10" t="inlineStr"/>
      <c r="I435" s="10" t="inlineStr">
        <is>
          <t>Independent</t>
        </is>
      </c>
      <c r="J435" s="10" t="inlineStr">
        <is>
          <t>1</t>
        </is>
      </c>
      <c r="K435" s="10" t="inlineStr"/>
      <c r="L435" s="10" t="inlineStr"/>
      <c r="M435" s="10" t="inlineStr"/>
      <c r="N435" s="10" t="inlineStr"/>
      <c r="O435" s="10" t="inlineStr">
        <is>
          <t>9 Market Parade</t>
        </is>
      </c>
      <c r="P435" s="10" t="inlineStr">
        <is>
          <t>Hampton Road West</t>
        </is>
      </c>
      <c r="Q435" s="10" t="inlineStr">
        <is>
          <t>Feltham</t>
        </is>
      </c>
      <c r="R435" s="10" t="inlineStr">
        <is>
          <t>Greater London</t>
        </is>
      </c>
      <c r="S435" s="10" t="inlineStr">
        <is>
          <t>TW13 6AL</t>
        </is>
      </c>
      <c r="T435" s="10" t="inlineStr">
        <is>
          <t>London</t>
        </is>
      </c>
      <c r="U435" s="10" t="inlineStr">
        <is>
          <t>England</t>
        </is>
      </c>
      <c r="V435" s="10" t="inlineStr">
        <is>
          <t>020 8572 0227</t>
        </is>
      </c>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news; confectionery; tobacco; convenience</t>
        </is>
      </c>
      <c r="AL435" s="10" t="inlineStr"/>
      <c r="AM435" s="10" t="inlineStr">
        <is>
          <t>Newsagent</t>
        </is>
      </c>
      <c r="AN435" s="10" t="inlineStr"/>
      <c r="AO435" s="10" t="inlineStr">
        <is>
          <t>Independent newsagent in Feltham (Market Parade). Address and phone from Yell directory.</t>
        </is>
      </c>
      <c r="AP435" s="10" t="inlineStr">
        <is>
          <t>Low</t>
        </is>
      </c>
      <c r="AQ435" s="10" t="inlineStr">
        <is>
          <t>Independent retailer; Relevant category</t>
        </is>
      </c>
      <c r="AR435" s="10" t="inlineStr">
        <is>
          <t>https://www.yell.com/s/newsagents-feltham-middlesex.html</t>
        </is>
      </c>
      <c r="AS435" s="10" t="inlineStr"/>
      <c r="AT435" s="10" t="inlineStr">
        <is>
          <t>1</t>
        </is>
      </c>
      <c r="AU435" s="10" t="inlineStr">
        <is>
          <t>No</t>
        </is>
      </c>
      <c r="AV435" s="10" t="inlineStr">
        <is>
          <t>No</t>
        </is>
      </c>
      <c r="AW435" s="10" t="inlineStr">
        <is>
          <t>No</t>
        </is>
      </c>
      <c r="AX435" s="10" t="inlineStr">
        <is>
          <t>No</t>
        </is>
      </c>
      <c r="AY435" s="10" t="inlineStr">
        <is>
          <t>Verified directory</t>
        </is>
      </c>
      <c r="AZ435" s="10" t="inlineStr">
        <is>
          <t>Not Found</t>
        </is>
      </c>
      <c r="BA435" s="10" t="inlineStr">
        <is>
          <t>2026-09-17</t>
        </is>
      </c>
      <c r="BB435" s="10" t="inlineStr">
        <is>
          <t>Requires Verification</t>
        </is>
      </c>
      <c r="BC435" s="10" t="inlineStr">
        <is>
          <t>Medium</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2026-09-17</t>
        </is>
      </c>
      <c r="BJ435" s="10" t="inlineStr">
        <is>
          <t>New</t>
        </is>
      </c>
      <c r="BK435" s="10" t="inlineStr">
        <is>
          <t>2026-09-17</t>
        </is>
      </c>
      <c r="BL435" s="10" t="inlineStr"/>
      <c r="BM435" s="10" t="inlineStr"/>
      <c r="BN435" s="10" t="inlineStr"/>
      <c r="BO435" s="10" t="inlineStr"/>
      <c r="BP435" s="10" t="inlineStr"/>
      <c r="BQ435" s="10" t="inlineStr"/>
    </row>
    <row r="436">
      <c r="A436" s="5" t="inlineStr">
        <is>
          <t>UK-000360</t>
        </is>
      </c>
      <c r="B436" s="5" t="inlineStr">
        <is>
          <t>UK-000360-01</t>
        </is>
      </c>
      <c r="C436" s="5" t="inlineStr"/>
      <c r="D436" s="5" t="inlineStr">
        <is>
          <t>High Bank Convenience Store &amp; Off Licence (Gorton)</t>
        </is>
      </c>
      <c r="E436" s="5" t="inlineStr">
        <is>
          <t>High Bank Convenience Store &amp; Off Licence</t>
        </is>
      </c>
      <c r="F436" s="5" t="inlineStr"/>
      <c r="G436" s="5" t="inlineStr">
        <is>
          <t>Convenience Store</t>
        </is>
      </c>
      <c r="H436" s="5" t="inlineStr">
        <is>
          <t>Convenience &amp; off-licence</t>
        </is>
      </c>
      <c r="I436" s="5" t="inlineStr">
        <is>
          <t>Independent</t>
        </is>
      </c>
      <c r="J436" s="5" t="inlineStr">
        <is>
          <t>1</t>
        </is>
      </c>
      <c r="K436" s="5" t="inlineStr"/>
      <c r="L436" s="5" t="inlineStr"/>
      <c r="M436" s="5" t="inlineStr"/>
      <c r="N436" s="5" t="inlineStr"/>
      <c r="O436" s="5" t="inlineStr">
        <is>
          <t>15 High Bank</t>
        </is>
      </c>
      <c r="P436" s="5" t="inlineStr">
        <is>
          <t>Gorton</t>
        </is>
      </c>
      <c r="Q436" s="5" t="inlineStr">
        <is>
          <t>Manchester</t>
        </is>
      </c>
      <c r="R436" s="5" t="inlineStr">
        <is>
          <t>Greater Manchester</t>
        </is>
      </c>
      <c r="S436" s="5" t="inlineStr">
        <is>
          <t>M18 8UT</t>
        </is>
      </c>
      <c r="T436" s="5" t="inlineStr">
        <is>
          <t>North West</t>
        </is>
      </c>
      <c r="U436" s="5" t="inlineStr">
        <is>
          <t>England</t>
        </is>
      </c>
      <c r="V436" s="5" t="inlineStr">
        <is>
          <t>0161 223 5982</t>
        </is>
      </c>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groceries; off-licence; tobacco; confectionery; soft drinks</t>
        </is>
      </c>
      <c r="AL436" s="5" t="inlineStr"/>
      <c r="AM436" s="5" t="inlineStr">
        <is>
          <t>Convenience Store</t>
        </is>
      </c>
      <c r="AN436" s="5" t="inlineStr"/>
      <c r="AO436" s="5" t="inlineStr">
        <is>
          <t>Gorton independent convenience store &amp; off-licence; address/phone from Just Eat listing.</t>
        </is>
      </c>
      <c r="AP436" s="5" t="inlineStr">
        <is>
          <t>Low</t>
        </is>
      </c>
      <c r="AQ436" s="5" t="inlineStr">
        <is>
          <t>Independent retailer; Relevant category</t>
        </is>
      </c>
      <c r="AR436" s="5" t="inlineStr">
        <is>
          <t>https://www.just-eat.co.uk/restaurants-high-bank-convenience-store-and-off-licence-manchester/menu</t>
        </is>
      </c>
      <c r="AS436" s="5" t="inlineStr"/>
      <c r="AT436" s="5" t="inlineStr">
        <is>
          <t>1</t>
        </is>
      </c>
      <c r="AU436" s="5" t="inlineStr">
        <is>
          <t>No</t>
        </is>
      </c>
      <c r="AV436" s="5" t="inlineStr">
        <is>
          <t>No</t>
        </is>
      </c>
      <c r="AW436" s="5" t="inlineStr">
        <is>
          <t>No</t>
        </is>
      </c>
      <c r="AX436" s="5" t="inlineStr">
        <is>
          <t>No</t>
        </is>
      </c>
      <c r="AY436" s="5" t="inlineStr">
        <is>
          <t>Verified directory</t>
        </is>
      </c>
      <c r="AZ436" s="5" t="inlineStr">
        <is>
          <t>Not Found</t>
        </is>
      </c>
      <c r="BA436" s="5" t="inlineStr">
        <is>
          <t>2026-09-17</t>
        </is>
      </c>
      <c r="BB436" s="5" t="inlineStr">
        <is>
          <t>Requires Verification</t>
        </is>
      </c>
      <c r="BC436" s="5" t="inlineStr">
        <is>
          <t>Medium</t>
        </is>
      </c>
      <c r="BD436" s="5" t="inlineStr"/>
      <c r="BE436" s="5" t="inlineStr">
        <is>
          <t>Business (B2B)</t>
        </is>
      </c>
      <c r="BF436" s="5" t="inlineStr">
        <is>
          <t>Legitimate interest (B2B) - assess per campaign; PECR: corporate subscribers</t>
        </is>
      </c>
      <c r="BG436" s="5" t="inlineStr"/>
      <c r="BH436" s="5" t="inlineStr">
        <is>
          <t>No</t>
        </is>
      </c>
      <c r="BI436" s="5" t="inlineStr">
        <is>
          <t>2026-09-17</t>
        </is>
      </c>
      <c r="BJ436" s="5" t="inlineStr">
        <is>
          <t>New</t>
        </is>
      </c>
      <c r="BK436" s="5" t="inlineStr">
        <is>
          <t>2026-09-17</t>
        </is>
      </c>
      <c r="BL436" s="5" t="inlineStr"/>
      <c r="BM436" s="5" t="inlineStr"/>
      <c r="BN436" s="5" t="inlineStr"/>
      <c r="BO436" s="5" t="inlineStr"/>
      <c r="BP436" s="5" t="inlineStr"/>
      <c r="BQ436" s="5" t="inlineStr"/>
    </row>
    <row r="437">
      <c r="A437" s="10" t="inlineStr">
        <is>
          <t>UK-000780</t>
        </is>
      </c>
      <c r="B437" s="10" t="inlineStr">
        <is>
          <t>UK-000780-01</t>
        </is>
      </c>
      <c r="C437" s="10" t="inlineStr"/>
      <c r="D437" s="10" t="inlineStr">
        <is>
          <t>High Park Off Licence</t>
        </is>
      </c>
      <c r="E437" s="10" t="inlineStr">
        <is>
          <t>High Park Off Licence</t>
        </is>
      </c>
      <c r="F437" s="10" t="inlineStr"/>
      <c r="G437" s="10" t="inlineStr">
        <is>
          <t>Off-Licence</t>
        </is>
      </c>
      <c r="H437" s="10" t="inlineStr">
        <is>
          <t>Off-licence / convenience</t>
        </is>
      </c>
      <c r="I437" s="10" t="inlineStr">
        <is>
          <t>Independent</t>
        </is>
      </c>
      <c r="J437" s="10" t="inlineStr">
        <is>
          <t>1</t>
        </is>
      </c>
      <c r="K437" s="10" t="inlineStr"/>
      <c r="L437" s="10" t="inlineStr"/>
      <c r="M437" s="10" t="inlineStr"/>
      <c r="N437" s="10" t="inlineStr"/>
      <c r="O437" s="10" t="inlineStr">
        <is>
          <t>91 High Park Street</t>
        </is>
      </c>
      <c r="P437" s="10" t="inlineStr">
        <is>
          <t>Toxteth</t>
        </is>
      </c>
      <c r="Q437" s="10" t="inlineStr">
        <is>
          <t>Liverpool</t>
        </is>
      </c>
      <c r="R437" s="10" t="inlineStr">
        <is>
          <t>Merseyside</t>
        </is>
      </c>
      <c r="S437" s="10" t="inlineStr">
        <is>
          <t>L8 3UF</t>
        </is>
      </c>
      <c r="T437" s="10" t="inlineStr">
        <is>
          <t>North West</t>
        </is>
      </c>
      <c r="U437" s="10" t="inlineStr">
        <is>
          <t>England</t>
        </is>
      </c>
      <c r="V437" s="10" t="inlineStr">
        <is>
          <t>0151 475 5764</t>
        </is>
      </c>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wines; beers; spirits; convenience groceries</t>
        </is>
      </c>
      <c r="AL437" s="10" t="inlineStr"/>
      <c r="AM437" s="10" t="inlineStr">
        <is>
          <t>Off-Licence</t>
        </is>
      </c>
      <c r="AN437" s="10" t="inlineStr"/>
      <c r="AO437" s="10" t="inlineStr">
        <is>
          <t>Independent off-licence on High Park Street, Toxteth (L8), next to the Empress pub.</t>
        </is>
      </c>
      <c r="AP437" s="10" t="inlineStr">
        <is>
          <t>Low</t>
        </is>
      </c>
      <c r="AQ437" s="10" t="inlineStr">
        <is>
          <t>Independent retailer; Relevant category</t>
        </is>
      </c>
      <c r="AR437" s="10" t="inlineStr">
        <is>
          <t>https://liverpool.cylex-uk.co.uk/company/high-park--off-licence-13894901.html</t>
        </is>
      </c>
      <c r="AS437" s="10" t="inlineStr"/>
      <c r="AT437" s="10" t="inlineStr">
        <is>
          <t>1</t>
        </is>
      </c>
      <c r="AU437" s="10" t="inlineStr">
        <is>
          <t>No</t>
        </is>
      </c>
      <c r="AV437" s="10" t="inlineStr">
        <is>
          <t>No</t>
        </is>
      </c>
      <c r="AW437" s="10" t="inlineStr">
        <is>
          <t>No</t>
        </is>
      </c>
      <c r="AX437" s="10" t="inlineStr">
        <is>
          <t>No</t>
        </is>
      </c>
      <c r="AY437" s="10" t="inlineStr">
        <is>
          <t>Verified directory</t>
        </is>
      </c>
      <c r="AZ437" s="10" t="inlineStr">
        <is>
          <t>Not Found</t>
        </is>
      </c>
      <c r="BA437" s="10" t="inlineStr">
        <is>
          <t>2026-09-17</t>
        </is>
      </c>
      <c r="BB437" s="10" t="inlineStr">
        <is>
          <t>Requires Verification</t>
        </is>
      </c>
      <c r="BC437" s="10" t="inlineStr">
        <is>
          <t>Low</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2026-09-17</t>
        </is>
      </c>
      <c r="BJ437" s="10" t="inlineStr">
        <is>
          <t>New</t>
        </is>
      </c>
      <c r="BK437" s="10" t="inlineStr">
        <is>
          <t>2026-09-17</t>
        </is>
      </c>
      <c r="BL437" s="10" t="inlineStr"/>
      <c r="BM437" s="10" t="inlineStr"/>
      <c r="BN437" s="10" t="inlineStr"/>
      <c r="BO437" s="10" t="inlineStr"/>
      <c r="BP437" s="10" t="inlineStr"/>
      <c r="BQ437" s="10" t="inlineStr"/>
    </row>
    <row r="438">
      <c r="A438" s="5" t="inlineStr">
        <is>
          <t>UK-000478</t>
        </is>
      </c>
      <c r="B438" s="5" t="inlineStr">
        <is>
          <t>UK-000478-01</t>
        </is>
      </c>
      <c r="C438" s="5" t="inlineStr"/>
      <c r="D438" s="5" t="inlineStr">
        <is>
          <t>High Street Wine Stores</t>
        </is>
      </c>
      <c r="E438" s="5" t="inlineStr">
        <is>
          <t>High Street Wine Stores</t>
        </is>
      </c>
      <c r="F438" s="5" t="inlineStr"/>
      <c r="G438" s="5" t="inlineStr">
        <is>
          <t>Off-Licence</t>
        </is>
      </c>
      <c r="H438" s="5" t="inlineStr">
        <is>
          <t>Off-licence &amp; convenience</t>
        </is>
      </c>
      <c r="I438" s="5" t="inlineStr">
        <is>
          <t>Independent</t>
        </is>
      </c>
      <c r="J438" s="5" t="inlineStr">
        <is>
          <t>1</t>
        </is>
      </c>
      <c r="K438" s="5" t="inlineStr"/>
      <c r="L438" s="5" t="inlineStr"/>
      <c r="M438" s="5" t="inlineStr"/>
      <c r="N438" s="5" t="inlineStr"/>
      <c r="O438" s="5" t="inlineStr"/>
      <c r="P438" s="5" t="inlineStr"/>
      <c r="Q438" s="5" t="inlineStr">
        <is>
          <t>West Bromwich</t>
        </is>
      </c>
      <c r="R438" s="5" t="inlineStr">
        <is>
          <t>West Midlands</t>
        </is>
      </c>
      <c r="S438" s="5" t="inlineStr"/>
      <c r="T438" s="5" t="inlineStr">
        <is>
          <t>West Midlands</t>
        </is>
      </c>
      <c r="U438" s="5" t="inlineStr">
        <is>
          <t>England</t>
        </is>
      </c>
      <c r="V438" s="5" t="inlineStr"/>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beers; wines; spirits; convenience</t>
        </is>
      </c>
      <c r="AL438" s="5" t="inlineStr"/>
      <c r="AM438" s="5" t="inlineStr">
        <is>
          <t>Off-Licence</t>
        </is>
      </c>
      <c r="AN438" s="5" t="inlineStr"/>
      <c r="AO438" s="5" t="inlineStr">
        <is>
          <t>Independent off-licence in West Bromwich listed on Cylex. Exact street address not shown in snippet.</t>
        </is>
      </c>
      <c r="AP438" s="5" t="inlineStr">
        <is>
          <t>Low</t>
        </is>
      </c>
      <c r="AQ438" s="5" t="inlineStr">
        <is>
          <t>Independent retailer; Relevant category</t>
        </is>
      </c>
      <c r="AR438" s="5" t="inlineStr">
        <is>
          <t>https://west-bromwich.cylex-uk.co.uk/company/high-street-wine-stores-16185574.html</t>
        </is>
      </c>
      <c r="AS438" s="5" t="inlineStr"/>
      <c r="AT438" s="5" t="inlineStr">
        <is>
          <t>1</t>
        </is>
      </c>
      <c r="AU438" s="5" t="inlineStr">
        <is>
          <t>No</t>
        </is>
      </c>
      <c r="AV438" s="5" t="inlineStr">
        <is>
          <t>No</t>
        </is>
      </c>
      <c r="AW438" s="5" t="inlineStr">
        <is>
          <t>No</t>
        </is>
      </c>
      <c r="AX438" s="5" t="inlineStr">
        <is>
          <t>No</t>
        </is>
      </c>
      <c r="AY438" s="5" t="inlineStr">
        <is>
          <t>Not Found</t>
        </is>
      </c>
      <c r="AZ438" s="5" t="inlineStr">
        <is>
          <t>Not Found</t>
        </is>
      </c>
      <c r="BA438" s="5" t="inlineStr">
        <is>
          <t>2026-09-17</t>
        </is>
      </c>
      <c r="BB438" s="5" t="inlineStr">
        <is>
          <t>Requires Verification</t>
        </is>
      </c>
      <c r="BC438" s="5" t="inlineStr">
        <is>
          <t>Low</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UK-000255</t>
        </is>
      </c>
      <c r="B439" s="10" t="inlineStr">
        <is>
          <t>UK-000255-01</t>
        </is>
      </c>
      <c r="C439" s="10" t="inlineStr"/>
      <c r="D439" s="10" t="inlineStr">
        <is>
          <t>Hillsborough Vape Lounge</t>
        </is>
      </c>
      <c r="E439" s="10" t="inlineStr">
        <is>
          <t>Hillsborough Vape Lounge</t>
        </is>
      </c>
      <c r="F439" s="10" t="inlineStr"/>
      <c r="G439" s="10" t="inlineStr">
        <is>
          <t>Vape Shop</t>
        </is>
      </c>
      <c r="H439" s="10" t="inlineStr">
        <is>
          <t>E-cigarette and e-liquid shop</t>
        </is>
      </c>
      <c r="I439" s="10" t="inlineStr">
        <is>
          <t>Independent</t>
        </is>
      </c>
      <c r="J439" s="10" t="inlineStr">
        <is>
          <t>1</t>
        </is>
      </c>
      <c r="K439" s="10" t="inlineStr"/>
      <c r="L439" s="10" t="inlineStr"/>
      <c r="M439" s="10" t="inlineStr"/>
      <c r="N439" s="10" t="inlineStr"/>
      <c r="O439" s="10" t="inlineStr">
        <is>
          <t>66 Owlerton Green</t>
        </is>
      </c>
      <c r="P439" s="10" t="inlineStr">
        <is>
          <t>Hillsborough</t>
        </is>
      </c>
      <c r="Q439" s="10" t="inlineStr">
        <is>
          <t>Sheffield</t>
        </is>
      </c>
      <c r="R439" s="10" t="inlineStr">
        <is>
          <t>South Yorkshire</t>
        </is>
      </c>
      <c r="S439" s="10" t="inlineStr">
        <is>
          <t>S6 2BH</t>
        </is>
      </c>
      <c r="T439" s="10" t="inlineStr">
        <is>
          <t>Yorkshire &amp; Humber</t>
        </is>
      </c>
      <c r="U439" s="10" t="inlineStr">
        <is>
          <t>England</t>
        </is>
      </c>
      <c r="V439" s="10" t="inlineStr"/>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e-cigarettes; e-liquids; disposables; coils</t>
        </is>
      </c>
      <c r="AL439" s="10" t="inlineStr"/>
      <c r="AM439" s="10" t="inlineStr">
        <is>
          <t>Vape Shop</t>
        </is>
      </c>
      <c r="AN439" s="10" t="inlineStr"/>
      <c r="AO439" s="10" t="inlineStr">
        <is>
          <t>Independent vape shop in Hillsborough district. Address from eCig Directory listing (via search results).</t>
        </is>
      </c>
      <c r="AP439" s="10" t="inlineStr">
        <is>
          <t>Medium</t>
        </is>
      </c>
      <c r="AQ439" s="10" t="inlineStr">
        <is>
          <t>Independent retailer; Core relevant category</t>
        </is>
      </c>
      <c r="AR439" s="10" t="inlineStr">
        <is>
          <t>https://ecigdirectory.co.uk/vape-shop/listing/hillsborough-vape-lounge-sheffield</t>
        </is>
      </c>
      <c r="AS439" s="10" t="inlineStr"/>
      <c r="AT439" s="10" t="inlineStr">
        <is>
          <t>1</t>
        </is>
      </c>
      <c r="AU439" s="10" t="inlineStr">
        <is>
          <t>No</t>
        </is>
      </c>
      <c r="AV439" s="10" t="inlineStr">
        <is>
          <t>No</t>
        </is>
      </c>
      <c r="AW439" s="10" t="inlineStr">
        <is>
          <t>No</t>
        </is>
      </c>
      <c r="AX439" s="10" t="inlineStr">
        <is>
          <t>No</t>
        </is>
      </c>
      <c r="AY439" s="10" t="inlineStr">
        <is>
          <t>Not Found</t>
        </is>
      </c>
      <c r="AZ439" s="10" t="inlineStr">
        <is>
          <t>Not Found</t>
        </is>
      </c>
      <c r="BA439" s="10" t="inlineStr">
        <is>
          <t>2026-09-17</t>
        </is>
      </c>
      <c r="BB439" s="10" t="inlineStr">
        <is>
          <t>Requires Verification</t>
        </is>
      </c>
      <c r="BC439" s="10" t="inlineStr">
        <is>
          <t>Low</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2026-09-16</t>
        </is>
      </c>
      <c r="BJ439" s="10" t="inlineStr">
        <is>
          <t>New</t>
        </is>
      </c>
      <c r="BK439" s="10" t="inlineStr">
        <is>
          <t>2026-09-17</t>
        </is>
      </c>
      <c r="BL439" s="10" t="inlineStr"/>
      <c r="BM439" s="10" t="inlineStr"/>
      <c r="BN439" s="10" t="inlineStr"/>
      <c r="BO439" s="10" t="inlineStr"/>
      <c r="BP439" s="10" t="inlineStr"/>
      <c r="BQ439" s="10" t="inlineStr"/>
    </row>
    <row r="440">
      <c r="A440" s="5" t="inlineStr">
        <is>
          <t>UK-000781</t>
        </is>
      </c>
      <c r="B440" s="5" t="inlineStr">
        <is>
          <t>UK-000781-01</t>
        </is>
      </c>
      <c r="C440" s="5" t="inlineStr"/>
      <c r="D440" s="5" t="inlineStr">
        <is>
          <t>Hing Sing Chinese Supermarket</t>
        </is>
      </c>
      <c r="E440" s="5" t="inlineStr">
        <is>
          <t>Hing Sing</t>
        </is>
      </c>
      <c r="F440" s="5" t="inlineStr">
        <is>
          <t>Hing Sing Chinese Supermarket Ltd</t>
        </is>
      </c>
      <c r="G440" s="5" t="inlineStr">
        <is>
          <t>Independent Supermarket</t>
        </is>
      </c>
      <c r="H440" s="5" t="inlineStr">
        <is>
          <t>Chinese / Asian world-food supermarket</t>
        </is>
      </c>
      <c r="I440" s="5" t="inlineStr">
        <is>
          <t>Independent</t>
        </is>
      </c>
      <c r="J440" s="5" t="inlineStr">
        <is>
          <t>1</t>
        </is>
      </c>
      <c r="K440" s="5" t="inlineStr"/>
      <c r="L440" s="5" t="inlineStr"/>
      <c r="M440" s="5" t="inlineStr"/>
      <c r="N440" s="5" t="inlineStr"/>
      <c r="O440" s="5" t="inlineStr">
        <is>
          <t>310 Leith Walk</t>
        </is>
      </c>
      <c r="P440" s="5" t="inlineStr"/>
      <c r="Q440" s="5" t="inlineStr">
        <is>
          <t>Edinburgh</t>
        </is>
      </c>
      <c r="R440" s="5" t="inlineStr">
        <is>
          <t>City of Edinburgh</t>
        </is>
      </c>
      <c r="S440" s="5" t="inlineStr">
        <is>
          <t>EH6 5BU</t>
        </is>
      </c>
      <c r="T440" s="5" t="inlineStr">
        <is>
          <t>Scotland</t>
        </is>
      </c>
      <c r="U440" s="5" t="inlineStr">
        <is>
          <t>Scotland</t>
        </is>
      </c>
      <c r="V440" s="5" t="inlineStr">
        <is>
          <t>0131 554 4333</t>
        </is>
      </c>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Asian groceries; frozen foods; spices; wholesale &amp; retail</t>
        </is>
      </c>
      <c r="AL440" s="5" t="inlineStr"/>
      <c r="AM440" s="5" t="inlineStr">
        <is>
          <t>Independent Supermarket</t>
        </is>
      </c>
      <c r="AN440" s="5" t="inlineStr">
        <is>
          <t>Offers wholesale as well as retail (established 30+ years)</t>
        </is>
      </c>
      <c r="AO440" s="5" t="inlineStr">
        <is>
          <t>Long-established Chinese/Asian world-food supermarket on Leith Walk, offering both retail and wholesale. Legal name Hing Sing Chinese Supermarket Ltd per Yell/Cylex. Details from directory snippet.</t>
        </is>
      </c>
      <c r="AP440" s="5" t="inlineStr">
        <is>
          <t>Low</t>
        </is>
      </c>
      <c r="AQ440" s="5" t="inlineStr">
        <is>
          <t>Independent retailer; Relevant category</t>
        </is>
      </c>
      <c r="AR440" s="5" t="inlineStr">
        <is>
          <t>https://www.yell.com/biz/hing-sing-chinese-supermarket-ltd-edinburgh-725922/</t>
        </is>
      </c>
      <c r="AS440" s="5" t="inlineStr">
        <is>
          <t>https://edinburgh.cylex-uk.co.uk/company/hing-sing-chinese-supermarket-ltd-17096313.html</t>
        </is>
      </c>
      <c r="AT440" s="5" t="inlineStr">
        <is>
          <t>2</t>
        </is>
      </c>
      <c r="AU440" s="5" t="inlineStr">
        <is>
          <t>No</t>
        </is>
      </c>
      <c r="AV440" s="5" t="inlineStr">
        <is>
          <t>No</t>
        </is>
      </c>
      <c r="AW440" s="5" t="inlineStr">
        <is>
          <t>No</t>
        </is>
      </c>
      <c r="AX440" s="5" t="inlineStr">
        <is>
          <t>No</t>
        </is>
      </c>
      <c r="AY440" s="5" t="inlineStr">
        <is>
          <t>Verified directory</t>
        </is>
      </c>
      <c r="AZ440" s="5" t="inlineStr">
        <is>
          <t>Not Found</t>
        </is>
      </c>
      <c r="BA440" s="5" t="inlineStr">
        <is>
          <t>2026-09-17</t>
        </is>
      </c>
      <c r="BB440" s="5" t="inlineStr">
        <is>
          <t>Requires Verification</t>
        </is>
      </c>
      <c r="BC440" s="5" t="inlineStr">
        <is>
          <t>Medium</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UK-000256</t>
        </is>
      </c>
      <c r="B441" s="10" t="inlineStr">
        <is>
          <t>UK-000256-01</t>
        </is>
      </c>
      <c r="C441" s="10" t="inlineStr"/>
      <c r="D441" s="10" t="inlineStr">
        <is>
          <t>Holderness Convenience &amp; Spirits</t>
        </is>
      </c>
      <c r="E441" s="10" t="inlineStr">
        <is>
          <t>Holderness Convenience &amp; Spirits</t>
        </is>
      </c>
      <c r="F441" s="10" t="inlineStr"/>
      <c r="G441" s="10" t="inlineStr">
        <is>
          <t>Off-Licence</t>
        </is>
      </c>
      <c r="H441" s="10" t="inlineStr">
        <is>
          <t>Off-licence / convenience</t>
        </is>
      </c>
      <c r="I441" s="10" t="inlineStr">
        <is>
          <t>Independent</t>
        </is>
      </c>
      <c r="J441" s="10" t="inlineStr">
        <is>
          <t>1</t>
        </is>
      </c>
      <c r="K441" s="10" t="inlineStr"/>
      <c r="L441" s="10" t="inlineStr"/>
      <c r="M441" s="10" t="inlineStr"/>
      <c r="N441" s="10" t="inlineStr"/>
      <c r="O441" s="10" t="inlineStr">
        <is>
          <t>Holderness Road</t>
        </is>
      </c>
      <c r="P441" s="10" t="inlineStr"/>
      <c r="Q441" s="10" t="inlineStr">
        <is>
          <t>Kingston upon Hull</t>
        </is>
      </c>
      <c r="R441" s="10" t="inlineStr">
        <is>
          <t>East Riding of Yorkshire</t>
        </is>
      </c>
      <c r="S441" s="10" t="inlineStr"/>
      <c r="T441" s="10" t="inlineStr">
        <is>
          <t>Yorkshire &amp; Humber</t>
        </is>
      </c>
      <c r="U441" s="10" t="inlineStr">
        <is>
          <t>England</t>
        </is>
      </c>
      <c r="V441" s="10" t="inlineStr"/>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spirits; wines; beers; groceries</t>
        </is>
      </c>
      <c r="AL441" s="10" t="inlineStr"/>
      <c r="AM441" s="10" t="inlineStr">
        <is>
          <t>Off-Licence</t>
        </is>
      </c>
      <c r="AN441" s="10" t="inlineStr"/>
      <c r="AO441" s="10" t="inlineStr">
        <is>
          <t>Independent off-licence/convenience on Holderness Road, Hull, with a wide spirits/wine range. No postcode/phone in search results.</t>
        </is>
      </c>
      <c r="AP441" s="10" t="inlineStr">
        <is>
          <t>Low</t>
        </is>
      </c>
      <c r="AQ441" s="10" t="inlineStr">
        <is>
          <t>Independent retailer; Relevant category</t>
        </is>
      </c>
      <c r="AR441" s="10" t="inlineStr">
        <is>
          <t>https://www.yorkshire.com/hull/shopping/off-license/holderness-convenience-spirits</t>
        </is>
      </c>
      <c r="AS441" s="10" t="inlineStr"/>
      <c r="AT441" s="10" t="inlineStr">
        <is>
          <t>1</t>
        </is>
      </c>
      <c r="AU441" s="10" t="inlineStr">
        <is>
          <t>No</t>
        </is>
      </c>
      <c r="AV441" s="10" t="inlineStr">
        <is>
          <t>No</t>
        </is>
      </c>
      <c r="AW441" s="10" t="inlineStr">
        <is>
          <t>No</t>
        </is>
      </c>
      <c r="AX441" s="10" t="inlineStr">
        <is>
          <t>No</t>
        </is>
      </c>
      <c r="AY441" s="10" t="inlineStr">
        <is>
          <t>Not Found</t>
        </is>
      </c>
      <c r="AZ441" s="10" t="inlineStr">
        <is>
          <t>Not Found</t>
        </is>
      </c>
      <c r="BA441" s="10" t="inlineStr">
        <is>
          <t>2026-09-17</t>
        </is>
      </c>
      <c r="BB441" s="10" t="inlineStr">
        <is>
          <t>Requires Verification</t>
        </is>
      </c>
      <c r="BC441" s="10" t="inlineStr">
        <is>
          <t>Low</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2026-09-16</t>
        </is>
      </c>
      <c r="BJ441" s="10" t="inlineStr">
        <is>
          <t>New</t>
        </is>
      </c>
      <c r="BK441" s="10" t="inlineStr">
        <is>
          <t>2026-09-17</t>
        </is>
      </c>
      <c r="BL441" s="10" t="inlineStr"/>
      <c r="BM441" s="10" t="inlineStr"/>
      <c r="BN441" s="10" t="inlineStr"/>
      <c r="BO441" s="10" t="inlineStr"/>
      <c r="BP441" s="10" t="inlineStr"/>
      <c r="BQ441" s="10" t="inlineStr"/>
    </row>
    <row r="442">
      <c r="A442" s="5" t="inlineStr">
        <is>
          <t>UK-000782</t>
        </is>
      </c>
      <c r="B442" s="5" t="inlineStr">
        <is>
          <t>UK-000782-01</t>
        </is>
      </c>
      <c r="C442" s="5" t="inlineStr"/>
      <c r="D442" s="5" t="inlineStr">
        <is>
          <t>Holliday's</t>
        </is>
      </c>
      <c r="E442" s="5" t="inlineStr">
        <is>
          <t>Holliday's</t>
        </is>
      </c>
      <c r="F442" s="5" t="inlineStr"/>
      <c r="G442" s="5" t="inlineStr">
        <is>
          <t>Convenience Store</t>
        </is>
      </c>
      <c r="H442" s="5" t="inlineStr">
        <is>
          <t>Grocer &amp; convenience store</t>
        </is>
      </c>
      <c r="I442" s="5" t="inlineStr">
        <is>
          <t>Independent</t>
        </is>
      </c>
      <c r="J442" s="5" t="inlineStr">
        <is>
          <t>1</t>
        </is>
      </c>
      <c r="K442" s="5" t="inlineStr"/>
      <c r="L442" s="5" t="inlineStr"/>
      <c r="M442" s="5" t="inlineStr"/>
      <c r="N442" s="5" t="inlineStr"/>
      <c r="O442" s="5" t="inlineStr">
        <is>
          <t>15 Old Rough Lane</t>
        </is>
      </c>
      <c r="P442" s="5" t="inlineStr">
        <is>
          <t>Kirkby</t>
        </is>
      </c>
      <c r="Q442" s="5" t="inlineStr">
        <is>
          <t>Liverpool</t>
        </is>
      </c>
      <c r="R442" s="5" t="inlineStr">
        <is>
          <t>Merseyside</t>
        </is>
      </c>
      <c r="S442" s="5" t="inlineStr">
        <is>
          <t>L33 6XE</t>
        </is>
      </c>
      <c r="T442" s="5" t="inlineStr">
        <is>
          <t>North West</t>
        </is>
      </c>
      <c r="U442" s="5" t="inlineStr">
        <is>
          <t>England</t>
        </is>
      </c>
      <c r="V442" s="5" t="inlineStr">
        <is>
          <t>0151 546 0738</t>
        </is>
      </c>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convenience groceries; tobacco; soft drinks</t>
        </is>
      </c>
      <c r="AL442" s="5" t="inlineStr"/>
      <c r="AM442" s="5" t="inlineStr">
        <is>
          <t>Convenience Store</t>
        </is>
      </c>
      <c r="AN442" s="5" t="inlineStr"/>
      <c r="AO442" s="5" t="inlineStr">
        <is>
          <t>Independent convenience store on Old Rough Lane, Kirkby (Knowsley).</t>
        </is>
      </c>
      <c r="AP442" s="5" t="inlineStr">
        <is>
          <t>Low</t>
        </is>
      </c>
      <c r="AQ442" s="5" t="inlineStr">
        <is>
          <t>Independent retailer; Relevant category</t>
        </is>
      </c>
      <c r="AR442" s="5" t="inlineStr">
        <is>
          <t>https://kirkby.cylex-uk.co.uk/convenience-stores/</t>
        </is>
      </c>
      <c r="AS442" s="5" t="inlineStr"/>
      <c r="AT442" s="5" t="inlineStr">
        <is>
          <t>1</t>
        </is>
      </c>
      <c r="AU442" s="5" t="inlineStr">
        <is>
          <t>No</t>
        </is>
      </c>
      <c r="AV442" s="5" t="inlineStr">
        <is>
          <t>No</t>
        </is>
      </c>
      <c r="AW442" s="5" t="inlineStr">
        <is>
          <t>No</t>
        </is>
      </c>
      <c r="AX442" s="5" t="inlineStr">
        <is>
          <t>No</t>
        </is>
      </c>
      <c r="AY442" s="5" t="inlineStr">
        <is>
          <t>Verified directory</t>
        </is>
      </c>
      <c r="AZ442" s="5" t="inlineStr">
        <is>
          <t>Not Found</t>
        </is>
      </c>
      <c r="BA442" s="5" t="inlineStr">
        <is>
          <t>2026-09-17</t>
        </is>
      </c>
      <c r="BB442" s="5" t="inlineStr">
        <is>
          <t>Requires Verification</t>
        </is>
      </c>
      <c r="BC442" s="5" t="inlineStr">
        <is>
          <t>Low</t>
        </is>
      </c>
      <c r="BD442" s="5" t="inlineStr"/>
      <c r="BE442" s="5" t="inlineStr">
        <is>
          <t>Business (B2B)</t>
        </is>
      </c>
      <c r="BF442" s="5" t="inlineStr">
        <is>
          <t>Legitimate interest (B2B) - assess per campaign; PECR: corporate subscribers</t>
        </is>
      </c>
      <c r="BG442" s="5" t="inlineStr"/>
      <c r="BH442" s="5" t="inlineStr">
        <is>
          <t>No</t>
        </is>
      </c>
      <c r="BI442" s="5" t="inlineStr">
        <is>
          <t>2026-09-17</t>
        </is>
      </c>
      <c r="BJ442" s="5" t="inlineStr">
        <is>
          <t>New</t>
        </is>
      </c>
      <c r="BK442" s="5" t="inlineStr">
        <is>
          <t>2026-09-17</t>
        </is>
      </c>
      <c r="BL442" s="5" t="inlineStr"/>
      <c r="BM442" s="5" t="inlineStr"/>
      <c r="BN442" s="5" t="inlineStr"/>
      <c r="BO442" s="5" t="inlineStr"/>
      <c r="BP442" s="5" t="inlineStr"/>
      <c r="BQ442" s="5" t="inlineStr"/>
    </row>
    <row r="443">
      <c r="A443" s="10" t="inlineStr">
        <is>
          <t>UK-000479</t>
        </is>
      </c>
      <c r="B443" s="10" t="inlineStr">
        <is>
          <t>UK-000479-01</t>
        </is>
      </c>
      <c r="C443" s="10" t="inlineStr"/>
      <c r="D443" s="10" t="inlineStr">
        <is>
          <t>Home From Home Foods</t>
        </is>
      </c>
      <c r="E443" s="10" t="inlineStr">
        <is>
          <t>Home From Home Foods</t>
        </is>
      </c>
      <c r="F443" s="10" t="inlineStr"/>
      <c r="G443" s="10" t="inlineStr">
        <is>
          <t>Independent Supermarket</t>
        </is>
      </c>
      <c r="H443" s="10" t="inlineStr">
        <is>
          <t>Afro-Caribbean grocery</t>
        </is>
      </c>
      <c r="I443" s="10" t="inlineStr">
        <is>
          <t>Independent</t>
        </is>
      </c>
      <c r="J443" s="10" t="inlineStr">
        <is>
          <t>1</t>
        </is>
      </c>
      <c r="K443" s="10" t="inlineStr">
        <is>
          <t>https://www.homefromhomefoods.com/</t>
        </is>
      </c>
      <c r="L443" s="10" t="inlineStr">
        <is>
          <t>https://www.facebook.com/HOMEFROMHOME.caribbeanfoods/</t>
        </is>
      </c>
      <c r="M443" s="10" t="inlineStr">
        <is>
          <t>https://www.instagram.com/homefromhomefoods/</t>
        </is>
      </c>
      <c r="N443" s="10" t="inlineStr"/>
      <c r="O443" s="10" t="inlineStr">
        <is>
          <t>6 Worcester Street</t>
        </is>
      </c>
      <c r="P443" s="10" t="inlineStr"/>
      <c r="Q443" s="10" t="inlineStr">
        <is>
          <t>Wolverhampton</t>
        </is>
      </c>
      <c r="R443" s="10" t="inlineStr">
        <is>
          <t>West Midlands</t>
        </is>
      </c>
      <c r="S443" s="10" t="inlineStr">
        <is>
          <t>WV2 4LD</t>
        </is>
      </c>
      <c r="T443" s="10" t="inlineStr">
        <is>
          <t>West Midlands</t>
        </is>
      </c>
      <c r="U443" s="10" t="inlineStr">
        <is>
          <t>England</t>
        </is>
      </c>
      <c r="V443" s="10" t="inlineStr">
        <is>
          <t>01902 421200</t>
        </is>
      </c>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Afro-Caribbean &amp; African groceries; frozen meats; alcohol; online delivery</t>
        </is>
      </c>
      <c r="AL443" s="10" t="inlineStr"/>
      <c r="AM443" s="10" t="inlineStr">
        <is>
          <t>Independent Supermarket</t>
        </is>
      </c>
      <c r="AN443" s="10" t="inlineStr">
        <is>
          <t>Own e-commerce site with UK delivery and click &amp; collect.</t>
        </is>
      </c>
      <c r="AO443" s="10" t="inlineStr">
        <is>
          <t>Family-run, Black-owned Caribbean/African food shop in Wolverhampton city centre (Worcester Street), trading since 1976.</t>
        </is>
      </c>
      <c r="AP443" s="10" t="inlineStr">
        <is>
          <t>Medium</t>
        </is>
      </c>
      <c r="AQ443" s="10" t="inlineStr">
        <is>
          <t>Independent retailer; Relevant category; Active website; Social presence; Phone verified on official website</t>
        </is>
      </c>
      <c r="AR443" s="10" t="inlineStr">
        <is>
          <t>https://www.homefromhomefoods.com/wolverhampton-shop</t>
        </is>
      </c>
      <c r="AS443" s="10" t="inlineStr">
        <is>
          <t>https://www.192.com/atoz/business/wolverhampton-wv2/grocers/home-from-home/932abcb61feaa7842a78749cf27fefdfafc04eaa/ml/</t>
        </is>
      </c>
      <c r="AT443" s="10" t="inlineStr">
        <is>
          <t>2</t>
        </is>
      </c>
      <c r="AU443" s="10" t="inlineStr">
        <is>
          <t>Yes</t>
        </is>
      </c>
      <c r="AV443" s="10" t="inlineStr">
        <is>
          <t>No</t>
        </is>
      </c>
      <c r="AW443" s="10" t="inlineStr">
        <is>
          <t>No</t>
        </is>
      </c>
      <c r="AX443" s="10" t="inlineStr">
        <is>
          <t>No</t>
        </is>
      </c>
      <c r="AY443" s="10" t="inlineStr">
        <is>
          <t>Verified on official website</t>
        </is>
      </c>
      <c r="AZ443" s="10" t="inlineStr">
        <is>
          <t>Website Found</t>
        </is>
      </c>
      <c r="BA443" s="10" t="inlineStr">
        <is>
          <t>2026-09-17</t>
        </is>
      </c>
      <c r="BB443" s="10" t="inlineStr">
        <is>
          <t>Partially Verified</t>
        </is>
      </c>
      <c r="BC443" s="10" t="inlineStr">
        <is>
          <t>High</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2026-09-17</t>
        </is>
      </c>
      <c r="BJ443" s="10" t="inlineStr">
        <is>
          <t>New</t>
        </is>
      </c>
      <c r="BK443" s="10" t="inlineStr">
        <is>
          <t>2026-09-17</t>
        </is>
      </c>
      <c r="BL443" s="10" t="inlineStr"/>
      <c r="BM443" s="10" t="inlineStr"/>
      <c r="BN443" s="10" t="inlineStr"/>
      <c r="BO443" s="10" t="inlineStr"/>
      <c r="BP443" s="10" t="inlineStr"/>
      <c r="BQ443" s="10" t="inlineStr"/>
    </row>
    <row r="444">
      <c r="A444" s="5" t="inlineStr">
        <is>
          <t>WY-0096</t>
        </is>
      </c>
      <c r="B444" s="5" t="inlineStr">
        <is>
          <t>WY-0096-01</t>
        </is>
      </c>
      <c r="C444" s="5" t="inlineStr"/>
      <c r="D444" s="5" t="inlineStr">
        <is>
          <t>Hopes News</t>
        </is>
      </c>
      <c r="E444" s="5" t="inlineStr">
        <is>
          <t>Hopes News</t>
        </is>
      </c>
      <c r="F444" s="5" t="inlineStr"/>
      <c r="G444" s="5" t="inlineStr">
        <is>
          <t>Newsagent</t>
        </is>
      </c>
      <c r="H444" s="5" t="inlineStr">
        <is>
          <t>Newsagent / off-licence</t>
        </is>
      </c>
      <c r="I444" s="5" t="inlineStr">
        <is>
          <t>Independent</t>
        </is>
      </c>
      <c r="J444" s="5" t="inlineStr">
        <is>
          <t>1</t>
        </is>
      </c>
      <c r="K444" s="5" t="inlineStr"/>
      <c r="L444" s="5" t="inlineStr"/>
      <c r="M444" s="5" t="inlineStr"/>
      <c r="N444" s="5" t="inlineStr"/>
      <c r="O444" s="5" t="inlineStr">
        <is>
          <t>Otley Road</t>
        </is>
      </c>
      <c r="P444" s="5" t="inlineStr">
        <is>
          <t>Baildon</t>
        </is>
      </c>
      <c r="Q444" s="5" t="inlineStr">
        <is>
          <t>Shipley</t>
        </is>
      </c>
      <c r="R444" s="5" t="inlineStr">
        <is>
          <t>West Yorkshire</t>
        </is>
      </c>
      <c r="S444" s="5" t="inlineStr"/>
      <c r="T444" s="5" t="inlineStr">
        <is>
          <t>Yorkshire &amp; Humber</t>
        </is>
      </c>
      <c r="U444" s="5" t="inlineStr">
        <is>
          <t>England</t>
        </is>
      </c>
      <c r="V444" s="5" t="inlineStr"/>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c r="AK444" s="5" t="inlineStr">
        <is>
          <t>news; magazines; convenience lines</t>
        </is>
      </c>
      <c r="AL444" s="5" t="inlineStr"/>
      <c r="AM444" s="5" t="inlineStr">
        <is>
          <t>Newsagent</t>
        </is>
      </c>
      <c r="AN444" s="5" t="inlineStr"/>
      <c r="AO444" s="5" t="inlineStr">
        <is>
          <t>Early-opening newsagent on Otley Road, Baildon (from 7am daily per listing snippet).</t>
        </is>
      </c>
      <c r="AP444" s="5" t="inlineStr">
        <is>
          <t>Low</t>
        </is>
      </c>
      <c r="AQ444" s="5" t="inlineStr">
        <is>
          <t>Independent retailer; Relevant category</t>
        </is>
      </c>
      <c r="AR444" s="5" t="inlineStr">
        <is>
          <t>https://www.yorkshire.com/shipley/shopping/off-license/hopes-news</t>
        </is>
      </c>
      <c r="AS444" s="5" t="inlineStr"/>
      <c r="AT444" s="5" t="inlineStr">
        <is>
          <t>1</t>
        </is>
      </c>
      <c r="AU444" s="5" t="inlineStr">
        <is>
          <t>No</t>
        </is>
      </c>
      <c r="AV444" s="5" t="inlineStr">
        <is>
          <t>No</t>
        </is>
      </c>
      <c r="AW444" s="5" t="inlineStr">
        <is>
          <t>No</t>
        </is>
      </c>
      <c r="AX444" s="5" t="inlineStr">
        <is>
          <t>No</t>
        </is>
      </c>
      <c r="AY444" s="5" t="inlineStr">
        <is>
          <t>Not Found</t>
        </is>
      </c>
      <c r="AZ444" s="5" t="inlineStr">
        <is>
          <t>Not Found</t>
        </is>
      </c>
      <c r="BA444" s="5" t="inlineStr">
        <is>
          <t>2026-09-17</t>
        </is>
      </c>
      <c r="BB444" s="5" t="inlineStr">
        <is>
          <t>Requires Verification</t>
        </is>
      </c>
      <c r="BC444" s="5" t="inlineStr">
        <is>
          <t>Low</t>
        </is>
      </c>
      <c r="BD444" s="5" t="inlineStr"/>
      <c r="BE444" s="5" t="inlineStr">
        <is>
          <t>Business (B2B)</t>
        </is>
      </c>
      <c r="BF444" s="5" t="inlineStr">
        <is>
          <t>Legitimate interest (B2B) - assess per campaign; PECR: corporate subscribers</t>
        </is>
      </c>
      <c r="BG444" s="5" t="inlineStr"/>
      <c r="BH444" s="5" t="inlineStr">
        <is>
          <t>No</t>
        </is>
      </c>
      <c r="BI444" s="5" t="inlineStr">
        <is>
          <t>2026-09-16</t>
        </is>
      </c>
      <c r="BJ444" s="5" t="inlineStr">
        <is>
          <t>New</t>
        </is>
      </c>
      <c r="BK444" s="5" t="inlineStr">
        <is>
          <t>2026-09-17</t>
        </is>
      </c>
      <c r="BL444" s="5" t="inlineStr"/>
      <c r="BM444" s="5" t="inlineStr"/>
      <c r="BN444" s="5" t="inlineStr"/>
      <c r="BO444" s="5" t="inlineStr"/>
      <c r="BP444" s="5" t="inlineStr"/>
      <c r="BQ444" s="5" t="inlineStr"/>
    </row>
    <row r="445">
      <c r="A445" s="10" t="inlineStr">
        <is>
          <t>UK-000361</t>
        </is>
      </c>
      <c r="B445" s="10" t="inlineStr">
        <is>
          <t>UK-000361-01</t>
        </is>
      </c>
      <c r="C445" s="10" t="inlineStr"/>
      <c r="D445" s="10" t="inlineStr">
        <is>
          <t>House of Vapez Rochdale</t>
        </is>
      </c>
      <c r="E445" s="10" t="inlineStr">
        <is>
          <t>House of Vapez</t>
        </is>
      </c>
      <c r="F445" s="10" t="inlineStr"/>
      <c r="G445" s="10" t="inlineStr">
        <is>
          <t>Vape Shop</t>
        </is>
      </c>
      <c r="H445" s="10" t="inlineStr"/>
      <c r="I445" s="10" t="inlineStr">
        <is>
          <t>Independent</t>
        </is>
      </c>
      <c r="J445" s="10" t="inlineStr">
        <is>
          <t>1</t>
        </is>
      </c>
      <c r="K445" s="10" t="inlineStr"/>
      <c r="L445" s="10" t="inlineStr"/>
      <c r="M445" s="10" t="inlineStr">
        <is>
          <t>https://www.instagram.com/houseofvapezrochdale/</t>
        </is>
      </c>
      <c r="N445" s="10" t="inlineStr"/>
      <c r="O445" s="10" t="inlineStr">
        <is>
          <t>99 Yorkshire Street</t>
        </is>
      </c>
      <c r="P445" s="10" t="inlineStr"/>
      <c r="Q445" s="10" t="inlineStr">
        <is>
          <t>Rochdale</t>
        </is>
      </c>
      <c r="R445" s="10" t="inlineStr">
        <is>
          <t>Greater Manchester</t>
        </is>
      </c>
      <c r="S445" s="10" t="inlineStr">
        <is>
          <t>OL16 1DW</t>
        </is>
      </c>
      <c r="T445" s="10" t="inlineStr">
        <is>
          <t>North West</t>
        </is>
      </c>
      <c r="U445" s="10" t="inlineStr">
        <is>
          <t>England</t>
        </is>
      </c>
      <c r="V445" s="10" t="inlineStr">
        <is>
          <t>01706 458162</t>
        </is>
      </c>
      <c r="W445" s="10" t="inlineStr"/>
      <c r="X445" s="10" t="inlineStr"/>
      <c r="Y445" s="10" t="inlineStr">
        <is>
          <t>houseofvapezROCHDALE@gmail.com</t>
        </is>
      </c>
      <c r="Z445" s="10" t="inlineStr"/>
      <c r="AA445" s="10" t="inlineStr"/>
      <c r="AB445" s="10" t="inlineStr"/>
      <c r="AC445" s="10" t="inlineStr"/>
      <c r="AD445" s="10" t="inlineStr"/>
      <c r="AE445" s="10" t="inlineStr"/>
      <c r="AF445" s="10" t="inlineStr"/>
      <c r="AG445" s="10" t="inlineStr"/>
      <c r="AH445" s="10" t="inlineStr"/>
      <c r="AI445" s="10" t="inlineStr"/>
      <c r="AJ445" s="10" t="inlineStr"/>
      <c r="AK445" s="10" t="inlineStr">
        <is>
          <t>e-liquids; vape hardware; disposables</t>
        </is>
      </c>
      <c r="AL445" s="10" t="inlineStr"/>
      <c r="AM445" s="10" t="inlineStr">
        <is>
          <t>Vape Shop</t>
        </is>
      </c>
      <c r="AN445" s="10" t="inlineStr"/>
      <c r="AO445" s="10" t="inlineStr">
        <is>
          <t>Independent vape shop on Yorkshire Street, Rochdale.</t>
        </is>
      </c>
      <c r="AP445" s="10" t="inlineStr">
        <is>
          <t>Medium</t>
        </is>
      </c>
      <c r="AQ445" s="10" t="inlineStr">
        <is>
          <t>Independent retailer; Core relevant category; Public email available; Social presence</t>
        </is>
      </c>
      <c r="AR445" s="10" t="inlineStr">
        <is>
          <t>https://www.instagram.com/houseofvapezrochdale/</t>
        </is>
      </c>
      <c r="AS445" s="10" t="inlineStr"/>
      <c r="AT445" s="10" t="inlineStr">
        <is>
          <t>1</t>
        </is>
      </c>
      <c r="AU445" s="10" t="inlineStr">
        <is>
          <t>No</t>
        </is>
      </c>
      <c r="AV445" s="10" t="inlineStr">
        <is>
          <t>No</t>
        </is>
      </c>
      <c r="AW445" s="10" t="inlineStr">
        <is>
          <t>No</t>
        </is>
      </c>
      <c r="AX445" s="10" t="inlineStr">
        <is>
          <t>No</t>
        </is>
      </c>
      <c r="AY445" s="10" t="inlineStr">
        <is>
          <t>Verified directory</t>
        </is>
      </c>
      <c r="AZ445" s="10" t="inlineStr">
        <is>
          <t>Publicly Listed</t>
        </is>
      </c>
      <c r="BA445" s="10" t="inlineStr">
        <is>
          <t>2026-09-17</t>
        </is>
      </c>
      <c r="BB445" s="10" t="inlineStr">
        <is>
          <t>Requires Verification</t>
        </is>
      </c>
      <c r="BC445" s="10" t="inlineStr">
        <is>
          <t>Medium</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2026-09-17</t>
        </is>
      </c>
      <c r="BJ445" s="10" t="inlineStr">
        <is>
          <t>New</t>
        </is>
      </c>
      <c r="BK445" s="10" t="inlineStr">
        <is>
          <t>2026-09-17</t>
        </is>
      </c>
      <c r="BL445" s="10" t="inlineStr"/>
      <c r="BM445" s="10" t="inlineStr"/>
      <c r="BN445" s="10" t="inlineStr"/>
      <c r="BO445" s="10" t="inlineStr"/>
      <c r="BP445" s="10" t="inlineStr"/>
      <c r="BQ445" s="10" t="inlineStr"/>
    </row>
    <row r="446">
      <c r="A446" s="5" t="inlineStr">
        <is>
          <t>WY-0097</t>
        </is>
      </c>
      <c r="B446" s="5" t="inlineStr">
        <is>
          <t>WY-0097-01</t>
        </is>
      </c>
      <c r="C446" s="5" t="inlineStr"/>
      <c r="D446" s="5" t="inlineStr">
        <is>
          <t>House of Vapour</t>
        </is>
      </c>
      <c r="E446" s="5" t="inlineStr">
        <is>
          <t>House of Vapour</t>
        </is>
      </c>
      <c r="F446" s="5" t="inlineStr"/>
      <c r="G446" s="5" t="inlineStr">
        <is>
          <t>Vape Shop</t>
        </is>
      </c>
      <c r="H446" s="5" t="inlineStr">
        <is>
          <t>Premium e-cigarette products</t>
        </is>
      </c>
      <c r="I446" s="5" t="inlineStr">
        <is>
          <t>Independent</t>
        </is>
      </c>
      <c r="J446" s="5" t="inlineStr">
        <is>
          <t>1</t>
        </is>
      </c>
      <c r="K446" s="5" t="inlineStr">
        <is>
          <t>https://www.houseofvapour.net</t>
        </is>
      </c>
      <c r="L446" s="5" t="inlineStr"/>
      <c r="M446" s="5" t="inlineStr"/>
      <c r="N446" s="5" t="inlineStr"/>
      <c r="O446" s="5" t="inlineStr">
        <is>
          <t>Barnsley Road</t>
        </is>
      </c>
      <c r="P446" s="5" t="inlineStr"/>
      <c r="Q446" s="5" t="inlineStr">
        <is>
          <t>South Elmsall</t>
        </is>
      </c>
      <c r="R446" s="5" t="inlineStr">
        <is>
          <t>West Yorkshire</t>
        </is>
      </c>
      <c r="S446" s="5" t="inlineStr">
        <is>
          <t>WF9 2AL</t>
        </is>
      </c>
      <c r="T446" s="5" t="inlineStr">
        <is>
          <t>Yorkshire &amp; Humber</t>
        </is>
      </c>
      <c r="U446" s="5" t="inlineStr">
        <is>
          <t>England</t>
        </is>
      </c>
      <c r="V446" s="5" t="inlineStr">
        <is>
          <t>01977 647969</t>
        </is>
      </c>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vape hardware; e-liquids</t>
        </is>
      </c>
      <c r="AL446" s="5" t="inlineStr"/>
      <c r="AM446" s="5" t="inlineStr">
        <is>
          <t>Vape Shop</t>
        </is>
      </c>
      <c r="AN446" s="5" t="inlineStr"/>
      <c r="AO446" s="5" t="inlineStr">
        <is>
          <t>Own website (houseofvapour.net) describes it as on Barnsley Road, South Elmsall, specialising in luxury e-cigarette products. Site could not be fetched (egress blocked) so street number/phone/email not captured.</t>
        </is>
      </c>
      <c r="AP446" s="5" t="inlineStr">
        <is>
          <t>Medium</t>
        </is>
      </c>
      <c r="AQ446" s="5" t="inlineStr">
        <is>
          <t>Independent retailer; Core relevant category; Active website</t>
        </is>
      </c>
      <c r="AR446" s="5" t="inlineStr">
        <is>
          <t>https://www.houseofvapour.net/</t>
        </is>
      </c>
      <c r="AS446" s="5" t="inlineStr">
        <is>
          <t>https://ecigdirectory.co.uk/vape-shop/listing/house-of-vapour</t>
        </is>
      </c>
      <c r="AT446" s="5" t="inlineStr">
        <is>
          <t>3</t>
        </is>
      </c>
      <c r="AU446" s="5" t="inlineStr">
        <is>
          <t>No</t>
        </is>
      </c>
      <c r="AV446" s="5" t="inlineStr">
        <is>
          <t>No</t>
        </is>
      </c>
      <c r="AW446" s="5" t="inlineStr">
        <is>
          <t>No</t>
        </is>
      </c>
      <c r="AX446" s="5" t="inlineStr">
        <is>
          <t>No</t>
        </is>
      </c>
      <c r="AY446" s="5" t="inlineStr">
        <is>
          <t>Verified directory</t>
        </is>
      </c>
      <c r="AZ446" s="5" t="inlineStr">
        <is>
          <t>Website Found</t>
        </is>
      </c>
      <c r="BA446" s="5" t="inlineStr">
        <is>
          <t>2026-09-17</t>
        </is>
      </c>
      <c r="BB446" s="5" t="inlineStr">
        <is>
          <t>Requires Verification</t>
        </is>
      </c>
      <c r="BC446" s="5" t="inlineStr">
        <is>
          <t>Medium</t>
        </is>
      </c>
      <c r="BD446" s="5" t="inlineStr"/>
      <c r="BE446" s="5" t="inlineStr">
        <is>
          <t>Business (B2B)</t>
        </is>
      </c>
      <c r="BF446" s="5" t="inlineStr">
        <is>
          <t>Legitimate interest (B2B) - assess per campaign; PECR: corporate subscribers</t>
        </is>
      </c>
      <c r="BG446" s="5" t="inlineStr"/>
      <c r="BH446" s="5" t="inlineStr">
        <is>
          <t>No</t>
        </is>
      </c>
      <c r="BI446" s="5" t="inlineStr">
        <is>
          <t>2026-09-16</t>
        </is>
      </c>
      <c r="BJ446" s="5" t="inlineStr">
        <is>
          <t>New</t>
        </is>
      </c>
      <c r="BK446" s="5" t="inlineStr">
        <is>
          <t>2026-09-17</t>
        </is>
      </c>
      <c r="BL446" s="5" t="inlineStr"/>
      <c r="BM446" s="5" t="inlineStr"/>
      <c r="BN446" s="5" t="inlineStr"/>
      <c r="BO446" s="5" t="inlineStr"/>
      <c r="BP446" s="5" t="inlineStr"/>
      <c r="BQ446" s="5" t="inlineStr"/>
    </row>
    <row r="447">
      <c r="A447" s="10" t="inlineStr">
        <is>
          <t>UK-000362</t>
        </is>
      </c>
      <c r="B447" s="10" t="inlineStr">
        <is>
          <t>UK-000362-01</t>
        </is>
      </c>
      <c r="C447" s="10" t="inlineStr"/>
      <c r="D447" s="10" t="inlineStr">
        <is>
          <t>Huqqa Lounge (Rusholme)</t>
        </is>
      </c>
      <c r="E447" s="10" t="inlineStr">
        <is>
          <t>Huqqa Lounge</t>
        </is>
      </c>
      <c r="F447" s="10" t="inlineStr"/>
      <c r="G447" s="10" t="inlineStr">
        <is>
          <t>Smoke / Shisha Shop</t>
        </is>
      </c>
      <c r="H447" s="10" t="inlineStr">
        <is>
          <t>Shisha lounge</t>
        </is>
      </c>
      <c r="I447" s="10" t="inlineStr">
        <is>
          <t>Independent</t>
        </is>
      </c>
      <c r="J447" s="10" t="inlineStr">
        <is>
          <t>1</t>
        </is>
      </c>
      <c r="K447" s="10" t="inlineStr"/>
      <c r="L447" s="10" t="inlineStr"/>
      <c r="M447" s="10" t="inlineStr"/>
      <c r="N447" s="10" t="inlineStr"/>
      <c r="O447" s="10" t="inlineStr">
        <is>
          <t>98 Wilmslow Road</t>
        </is>
      </c>
      <c r="P447" s="10" t="inlineStr">
        <is>
          <t>Rusholme</t>
        </is>
      </c>
      <c r="Q447" s="10" t="inlineStr">
        <is>
          <t>Manchester</t>
        </is>
      </c>
      <c r="R447" s="10" t="inlineStr">
        <is>
          <t>Greater Manchester</t>
        </is>
      </c>
      <c r="S447" s="10" t="inlineStr"/>
      <c r="T447" s="10" t="inlineStr">
        <is>
          <t>North West</t>
        </is>
      </c>
      <c r="U447" s="10" t="inlineStr">
        <is>
          <t>England</t>
        </is>
      </c>
      <c r="V447" s="10" t="inlineStr">
        <is>
          <t>0161 273 6555</t>
        </is>
      </c>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shisha/hookah; tobacco molasses; charcoal; cafe</t>
        </is>
      </c>
      <c r="AL447" s="10" t="inlineStr"/>
      <c r="AM447" s="10" t="inlineStr">
        <is>
          <t>Smoke / Shisha Shop</t>
        </is>
      </c>
      <c r="AN447" s="10" t="inlineStr"/>
      <c r="AO447" s="10" t="inlineStr">
        <is>
          <t>Rusholme (Curry Mile) shisha lounge, 98 Wilmslow Road. Phone from directory; exact postcode not captured (M14 area).</t>
        </is>
      </c>
      <c r="AP447" s="10" t="inlineStr">
        <is>
          <t>Medium</t>
        </is>
      </c>
      <c r="AQ447" s="10" t="inlineStr">
        <is>
          <t>Independent retailer; Core relevant category</t>
        </is>
      </c>
      <c r="AR447" s="10" t="inlineStr">
        <is>
          <t>https://www.mastermanchester.co.uk/best-shisha-lounges-manchester/</t>
        </is>
      </c>
      <c r="AS447" s="10" t="inlineStr"/>
      <c r="AT447" s="10" t="inlineStr">
        <is>
          <t>1</t>
        </is>
      </c>
      <c r="AU447" s="10" t="inlineStr">
        <is>
          <t>No</t>
        </is>
      </c>
      <c r="AV447" s="10" t="inlineStr">
        <is>
          <t>No</t>
        </is>
      </c>
      <c r="AW447" s="10" t="inlineStr">
        <is>
          <t>No</t>
        </is>
      </c>
      <c r="AX447" s="10" t="inlineStr">
        <is>
          <t>No</t>
        </is>
      </c>
      <c r="AY447" s="10" t="inlineStr">
        <is>
          <t>Verified directory</t>
        </is>
      </c>
      <c r="AZ447" s="10" t="inlineStr">
        <is>
          <t>Not Found</t>
        </is>
      </c>
      <c r="BA447" s="10" t="inlineStr">
        <is>
          <t>2026-09-17</t>
        </is>
      </c>
      <c r="BB447" s="10" t="inlineStr">
        <is>
          <t>Requires Verification</t>
        </is>
      </c>
      <c r="BC447" s="10" t="inlineStr">
        <is>
          <t>Low</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2026-09-17</t>
        </is>
      </c>
      <c r="BJ447" s="10" t="inlineStr">
        <is>
          <t>New</t>
        </is>
      </c>
      <c r="BK447" s="10" t="inlineStr">
        <is>
          <t>2026-09-17</t>
        </is>
      </c>
      <c r="BL447" s="10" t="inlineStr"/>
      <c r="BM447" s="10" t="inlineStr"/>
      <c r="BN447" s="10" t="inlineStr"/>
      <c r="BO447" s="10" t="inlineStr"/>
      <c r="BP447" s="10" t="inlineStr"/>
      <c r="BQ447" s="10" t="inlineStr"/>
    </row>
    <row r="448">
      <c r="A448" s="5" t="inlineStr">
        <is>
          <t>UK-000363</t>
        </is>
      </c>
      <c r="B448" s="5" t="inlineStr">
        <is>
          <t>UK-000363-01</t>
        </is>
      </c>
      <c r="C448" s="5" t="inlineStr"/>
      <c r="D448" s="5" t="inlineStr">
        <is>
          <t>Hussain &amp; Sons Cash &amp; Carry Oldham</t>
        </is>
      </c>
      <c r="E448" s="5" t="inlineStr">
        <is>
          <t>Hussain &amp; Sons Cash &amp; Carry</t>
        </is>
      </c>
      <c r="F448" s="5" t="inlineStr"/>
      <c r="G448" s="5" t="inlineStr">
        <is>
          <t>Cash &amp; Carry</t>
        </is>
      </c>
      <c r="H448" s="5" t="inlineStr"/>
      <c r="I448" s="5" t="inlineStr">
        <is>
          <t>Independent</t>
        </is>
      </c>
      <c r="J448" s="5" t="inlineStr">
        <is>
          <t>1</t>
        </is>
      </c>
      <c r="K448" s="5" t="inlineStr"/>
      <c r="L448" s="5" t="inlineStr"/>
      <c r="M448" s="5" t="inlineStr"/>
      <c r="N448" s="5" t="inlineStr"/>
      <c r="O448" s="5" t="inlineStr"/>
      <c r="P448" s="5" t="inlineStr"/>
      <c r="Q448" s="5" t="inlineStr">
        <is>
          <t>Oldham</t>
        </is>
      </c>
      <c r="R448" s="5" t="inlineStr">
        <is>
          <t>Greater Manchester</t>
        </is>
      </c>
      <c r="S448" s="5" t="inlineStr"/>
      <c r="T448" s="5" t="inlineStr">
        <is>
          <t>North West</t>
        </is>
      </c>
      <c r="U448" s="5" t="inlineStr">
        <is>
          <t>England</t>
        </is>
      </c>
      <c r="V448" s="5" t="inlineStr"/>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wholesale; cash and carry</t>
        </is>
      </c>
      <c r="AL448" s="5" t="inlineStr"/>
      <c r="AM448" s="5" t="inlineStr">
        <is>
          <t>Cash &amp; Carry</t>
        </is>
      </c>
      <c r="AN448" s="5" t="inlineStr"/>
      <c r="AO448" s="5" t="inlineStr">
        <is>
          <t>Wholesale trader / cash &amp; carry in Oldham. Address and postcode not captured from source.</t>
        </is>
      </c>
      <c r="AP448" s="5" t="inlineStr">
        <is>
          <t>Medium</t>
        </is>
      </c>
      <c r="AQ448" s="5" t="inlineStr">
        <is>
          <t>Independent retailer; Core relevant category</t>
        </is>
      </c>
      <c r="AR448" s="5" t="inlineStr">
        <is>
          <t>https://www.oldham.co.uk/listing/1073132-Hussain-Sons-Cash-Carry/</t>
        </is>
      </c>
      <c r="AS448" s="5" t="inlineStr"/>
      <c r="AT448" s="5" t="inlineStr">
        <is>
          <t>1</t>
        </is>
      </c>
      <c r="AU448" s="5" t="inlineStr">
        <is>
          <t>No</t>
        </is>
      </c>
      <c r="AV448" s="5" t="inlineStr">
        <is>
          <t>No</t>
        </is>
      </c>
      <c r="AW448" s="5" t="inlineStr">
        <is>
          <t>No</t>
        </is>
      </c>
      <c r="AX448" s="5" t="inlineStr">
        <is>
          <t>No</t>
        </is>
      </c>
      <c r="AY448" s="5" t="inlineStr">
        <is>
          <t>Not Found</t>
        </is>
      </c>
      <c r="AZ448" s="5" t="inlineStr">
        <is>
          <t>Not Found</t>
        </is>
      </c>
      <c r="BA448" s="5" t="inlineStr">
        <is>
          <t>2026-09-17</t>
        </is>
      </c>
      <c r="BB448" s="5" t="inlineStr">
        <is>
          <t>Requires Verification</t>
        </is>
      </c>
      <c r="BC448" s="5" t="inlineStr">
        <is>
          <t>Low</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UK-000364</t>
        </is>
      </c>
      <c r="B449" s="10" t="inlineStr">
        <is>
          <t>UK-000364-01</t>
        </is>
      </c>
      <c r="C449" s="10" t="inlineStr"/>
      <c r="D449" s="10" t="inlineStr">
        <is>
          <t>Hyde Convenience Store</t>
        </is>
      </c>
      <c r="E449" s="10" t="inlineStr">
        <is>
          <t>Hyde Convenience Store</t>
        </is>
      </c>
      <c r="F449" s="10" t="inlineStr"/>
      <c r="G449" s="10" t="inlineStr">
        <is>
          <t>Convenience Store</t>
        </is>
      </c>
      <c r="H449" s="10" t="inlineStr">
        <is>
          <t>Grocer</t>
        </is>
      </c>
      <c r="I449" s="10" t="inlineStr">
        <is>
          <t>Independent</t>
        </is>
      </c>
      <c r="J449" s="10" t="inlineStr">
        <is>
          <t>1</t>
        </is>
      </c>
      <c r="K449" s="10" t="inlineStr"/>
      <c r="L449" s="10" t="inlineStr"/>
      <c r="M449" s="10" t="inlineStr"/>
      <c r="N449" s="10" t="inlineStr"/>
      <c r="O449" s="10" t="inlineStr">
        <is>
          <t>39 Dukinfield Road</t>
        </is>
      </c>
      <c r="P449" s="10" t="inlineStr"/>
      <c r="Q449" s="10" t="inlineStr">
        <is>
          <t>Hyde</t>
        </is>
      </c>
      <c r="R449" s="10" t="inlineStr">
        <is>
          <t>Greater Manchester</t>
        </is>
      </c>
      <c r="S449" s="10" t="inlineStr">
        <is>
          <t>SK14 4PD</t>
        </is>
      </c>
      <c r="T449" s="10" t="inlineStr">
        <is>
          <t>North West</t>
        </is>
      </c>
      <c r="U449" s="10" t="inlineStr">
        <is>
          <t>England</t>
        </is>
      </c>
      <c r="V449" s="10" t="inlineStr">
        <is>
          <t>0161 368 3057</t>
        </is>
      </c>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convenience; groceries</t>
        </is>
      </c>
      <c r="AL449" s="10" t="inlineStr"/>
      <c r="AM449" s="10" t="inlineStr">
        <is>
          <t>Convenience Store</t>
        </is>
      </c>
      <c r="AN449" s="10" t="inlineStr"/>
      <c r="AO449" s="10" t="inlineStr">
        <is>
          <t>Independent grocer/convenience store on Dukinfield Road, Hyde.</t>
        </is>
      </c>
      <c r="AP449" s="10" t="inlineStr">
        <is>
          <t>Low</t>
        </is>
      </c>
      <c r="AQ449" s="10" t="inlineStr">
        <is>
          <t>Independent retailer; Relevant category</t>
        </is>
      </c>
      <c r="AR449" s="10" t="inlineStr">
        <is>
          <t>https://www.thomsonlocal.com/search/grocers/tameside/hyde-convenience-store/1637220/01613683057</t>
        </is>
      </c>
      <c r="AS449" s="10" t="inlineStr"/>
      <c r="AT449" s="10" t="inlineStr">
        <is>
          <t>1</t>
        </is>
      </c>
      <c r="AU449" s="10" t="inlineStr">
        <is>
          <t>No</t>
        </is>
      </c>
      <c r="AV449" s="10" t="inlineStr">
        <is>
          <t>No</t>
        </is>
      </c>
      <c r="AW449" s="10" t="inlineStr">
        <is>
          <t>No</t>
        </is>
      </c>
      <c r="AX449" s="10" t="inlineStr">
        <is>
          <t>No</t>
        </is>
      </c>
      <c r="AY449" s="10" t="inlineStr">
        <is>
          <t>Verified directory</t>
        </is>
      </c>
      <c r="AZ449" s="10" t="inlineStr">
        <is>
          <t>Not Found</t>
        </is>
      </c>
      <c r="BA449" s="10" t="inlineStr">
        <is>
          <t>2026-09-17</t>
        </is>
      </c>
      <c r="BB449" s="10" t="inlineStr">
        <is>
          <t>Requires Verification</t>
        </is>
      </c>
      <c r="BC449" s="10" t="inlineStr">
        <is>
          <t>Medium</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UK-000365</t>
        </is>
      </c>
      <c r="B450" s="5" t="inlineStr">
        <is>
          <t>UK-000365-01</t>
        </is>
      </c>
      <c r="C450" s="5" t="inlineStr"/>
      <c r="D450" s="5" t="inlineStr">
        <is>
          <t>Iblaze Vape (Walkden, Salford)</t>
        </is>
      </c>
      <c r="E450" s="5" t="inlineStr">
        <is>
          <t>Iblaze Vape</t>
        </is>
      </c>
      <c r="F450" s="5" t="inlineStr"/>
      <c r="G450" s="5" t="inlineStr">
        <is>
          <t>Vape Shop</t>
        </is>
      </c>
      <c r="H450" s="5" t="inlineStr">
        <is>
          <t>Vaporiser shop</t>
        </is>
      </c>
      <c r="I450" s="5" t="inlineStr">
        <is>
          <t>Independent</t>
        </is>
      </c>
      <c r="J450" s="5" t="inlineStr">
        <is>
          <t>1</t>
        </is>
      </c>
      <c r="K450" s="5" t="inlineStr"/>
      <c r="L450" s="5" t="inlineStr"/>
      <c r="M450" s="5" t="inlineStr"/>
      <c r="N450" s="5" t="inlineStr"/>
      <c r="O450" s="5" t="inlineStr">
        <is>
          <t>9 Bolton Road</t>
        </is>
      </c>
      <c r="P450" s="5" t="inlineStr">
        <is>
          <t>Walkden</t>
        </is>
      </c>
      <c r="Q450" s="5" t="inlineStr">
        <is>
          <t>Salford</t>
        </is>
      </c>
      <c r="R450" s="5" t="inlineStr">
        <is>
          <t>Greater Manchester</t>
        </is>
      </c>
      <c r="S450" s="5" t="inlineStr">
        <is>
          <t>M28 3AX</t>
        </is>
      </c>
      <c r="T450" s="5" t="inlineStr">
        <is>
          <t>North West</t>
        </is>
      </c>
      <c r="U450" s="5" t="inlineStr">
        <is>
          <t>England</t>
        </is>
      </c>
      <c r="V450" s="5" t="inlineStr">
        <is>
          <t>0161 222 0708</t>
        </is>
      </c>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vape hardware; e-liquids; disposables</t>
        </is>
      </c>
      <c r="AL450" s="5" t="inlineStr"/>
      <c r="AM450" s="5" t="inlineStr">
        <is>
          <t>Vape Shop</t>
        </is>
      </c>
      <c r="AN450" s="5" t="inlineStr"/>
      <c r="AO450" s="5" t="inlineStr">
        <is>
          <t>Walkden independent vaporiser shop listed on Local Exposure NW directory.</t>
        </is>
      </c>
      <c r="AP450" s="5" t="inlineStr">
        <is>
          <t>Medium</t>
        </is>
      </c>
      <c r="AQ450" s="5" t="inlineStr">
        <is>
          <t>Independent retailer; Core relevant category</t>
        </is>
      </c>
      <c r="AR450" s="5" t="inlineStr">
        <is>
          <t>https://www.localexposurenw.co.uk/enterprise/9247/iblaze-vape-walkden--vaporiser-shop-in-walkden</t>
        </is>
      </c>
      <c r="AS450" s="5" t="inlineStr"/>
      <c r="AT450" s="5" t="inlineStr">
        <is>
          <t>1</t>
        </is>
      </c>
      <c r="AU450" s="5" t="inlineStr">
        <is>
          <t>No</t>
        </is>
      </c>
      <c r="AV450" s="5" t="inlineStr">
        <is>
          <t>No</t>
        </is>
      </c>
      <c r="AW450" s="5" t="inlineStr">
        <is>
          <t>No</t>
        </is>
      </c>
      <c r="AX450" s="5" t="inlineStr">
        <is>
          <t>No</t>
        </is>
      </c>
      <c r="AY450" s="5" t="inlineStr">
        <is>
          <t>Verified directory</t>
        </is>
      </c>
      <c r="AZ450" s="5" t="inlineStr">
        <is>
          <t>Not Found</t>
        </is>
      </c>
      <c r="BA450" s="5" t="inlineStr">
        <is>
          <t>2026-09-17</t>
        </is>
      </c>
      <c r="BB450" s="5" t="inlineStr">
        <is>
          <t>Requires Verification</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2026-09-17</t>
        </is>
      </c>
      <c r="BJ450" s="5" t="inlineStr">
        <is>
          <t>New</t>
        </is>
      </c>
      <c r="BK450" s="5" t="inlineStr">
        <is>
          <t>2026-09-17</t>
        </is>
      </c>
      <c r="BL450" s="5" t="inlineStr"/>
      <c r="BM450" s="5" t="inlineStr"/>
      <c r="BN450" s="5" t="inlineStr"/>
      <c r="BO450" s="5" t="inlineStr"/>
      <c r="BP450" s="5" t="inlineStr"/>
      <c r="BQ450" s="5" t="inlineStr"/>
    </row>
    <row r="451">
      <c r="A451" s="10" t="inlineStr">
        <is>
          <t>UK-000783</t>
        </is>
      </c>
      <c r="B451" s="10" t="inlineStr">
        <is>
          <t>UK-000783-01</t>
        </is>
      </c>
      <c r="C451" s="10" t="inlineStr"/>
      <c r="D451" s="10" t="inlineStr">
        <is>
          <t>Ibrox Vapes &amp; Shisha Centre</t>
        </is>
      </c>
      <c r="E451" s="10" t="inlineStr">
        <is>
          <t>Ibrox Vapes &amp; Shisha</t>
        </is>
      </c>
      <c r="F451" s="10" t="inlineStr"/>
      <c r="G451" s="10" t="inlineStr">
        <is>
          <t>Smoke / Shisha Shop</t>
        </is>
      </c>
      <c r="H451" s="10" t="inlineStr">
        <is>
          <t>Vape and shisha retailer</t>
        </is>
      </c>
      <c r="I451" s="10" t="inlineStr">
        <is>
          <t>Independent</t>
        </is>
      </c>
      <c r="J451" s="10" t="inlineStr">
        <is>
          <t>1</t>
        </is>
      </c>
      <c r="K451" s="10" t="inlineStr"/>
      <c r="L451" s="10" t="inlineStr">
        <is>
          <t>https://www.facebook.com/people/Ibrox-Vapes-Shisha/100094996707701/</t>
        </is>
      </c>
      <c r="M451" s="10" t="inlineStr"/>
      <c r="N451" s="10" t="inlineStr"/>
      <c r="O451" s="10" t="inlineStr">
        <is>
          <t>382 Paisley Road West</t>
        </is>
      </c>
      <c r="P451" s="10" t="inlineStr">
        <is>
          <t>Ibrox</t>
        </is>
      </c>
      <c r="Q451" s="10" t="inlineStr">
        <is>
          <t>Glasgow</t>
        </is>
      </c>
      <c r="R451" s="10" t="inlineStr">
        <is>
          <t>Glasgow City</t>
        </is>
      </c>
      <c r="S451" s="10" t="inlineStr">
        <is>
          <t>G51 1BG</t>
        </is>
      </c>
      <c r="T451" s="10" t="inlineStr">
        <is>
          <t>Scotland</t>
        </is>
      </c>
      <c r="U451" s="10" t="inlineStr">
        <is>
          <t>Scotland</t>
        </is>
      </c>
      <c r="V451" s="10" t="inlineStr">
        <is>
          <t>07447 556307</t>
        </is>
      </c>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vape hardware; e-liquids; shisha; hookah accessories</t>
        </is>
      </c>
      <c r="AL451" s="10" t="inlineStr"/>
      <c r="AM451" s="10" t="inlineStr">
        <is>
          <t>Smoke / Shisha Shop</t>
        </is>
      </c>
      <c r="AN451" s="10" t="inlineStr"/>
      <c r="AO451" s="10" t="inlineStr">
        <is>
          <t>Independent vape and shisha shop at 382 Paisley Road West, Ibrox (Southside/G51). Address, postcode and mobile from directory and Facebook listings.</t>
        </is>
      </c>
      <c r="AP451" s="10" t="inlineStr">
        <is>
          <t>Medium</t>
        </is>
      </c>
      <c r="AQ451" s="10" t="inlineStr">
        <is>
          <t>Independent retailer; Core relevant category; Social presence</t>
        </is>
      </c>
      <c r="AR451" s="10" t="inlineStr">
        <is>
          <t>https://www.facebook.com/people/Ibrox-Vapes-Shisha/100094996707701/</t>
        </is>
      </c>
      <c r="AS451" s="10" t="inlineStr">
        <is>
          <t>https://ibrox-vapes-shisha-centre.wheree.com/</t>
        </is>
      </c>
      <c r="AT451" s="10" t="inlineStr">
        <is>
          <t>2</t>
        </is>
      </c>
      <c r="AU451" s="10" t="inlineStr">
        <is>
          <t>No</t>
        </is>
      </c>
      <c r="AV451" s="10" t="inlineStr">
        <is>
          <t>No</t>
        </is>
      </c>
      <c r="AW451" s="10" t="inlineStr">
        <is>
          <t>No</t>
        </is>
      </c>
      <c r="AX451" s="10" t="inlineStr">
        <is>
          <t>No</t>
        </is>
      </c>
      <c r="AY451" s="10" t="inlineStr">
        <is>
          <t>Verified directory</t>
        </is>
      </c>
      <c r="AZ451" s="10" t="inlineStr">
        <is>
          <t>Not Found</t>
        </is>
      </c>
      <c r="BA451" s="10" t="inlineStr">
        <is>
          <t>2026-09-17</t>
        </is>
      </c>
      <c r="BB451" s="10" t="inlineStr">
        <is>
          <t>Requires Verification</t>
        </is>
      </c>
      <c r="BC451" s="10" t="inlineStr">
        <is>
          <t>Medium</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2026-09-17</t>
        </is>
      </c>
      <c r="BJ451" s="10" t="inlineStr">
        <is>
          <t>New</t>
        </is>
      </c>
      <c r="BK451" s="10" t="inlineStr">
        <is>
          <t>2026-09-17</t>
        </is>
      </c>
      <c r="BL451" s="10" t="inlineStr"/>
      <c r="BM451" s="10" t="inlineStr"/>
      <c r="BN451" s="10" t="inlineStr"/>
      <c r="BO451" s="10" t="inlineStr"/>
      <c r="BP451" s="10" t="inlineStr"/>
      <c r="BQ451" s="10" t="inlineStr"/>
    </row>
    <row r="452">
      <c r="A452" s="5" t="inlineStr">
        <is>
          <t>WY-0098</t>
        </is>
      </c>
      <c r="B452" s="5" t="inlineStr">
        <is>
          <t>WY-0098-01</t>
        </is>
      </c>
      <c r="C452" s="5" t="inlineStr"/>
      <c r="D452" s="5" t="inlineStr">
        <is>
          <t>Ilkley Convenience Store</t>
        </is>
      </c>
      <c r="E452" s="5" t="inlineStr">
        <is>
          <t>Ilkley Convenience Store</t>
        </is>
      </c>
      <c r="F452" s="5" t="inlineStr"/>
      <c r="G452" s="5" t="inlineStr">
        <is>
          <t>Convenience Store</t>
        </is>
      </c>
      <c r="H452" s="5" t="inlineStr">
        <is>
          <t>Neighbourhood convenience store</t>
        </is>
      </c>
      <c r="I452" s="5" t="inlineStr">
        <is>
          <t>Independent</t>
        </is>
      </c>
      <c r="J452" s="5" t="inlineStr">
        <is>
          <t>1</t>
        </is>
      </c>
      <c r="K452" s="5" t="inlineStr"/>
      <c r="L452" s="5" t="inlineStr"/>
      <c r="M452" s="5" t="inlineStr"/>
      <c r="N452" s="5" t="inlineStr"/>
      <c r="O452" s="5" t="inlineStr">
        <is>
          <t>Valley Drive</t>
        </is>
      </c>
      <c r="P452" s="5" t="inlineStr"/>
      <c r="Q452" s="5" t="inlineStr">
        <is>
          <t>Ilkley</t>
        </is>
      </c>
      <c r="R452" s="5" t="inlineStr">
        <is>
          <t>West Yorkshire</t>
        </is>
      </c>
      <c r="S452" s="5" t="inlineStr"/>
      <c r="T452" s="5" t="inlineStr">
        <is>
          <t>Yorkshire &amp; Humber</t>
        </is>
      </c>
      <c r="U452" s="5" t="inlineStr">
        <is>
          <t>England</t>
        </is>
      </c>
      <c r="V452" s="5" t="inlineStr"/>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convenience lines; groceries</t>
        </is>
      </c>
      <c r="AL452" s="5" t="inlineStr"/>
      <c r="AM452" s="5" t="inlineStr">
        <is>
          <t>Convenience Store</t>
        </is>
      </c>
      <c r="AN452" s="5" t="inlineStr"/>
      <c r="AO452" s="5" t="inlineStr">
        <is>
          <t>Open Mon-Sat 7am-9pm, Sun 8am-8pm per listing snippet.</t>
        </is>
      </c>
      <c r="AP452" s="5" t="inlineStr">
        <is>
          <t>Low</t>
        </is>
      </c>
      <c r="AQ452" s="5" t="inlineStr">
        <is>
          <t>Independent retailer; Relevant category</t>
        </is>
      </c>
      <c r="AR452" s="5" t="inlineStr">
        <is>
          <t>https://www.yorkshire.com/ilkley/shopping/corner-shops/ilkley-convenience-store</t>
        </is>
      </c>
      <c r="AS452" s="5" t="inlineStr"/>
      <c r="AT452" s="5" t="inlineStr">
        <is>
          <t>1</t>
        </is>
      </c>
      <c r="AU452" s="5" t="inlineStr">
        <is>
          <t>No</t>
        </is>
      </c>
      <c r="AV452" s="5" t="inlineStr">
        <is>
          <t>No</t>
        </is>
      </c>
      <c r="AW452" s="5" t="inlineStr">
        <is>
          <t>No</t>
        </is>
      </c>
      <c r="AX452" s="5" t="inlineStr">
        <is>
          <t>No</t>
        </is>
      </c>
      <c r="AY452" s="5" t="inlineStr">
        <is>
          <t>Not Found</t>
        </is>
      </c>
      <c r="AZ452" s="5" t="inlineStr">
        <is>
          <t>Not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2026-09-16</t>
        </is>
      </c>
      <c r="BJ452" s="5" t="inlineStr">
        <is>
          <t>New</t>
        </is>
      </c>
      <c r="BK452" s="5" t="inlineStr">
        <is>
          <t>2026-09-17</t>
        </is>
      </c>
      <c r="BL452" s="5" t="inlineStr"/>
      <c r="BM452" s="5" t="inlineStr"/>
      <c r="BN452" s="5" t="inlineStr"/>
      <c r="BO452" s="5" t="inlineStr"/>
      <c r="BP452" s="5" t="inlineStr"/>
      <c r="BQ452" s="5" t="inlineStr"/>
    </row>
    <row r="453">
      <c r="A453" s="10" t="inlineStr">
        <is>
          <t>UK-000784</t>
        </is>
      </c>
      <c r="B453" s="10" t="inlineStr">
        <is>
          <t>UK-000784-01</t>
        </is>
      </c>
      <c r="C453" s="10" t="inlineStr"/>
      <c r="D453" s="10" t="inlineStr">
        <is>
          <t>Infinity Vapour Airdrie</t>
        </is>
      </c>
      <c r="E453" s="10" t="inlineStr">
        <is>
          <t>Infinity Vapour</t>
        </is>
      </c>
      <c r="F453" s="10" t="inlineStr"/>
      <c r="G453" s="10" t="inlineStr">
        <is>
          <t>Vape Shop</t>
        </is>
      </c>
      <c r="H453" s="10" t="inlineStr">
        <is>
          <t>Vape shop</t>
        </is>
      </c>
      <c r="I453" s="10" t="inlineStr">
        <is>
          <t>Independent</t>
        </is>
      </c>
      <c r="J453" s="10" t="inlineStr">
        <is>
          <t>1</t>
        </is>
      </c>
      <c r="K453" s="10" t="inlineStr"/>
      <c r="L453" s="10" t="inlineStr"/>
      <c r="M453" s="10" t="inlineStr"/>
      <c r="N453" s="10" t="inlineStr"/>
      <c r="O453" s="10" t="inlineStr">
        <is>
          <t>24 Alexander Street</t>
        </is>
      </c>
      <c r="P453" s="10" t="inlineStr"/>
      <c r="Q453" s="10" t="inlineStr">
        <is>
          <t>Airdrie</t>
        </is>
      </c>
      <c r="R453" s="10" t="inlineStr">
        <is>
          <t>North Lanarkshire</t>
        </is>
      </c>
      <c r="S453" s="10" t="inlineStr">
        <is>
          <t>ML6 0BA</t>
        </is>
      </c>
      <c r="T453" s="10" t="inlineStr">
        <is>
          <t>Scotland</t>
        </is>
      </c>
      <c r="U453" s="10" t="inlineStr">
        <is>
          <t>Scotland</t>
        </is>
      </c>
      <c r="V453" s="10" t="inlineStr"/>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vape hardware; e-liquids</t>
        </is>
      </c>
      <c r="AL453" s="10" t="inlineStr"/>
      <c r="AM453" s="10" t="inlineStr">
        <is>
          <t>Vape Shop</t>
        </is>
      </c>
      <c r="AN453" s="10" t="inlineStr"/>
      <c r="AO453" s="10" t="inlineStr">
        <is>
          <t>Independent vape shop at 24 Alexander Street, Airdrie. Address from Airdrie vape directory listings; phone not confirmed in snippets.</t>
        </is>
      </c>
      <c r="AP453" s="10" t="inlineStr">
        <is>
          <t>Medium</t>
        </is>
      </c>
      <c r="AQ453" s="10" t="inlineStr">
        <is>
          <t>Independent retailer; Core relevant category</t>
        </is>
      </c>
      <c r="AR453" s="10" t="inlineStr">
        <is>
          <t>https://vapemaps.co/scotland/north-lanarkshire/coatbridge</t>
        </is>
      </c>
      <c r="AS453" s="10" t="inlineStr"/>
      <c r="AT453" s="10" t="inlineStr">
        <is>
          <t>1</t>
        </is>
      </c>
      <c r="AU453" s="10" t="inlineStr">
        <is>
          <t>No</t>
        </is>
      </c>
      <c r="AV453" s="10" t="inlineStr">
        <is>
          <t>No</t>
        </is>
      </c>
      <c r="AW453" s="10" t="inlineStr">
        <is>
          <t>No</t>
        </is>
      </c>
      <c r="AX453" s="10" t="inlineStr">
        <is>
          <t>No</t>
        </is>
      </c>
      <c r="AY453" s="10" t="inlineStr">
        <is>
          <t>Not Found</t>
        </is>
      </c>
      <c r="AZ453" s="10" t="inlineStr">
        <is>
          <t>Not Found</t>
        </is>
      </c>
      <c r="BA453" s="10" t="inlineStr">
        <is>
          <t>2026-09-17</t>
        </is>
      </c>
      <c r="BB453" s="10" t="inlineStr">
        <is>
          <t>Requires Verification</t>
        </is>
      </c>
      <c r="BC453" s="10" t="inlineStr">
        <is>
          <t>Low</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2026-09-17</t>
        </is>
      </c>
      <c r="BJ453" s="10" t="inlineStr">
        <is>
          <t>New</t>
        </is>
      </c>
      <c r="BK453" s="10" t="inlineStr">
        <is>
          <t>2026-09-17</t>
        </is>
      </c>
      <c r="BL453" s="10" t="inlineStr"/>
      <c r="BM453" s="10" t="inlineStr"/>
      <c r="BN453" s="10" t="inlineStr"/>
      <c r="BO453" s="10" t="inlineStr"/>
      <c r="BP453" s="10" t="inlineStr"/>
      <c r="BQ453" s="10" t="inlineStr"/>
    </row>
    <row r="454">
      <c r="A454" s="5" t="inlineStr">
        <is>
          <t>UK-000615</t>
        </is>
      </c>
      <c r="B454" s="5" t="inlineStr">
        <is>
          <t>UK-000615-01</t>
        </is>
      </c>
      <c r="C454" s="5" t="inlineStr"/>
      <c r="D454" s="5" t="inlineStr">
        <is>
          <t>Intcont Food &amp; Wine</t>
        </is>
      </c>
      <c r="E454" s="5" t="inlineStr">
        <is>
          <t>Intcont Food &amp; Wine</t>
        </is>
      </c>
      <c r="F454" s="5" t="inlineStr"/>
      <c r="G454" s="5" t="inlineStr">
        <is>
          <t>Convenience Store</t>
        </is>
      </c>
      <c r="H454" s="5" t="inlineStr">
        <is>
          <t>Convenience &amp; off-licence</t>
        </is>
      </c>
      <c r="I454" s="5" t="inlineStr">
        <is>
          <t>Independent</t>
        </is>
      </c>
      <c r="J454" s="5" t="inlineStr">
        <is>
          <t>1</t>
        </is>
      </c>
      <c r="K454" s="5" t="inlineStr"/>
      <c r="L454" s="5" t="inlineStr"/>
      <c r="M454" s="5" t="inlineStr"/>
      <c r="N454" s="5" t="inlineStr"/>
      <c r="O454" s="5" t="inlineStr">
        <is>
          <t>195a-197 Uxbridge Road</t>
        </is>
      </c>
      <c r="P454" s="5" t="inlineStr">
        <is>
          <t>Shepherd's Bush</t>
        </is>
      </c>
      <c r="Q454" s="5" t="inlineStr">
        <is>
          <t>London</t>
        </is>
      </c>
      <c r="R454" s="5" t="inlineStr">
        <is>
          <t>Greater London</t>
        </is>
      </c>
      <c r="S454" s="5" t="inlineStr">
        <is>
          <t>W12 9RA</t>
        </is>
      </c>
      <c r="T454" s="5" t="inlineStr">
        <is>
          <t>London</t>
        </is>
      </c>
      <c r="U454" s="5" t="inlineStr">
        <is>
          <t>England</t>
        </is>
      </c>
      <c r="V454" s="5" t="inlineStr">
        <is>
          <t>020 8749 6193</t>
        </is>
      </c>
      <c r="W454" s="5" t="inlineStr"/>
      <c r="X454" s="5" t="inlineStr"/>
      <c r="Y454" s="5" t="inlineStr"/>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convenience groceries; wine; beer; spirits</t>
        </is>
      </c>
      <c r="AL454" s="5" t="inlineStr"/>
      <c r="AM454" s="5" t="inlineStr">
        <is>
          <t>Convenience Store</t>
        </is>
      </c>
      <c r="AN454" s="5" t="inlineStr"/>
      <c r="AO454" s="5" t="inlineStr">
        <is>
          <t>Independent convenience store/off-licence on Uxbridge Road, Shepherd's Bush. Address/postcode/phone from Yell listing snippet.</t>
        </is>
      </c>
      <c r="AP454" s="5" t="inlineStr">
        <is>
          <t>Low</t>
        </is>
      </c>
      <c r="AQ454" s="5" t="inlineStr">
        <is>
          <t>Independent retailer; Relevant category</t>
        </is>
      </c>
      <c r="AR454" s="5" t="inlineStr">
        <is>
          <t>https://www.yell.com/s/wine+merchants-shepherds+bush-west+london.html</t>
        </is>
      </c>
      <c r="AS454" s="5" t="inlineStr"/>
      <c r="AT454" s="5" t="inlineStr">
        <is>
          <t>1</t>
        </is>
      </c>
      <c r="AU454" s="5" t="inlineStr">
        <is>
          <t>No</t>
        </is>
      </c>
      <c r="AV454" s="5" t="inlineStr">
        <is>
          <t>No</t>
        </is>
      </c>
      <c r="AW454" s="5" t="inlineStr">
        <is>
          <t>No</t>
        </is>
      </c>
      <c r="AX454" s="5" t="inlineStr">
        <is>
          <t>No</t>
        </is>
      </c>
      <c r="AY454" s="5" t="inlineStr">
        <is>
          <t>Verified directory</t>
        </is>
      </c>
      <c r="AZ454" s="5" t="inlineStr">
        <is>
          <t>Not Found</t>
        </is>
      </c>
      <c r="BA454" s="5" t="inlineStr">
        <is>
          <t>2026-09-17</t>
        </is>
      </c>
      <c r="BB454" s="5" t="inlineStr">
        <is>
          <t>Requires Verification</t>
        </is>
      </c>
      <c r="BC454" s="5" t="inlineStr">
        <is>
          <t>Medium</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WY-0099</t>
        </is>
      </c>
      <c r="B455" s="10" t="inlineStr">
        <is>
          <t>WY-0099-01</t>
        </is>
      </c>
      <c r="C455" s="10" t="inlineStr"/>
      <c r="D455" s="10" t="inlineStr">
        <is>
          <t>International Foods</t>
        </is>
      </c>
      <c r="E455" s="10" t="inlineStr">
        <is>
          <t>International Foods</t>
        </is>
      </c>
      <c r="F455" s="10" t="inlineStr">
        <is>
          <t>International Foods Leeds Limited</t>
        </is>
      </c>
      <c r="G455" s="10" t="inlineStr">
        <is>
          <t>Independent Supermarket</t>
        </is>
      </c>
      <c r="H455" s="10" t="inlineStr">
        <is>
          <t>South Asian supermarket with halal meat</t>
        </is>
      </c>
      <c r="I455" s="10" t="inlineStr">
        <is>
          <t>Independent</t>
        </is>
      </c>
      <c r="J455" s="10" t="inlineStr">
        <is>
          <t>1</t>
        </is>
      </c>
      <c r="K455" s="10" t="inlineStr"/>
      <c r="L455" s="10" t="inlineStr"/>
      <c r="M455" s="10" t="inlineStr"/>
      <c r="N455" s="10" t="inlineStr"/>
      <c r="O455" s="10" t="inlineStr">
        <is>
          <t>166 Harehills Lane</t>
        </is>
      </c>
      <c r="P455" s="10" t="inlineStr">
        <is>
          <t>Harehills</t>
        </is>
      </c>
      <c r="Q455" s="10" t="inlineStr">
        <is>
          <t>Leeds</t>
        </is>
      </c>
      <c r="R455" s="10" t="inlineStr">
        <is>
          <t>West Yorkshire</t>
        </is>
      </c>
      <c r="S455" s="10" t="inlineStr">
        <is>
          <t>LS8 5JP</t>
        </is>
      </c>
      <c r="T455" s="10" t="inlineStr">
        <is>
          <t>Yorkshire &amp; Humber</t>
        </is>
      </c>
      <c r="U455" s="10" t="inlineStr">
        <is>
          <t>England</t>
        </is>
      </c>
      <c r="V455" s="10" t="inlineStr"/>
      <c r="W455" s="10" t="inlineStr"/>
      <c r="X455" s="10" t="inlineStr"/>
      <c r="Y455" s="10" t="inlineStr"/>
      <c r="Z455" s="10" t="inlineStr"/>
      <c r="AA455" s="10" t="inlineStr"/>
      <c r="AB455" s="10" t="inlineStr"/>
      <c r="AC455" s="10" t="inlineStr"/>
      <c r="AD455" s="10" t="inlineStr"/>
      <c r="AE455" s="10" t="inlineStr">
        <is>
          <t>09552908</t>
        </is>
      </c>
      <c r="AF455" s="10" t="inlineStr"/>
      <c r="AG455" s="10" t="inlineStr">
        <is>
          <t>INTERNATIONAL FOODS LEEDS LIMITED</t>
        </is>
      </c>
      <c r="AH455" s="10" t="inlineStr">
        <is>
          <t>166 Harehills Lane, Leeds, LS8 5JP</t>
        </is>
      </c>
      <c r="AI455" s="10" t="inlineStr">
        <is>
          <t>2015-04-21</t>
        </is>
      </c>
      <c r="AJ455" s="10" t="inlineStr"/>
      <c r="AK455" s="10" t="inlineStr">
        <is>
          <t>halal meat; groceries; South Asian foods</t>
        </is>
      </c>
      <c r="AL455" s="10" t="inlineStr"/>
      <c r="AM455" s="10" t="inlineStr">
        <is>
          <t>Independent Supermarket</t>
        </is>
      </c>
      <c r="AN455" s="10" t="inlineStr"/>
      <c r="AO455" s="10" t="inlineStr">
        <is>
          <t>Open 7 days (approx 09:00-20:00/21:00). Companies House details taken from the CH search result snippet; CH site itself was blocked by the network proxy this session, so company status not captured.</t>
        </is>
      </c>
      <c r="AP455" s="10" t="inlineStr">
        <is>
          <t>Low</t>
        </is>
      </c>
      <c r="AQ455" s="10" t="inlineStr">
        <is>
          <t>Independent retailer; Relevant category</t>
        </is>
      </c>
      <c r="AR455" s="10" t="inlineStr">
        <is>
          <t>https://find-and-update.company-information.service.gov.uk/company/09552908</t>
        </is>
      </c>
      <c r="AS455" s="10" t="inlineStr">
        <is>
          <t>https://www.yell.com/biz/international-foods-ltd-leeds-8342998/</t>
        </is>
      </c>
      <c r="AT455" s="10" t="inlineStr">
        <is>
          <t>3</t>
        </is>
      </c>
      <c r="AU455" s="10" t="inlineStr">
        <is>
          <t>No</t>
        </is>
      </c>
      <c r="AV455" s="10" t="inlineStr">
        <is>
          <t>No</t>
        </is>
      </c>
      <c r="AW455" s="10" t="inlineStr">
        <is>
          <t>No</t>
        </is>
      </c>
      <c r="AX455" s="10" t="inlineStr">
        <is>
          <t>Yes</t>
        </is>
      </c>
      <c r="AY455" s="10" t="inlineStr">
        <is>
          <t>Not Found</t>
        </is>
      </c>
      <c r="AZ455" s="10" t="inlineStr">
        <is>
          <t>Not Found</t>
        </is>
      </c>
      <c r="BA455" s="10" t="inlineStr">
        <is>
          <t>2026-09-17</t>
        </is>
      </c>
      <c r="BB455" s="10" t="inlineStr">
        <is>
          <t>Partially Verified</t>
        </is>
      </c>
      <c r="BC455" s="10" t="inlineStr">
        <is>
          <t>Medium</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2026-09-16</t>
        </is>
      </c>
      <c r="BJ455" s="10" t="inlineStr">
        <is>
          <t>New</t>
        </is>
      </c>
      <c r="BK455" s="10" t="inlineStr">
        <is>
          <t>2026-09-17</t>
        </is>
      </c>
      <c r="BL455" s="10" t="inlineStr"/>
      <c r="BM455" s="10" t="inlineStr"/>
      <c r="BN455" s="10" t="inlineStr"/>
      <c r="BO455" s="10" t="inlineStr"/>
      <c r="BP455" s="10" t="inlineStr"/>
      <c r="BQ455" s="10" t="inlineStr"/>
    </row>
    <row r="456">
      <c r="A456" s="5" t="inlineStr">
        <is>
          <t>UK-000480</t>
        </is>
      </c>
      <c r="B456" s="5" t="inlineStr">
        <is>
          <t>UK-000480-01</t>
        </is>
      </c>
      <c r="C456" s="5" t="inlineStr"/>
      <c r="D456" s="5" t="inlineStr">
        <is>
          <t>International Mini Market</t>
        </is>
      </c>
      <c r="E456" s="5" t="inlineStr">
        <is>
          <t>International Mini Market</t>
        </is>
      </c>
      <c r="F456" s="5" t="inlineStr"/>
      <c r="G456" s="5" t="inlineStr">
        <is>
          <t>Off-Licence</t>
        </is>
      </c>
      <c r="H456" s="5" t="inlineStr">
        <is>
          <t>Off-licence and convenience store</t>
        </is>
      </c>
      <c r="I456" s="5" t="inlineStr">
        <is>
          <t>Independent</t>
        </is>
      </c>
      <c r="J456" s="5" t="inlineStr">
        <is>
          <t>1</t>
        </is>
      </c>
      <c r="K456" s="5" t="inlineStr"/>
      <c r="L456" s="5" t="inlineStr"/>
      <c r="M456" s="5" t="inlineStr"/>
      <c r="N456" s="5" t="inlineStr"/>
      <c r="O456" s="5" t="inlineStr">
        <is>
          <t>233 Lozells Road</t>
        </is>
      </c>
      <c r="P456" s="5" t="inlineStr">
        <is>
          <t>Lozells</t>
        </is>
      </c>
      <c r="Q456" s="5" t="inlineStr">
        <is>
          <t>Birmingham</t>
        </is>
      </c>
      <c r="R456" s="5" t="inlineStr">
        <is>
          <t>West Midlands</t>
        </is>
      </c>
      <c r="S456" s="5" t="inlineStr">
        <is>
          <t>B19 1RJ</t>
        </is>
      </c>
      <c r="T456" s="5" t="inlineStr">
        <is>
          <t>West Midlands</t>
        </is>
      </c>
      <c r="U456" s="5" t="inlineStr">
        <is>
          <t>England</t>
        </is>
      </c>
      <c r="V456" s="5" t="inlineStr">
        <is>
          <t>0121 554 5363</t>
        </is>
      </c>
      <c r="W456" s="5" t="inlineStr"/>
      <c r="X456" s="5" t="inlineStr"/>
      <c r="Y456" s="5" t="inlineStr"/>
      <c r="Z456" s="5" t="inlineStr"/>
      <c r="AA456" s="5" t="inlineStr"/>
      <c r="AB456" s="5" t="inlineStr"/>
      <c r="AC456" s="5" t="inlineStr"/>
      <c r="AD456" s="5" t="inlineStr"/>
      <c r="AE456" s="5" t="inlineStr"/>
      <c r="AF456" s="5" t="inlineStr"/>
      <c r="AG456" s="5" t="inlineStr"/>
      <c r="AH456" s="5" t="inlineStr"/>
      <c r="AI456" s="5" t="inlineStr"/>
      <c r="AJ456" s="5" t="inlineStr"/>
      <c r="AK456" s="5" t="inlineStr">
        <is>
          <t>off-licence; convenience grocery</t>
        </is>
      </c>
      <c r="AL456" s="5" t="inlineStr"/>
      <c r="AM456" s="5" t="inlineStr">
        <is>
          <t>Off-Licence</t>
        </is>
      </c>
      <c r="AN456" s="5" t="inlineStr"/>
      <c r="AO456" s="5" t="inlineStr">
        <is>
          <t>Late-licence off-licence / mini market on Lozells Road, Lozells.</t>
        </is>
      </c>
      <c r="AP456" s="5" t="inlineStr">
        <is>
          <t>Low</t>
        </is>
      </c>
      <c r="AQ456" s="5" t="inlineStr">
        <is>
          <t>Independent retailer; Relevant category</t>
        </is>
      </c>
      <c r="AR456" s="5" t="inlineStr">
        <is>
          <t>https://www.24houralcohol.co.uk/birmingham-off-licences</t>
        </is>
      </c>
      <c r="AS456" s="5" t="inlineStr"/>
      <c r="AT456" s="5" t="inlineStr">
        <is>
          <t>1</t>
        </is>
      </c>
      <c r="AU456" s="5" t="inlineStr">
        <is>
          <t>No</t>
        </is>
      </c>
      <c r="AV456" s="5" t="inlineStr">
        <is>
          <t>No</t>
        </is>
      </c>
      <c r="AW456" s="5" t="inlineStr">
        <is>
          <t>No</t>
        </is>
      </c>
      <c r="AX456" s="5" t="inlineStr">
        <is>
          <t>No</t>
        </is>
      </c>
      <c r="AY456" s="5" t="inlineStr">
        <is>
          <t>Verified directory</t>
        </is>
      </c>
      <c r="AZ456" s="5" t="inlineStr">
        <is>
          <t>Not Found</t>
        </is>
      </c>
      <c r="BA456" s="5" t="inlineStr">
        <is>
          <t>2026-09-17</t>
        </is>
      </c>
      <c r="BB456" s="5" t="inlineStr">
        <is>
          <t>Requires Verification</t>
        </is>
      </c>
      <c r="BC456" s="5" t="inlineStr">
        <is>
          <t>Low</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UK-000257</t>
        </is>
      </c>
      <c r="B457" s="10" t="inlineStr">
        <is>
          <t>UK-000257-01</t>
        </is>
      </c>
      <c r="C457" s="10" t="inlineStr"/>
      <c r="D457" s="10" t="inlineStr">
        <is>
          <t>J A &amp; S Cowie Newsagent</t>
        </is>
      </c>
      <c r="E457" s="10" t="inlineStr">
        <is>
          <t>J A and S Cowie</t>
        </is>
      </c>
      <c r="F457" s="10" t="inlineStr"/>
      <c r="G457" s="10" t="inlineStr">
        <is>
          <t>Newsagent</t>
        </is>
      </c>
      <c r="H457" s="10" t="inlineStr">
        <is>
          <t>Newsagent &amp; convenience</t>
        </is>
      </c>
      <c r="I457" s="10" t="inlineStr">
        <is>
          <t>Independent</t>
        </is>
      </c>
      <c r="J457" s="10" t="inlineStr">
        <is>
          <t>1</t>
        </is>
      </c>
      <c r="K457" s="10" t="inlineStr"/>
      <c r="L457" s="10" t="inlineStr"/>
      <c r="M457" s="10" t="inlineStr"/>
      <c r="N457" s="10" t="inlineStr"/>
      <c r="O457" s="10" t="inlineStr">
        <is>
          <t>13 Westgate</t>
        </is>
      </c>
      <c r="P457" s="10" t="inlineStr"/>
      <c r="Q457" s="10" t="inlineStr">
        <is>
          <t>Ripon</t>
        </is>
      </c>
      <c r="R457" s="10" t="inlineStr">
        <is>
          <t>North Yorkshire</t>
        </is>
      </c>
      <c r="S457" s="10" t="inlineStr">
        <is>
          <t>HG4 2AT</t>
        </is>
      </c>
      <c r="T457" s="10" t="inlineStr">
        <is>
          <t>Yorkshire &amp; Humber</t>
        </is>
      </c>
      <c r="U457" s="10" t="inlineStr">
        <is>
          <t>England</t>
        </is>
      </c>
      <c r="V457" s="10" t="inlineStr">
        <is>
          <t>01765 603153</t>
        </is>
      </c>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newspapers; magazines; confectionery; convenience</t>
        </is>
      </c>
      <c r="AL457" s="10" t="inlineStr"/>
      <c r="AM457" s="10" t="inlineStr">
        <is>
          <t>Newsagent</t>
        </is>
      </c>
      <c r="AN457" s="10" t="inlineStr"/>
      <c r="AO457" s="10" t="inlineStr">
        <is>
          <t>Independent Ripon newsagent (J A and S Cowie) at 13 Westgate (HG4 2AT). Address/phone from MyNewsagent.co.uk directory via search snippets.</t>
        </is>
      </c>
      <c r="AP457" s="10" t="inlineStr">
        <is>
          <t>Low</t>
        </is>
      </c>
      <c r="AQ457" s="10" t="inlineStr">
        <is>
          <t>Independent retailer; Relevant category</t>
        </is>
      </c>
      <c r="AR457" s="10" t="inlineStr">
        <is>
          <t>https://www.mynewsagent.co.uk/7788/</t>
        </is>
      </c>
      <c r="AS457" s="10" t="inlineStr"/>
      <c r="AT457" s="10" t="inlineStr">
        <is>
          <t>1</t>
        </is>
      </c>
      <c r="AU457" s="10" t="inlineStr">
        <is>
          <t>No</t>
        </is>
      </c>
      <c r="AV457" s="10" t="inlineStr">
        <is>
          <t>No</t>
        </is>
      </c>
      <c r="AW457" s="10" t="inlineStr">
        <is>
          <t>No</t>
        </is>
      </c>
      <c r="AX457" s="10" t="inlineStr">
        <is>
          <t>No</t>
        </is>
      </c>
      <c r="AY457" s="10" t="inlineStr">
        <is>
          <t>Verified directory</t>
        </is>
      </c>
      <c r="AZ457" s="10" t="inlineStr">
        <is>
          <t>Not Found</t>
        </is>
      </c>
      <c r="BA457" s="10" t="inlineStr">
        <is>
          <t>2026-09-17</t>
        </is>
      </c>
      <c r="BB457" s="10" t="inlineStr">
        <is>
          <t>Requires Verification</t>
        </is>
      </c>
      <c r="BC457" s="10" t="inlineStr">
        <is>
          <t>Low</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2026-09-16</t>
        </is>
      </c>
      <c r="BJ457" s="10" t="inlineStr">
        <is>
          <t>New</t>
        </is>
      </c>
      <c r="BK457" s="10" t="inlineStr">
        <is>
          <t>2026-09-17</t>
        </is>
      </c>
      <c r="BL457" s="10" t="inlineStr"/>
      <c r="BM457" s="10" t="inlineStr"/>
      <c r="BN457" s="10" t="inlineStr"/>
      <c r="BO457" s="10" t="inlineStr"/>
      <c r="BP457" s="10" t="inlineStr"/>
      <c r="BQ457" s="10" t="inlineStr"/>
    </row>
    <row r="458">
      <c r="A458" s="5" t="inlineStr">
        <is>
          <t>UK-000785</t>
        </is>
      </c>
      <c r="B458" s="5" t="inlineStr">
        <is>
          <t>UK-000785-01</t>
        </is>
      </c>
      <c r="C458" s="5" t="inlineStr"/>
      <c r="D458" s="5" t="inlineStr">
        <is>
          <t>J B Halal Superstore</t>
        </is>
      </c>
      <c r="E458" s="5" t="inlineStr">
        <is>
          <t>J B Halal Superstore</t>
        </is>
      </c>
      <c r="F458" s="5" t="inlineStr"/>
      <c r="G458" s="5" t="inlineStr">
        <is>
          <t>Independent Supermarket</t>
        </is>
      </c>
      <c r="H458" s="5" t="inlineStr">
        <is>
          <t>Halal / world-food superstore</t>
        </is>
      </c>
      <c r="I458" s="5" t="inlineStr">
        <is>
          <t>Independent</t>
        </is>
      </c>
      <c r="J458" s="5" t="inlineStr">
        <is>
          <t>1</t>
        </is>
      </c>
      <c r="K458" s="5" t="inlineStr"/>
      <c r="L458" s="5" t="inlineStr"/>
      <c r="M458" s="5" t="inlineStr"/>
      <c r="N458" s="5" t="inlineStr"/>
      <c r="O458" s="5" t="inlineStr"/>
      <c r="P458" s="5" t="inlineStr">
        <is>
          <t>Wavertree</t>
        </is>
      </c>
      <c r="Q458" s="5" t="inlineStr">
        <is>
          <t>Liverpool</t>
        </is>
      </c>
      <c r="R458" s="5" t="inlineStr">
        <is>
          <t>Merseyside</t>
        </is>
      </c>
      <c r="S458" s="5" t="inlineStr">
        <is>
          <t>L15 0EF</t>
        </is>
      </c>
      <c r="T458" s="5" t="inlineStr">
        <is>
          <t>North West</t>
        </is>
      </c>
      <c r="U458" s="5" t="inlineStr">
        <is>
          <t>England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halal foods; international groceries; world food</t>
        </is>
      </c>
      <c r="AL458" s="5" t="inlineStr"/>
      <c r="AM458" s="5" t="inlineStr">
        <is>
          <t>Independent Supermarket</t>
        </is>
      </c>
      <c r="AN458" s="5" t="inlineStr"/>
      <c r="AO458" s="5" t="inlineStr">
        <is>
          <t>Independent halal / world-food superstore in Wavertree (L15). Street address not confirmed in listing.</t>
        </is>
      </c>
      <c r="AP458" s="5" t="inlineStr">
        <is>
          <t>Low</t>
        </is>
      </c>
      <c r="AQ458" s="5" t="inlineStr">
        <is>
          <t>Independent retailer; Relevant category</t>
        </is>
      </c>
      <c r="AR458" s="5" t="inlineStr">
        <is>
          <t>https://www.yell.com/biz/j-b-halal-superstore-liverpool-6176751/</t>
        </is>
      </c>
      <c r="AS458" s="5" t="inlineStr">
        <is>
          <t>https://www.192.com/atoz/business/liverpool-l15/general-and-convenience-stores/j-b-halal-superstore/952a46828ce62008af96ee9a755ba287faa19c6e/ml/</t>
        </is>
      </c>
      <c r="AT458" s="5" t="inlineStr">
        <is>
          <t>2</t>
        </is>
      </c>
      <c r="AU458" s="5" t="inlineStr">
        <is>
          <t>No</t>
        </is>
      </c>
      <c r="AV458" s="5" t="inlineStr">
        <is>
          <t>No</t>
        </is>
      </c>
      <c r="AW458" s="5" t="inlineStr">
        <is>
          <t>No</t>
        </is>
      </c>
      <c r="AX458" s="5" t="inlineStr">
        <is>
          <t>No</t>
        </is>
      </c>
      <c r="AY458" s="5" t="inlineStr">
        <is>
          <t>Not Found</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UK-000786</t>
        </is>
      </c>
      <c r="B459" s="10" t="inlineStr">
        <is>
          <t>UK-000786-01</t>
        </is>
      </c>
      <c r="C459" s="10" t="inlineStr"/>
      <c r="D459" s="10" t="inlineStr">
        <is>
          <t>JK's E-Cig Warehouse</t>
        </is>
      </c>
      <c r="E459" s="10" t="inlineStr">
        <is>
          <t>JK's E-Cig Warehouse</t>
        </is>
      </c>
      <c r="F459" s="10" t="inlineStr"/>
      <c r="G459" s="10" t="inlineStr">
        <is>
          <t>Vape Shop</t>
        </is>
      </c>
      <c r="H459" s="10" t="inlineStr">
        <is>
          <t>Vape &amp; e-liquid retailer</t>
        </is>
      </c>
      <c r="I459" s="10" t="inlineStr">
        <is>
          <t>Independent</t>
        </is>
      </c>
      <c r="J459" s="10" t="inlineStr">
        <is>
          <t>1</t>
        </is>
      </c>
      <c r="K459" s="10" t="inlineStr"/>
      <c r="L459" s="10" t="inlineStr"/>
      <c r="M459" s="10" t="inlineStr"/>
      <c r="N459" s="10" t="inlineStr"/>
      <c r="O459" s="10" t="inlineStr">
        <is>
          <t>73 The Hexagon</t>
        </is>
      </c>
      <c r="P459" s="10" t="inlineStr">
        <is>
          <t>Strand Shopping Centre</t>
        </is>
      </c>
      <c r="Q459" s="10" t="inlineStr">
        <is>
          <t>Bootle</t>
        </is>
      </c>
      <c r="R459" s="10" t="inlineStr">
        <is>
          <t>Merseyside</t>
        </is>
      </c>
      <c r="S459" s="10" t="inlineStr">
        <is>
          <t>L20 4XX</t>
        </is>
      </c>
      <c r="T459" s="10" t="inlineStr">
        <is>
          <t>North West</t>
        </is>
      </c>
      <c r="U459" s="10" t="inlineStr">
        <is>
          <t>England</t>
        </is>
      </c>
      <c r="V459" s="10" t="inlineStr">
        <is>
          <t>0151 345 1171</t>
        </is>
      </c>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vape hardware; e-liquids; accessories</t>
        </is>
      </c>
      <c r="AL459" s="10" t="inlineStr"/>
      <c r="AM459" s="10" t="inlineStr">
        <is>
          <t>Vape Shop</t>
        </is>
      </c>
      <c r="AN459" s="10" t="inlineStr"/>
      <c r="AO459" s="10" t="inlineStr">
        <is>
          <t>Independent e-cig/vape retailer in the Strand Shopping Centre, Bootle.</t>
        </is>
      </c>
      <c r="AP459" s="10" t="inlineStr">
        <is>
          <t>Medium</t>
        </is>
      </c>
      <c r="AQ459" s="10" t="inlineStr">
        <is>
          <t>Independent retailer; Core relevant category</t>
        </is>
      </c>
      <c r="AR459" s="10" t="inlineStr">
        <is>
          <t>https://bootle-merseyside.cylex-uk.co.uk/company/jk's-e-cig-warehouse-23900198.html</t>
        </is>
      </c>
      <c r="AS459" s="10" t="inlineStr"/>
      <c r="AT459" s="10" t="inlineStr">
        <is>
          <t>1</t>
        </is>
      </c>
      <c r="AU459" s="10" t="inlineStr">
        <is>
          <t>No</t>
        </is>
      </c>
      <c r="AV459" s="10" t="inlineStr">
        <is>
          <t>No</t>
        </is>
      </c>
      <c r="AW459" s="10" t="inlineStr">
        <is>
          <t>No</t>
        </is>
      </c>
      <c r="AX459" s="10" t="inlineStr">
        <is>
          <t>No</t>
        </is>
      </c>
      <c r="AY459" s="10" t="inlineStr">
        <is>
          <t>Verified directory</t>
        </is>
      </c>
      <c r="AZ459" s="10" t="inlineStr">
        <is>
          <t>Not Found</t>
        </is>
      </c>
      <c r="BA459" s="10" t="inlineStr">
        <is>
          <t>2026-09-17</t>
        </is>
      </c>
      <c r="BB459" s="10" t="inlineStr">
        <is>
          <t>Requires Verification</t>
        </is>
      </c>
      <c r="BC459" s="10" t="inlineStr">
        <is>
          <t>Low</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UK-000481</t>
        </is>
      </c>
      <c r="B460" s="5" t="inlineStr">
        <is>
          <t>UK-000481-01</t>
        </is>
      </c>
      <c r="C460" s="5" t="inlineStr"/>
      <c r="D460" s="5" t="inlineStr">
        <is>
          <t>JS Convenience Store</t>
        </is>
      </c>
      <c r="E460" s="5" t="inlineStr">
        <is>
          <t>JS Convenience Store</t>
        </is>
      </c>
      <c r="F460" s="5" t="inlineStr"/>
      <c r="G460" s="5" t="inlineStr">
        <is>
          <t>Convenience Store</t>
        </is>
      </c>
      <c r="H460" s="5" t="inlineStr">
        <is>
          <t>Convenience store &amp; off-licence</t>
        </is>
      </c>
      <c r="I460" s="5" t="inlineStr">
        <is>
          <t>Independent</t>
        </is>
      </c>
      <c r="J460" s="5" t="inlineStr">
        <is>
          <t>1</t>
        </is>
      </c>
      <c r="K460" s="5" t="inlineStr"/>
      <c r="L460" s="5" t="inlineStr"/>
      <c r="M460" s="5" t="inlineStr"/>
      <c r="N460" s="5" t="inlineStr"/>
      <c r="O460" s="5" t="inlineStr">
        <is>
          <t>110 Coronation Road</t>
        </is>
      </c>
      <c r="P460" s="5" t="inlineStr"/>
      <c r="Q460" s="5" t="inlineStr">
        <is>
          <t>Wednesbury</t>
        </is>
      </c>
      <c r="R460" s="5" t="inlineStr">
        <is>
          <t>West Midlands</t>
        </is>
      </c>
      <c r="S460" s="5" t="inlineStr">
        <is>
          <t>WS10 0TJ</t>
        </is>
      </c>
      <c r="T460" s="5" t="inlineStr">
        <is>
          <t>West Midlands</t>
        </is>
      </c>
      <c r="U460" s="5" t="inlineStr">
        <is>
          <t>England</t>
        </is>
      </c>
      <c r="V460" s="5" t="inlineStr"/>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groceries; convenience; beers; wines; spirits</t>
        </is>
      </c>
      <c r="AL460" s="5" t="inlineStr"/>
      <c r="AM460" s="5" t="inlineStr">
        <is>
          <t>Convenience Store</t>
        </is>
      </c>
      <c r="AN460" s="5" t="inlineStr"/>
      <c r="AO460" s="5" t="inlineStr">
        <is>
          <t>Independent convenience store, 110 Coronation Road, Wednesbury. Address from Yell Wednesbury listing snippet.</t>
        </is>
      </c>
      <c r="AP460" s="5" t="inlineStr">
        <is>
          <t>Low</t>
        </is>
      </c>
      <c r="AQ460" s="5" t="inlineStr">
        <is>
          <t>Independent retailer; Relevant category</t>
        </is>
      </c>
      <c r="AR460" s="5" t="inlineStr">
        <is>
          <t>https://www.yell.com/biz/js-convenience-store-wednesbury-8809377/</t>
        </is>
      </c>
      <c r="AS460" s="5" t="inlineStr"/>
      <c r="AT460" s="5" t="inlineStr">
        <is>
          <t>1</t>
        </is>
      </c>
      <c r="AU460" s="5" t="inlineStr">
        <is>
          <t>No</t>
        </is>
      </c>
      <c r="AV460" s="5" t="inlineStr">
        <is>
          <t>No</t>
        </is>
      </c>
      <c r="AW460" s="5" t="inlineStr">
        <is>
          <t>No</t>
        </is>
      </c>
      <c r="AX460" s="5" t="inlineStr">
        <is>
          <t>No</t>
        </is>
      </c>
      <c r="AY460" s="5" t="inlineStr">
        <is>
          <t>Not Found</t>
        </is>
      </c>
      <c r="AZ460" s="5" t="inlineStr">
        <is>
          <t>Not Found</t>
        </is>
      </c>
      <c r="BA460" s="5" t="inlineStr">
        <is>
          <t>2026-09-17</t>
        </is>
      </c>
      <c r="BB460" s="5" t="inlineStr">
        <is>
          <t>Requires Verification</t>
        </is>
      </c>
      <c r="BC460" s="5" t="inlineStr">
        <is>
          <t>Medium</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UK-000258</t>
        </is>
      </c>
      <c r="B461" s="10" t="inlineStr">
        <is>
          <t>UK-000258-01</t>
        </is>
      </c>
      <c r="C461" s="10" t="inlineStr"/>
      <c r="D461" s="10" t="inlineStr">
        <is>
          <t>Jaan Lounge</t>
        </is>
      </c>
      <c r="E461" s="10" t="inlineStr">
        <is>
          <t>Jaan Lounge</t>
        </is>
      </c>
      <c r="F461" s="10" t="inlineStr"/>
      <c r="G461" s="10" t="inlineStr">
        <is>
          <t>Smoke / Shisha Shop</t>
        </is>
      </c>
      <c r="H461" s="10" t="inlineStr">
        <is>
          <t>Cafe and shisha lounge</t>
        </is>
      </c>
      <c r="I461" s="10" t="inlineStr">
        <is>
          <t>Independent</t>
        </is>
      </c>
      <c r="J461" s="10" t="inlineStr">
        <is>
          <t>1</t>
        </is>
      </c>
      <c r="K461" s="10" t="inlineStr">
        <is>
          <t>https://www.jaanlounge.com/</t>
        </is>
      </c>
      <c r="L461" s="10" t="inlineStr"/>
      <c r="M461" s="10" t="inlineStr"/>
      <c r="N461" s="10" t="inlineStr"/>
      <c r="O461" s="10" t="inlineStr"/>
      <c r="P461" s="10" t="inlineStr"/>
      <c r="Q461" s="10" t="inlineStr">
        <is>
          <t>Sheffield</t>
        </is>
      </c>
      <c r="R461" s="10" t="inlineStr">
        <is>
          <t>South Yorkshire</t>
        </is>
      </c>
      <c r="S461" s="10" t="inlineStr"/>
      <c r="T461" s="10" t="inlineStr">
        <is>
          <t>Yorkshire &amp; Humber</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shisha; fresh juices; cakes; cafe</t>
        </is>
      </c>
      <c r="AL461" s="10" t="inlineStr"/>
      <c r="AM461" s="10" t="inlineStr">
        <is>
          <t>Smoke / Shisha Shop</t>
        </is>
      </c>
      <c r="AN461" s="10" t="inlineStr"/>
      <c r="AO461" s="10" t="inlineStr">
        <is>
          <t>Independent cafe/shisha lounge in Sheffield. Own website found; street address/postcode not captured from search results.</t>
        </is>
      </c>
      <c r="AP461" s="10" t="inlineStr">
        <is>
          <t>Medium</t>
        </is>
      </c>
      <c r="AQ461" s="10" t="inlineStr">
        <is>
          <t>Independent retailer; Core relevant category; Active website</t>
        </is>
      </c>
      <c r="AR461" s="10" t="inlineStr">
        <is>
          <t>https://www.jaanlounge.com/</t>
        </is>
      </c>
      <c r="AS461" s="10" t="inlineStr"/>
      <c r="AT461" s="10" t="inlineStr">
        <is>
          <t>1</t>
        </is>
      </c>
      <c r="AU461" s="10" t="inlineStr">
        <is>
          <t>No</t>
        </is>
      </c>
      <c r="AV461" s="10" t="inlineStr">
        <is>
          <t>No</t>
        </is>
      </c>
      <c r="AW461" s="10" t="inlineStr">
        <is>
          <t>No</t>
        </is>
      </c>
      <c r="AX461" s="10" t="inlineStr">
        <is>
          <t>No</t>
        </is>
      </c>
      <c r="AY461" s="10" t="inlineStr">
        <is>
          <t>Not Found</t>
        </is>
      </c>
      <c r="AZ461" s="10" t="inlineStr">
        <is>
          <t>Website Found</t>
        </is>
      </c>
      <c r="BA461" s="10" t="inlineStr">
        <is>
          <t>2026-09-17</t>
        </is>
      </c>
      <c r="BB461" s="10" t="inlineStr">
        <is>
          <t>Requires Verification</t>
        </is>
      </c>
      <c r="BC461" s="10" t="inlineStr">
        <is>
          <t>Low</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2026-09-16</t>
        </is>
      </c>
      <c r="BJ461" s="10" t="inlineStr">
        <is>
          <t>New</t>
        </is>
      </c>
      <c r="BK461" s="10" t="inlineStr">
        <is>
          <t>2026-09-17</t>
        </is>
      </c>
      <c r="BL461" s="10" t="inlineStr"/>
      <c r="BM461" s="10" t="inlineStr"/>
      <c r="BN461" s="10" t="inlineStr"/>
      <c r="BO461" s="10" t="inlineStr"/>
      <c r="BP461" s="10" t="inlineStr"/>
      <c r="BQ461" s="10" t="inlineStr"/>
    </row>
    <row r="462">
      <c r="A462" s="5" t="inlineStr">
        <is>
          <t>UK-000366</t>
        </is>
      </c>
      <c r="B462" s="5" t="inlineStr">
        <is>
          <t>UK-000366-01</t>
        </is>
      </c>
      <c r="C462" s="5" t="inlineStr"/>
      <c r="D462" s="5" t="inlineStr">
        <is>
          <t>Jaffa Convenience Store Ltd (Stretford)</t>
        </is>
      </c>
      <c r="E462" s="5" t="inlineStr">
        <is>
          <t>Jaffa Convenience Store</t>
        </is>
      </c>
      <c r="F462" s="5" t="inlineStr">
        <is>
          <t>Jaffa Convenience Store Ltd</t>
        </is>
      </c>
      <c r="G462" s="5" t="inlineStr">
        <is>
          <t>Convenience Store</t>
        </is>
      </c>
      <c r="H462" s="5" t="inlineStr">
        <is>
          <t>Convenience &amp; off-licence</t>
        </is>
      </c>
      <c r="I462" s="5" t="inlineStr">
        <is>
          <t>Independent</t>
        </is>
      </c>
      <c r="J462" s="5" t="inlineStr">
        <is>
          <t>1</t>
        </is>
      </c>
      <c r="K462" s="5" t="inlineStr"/>
      <c r="L462" s="5" t="inlineStr"/>
      <c r="M462" s="5" t="inlineStr"/>
      <c r="N462" s="5" t="inlineStr"/>
      <c r="O462" s="5" t="inlineStr">
        <is>
          <t>496 Kings Road</t>
        </is>
      </c>
      <c r="P462" s="5" t="inlineStr">
        <is>
          <t>Stretford</t>
        </is>
      </c>
      <c r="Q462" s="5" t="inlineStr">
        <is>
          <t>Stretford</t>
        </is>
      </c>
      <c r="R462" s="5" t="inlineStr">
        <is>
          <t>Greater Manchester</t>
        </is>
      </c>
      <c r="S462" s="5" t="inlineStr">
        <is>
          <t>M32 8QW</t>
        </is>
      </c>
      <c r="T462" s="5" t="inlineStr">
        <is>
          <t>North West</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groceries; off-licence; tobacco; confectionery; soft drinks</t>
        </is>
      </c>
      <c r="AL462" s="5" t="inlineStr"/>
      <c r="AM462" s="5" t="inlineStr">
        <is>
          <t>Convenience Store</t>
        </is>
      </c>
      <c r="AN462" s="5" t="inlineStr"/>
      <c r="AO462" s="5" t="inlineStr">
        <is>
          <t>Stretford independent convenience store; address/postcode from Cylex Stretford &amp; Streetlist. Phone not captured.</t>
        </is>
      </c>
      <c r="AP462" s="5" t="inlineStr">
        <is>
          <t>Low</t>
        </is>
      </c>
      <c r="AQ462" s="5" t="inlineStr">
        <is>
          <t>Independent retailer; Relevant category</t>
        </is>
      </c>
      <c r="AR462" s="5" t="inlineStr">
        <is>
          <t>https://stretford-trafford.cylex-uk.co.uk/convenience-stores/</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Low</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UK-000259</t>
        </is>
      </c>
      <c r="B463" s="10" t="inlineStr">
        <is>
          <t>UK-000259-01</t>
        </is>
      </c>
      <c r="C463" s="10" t="inlineStr"/>
      <c r="D463" s="10" t="inlineStr">
        <is>
          <t>Jah's Off Licence</t>
        </is>
      </c>
      <c r="E463" s="10" t="inlineStr">
        <is>
          <t>Jah's Off Licence</t>
        </is>
      </c>
      <c r="F463" s="10" t="inlineStr"/>
      <c r="G463" s="10" t="inlineStr">
        <is>
          <t>Off-Licence</t>
        </is>
      </c>
      <c r="H463" s="10" t="inlineStr">
        <is>
          <t>Off-licence / convenience</t>
        </is>
      </c>
      <c r="I463" s="10" t="inlineStr">
        <is>
          <t>Independent</t>
        </is>
      </c>
      <c r="J463" s="10" t="inlineStr">
        <is>
          <t>1</t>
        </is>
      </c>
      <c r="K463" s="10" t="inlineStr"/>
      <c r="L463" s="10" t="inlineStr"/>
      <c r="M463" s="10" t="inlineStr"/>
      <c r="N463" s="10" t="inlineStr"/>
      <c r="O463" s="10" t="inlineStr">
        <is>
          <t>141 London Road</t>
        </is>
      </c>
      <c r="P463" s="10" t="inlineStr"/>
      <c r="Q463" s="10" t="inlineStr">
        <is>
          <t>Sheffield</t>
        </is>
      </c>
      <c r="R463" s="10" t="inlineStr">
        <is>
          <t>South Yorkshire</t>
        </is>
      </c>
      <c r="S463" s="10" t="inlineStr">
        <is>
          <t>S2 4LE</t>
        </is>
      </c>
      <c r="T463" s="10" t="inlineStr">
        <is>
          <t>Yorkshire &amp; Humber</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beer; wine; spirits; groceries</t>
        </is>
      </c>
      <c r="AL463" s="10" t="inlineStr"/>
      <c r="AM463" s="10" t="inlineStr">
        <is>
          <t>Off-Licence</t>
        </is>
      </c>
      <c r="AN463" s="10" t="inlineStr"/>
      <c r="AO463" s="10" t="inlineStr">
        <is>
          <t>Independent off-licence at 141 London Road, Sheffield. Address/postcode from Sheffield off-licence directory search snippet.</t>
        </is>
      </c>
      <c r="AP463" s="10" t="inlineStr">
        <is>
          <t>Low</t>
        </is>
      </c>
      <c r="AQ463" s="10" t="inlineStr">
        <is>
          <t>Independent retailer; Relevant category</t>
        </is>
      </c>
      <c r="AR463" s="10" t="inlineStr">
        <is>
          <t>https://www.locallife.co.uk/sheffield/off-licences.asp</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Low</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2026-09-16</t>
        </is>
      </c>
      <c r="BJ463" s="10" t="inlineStr">
        <is>
          <t>New</t>
        </is>
      </c>
      <c r="BK463" s="10" t="inlineStr">
        <is>
          <t>2026-09-17</t>
        </is>
      </c>
      <c r="BL463" s="10" t="inlineStr"/>
      <c r="BM463" s="10" t="inlineStr"/>
      <c r="BN463" s="10" t="inlineStr"/>
      <c r="BO463" s="10" t="inlineStr"/>
      <c r="BP463" s="10" t="inlineStr"/>
      <c r="BQ463" s="10" t="inlineStr"/>
    </row>
    <row r="464">
      <c r="A464" s="5" t="inlineStr">
        <is>
          <t>UK-000616</t>
        </is>
      </c>
      <c r="B464" s="5" t="inlineStr">
        <is>
          <t>UK-000616-01</t>
        </is>
      </c>
      <c r="C464" s="5" t="inlineStr"/>
      <c r="D464" s="5" t="inlineStr">
        <is>
          <t>Jalaram Supermarket</t>
        </is>
      </c>
      <c r="E464" s="5" t="inlineStr">
        <is>
          <t>Jalaram Supermarket</t>
        </is>
      </c>
      <c r="F464" s="5" t="inlineStr"/>
      <c r="G464" s="5" t="inlineStr">
        <is>
          <t>Independent Supermarket</t>
        </is>
      </c>
      <c r="H464" s="5" t="inlineStr">
        <is>
          <t>South Asian / world food supermarket</t>
        </is>
      </c>
      <c r="I464" s="5" t="inlineStr">
        <is>
          <t>Independent</t>
        </is>
      </c>
      <c r="J464" s="5" t="inlineStr">
        <is>
          <t>1</t>
        </is>
      </c>
      <c r="K464" s="5" t="inlineStr"/>
      <c r="L464" s="5" t="inlineStr"/>
      <c r="M464" s="5" t="inlineStr"/>
      <c r="N464" s="5" t="inlineStr"/>
      <c r="O464" s="5" t="inlineStr">
        <is>
          <t>93-95 Ealing Road</t>
        </is>
      </c>
      <c r="P464" s="5" t="inlineStr"/>
      <c r="Q464" s="5" t="inlineStr">
        <is>
          <t>Wembley</t>
        </is>
      </c>
      <c r="R464" s="5" t="inlineStr">
        <is>
          <t>Greater London</t>
        </is>
      </c>
      <c r="S464" s="5" t="inlineStr">
        <is>
          <t>HA0 4TA</t>
        </is>
      </c>
      <c r="T464" s="5" t="inlineStr">
        <is>
          <t>London</t>
        </is>
      </c>
      <c r="U464" s="5" t="inlineStr">
        <is>
          <t>England</t>
        </is>
      </c>
      <c r="V464" s="5" t="inlineStr">
        <is>
          <t>020 8900 1141</t>
        </is>
      </c>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South Asian groceries; fresh produce; world foods</t>
        </is>
      </c>
      <c r="AL464" s="5" t="inlineStr"/>
      <c r="AM464" s="5" t="inlineStr">
        <is>
          <t>Independent Supermarket</t>
        </is>
      </c>
      <c r="AN464" s="5" t="inlineStr"/>
      <c r="AO464" s="5" t="inlineStr">
        <is>
          <t>Independent world-food supermarket on Ealing Road, Wembley. Shares a directory listing block with Diu Supermarket at same address range; phone tied to Jalaram in Yell snippet.</t>
        </is>
      </c>
      <c r="AP464" s="5" t="inlineStr">
        <is>
          <t>Low</t>
        </is>
      </c>
      <c r="AQ464" s="5" t="inlineStr">
        <is>
          <t>Independent retailer; Relevant category</t>
        </is>
      </c>
      <c r="AR464" s="5" t="inlineStr">
        <is>
          <t>https://www.yell.com/s/supermarkets-wembley.html</t>
        </is>
      </c>
      <c r="AS464" s="5" t="inlineStr"/>
      <c r="AT464" s="5" t="inlineStr">
        <is>
          <t>1</t>
        </is>
      </c>
      <c r="AU464" s="5" t="inlineStr">
        <is>
          <t>No</t>
        </is>
      </c>
      <c r="AV464" s="5" t="inlineStr">
        <is>
          <t>No</t>
        </is>
      </c>
      <c r="AW464" s="5" t="inlineStr">
        <is>
          <t>No</t>
        </is>
      </c>
      <c r="AX464" s="5" t="inlineStr">
        <is>
          <t>No</t>
        </is>
      </c>
      <c r="AY464" s="5" t="inlineStr">
        <is>
          <t>Verified directory</t>
        </is>
      </c>
      <c r="AZ464" s="5" t="inlineStr">
        <is>
          <t>Not Found</t>
        </is>
      </c>
      <c r="BA464" s="5" t="inlineStr">
        <is>
          <t>2026-09-17</t>
        </is>
      </c>
      <c r="BB464" s="5" t="inlineStr">
        <is>
          <t>Requires Verification</t>
        </is>
      </c>
      <c r="BC464" s="5" t="inlineStr">
        <is>
          <t>Medium</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WY-0100</t>
        </is>
      </c>
      <c r="B465" s="10" t="inlineStr">
        <is>
          <t>WY-0100-01</t>
        </is>
      </c>
      <c r="C465" s="10" t="inlineStr"/>
      <c r="D465" s="10" t="inlineStr">
        <is>
          <t>Javid Supermarket</t>
        </is>
      </c>
      <c r="E465" s="10" t="inlineStr">
        <is>
          <t>Javid Supermarket</t>
        </is>
      </c>
      <c r="F465" s="10" t="inlineStr"/>
      <c r="G465" s="10" t="inlineStr">
        <is>
          <t>Independent Supermarket</t>
        </is>
      </c>
      <c r="H465" s="10" t="inlineStr">
        <is>
          <t>Halal, Asian, Caribbean and world foods supermarket</t>
        </is>
      </c>
      <c r="I465" s="10" t="inlineStr">
        <is>
          <t>Independent</t>
        </is>
      </c>
      <c r="J465" s="10" t="inlineStr">
        <is>
          <t>1</t>
        </is>
      </c>
      <c r="K465" s="10" t="inlineStr">
        <is>
          <t>https://www.javidsupermarket.co.uk/</t>
        </is>
      </c>
      <c r="L465" s="10" t="inlineStr"/>
      <c r="M465" s="10" t="inlineStr">
        <is>
          <t>https://www.instagram.com/javidsupermarket/</t>
        </is>
      </c>
      <c r="N465" s="10" t="inlineStr"/>
      <c r="O465" s="10" t="inlineStr">
        <is>
          <t>177-179 Bradford Road</t>
        </is>
      </c>
      <c r="P465" s="10" t="inlineStr">
        <is>
          <t>Fartown</t>
        </is>
      </c>
      <c r="Q465" s="10" t="inlineStr">
        <is>
          <t>Huddersfield</t>
        </is>
      </c>
      <c r="R465" s="10" t="inlineStr">
        <is>
          <t>West Yorkshire</t>
        </is>
      </c>
      <c r="S465" s="10" t="inlineStr">
        <is>
          <t>HD1 6EQ</t>
        </is>
      </c>
      <c r="T465" s="10" t="inlineStr">
        <is>
          <t>Yorkshire &amp; Humber</t>
        </is>
      </c>
      <c r="U465" s="10" t="inlineStr">
        <is>
          <t>England</t>
        </is>
      </c>
      <c r="V465" s="10" t="inlineStr">
        <is>
          <t>01484 517411</t>
        </is>
      </c>
      <c r="W465" s="10" t="inlineStr"/>
      <c r="X465" s="10" t="inlineStr"/>
      <c r="Y465" s="10" t="inlineStr">
        <is>
          <t>contact@javidsupermarket.co.uk</t>
        </is>
      </c>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halal meat; poultry; fish; Caribbean, African, Middle Eastern, Polish and English groceries; fresh produce</t>
        </is>
      </c>
      <c r="AL465" s="10" t="inlineStr"/>
      <c r="AM465" s="10" t="inlineStr">
        <is>
          <t>Independent Supermarket</t>
        </is>
      </c>
      <c r="AN465" s="10" t="inlineStr"/>
      <c r="AO465" s="10" t="inlineStr">
        <is>
          <t>Address and phone cross-checked across Yelp, Britainfirm and own-site contact page surfaced in search results.</t>
        </is>
      </c>
      <c r="AP465" s="10" t="inlineStr">
        <is>
          <t>Medium</t>
        </is>
      </c>
      <c r="AQ465" s="10" t="inlineStr">
        <is>
          <t>Independent retailer; Relevant category; Public email available; Active website; Social presence</t>
        </is>
      </c>
      <c r="AR465" s="10" t="inlineStr">
        <is>
          <t>https://www.javidsupermarket.co.uk/contact/</t>
        </is>
      </c>
      <c r="AS465" s="10" t="inlineStr">
        <is>
          <t>https://www.instagram.com/javidsupermarket/</t>
        </is>
      </c>
      <c r="AT465" s="10" t="inlineStr">
        <is>
          <t>4</t>
        </is>
      </c>
      <c r="AU465" s="10" t="inlineStr">
        <is>
          <t>No</t>
        </is>
      </c>
      <c r="AV465" s="10" t="inlineStr">
        <is>
          <t>No</t>
        </is>
      </c>
      <c r="AW465" s="10" t="inlineStr">
        <is>
          <t>No</t>
        </is>
      </c>
      <c r="AX465" s="10" t="inlineStr">
        <is>
          <t>No</t>
        </is>
      </c>
      <c r="AY465" s="10" t="inlineStr">
        <is>
          <t>Verified directory</t>
        </is>
      </c>
      <c r="AZ465" s="10" t="inlineStr">
        <is>
          <t>Publicly Listed</t>
        </is>
      </c>
      <c r="BA465" s="10" t="inlineStr">
        <is>
          <t>2026-09-17</t>
        </is>
      </c>
      <c r="BB465" s="10" t="inlineStr">
        <is>
          <t>Requires Verification</t>
        </is>
      </c>
      <c r="BC465" s="10" t="inlineStr">
        <is>
          <t>Medium</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2026-09-16</t>
        </is>
      </c>
      <c r="BJ465" s="10" t="inlineStr">
        <is>
          <t>New</t>
        </is>
      </c>
      <c r="BK465" s="10" t="inlineStr">
        <is>
          <t>2026-09-17</t>
        </is>
      </c>
      <c r="BL465" s="10" t="inlineStr"/>
      <c r="BM465" s="10" t="inlineStr"/>
      <c r="BN465" s="10" t="inlineStr"/>
      <c r="BO465" s="10" t="inlineStr"/>
      <c r="BP465" s="10" t="inlineStr"/>
      <c r="BQ465" s="10" t="inlineStr"/>
    </row>
    <row r="466">
      <c r="A466" s="5" t="inlineStr">
        <is>
          <t>UK-000482</t>
        </is>
      </c>
      <c r="B466" s="5" t="inlineStr">
        <is>
          <t>UK-000482-01</t>
        </is>
      </c>
      <c r="C466" s="5" t="inlineStr"/>
      <c r="D466" s="5" t="inlineStr">
        <is>
          <t>Jay Mini Market</t>
        </is>
      </c>
      <c r="E466" s="5" t="inlineStr">
        <is>
          <t>Jay Mini Market</t>
        </is>
      </c>
      <c r="F466" s="5" t="inlineStr"/>
      <c r="G466" s="5" t="inlineStr">
        <is>
          <t>Convenience Store</t>
        </is>
      </c>
      <c r="H466" s="5" t="inlineStr">
        <is>
          <t>Convenience store / off-licence</t>
        </is>
      </c>
      <c r="I466" s="5" t="inlineStr">
        <is>
          <t>Independent</t>
        </is>
      </c>
      <c r="J466" s="5" t="inlineStr">
        <is>
          <t>1</t>
        </is>
      </c>
      <c r="K466" s="5" t="inlineStr"/>
      <c r="L466" s="5" t="inlineStr"/>
      <c r="M466" s="5" t="inlineStr"/>
      <c r="N466" s="5" t="inlineStr"/>
      <c r="O466" s="5" t="inlineStr">
        <is>
          <t>93 Holyhead Road</t>
        </is>
      </c>
      <c r="P466" s="5" t="inlineStr">
        <is>
          <t>Handsworth</t>
        </is>
      </c>
      <c r="Q466" s="5" t="inlineStr">
        <is>
          <t>Birmingham</t>
        </is>
      </c>
      <c r="R466" s="5" t="inlineStr">
        <is>
          <t>West Midlands</t>
        </is>
      </c>
      <c r="S466" s="5" t="inlineStr">
        <is>
          <t>B21 0HH</t>
        </is>
      </c>
      <c r="T466" s="5" t="inlineStr">
        <is>
          <t>West Midlands</t>
        </is>
      </c>
      <c r="U466" s="5" t="inlineStr">
        <is>
          <t>England</t>
        </is>
      </c>
      <c r="V466" s="5" t="inlineStr">
        <is>
          <t>0121 554 2063</t>
        </is>
      </c>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convenience grocery; off-licence</t>
        </is>
      </c>
      <c r="AL466" s="5" t="inlineStr"/>
      <c r="AM466" s="5" t="inlineStr">
        <is>
          <t>Convenience Store</t>
        </is>
      </c>
      <c r="AN466" s="5" t="inlineStr"/>
      <c r="AO466" s="5" t="inlineStr">
        <is>
          <t>Mini market / off-licence on Holyhead Road, Handsworth.</t>
        </is>
      </c>
      <c r="AP466" s="5" t="inlineStr">
        <is>
          <t>Low</t>
        </is>
      </c>
      <c r="AQ466" s="5" t="inlineStr">
        <is>
          <t>Independent retailer; Relevant category</t>
        </is>
      </c>
      <c r="AR466" s="5" t="inlineStr">
        <is>
          <t>https://www.yell.com/s/off+licences-handsworth-birmingham.html</t>
        </is>
      </c>
      <c r="AS466" s="5" t="inlineStr"/>
      <c r="AT466" s="5" t="inlineStr">
        <is>
          <t>1</t>
        </is>
      </c>
      <c r="AU466" s="5" t="inlineStr">
        <is>
          <t>No</t>
        </is>
      </c>
      <c r="AV466" s="5" t="inlineStr">
        <is>
          <t>No</t>
        </is>
      </c>
      <c r="AW466" s="5" t="inlineStr">
        <is>
          <t>No</t>
        </is>
      </c>
      <c r="AX466" s="5" t="inlineStr">
        <is>
          <t>No</t>
        </is>
      </c>
      <c r="AY466" s="5" t="inlineStr">
        <is>
          <t>Verified directory</t>
        </is>
      </c>
      <c r="AZ466" s="5" t="inlineStr">
        <is>
          <t>Not Found</t>
        </is>
      </c>
      <c r="BA466" s="5" t="inlineStr">
        <is>
          <t>2026-09-17</t>
        </is>
      </c>
      <c r="BB466" s="5" t="inlineStr">
        <is>
          <t>Requires Verification</t>
        </is>
      </c>
      <c r="BC466" s="5" t="inlineStr">
        <is>
          <t>Low</t>
        </is>
      </c>
      <c r="BD466" s="5" t="inlineStr"/>
      <c r="BE466" s="5" t="inlineStr">
        <is>
          <t>Business (B2B)</t>
        </is>
      </c>
      <c r="BF466" s="5" t="inlineStr">
        <is>
          <t>Legitimate interest (B2B) - assess per campaign; PECR: corporate subscribers</t>
        </is>
      </c>
      <c r="BG466" s="5" t="inlineStr"/>
      <c r="BH466" s="5" t="inlineStr">
        <is>
          <t>No</t>
        </is>
      </c>
      <c r="BI466" s="5" t="inlineStr">
        <is>
          <t>2026-09-17</t>
        </is>
      </c>
      <c r="BJ466" s="5" t="inlineStr">
        <is>
          <t>New</t>
        </is>
      </c>
      <c r="BK466" s="5" t="inlineStr">
        <is>
          <t>2026-09-17</t>
        </is>
      </c>
      <c r="BL466" s="5" t="inlineStr"/>
      <c r="BM466" s="5" t="inlineStr"/>
      <c r="BN466" s="5" t="inlineStr"/>
      <c r="BO466" s="5" t="inlineStr"/>
      <c r="BP466" s="5" t="inlineStr"/>
      <c r="BQ466" s="5" t="inlineStr"/>
    </row>
    <row r="467">
      <c r="A467" s="10" t="inlineStr">
        <is>
          <t>UK-000617</t>
        </is>
      </c>
      <c r="B467" s="10" t="inlineStr">
        <is>
          <t>UK-000617-01</t>
        </is>
      </c>
      <c r="C467" s="10" t="inlineStr"/>
      <c r="D467" s="10" t="inlineStr">
        <is>
          <t>Jeens Cash &amp; Carry</t>
        </is>
      </c>
      <c r="E467" s="10" t="inlineStr">
        <is>
          <t>Jeens Cash &amp; Carry</t>
        </is>
      </c>
      <c r="F467" s="10" t="inlineStr"/>
      <c r="G467" s="10" t="inlineStr">
        <is>
          <t>Cash &amp; Carry</t>
        </is>
      </c>
      <c r="H467" s="10" t="inlineStr"/>
      <c r="I467" s="10" t="inlineStr">
        <is>
          <t>Independent</t>
        </is>
      </c>
      <c r="J467" s="10" t="inlineStr">
        <is>
          <t>1</t>
        </is>
      </c>
      <c r="K467" s="10" t="inlineStr"/>
      <c r="L467" s="10" t="inlineStr"/>
      <c r="M467" s="10" t="inlineStr"/>
      <c r="N467" s="10" t="inlineStr"/>
      <c r="O467" s="10" t="inlineStr">
        <is>
          <t>306 Harrow Road</t>
        </is>
      </c>
      <c r="P467" s="10" t="inlineStr"/>
      <c r="Q467" s="10" t="inlineStr">
        <is>
          <t>Wembley</t>
        </is>
      </c>
      <c r="R467" s="10" t="inlineStr">
        <is>
          <t>Greater London</t>
        </is>
      </c>
      <c r="S467" s="10" t="inlineStr">
        <is>
          <t>HA9 6LL</t>
        </is>
      </c>
      <c r="T467" s="10" t="inlineStr">
        <is>
          <t>London</t>
        </is>
      </c>
      <c r="U467" s="10" t="inlineStr">
        <is>
          <t>England</t>
        </is>
      </c>
      <c r="V467" s="10" t="inlineStr"/>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grocery wholesale; world foods</t>
        </is>
      </c>
      <c r="AL467" s="10" t="inlineStr"/>
      <c r="AM467" s="10" t="inlineStr">
        <is>
          <t>Cash &amp; Carry</t>
        </is>
      </c>
      <c r="AN467" s="10" t="inlineStr"/>
      <c r="AO467" s="10" t="inlineStr">
        <is>
          <t>Independent cash &amp; carry, Harrow Road, Wembley. Address from Yell listing.</t>
        </is>
      </c>
      <c r="AP467" s="10" t="inlineStr">
        <is>
          <t>Medium</t>
        </is>
      </c>
      <c r="AQ467" s="10" t="inlineStr">
        <is>
          <t>Independent retailer; Core relevant category</t>
        </is>
      </c>
      <c r="AR467" s="10" t="inlineStr">
        <is>
          <t>https://www.yell.com/biz/jeens-cash-and-carry-wembley-5361307/</t>
        </is>
      </c>
      <c r="AS467" s="10" t="inlineStr"/>
      <c r="AT467" s="10" t="inlineStr">
        <is>
          <t>1</t>
        </is>
      </c>
      <c r="AU467" s="10" t="inlineStr">
        <is>
          <t>No</t>
        </is>
      </c>
      <c r="AV467" s="10" t="inlineStr">
        <is>
          <t>No</t>
        </is>
      </c>
      <c r="AW467" s="10" t="inlineStr">
        <is>
          <t>No</t>
        </is>
      </c>
      <c r="AX467" s="10" t="inlineStr">
        <is>
          <t>No</t>
        </is>
      </c>
      <c r="AY467" s="10" t="inlineStr">
        <is>
          <t>Not Found</t>
        </is>
      </c>
      <c r="AZ467" s="10" t="inlineStr">
        <is>
          <t>Not Found</t>
        </is>
      </c>
      <c r="BA467" s="10" t="inlineStr">
        <is>
          <t>2026-09-17</t>
        </is>
      </c>
      <c r="BB467" s="10" t="inlineStr">
        <is>
          <t>Requires Verification</t>
        </is>
      </c>
      <c r="BC467" s="10" t="inlineStr">
        <is>
          <t>Low</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2026-09-17</t>
        </is>
      </c>
      <c r="BJ467" s="10" t="inlineStr">
        <is>
          <t>New</t>
        </is>
      </c>
      <c r="BK467" s="10" t="inlineStr">
        <is>
          <t>2026-09-17</t>
        </is>
      </c>
      <c r="BL467" s="10" t="inlineStr"/>
      <c r="BM467" s="10" t="inlineStr"/>
      <c r="BN467" s="10" t="inlineStr"/>
      <c r="BO467" s="10" t="inlineStr"/>
      <c r="BP467" s="10" t="inlineStr"/>
      <c r="BQ467" s="10" t="inlineStr"/>
    </row>
    <row r="468">
      <c r="A468" s="5" t="inlineStr">
        <is>
          <t>UK-000483</t>
        </is>
      </c>
      <c r="B468" s="5" t="inlineStr">
        <is>
          <t>UK-000483-01</t>
        </is>
      </c>
      <c r="C468" s="5" t="inlineStr"/>
      <c r="D468" s="5" t="inlineStr">
        <is>
          <t>John Hollingsworth &amp; Sons</t>
        </is>
      </c>
      <c r="E468" s="5" t="inlineStr">
        <is>
          <t>John Hollingsworth &amp; Sons</t>
        </is>
      </c>
      <c r="F468" s="5" t="inlineStr"/>
      <c r="G468" s="5" t="inlineStr">
        <is>
          <t>Tobacco Specialist</t>
        </is>
      </c>
      <c r="H468" s="5" t="inlineStr">
        <is>
          <t>Traditional tobacconist (cigars &amp; pipe tobacco)</t>
        </is>
      </c>
      <c r="I468" s="5" t="inlineStr">
        <is>
          <t>Independent</t>
        </is>
      </c>
      <c r="J468" s="5" t="inlineStr">
        <is>
          <t>1</t>
        </is>
      </c>
      <c r="K468" s="5" t="inlineStr"/>
      <c r="L468" s="5" t="inlineStr"/>
      <c r="M468" s="5" t="inlineStr"/>
      <c r="N468" s="5" t="inlineStr"/>
      <c r="O468" s="5" t="inlineStr">
        <is>
          <t>27 Great Western Arcade</t>
        </is>
      </c>
      <c r="P468" s="5" t="inlineStr">
        <is>
          <t>City Centre</t>
        </is>
      </c>
      <c r="Q468" s="5" t="inlineStr">
        <is>
          <t>Birmingham</t>
        </is>
      </c>
      <c r="R468" s="5" t="inlineStr">
        <is>
          <t>West Midlands</t>
        </is>
      </c>
      <c r="S468" s="5" t="inlineStr">
        <is>
          <t>B2 5HU</t>
        </is>
      </c>
      <c r="T468" s="5" t="inlineStr">
        <is>
          <t>West Midlands</t>
        </is>
      </c>
      <c r="U468" s="5" t="inlineStr">
        <is>
          <t>England</t>
        </is>
      </c>
      <c r="V468" s="5" t="inlineStr">
        <is>
          <t>0121 236 7768</t>
        </is>
      </c>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cigars; pipe tobacco; smoking accessories</t>
        </is>
      </c>
      <c r="AL468" s="5" t="inlineStr"/>
      <c r="AM468" s="5" t="inlineStr">
        <is>
          <t>Tobacco Specialist</t>
        </is>
      </c>
      <c r="AN468" s="5" t="inlineStr"/>
      <c r="AO468" s="5" t="inlineStr">
        <is>
          <t>Traditional independent tobacconist in Great Western Arcade, Birmingham city centre.</t>
        </is>
      </c>
      <c r="AP468" s="5" t="inlineStr">
        <is>
          <t>Medium</t>
        </is>
      </c>
      <c r="AQ468" s="5" t="inlineStr">
        <is>
          <t>Independent retailer; Core relevant category</t>
        </is>
      </c>
      <c r="AR468" s="5" t="inlineStr">
        <is>
          <t>https://www.yelp.co.uk/biz/john-hollingsworth-and-sons-birmingham</t>
        </is>
      </c>
      <c r="AS468" s="5" t="inlineStr"/>
      <c r="AT468" s="5" t="inlineStr">
        <is>
          <t>1</t>
        </is>
      </c>
      <c r="AU468" s="5" t="inlineStr">
        <is>
          <t>No</t>
        </is>
      </c>
      <c r="AV468" s="5" t="inlineStr">
        <is>
          <t>No</t>
        </is>
      </c>
      <c r="AW468" s="5" t="inlineStr">
        <is>
          <t>No</t>
        </is>
      </c>
      <c r="AX468" s="5" t="inlineStr">
        <is>
          <t>No</t>
        </is>
      </c>
      <c r="AY468" s="5" t="inlineStr">
        <is>
          <t>Verified directory</t>
        </is>
      </c>
      <c r="AZ468" s="5" t="inlineStr">
        <is>
          <t>Not Found</t>
        </is>
      </c>
      <c r="BA468" s="5" t="inlineStr">
        <is>
          <t>2026-09-17</t>
        </is>
      </c>
      <c r="BB468" s="5" t="inlineStr">
        <is>
          <t>Requires Verification</t>
        </is>
      </c>
      <c r="BC468" s="5" t="inlineStr">
        <is>
          <t>Medium</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UK-000260</t>
        </is>
      </c>
      <c r="B469" s="10" t="inlineStr">
        <is>
          <t>UK-000260-01</t>
        </is>
      </c>
      <c r="C469" s="10" t="inlineStr"/>
      <c r="D469" s="10" t="inlineStr">
        <is>
          <t>Juice &amp; Coil Co</t>
        </is>
      </c>
      <c r="E469" s="10" t="inlineStr">
        <is>
          <t>Juice &amp; Coil Co</t>
        </is>
      </c>
      <c r="F469" s="10" t="inlineStr"/>
      <c r="G469" s="10" t="inlineStr">
        <is>
          <t>Vape Shop</t>
        </is>
      </c>
      <c r="H469" s="10" t="inlineStr">
        <is>
          <t>E-liquid and coil specialist</t>
        </is>
      </c>
      <c r="I469" s="10" t="inlineStr">
        <is>
          <t>Independent</t>
        </is>
      </c>
      <c r="J469" s="10" t="inlineStr">
        <is>
          <t>1</t>
        </is>
      </c>
      <c r="K469" s="10" t="inlineStr"/>
      <c r="L469" s="10" t="inlineStr"/>
      <c r="M469" s="10" t="inlineStr"/>
      <c r="N469" s="10" t="inlineStr"/>
      <c r="O469" s="10" t="inlineStr">
        <is>
          <t>851 Chesterfield Road</t>
        </is>
      </c>
      <c r="P469" s="10" t="inlineStr">
        <is>
          <t>Woodseats</t>
        </is>
      </c>
      <c r="Q469" s="10" t="inlineStr">
        <is>
          <t>Sheffield</t>
        </is>
      </c>
      <c r="R469" s="10" t="inlineStr">
        <is>
          <t>South Yorkshire</t>
        </is>
      </c>
      <c r="S469" s="10" t="inlineStr">
        <is>
          <t>S8 0SQ</t>
        </is>
      </c>
      <c r="T469" s="10" t="inlineStr">
        <is>
          <t>Yorkshire &amp; Humber</t>
        </is>
      </c>
      <c r="U469" s="10" t="inlineStr">
        <is>
          <t>England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e-liquids; coils; vape hardware; disposables</t>
        </is>
      </c>
      <c r="AL469" s="10" t="inlineStr"/>
      <c r="AM469" s="10" t="inlineStr">
        <is>
          <t>Vape Shop</t>
        </is>
      </c>
      <c r="AN469" s="10" t="inlineStr"/>
      <c r="AO469" s="10" t="inlineStr">
        <is>
          <t>Independent vape shop in Woodseats district. Details from Yelp / search snippet.</t>
        </is>
      </c>
      <c r="AP469" s="10" t="inlineStr">
        <is>
          <t>Medium</t>
        </is>
      </c>
      <c r="AQ469" s="10" t="inlineStr">
        <is>
          <t>Independent retailer; Core relevant category</t>
        </is>
      </c>
      <c r="AR469" s="10" t="inlineStr">
        <is>
          <t>https://www.yelp.com/search?cflt=vapeshops&amp;find_loc=Unit+12+Parkway+Close%2C+Sheffield+S9+4WJ%2C+United+Kingdom</t>
        </is>
      </c>
      <c r="AS469" s="10" t="inlineStr"/>
      <c r="AT469" s="10" t="inlineStr">
        <is>
          <t>1</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Low</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2026-09-16</t>
        </is>
      </c>
      <c r="BJ469" s="10" t="inlineStr">
        <is>
          <t>New</t>
        </is>
      </c>
      <c r="BK469" s="10" t="inlineStr">
        <is>
          <t>2026-09-17</t>
        </is>
      </c>
      <c r="BL469" s="10" t="inlineStr"/>
      <c r="BM469" s="10" t="inlineStr"/>
      <c r="BN469" s="10" t="inlineStr"/>
      <c r="BO469" s="10" t="inlineStr"/>
      <c r="BP469" s="10" t="inlineStr"/>
      <c r="BQ469" s="10" t="inlineStr"/>
    </row>
    <row r="470">
      <c r="A470" s="5" t="inlineStr">
        <is>
          <t>UK-000618</t>
        </is>
      </c>
      <c r="B470" s="5" t="inlineStr">
        <is>
          <t>UK-000618-01</t>
        </is>
      </c>
      <c r="C470" s="5" t="inlineStr"/>
      <c r="D470" s="5" t="inlineStr">
        <is>
          <t>Juiceshop</t>
        </is>
      </c>
      <c r="E470" s="5" t="inlineStr">
        <is>
          <t>Juiceshop</t>
        </is>
      </c>
      <c r="F470" s="5" t="inlineStr"/>
      <c r="G470" s="5" t="inlineStr">
        <is>
          <t>Vape Shop</t>
        </is>
      </c>
      <c r="H470" s="5" t="inlineStr">
        <is>
          <t>Vape / smokers requisites</t>
        </is>
      </c>
      <c r="I470" s="5" t="inlineStr">
        <is>
          <t>Independent</t>
        </is>
      </c>
      <c r="J470" s="5" t="inlineStr">
        <is>
          <t>1</t>
        </is>
      </c>
      <c r="K470" s="5" t="inlineStr"/>
      <c r="L470" s="5" t="inlineStr"/>
      <c r="M470" s="5" t="inlineStr"/>
      <c r="N470" s="5" t="inlineStr"/>
      <c r="O470" s="5" t="inlineStr"/>
      <c r="P470" s="5" t="inlineStr"/>
      <c r="Q470" s="5" t="inlineStr">
        <is>
          <t>Edmonton</t>
        </is>
      </c>
      <c r="R470" s="5" t="inlineStr">
        <is>
          <t>Greater London</t>
        </is>
      </c>
      <c r="S470" s="5" t="inlineStr">
        <is>
          <t>N18 1ND</t>
        </is>
      </c>
      <c r="T470" s="5" t="inlineStr">
        <is>
          <t>London</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vape hardware; e-liquids; smokers requisites</t>
        </is>
      </c>
      <c r="AL470" s="5" t="inlineStr"/>
      <c r="AM470" s="5" t="inlineStr">
        <is>
          <t>Vape Shop</t>
        </is>
      </c>
      <c r="AN470" s="5" t="inlineStr"/>
      <c r="AO470" s="5" t="inlineStr">
        <is>
          <t>Smokers requisites / vape retailer in Upper Edmonton listed on 192.com. Street address and phone not in accessible snippet.</t>
        </is>
      </c>
      <c r="AP470" s="5" t="inlineStr">
        <is>
          <t>Medium</t>
        </is>
      </c>
      <c r="AQ470" s="5" t="inlineStr">
        <is>
          <t>Independent retailer; Core relevant category</t>
        </is>
      </c>
      <c r="AR470" s="5" t="inlineStr">
        <is>
          <t>https://www.192.com/atoz/business/london-n18/smokers-requisites/juiceshop/4c047a1058e014f909e7c51434d959de23d404c6/ml/</t>
        </is>
      </c>
      <c r="AS470" s="5" t="inlineStr"/>
      <c r="AT470" s="5" t="inlineStr">
        <is>
          <t>1</t>
        </is>
      </c>
      <c r="AU470" s="5" t="inlineStr">
        <is>
          <t>No</t>
        </is>
      </c>
      <c r="AV470" s="5" t="inlineStr">
        <is>
          <t>No</t>
        </is>
      </c>
      <c r="AW470" s="5" t="inlineStr">
        <is>
          <t>No</t>
        </is>
      </c>
      <c r="AX470" s="5" t="inlineStr">
        <is>
          <t>No</t>
        </is>
      </c>
      <c r="AY470" s="5" t="inlineStr">
        <is>
          <t>Not Found</t>
        </is>
      </c>
      <c r="AZ470" s="5" t="inlineStr">
        <is>
          <t>Not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UK-000484</t>
        </is>
      </c>
      <c r="B471" s="10" t="inlineStr">
        <is>
          <t>UK-000484-01</t>
        </is>
      </c>
      <c r="C471" s="10" t="inlineStr"/>
      <c r="D471" s="10" t="inlineStr">
        <is>
          <t>Jungle Shisha Lounge</t>
        </is>
      </c>
      <c r="E471" s="10" t="inlineStr">
        <is>
          <t>Jungle Shisha Lounge</t>
        </is>
      </c>
      <c r="F471" s="10" t="inlineStr"/>
      <c r="G471" s="10" t="inlineStr">
        <is>
          <t>Smoke / Shisha Shop</t>
        </is>
      </c>
      <c r="H471" s="10" t="inlineStr">
        <is>
          <t>Shisha lounge</t>
        </is>
      </c>
      <c r="I471" s="10" t="inlineStr">
        <is>
          <t>Independent</t>
        </is>
      </c>
      <c r="J471" s="10" t="inlineStr">
        <is>
          <t>1</t>
        </is>
      </c>
      <c r="K471" s="10" t="inlineStr">
        <is>
          <t>https://jungleshishalounge.com/</t>
        </is>
      </c>
      <c r="L471" s="10" t="inlineStr"/>
      <c r="M471" s="10" t="inlineStr"/>
      <c r="N471" s="10" t="inlineStr"/>
      <c r="O471" s="10" t="inlineStr">
        <is>
          <t>215 Monument Road</t>
        </is>
      </c>
      <c r="P471" s="10" t="inlineStr">
        <is>
          <t>Ladywood</t>
        </is>
      </c>
      <c r="Q471" s="10" t="inlineStr">
        <is>
          <t>Birmingham</t>
        </is>
      </c>
      <c r="R471" s="10" t="inlineStr">
        <is>
          <t>West Midlands</t>
        </is>
      </c>
      <c r="S471" s="10" t="inlineStr">
        <is>
          <t>B16 8UU</t>
        </is>
      </c>
      <c r="T471" s="10" t="inlineStr">
        <is>
          <t>West Midlands</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shisha; food &amp; drink</t>
        </is>
      </c>
      <c r="AL471" s="10" t="inlineStr"/>
      <c r="AM471" s="10" t="inlineStr">
        <is>
          <t>Smoke / Shisha Shop</t>
        </is>
      </c>
      <c r="AN471" s="10" t="inlineStr"/>
      <c r="AO471" s="10" t="inlineStr">
        <is>
          <t>Shisha lounge on Monument Road, Ladywood (inner west Birmingham). Website not fetched (WebFetch blocked).</t>
        </is>
      </c>
      <c r="AP471" s="10" t="inlineStr">
        <is>
          <t>Medium</t>
        </is>
      </c>
      <c r="AQ471" s="10" t="inlineStr">
        <is>
          <t>Independent retailer; Core relevant category; Active website</t>
        </is>
      </c>
      <c r="AR471" s="10" t="inlineStr">
        <is>
          <t>https://jungleshishalounge.com/</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Website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UK-000367</t>
        </is>
      </c>
      <c r="B472" s="5" t="inlineStr">
        <is>
          <t>UK-000367-01</t>
        </is>
      </c>
      <c r="C472" s="5" t="inlineStr"/>
      <c r="D472" s="5" t="inlineStr">
        <is>
          <t>Just Vapours (Eccles, Salford)</t>
        </is>
      </c>
      <c r="E472" s="5" t="inlineStr">
        <is>
          <t>Just Vapours</t>
        </is>
      </c>
      <c r="F472" s="5" t="inlineStr"/>
      <c r="G472" s="5" t="inlineStr">
        <is>
          <t>Vape Shop</t>
        </is>
      </c>
      <c r="H472" s="5" t="inlineStr">
        <is>
          <t>Vape hardware, e-liquids &amp; disposables</t>
        </is>
      </c>
      <c r="I472" s="5" t="inlineStr">
        <is>
          <t>Independent</t>
        </is>
      </c>
      <c r="J472" s="5" t="inlineStr">
        <is>
          <t>1</t>
        </is>
      </c>
      <c r="K472" s="5" t="inlineStr"/>
      <c r="L472" s="5" t="inlineStr"/>
      <c r="M472" s="5" t="inlineStr"/>
      <c r="N472" s="5" t="inlineStr"/>
      <c r="O472" s="5" t="inlineStr">
        <is>
          <t>110 Church Street</t>
        </is>
      </c>
      <c r="P472" s="5" t="inlineStr">
        <is>
          <t>Eccles</t>
        </is>
      </c>
      <c r="Q472" s="5" t="inlineStr">
        <is>
          <t>Eccles</t>
        </is>
      </c>
      <c r="R472" s="5" t="inlineStr">
        <is>
          <t>Greater Manchester</t>
        </is>
      </c>
      <c r="S472" s="5" t="inlineStr">
        <is>
          <t>M30 0LH</t>
        </is>
      </c>
      <c r="T472" s="5" t="inlineStr">
        <is>
          <t>North West</t>
        </is>
      </c>
      <c r="U472" s="5" t="inlineStr">
        <is>
          <t>England</t>
        </is>
      </c>
      <c r="V472" s="5" t="inlineStr"/>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vape hardware; e-liquids; disposables</t>
        </is>
      </c>
      <c r="AL472" s="5" t="inlineStr"/>
      <c r="AM472" s="5" t="inlineStr">
        <is>
          <t>Vape Shop</t>
        </is>
      </c>
      <c r="AN472" s="5" t="inlineStr"/>
      <c r="AO472" s="5" t="inlineStr">
        <is>
          <t>Eccles independent vape shop listed on Cylex/Yelp Eccles. Related entity 'ECCLES VAPE SHOP LTD' (Companies House 15170910) exists for the area but not confirmed as this trading name, so left blank.</t>
        </is>
      </c>
      <c r="AP472" s="5" t="inlineStr">
        <is>
          <t>Medium</t>
        </is>
      </c>
      <c r="AQ472" s="5" t="inlineStr">
        <is>
          <t>Independent retailer; Core relevant category</t>
        </is>
      </c>
      <c r="AR472" s="5" t="inlineStr">
        <is>
          <t>https://eccles-city-of-salford.cylex-uk.co.uk/vape-shops/</t>
        </is>
      </c>
      <c r="AS472" s="5" t="inlineStr"/>
      <c r="AT472" s="5" t="inlineStr">
        <is>
          <t>1</t>
        </is>
      </c>
      <c r="AU472" s="5" t="inlineStr">
        <is>
          <t>No</t>
        </is>
      </c>
      <c r="AV472" s="5" t="inlineStr">
        <is>
          <t>No</t>
        </is>
      </c>
      <c r="AW472" s="5" t="inlineStr">
        <is>
          <t>No</t>
        </is>
      </c>
      <c r="AX472" s="5" t="inlineStr">
        <is>
          <t>No</t>
        </is>
      </c>
      <c r="AY472" s="5" t="inlineStr">
        <is>
          <t>Not Found</t>
        </is>
      </c>
      <c r="AZ472" s="5" t="inlineStr">
        <is>
          <t>Not Found</t>
        </is>
      </c>
      <c r="BA472" s="5" t="inlineStr">
        <is>
          <t>2026-09-17</t>
        </is>
      </c>
      <c r="BB472" s="5" t="inlineStr">
        <is>
          <t>Requires Verification</t>
        </is>
      </c>
      <c r="BC472" s="5" t="inlineStr">
        <is>
          <t>Low</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UK-000787</t>
        </is>
      </c>
      <c r="B473" s="10" t="inlineStr">
        <is>
          <t>UK-000787-01</t>
        </is>
      </c>
      <c r="C473" s="10" t="inlineStr"/>
      <c r="D473" s="10" t="inlineStr">
        <is>
          <t>K Douglas Newsagent</t>
        </is>
      </c>
      <c r="E473" s="10" t="inlineStr">
        <is>
          <t>K Douglas Newsagent</t>
        </is>
      </c>
      <c r="F473" s="10" t="inlineStr"/>
      <c r="G473" s="10" t="inlineStr">
        <is>
          <t>Newsagent</t>
        </is>
      </c>
      <c r="H473" s="10" t="inlineStr">
        <is>
          <t>Newsagent / convenience</t>
        </is>
      </c>
      <c r="I473" s="10" t="inlineStr">
        <is>
          <t>Independent</t>
        </is>
      </c>
      <c r="J473" s="10" t="inlineStr">
        <is>
          <t>1</t>
        </is>
      </c>
      <c r="K473" s="10" t="inlineStr"/>
      <c r="L473" s="10" t="inlineStr"/>
      <c r="M473" s="10" t="inlineStr"/>
      <c r="N473" s="10" t="inlineStr"/>
      <c r="O473" s="10" t="inlineStr">
        <is>
          <t>80-82 South Road</t>
        </is>
      </c>
      <c r="P473" s="10" t="inlineStr">
        <is>
          <t>Waterloo</t>
        </is>
      </c>
      <c r="Q473" s="10" t="inlineStr">
        <is>
          <t>Liverpool</t>
        </is>
      </c>
      <c r="R473" s="10" t="inlineStr">
        <is>
          <t>Merseyside</t>
        </is>
      </c>
      <c r="S473" s="10" t="inlineStr">
        <is>
          <t>L22 0LY</t>
        </is>
      </c>
      <c r="T473" s="10" t="inlineStr">
        <is>
          <t>North West</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newspapers; groceries; tobacco</t>
        </is>
      </c>
      <c r="AL473" s="10" t="inlineStr"/>
      <c r="AM473" s="10" t="inlineStr">
        <is>
          <t>Newsagent</t>
        </is>
      </c>
      <c r="AN473" s="10" t="inlineStr"/>
      <c r="AO473" s="10" t="inlineStr">
        <is>
          <t>Independent newsagent on South Road, Waterloo (Sefton). Address/postcode from Groceries-Now Waterloo local business listing.</t>
        </is>
      </c>
      <c r="AP473" s="10" t="inlineStr">
        <is>
          <t>Low</t>
        </is>
      </c>
      <c r="AQ473" s="10" t="inlineStr">
        <is>
          <t>Independent retailer; Relevant category</t>
        </is>
      </c>
      <c r="AR473" s="10" t="inlineStr">
        <is>
          <t>https://groceries-now.co.uk/now/Waterloo%20(Merseyside)</t>
        </is>
      </c>
      <c r="AS473" s="10" t="inlineStr"/>
      <c r="AT473" s="10" t="inlineStr">
        <is>
          <t>1</t>
        </is>
      </c>
      <c r="AU473" s="10" t="inlineStr">
        <is>
          <t>No</t>
        </is>
      </c>
      <c r="AV473" s="10" t="inlineStr">
        <is>
          <t>No</t>
        </is>
      </c>
      <c r="AW473" s="10" t="inlineStr">
        <is>
          <t>No</t>
        </is>
      </c>
      <c r="AX473" s="10" t="inlineStr">
        <is>
          <t>No</t>
        </is>
      </c>
      <c r="AY473" s="10" t="inlineStr">
        <is>
          <t>Not Found</t>
        </is>
      </c>
      <c r="AZ473" s="10" t="inlineStr">
        <is>
          <t>Not Found</t>
        </is>
      </c>
      <c r="BA473" s="10" t="inlineStr">
        <is>
          <t>2026-09-17</t>
        </is>
      </c>
      <c r="BB473" s="10" t="inlineStr">
        <is>
          <t>Requires Verification</t>
        </is>
      </c>
      <c r="BC473" s="10" t="inlineStr">
        <is>
          <t>Low</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2026-09-17</t>
        </is>
      </c>
      <c r="BJ473" s="10" t="inlineStr">
        <is>
          <t>New</t>
        </is>
      </c>
      <c r="BK473" s="10" t="inlineStr">
        <is>
          <t>2026-09-17</t>
        </is>
      </c>
      <c r="BL473" s="10" t="inlineStr"/>
      <c r="BM473" s="10" t="inlineStr"/>
      <c r="BN473" s="10" t="inlineStr"/>
      <c r="BO473" s="10" t="inlineStr"/>
      <c r="BP473" s="10" t="inlineStr"/>
      <c r="BQ473" s="10" t="inlineStr"/>
    </row>
    <row r="474">
      <c r="A474" s="5" t="inlineStr">
        <is>
          <t>UK-000788</t>
        </is>
      </c>
      <c r="B474" s="5" t="inlineStr">
        <is>
          <t>UK-000788-01</t>
        </is>
      </c>
      <c r="C474" s="5" t="inlineStr"/>
      <c r="D474" s="5" t="inlineStr">
        <is>
          <t>K K Stores</t>
        </is>
      </c>
      <c r="E474" s="5" t="inlineStr">
        <is>
          <t>K K Stores</t>
        </is>
      </c>
      <c r="F474" s="5" t="inlineStr"/>
      <c r="G474" s="5" t="inlineStr">
        <is>
          <t>Convenience Store</t>
        </is>
      </c>
      <c r="H474" s="5" t="inlineStr">
        <is>
          <t>Grocer &amp; convenience store</t>
        </is>
      </c>
      <c r="I474" s="5" t="inlineStr">
        <is>
          <t>Independent</t>
        </is>
      </c>
      <c r="J474" s="5" t="inlineStr">
        <is>
          <t>1</t>
        </is>
      </c>
      <c r="K474" s="5" t="inlineStr"/>
      <c r="L474" s="5" t="inlineStr"/>
      <c r="M474" s="5" t="inlineStr"/>
      <c r="N474" s="5" t="inlineStr"/>
      <c r="O474" s="5" t="inlineStr"/>
      <c r="P474" s="5" t="inlineStr"/>
      <c r="Q474" s="5" t="inlineStr">
        <is>
          <t>Bootle</t>
        </is>
      </c>
      <c r="R474" s="5" t="inlineStr">
        <is>
          <t>Merseyside</t>
        </is>
      </c>
      <c r="S474" s="5" t="inlineStr">
        <is>
          <t>L20 2EA</t>
        </is>
      </c>
      <c r="T474" s="5" t="inlineStr">
        <is>
          <t>North West</t>
        </is>
      </c>
      <c r="U474" s="5" t="inlineStr">
        <is>
          <t>England</t>
        </is>
      </c>
      <c r="V474" s="5" t="inlineStr"/>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convenience groceries; tobacco; soft drinks</t>
        </is>
      </c>
      <c r="AL474" s="5" t="inlineStr"/>
      <c r="AM474" s="5" t="inlineStr">
        <is>
          <t>Convenience Store</t>
        </is>
      </c>
      <c r="AN474" s="5" t="inlineStr"/>
      <c r="AO474" s="5" t="inlineStr">
        <is>
          <t>Independent convenience store in Bootle (L20). Street address not confirmed in listing.</t>
        </is>
      </c>
      <c r="AP474" s="5" t="inlineStr">
        <is>
          <t>Low</t>
        </is>
      </c>
      <c r="AQ474" s="5" t="inlineStr">
        <is>
          <t>Independent retailer; Relevant category</t>
        </is>
      </c>
      <c r="AR474" s="5" t="inlineStr">
        <is>
          <t>https://www.192.com/atoz/business/bootle-l20/convenience-stores/k-k-stores/3c4031298ca7285729f2a8f40d96a80e709da138/ml/</t>
        </is>
      </c>
      <c r="AS474" s="5" t="inlineStr"/>
      <c r="AT474" s="5" t="inlineStr">
        <is>
          <t>1</t>
        </is>
      </c>
      <c r="AU474" s="5" t="inlineStr">
        <is>
          <t>No</t>
        </is>
      </c>
      <c r="AV474" s="5" t="inlineStr">
        <is>
          <t>No</t>
        </is>
      </c>
      <c r="AW474" s="5" t="inlineStr">
        <is>
          <t>No</t>
        </is>
      </c>
      <c r="AX474" s="5" t="inlineStr">
        <is>
          <t>No</t>
        </is>
      </c>
      <c r="AY474" s="5" t="inlineStr">
        <is>
          <t>Not Found</t>
        </is>
      </c>
      <c r="AZ474" s="5" t="inlineStr">
        <is>
          <t>Not Found</t>
        </is>
      </c>
      <c r="BA474" s="5" t="inlineStr">
        <is>
          <t>2026-09-17</t>
        </is>
      </c>
      <c r="BB474" s="5" t="inlineStr">
        <is>
          <t>Requires Verification</t>
        </is>
      </c>
      <c r="BC474" s="5" t="inlineStr">
        <is>
          <t>Low</t>
        </is>
      </c>
      <c r="BD474" s="5" t="inlineStr"/>
      <c r="BE474" s="5" t="inlineStr">
        <is>
          <t>Business (B2B)</t>
        </is>
      </c>
      <c r="BF474" s="5" t="inlineStr">
        <is>
          <t>Legitimate interest (B2B) - assess per campaign; PECR: corporate subscribers</t>
        </is>
      </c>
      <c r="BG474" s="5" t="inlineStr"/>
      <c r="BH474" s="5" t="inlineStr">
        <is>
          <t>No</t>
        </is>
      </c>
      <c r="BI474" s="5" t="inlineStr">
        <is>
          <t>2026-09-17</t>
        </is>
      </c>
      <c r="BJ474" s="5" t="inlineStr">
        <is>
          <t>New</t>
        </is>
      </c>
      <c r="BK474" s="5" t="inlineStr">
        <is>
          <t>2026-09-17</t>
        </is>
      </c>
      <c r="BL474" s="5" t="inlineStr"/>
      <c r="BM474" s="5" t="inlineStr"/>
      <c r="BN474" s="5" t="inlineStr"/>
      <c r="BO474" s="5" t="inlineStr"/>
      <c r="BP474" s="5" t="inlineStr"/>
      <c r="BQ474" s="5" t="inlineStr"/>
    </row>
    <row r="475">
      <c r="A475" s="10" t="inlineStr">
        <is>
          <t>WY-0101</t>
        </is>
      </c>
      <c r="B475" s="10" t="inlineStr">
        <is>
          <t>WY-0101-01</t>
        </is>
      </c>
      <c r="C475" s="10" t="inlineStr"/>
      <c r="D475" s="10" t="inlineStr">
        <is>
          <t>KV Convenience &amp; Off Licence</t>
        </is>
      </c>
      <c r="E475" s="10" t="inlineStr">
        <is>
          <t>KV Convenience &amp; Off Licence</t>
        </is>
      </c>
      <c r="F475" s="10" t="inlineStr"/>
      <c r="G475" s="10" t="inlineStr">
        <is>
          <t>Convenience Store</t>
        </is>
      </c>
      <c r="H475" s="10" t="inlineStr">
        <is>
          <t>24-hour convenience store and off-licence</t>
        </is>
      </c>
      <c r="I475" s="10" t="inlineStr">
        <is>
          <t>Independent</t>
        </is>
      </c>
      <c r="J475" s="10" t="inlineStr">
        <is>
          <t>1</t>
        </is>
      </c>
      <c r="K475" s="10" t="inlineStr"/>
      <c r="L475" s="10" t="inlineStr"/>
      <c r="M475" s="10" t="inlineStr"/>
      <c r="N475" s="10" t="inlineStr"/>
      <c r="O475" s="10" t="inlineStr">
        <is>
          <t>51-53 Market Street</t>
        </is>
      </c>
      <c r="P475" s="10" t="inlineStr">
        <is>
          <t>Milnsbridge</t>
        </is>
      </c>
      <c r="Q475" s="10" t="inlineStr">
        <is>
          <t>Huddersfield</t>
        </is>
      </c>
      <c r="R475" s="10" t="inlineStr">
        <is>
          <t>West Yorkshire</t>
        </is>
      </c>
      <c r="S475" s="10" t="inlineStr">
        <is>
          <t>HD3 4HZ</t>
        </is>
      </c>
      <c r="T475" s="10" t="inlineStr">
        <is>
          <t>Yorkshire &amp; Humber</t>
        </is>
      </c>
      <c r="U475" s="10" t="inlineStr">
        <is>
          <t>England</t>
        </is>
      </c>
      <c r="V475" s="10" t="inlineStr">
        <is>
          <t>01484 644192</t>
        </is>
      </c>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convenience goods; alcohol; groceries; snacks</t>
        </is>
      </c>
      <c r="AL475" s="10" t="inlineStr"/>
      <c r="AM475" s="10" t="inlineStr">
        <is>
          <t>Convenience Store</t>
        </is>
      </c>
      <c r="AN475" s="10" t="inlineStr"/>
      <c r="AO475" s="10" t="inlineStr">
        <is>
          <t>Granted a 24-hour alcohol licence in May 2024; sells via Snappy Shopper and Uber Eats for local delivery.</t>
        </is>
      </c>
      <c r="AP475" s="10" t="inlineStr">
        <is>
          <t>Low</t>
        </is>
      </c>
      <c r="AQ475" s="10" t="inlineStr">
        <is>
          <t>Independent retailer; Relevant category</t>
        </is>
      </c>
      <c r="AR475" s="10" t="inlineStr">
        <is>
          <t>https://www.yellowtom.co.uk/1452035</t>
        </is>
      </c>
      <c r="AS475" s="10" t="inlineStr">
        <is>
          <t>https://www.snappyshopper.co.uk/store/KV-Convenience-Off-Licence</t>
        </is>
      </c>
      <c r="AT475" s="10" t="inlineStr">
        <is>
          <t>3</t>
        </is>
      </c>
      <c r="AU475" s="10" t="inlineStr">
        <is>
          <t>No</t>
        </is>
      </c>
      <c r="AV475" s="10" t="inlineStr">
        <is>
          <t>No</t>
        </is>
      </c>
      <c r="AW475" s="10" t="inlineStr">
        <is>
          <t>No</t>
        </is>
      </c>
      <c r="AX475" s="10" t="inlineStr">
        <is>
          <t>No</t>
        </is>
      </c>
      <c r="AY475" s="10" t="inlineStr">
        <is>
          <t>Verified directory</t>
        </is>
      </c>
      <c r="AZ475" s="10" t="inlineStr">
        <is>
          <t>Not Found</t>
        </is>
      </c>
      <c r="BA475" s="10" t="inlineStr">
        <is>
          <t>2026-09-17</t>
        </is>
      </c>
      <c r="BB475" s="10" t="inlineStr">
        <is>
          <t>Requires Verification</t>
        </is>
      </c>
      <c r="BC475" s="10" t="inlineStr">
        <is>
          <t>Medium</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2026-09-16</t>
        </is>
      </c>
      <c r="BJ475" s="10" t="inlineStr">
        <is>
          <t>New</t>
        </is>
      </c>
      <c r="BK475" s="10" t="inlineStr">
        <is>
          <t>2026-09-17</t>
        </is>
      </c>
      <c r="BL475" s="10" t="inlineStr"/>
      <c r="BM475" s="10" t="inlineStr"/>
      <c r="BN475" s="10" t="inlineStr"/>
      <c r="BO475" s="10" t="inlineStr"/>
      <c r="BP475" s="10" t="inlineStr"/>
      <c r="BQ475" s="10" t="inlineStr"/>
    </row>
    <row r="476">
      <c r="A476" s="5" t="inlineStr">
        <is>
          <t>UK-000261</t>
        </is>
      </c>
      <c r="B476" s="5" t="inlineStr">
        <is>
          <t>UK-000261-01</t>
        </is>
      </c>
      <c r="C476" s="5" t="inlineStr"/>
      <c r="D476" s="5" t="inlineStr">
        <is>
          <t>Kaplan Fast Food Cash &amp; Carry</t>
        </is>
      </c>
      <c r="E476" s="5" t="inlineStr">
        <is>
          <t>Kaplan Fast Food Cash &amp; Carry</t>
        </is>
      </c>
      <c r="F476" s="5" t="inlineStr"/>
      <c r="G476" s="5" t="inlineStr">
        <is>
          <t>Cash &amp; Carry</t>
        </is>
      </c>
      <c r="H476" s="5" t="inlineStr">
        <is>
          <t>Foodservice wholesale</t>
        </is>
      </c>
      <c r="I476" s="5" t="inlineStr">
        <is>
          <t>Independent</t>
        </is>
      </c>
      <c r="J476" s="5" t="inlineStr">
        <is>
          <t>1</t>
        </is>
      </c>
      <c r="K476" s="5" t="inlineStr"/>
      <c r="L476" s="5" t="inlineStr">
        <is>
          <t>https://www.facebook.com/people/Kaplan-Fast-Food-Cash-Carry/61558997515973/</t>
        </is>
      </c>
      <c r="M476" s="5" t="inlineStr"/>
      <c r="N476" s="5" t="inlineStr"/>
      <c r="O476" s="5" t="inlineStr">
        <is>
          <t>7 Flinton Street</t>
        </is>
      </c>
      <c r="P476" s="5" t="inlineStr"/>
      <c r="Q476" s="5" t="inlineStr">
        <is>
          <t>Kingston upon Hull</t>
        </is>
      </c>
      <c r="R476" s="5" t="inlineStr">
        <is>
          <t>East Riding of Yorkshire</t>
        </is>
      </c>
      <c r="S476" s="5" t="inlineStr"/>
      <c r="T476" s="5" t="inlineStr">
        <is>
          <t>Yorkshire &amp; Humber</t>
        </is>
      </c>
      <c r="U476" s="5" t="inlineStr">
        <is>
          <t>England</t>
        </is>
      </c>
      <c r="V476" s="5" t="inlineStr"/>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fast food supplies; wholesale groceries; catering</t>
        </is>
      </c>
      <c r="AL476" s="5" t="inlineStr"/>
      <c r="AM476" s="5" t="inlineStr">
        <is>
          <t>Cash &amp; Carry</t>
        </is>
      </c>
      <c r="AN476" s="5" t="inlineStr"/>
      <c r="AO476" s="5" t="inlineStr">
        <is>
          <t>Cash &amp; carry supplying food wholesalers and restaurants, 7 Flinton Street, Hull. No postcode/phone in search results.</t>
        </is>
      </c>
      <c r="AP476" s="5" t="inlineStr">
        <is>
          <t>Medium</t>
        </is>
      </c>
      <c r="AQ476" s="5" t="inlineStr">
        <is>
          <t>Independent retailer; Core relevant category; Social presence</t>
        </is>
      </c>
      <c r="AR476" s="5" t="inlineStr">
        <is>
          <t>https://www.facebook.com/people/Kaplan-Fast-Food-Cash-Carry/61558997515973/</t>
        </is>
      </c>
      <c r="AS476" s="5" t="inlineStr"/>
      <c r="AT476" s="5" t="inlineStr">
        <is>
          <t>1</t>
        </is>
      </c>
      <c r="AU476" s="5" t="inlineStr">
        <is>
          <t>No</t>
        </is>
      </c>
      <c r="AV476" s="5" t="inlineStr">
        <is>
          <t>No</t>
        </is>
      </c>
      <c r="AW476" s="5" t="inlineStr">
        <is>
          <t>No</t>
        </is>
      </c>
      <c r="AX476" s="5" t="inlineStr">
        <is>
          <t>No</t>
        </is>
      </c>
      <c r="AY476" s="5" t="inlineStr">
        <is>
          <t>Not Found</t>
        </is>
      </c>
      <c r="AZ476" s="5" t="inlineStr">
        <is>
          <t>Not Found</t>
        </is>
      </c>
      <c r="BA476" s="5" t="inlineStr">
        <is>
          <t>2026-09-17</t>
        </is>
      </c>
      <c r="BB476" s="5" t="inlineStr">
        <is>
          <t>Requires Verification</t>
        </is>
      </c>
      <c r="BC476" s="5" t="inlineStr">
        <is>
          <t>Low</t>
        </is>
      </c>
      <c r="BD476" s="5" t="inlineStr"/>
      <c r="BE476" s="5" t="inlineStr">
        <is>
          <t>Business (B2B)</t>
        </is>
      </c>
      <c r="BF476" s="5" t="inlineStr">
        <is>
          <t>Legitimate interest (B2B) - assess per campaign; PECR: corporate subscribers</t>
        </is>
      </c>
      <c r="BG476" s="5" t="inlineStr"/>
      <c r="BH476" s="5" t="inlineStr">
        <is>
          <t>No</t>
        </is>
      </c>
      <c r="BI476" s="5" t="inlineStr">
        <is>
          <t>2026-09-16</t>
        </is>
      </c>
      <c r="BJ476" s="5" t="inlineStr">
        <is>
          <t>New</t>
        </is>
      </c>
      <c r="BK476" s="5" t="inlineStr">
        <is>
          <t>2026-09-17</t>
        </is>
      </c>
      <c r="BL476" s="5" t="inlineStr"/>
      <c r="BM476" s="5" t="inlineStr"/>
      <c r="BN476" s="5" t="inlineStr"/>
      <c r="BO476" s="5" t="inlineStr"/>
      <c r="BP476" s="5" t="inlineStr"/>
      <c r="BQ476" s="5" t="inlineStr"/>
    </row>
    <row r="477">
      <c r="A477" s="10" t="inlineStr">
        <is>
          <t>UK-000485</t>
        </is>
      </c>
      <c r="B477" s="10" t="inlineStr">
        <is>
          <t>UK-000485-01</t>
        </is>
      </c>
      <c r="C477" s="10" t="inlineStr"/>
      <c r="D477" s="10" t="inlineStr">
        <is>
          <t>Kartar Wholesale Cash &amp; Carry</t>
        </is>
      </c>
      <c r="E477" s="10" t="inlineStr">
        <is>
          <t>Kartar Wholesale Cash &amp; Carry</t>
        </is>
      </c>
      <c r="F477" s="10" t="inlineStr"/>
      <c r="G477" s="10" t="inlineStr">
        <is>
          <t>Cash &amp; Carry</t>
        </is>
      </c>
      <c r="H477" s="10" t="inlineStr">
        <is>
          <t>Wholesale cash &amp; carry</t>
        </is>
      </c>
      <c r="I477" s="10" t="inlineStr">
        <is>
          <t>Independent</t>
        </is>
      </c>
      <c r="J477" s="10" t="inlineStr">
        <is>
          <t>1</t>
        </is>
      </c>
      <c r="K477" s="10" t="inlineStr">
        <is>
          <t>https://kartarcc.com/</t>
        </is>
      </c>
      <c r="L477" s="10" t="inlineStr"/>
      <c r="M477" s="10" t="inlineStr"/>
      <c r="N477" s="10" t="inlineStr"/>
      <c r="O477" s="10" t="inlineStr">
        <is>
          <t>2 Hay Hall Road</t>
        </is>
      </c>
      <c r="P477" s="10" t="inlineStr">
        <is>
          <t>Tyseley</t>
        </is>
      </c>
      <c r="Q477" s="10" t="inlineStr">
        <is>
          <t>Birmingham</t>
        </is>
      </c>
      <c r="R477" s="10" t="inlineStr">
        <is>
          <t>West Midlands</t>
        </is>
      </c>
      <c r="S477" s="10" t="inlineStr">
        <is>
          <t>B11 2AU</t>
        </is>
      </c>
      <c r="T477" s="10" t="inlineStr">
        <is>
          <t>West Midlands</t>
        </is>
      </c>
      <c r="U477" s="10" t="inlineStr">
        <is>
          <t>England</t>
        </is>
      </c>
      <c r="V477" s="10" t="inlineStr"/>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wholesale grocery; confectionery; soft drinks</t>
        </is>
      </c>
      <c r="AL477" s="10" t="inlineStr"/>
      <c r="AM477" s="10" t="inlineStr">
        <is>
          <t>Cash &amp; Carry</t>
        </is>
      </c>
      <c r="AN477" s="10" t="inlineStr"/>
      <c r="AO477" s="10" t="inlineStr">
        <is>
          <t>Wholesale cash &amp; carry, Hay Hall Road, Tyseley (B11, bordering Sparkhill/Small Heath). Website not fetched (WebFetch blocked).</t>
        </is>
      </c>
      <c r="AP477" s="10" t="inlineStr">
        <is>
          <t>Medium</t>
        </is>
      </c>
      <c r="AQ477" s="10" t="inlineStr">
        <is>
          <t>Independent retailer; Core relevant category; Active website</t>
        </is>
      </c>
      <c r="AR477" s="10" t="inlineStr">
        <is>
          <t>https://kartarcc.com/</t>
        </is>
      </c>
      <c r="AS477" s="10" t="inlineStr"/>
      <c r="AT477" s="10" t="inlineStr">
        <is>
          <t>1</t>
        </is>
      </c>
      <c r="AU477" s="10" t="inlineStr">
        <is>
          <t>No</t>
        </is>
      </c>
      <c r="AV477" s="10" t="inlineStr">
        <is>
          <t>No</t>
        </is>
      </c>
      <c r="AW477" s="10" t="inlineStr">
        <is>
          <t>No</t>
        </is>
      </c>
      <c r="AX477" s="10" t="inlineStr">
        <is>
          <t>No</t>
        </is>
      </c>
      <c r="AY477" s="10" t="inlineStr">
        <is>
          <t>Not Found</t>
        </is>
      </c>
      <c r="AZ477" s="10" t="inlineStr">
        <is>
          <t>Website Found</t>
        </is>
      </c>
      <c r="BA477" s="10" t="inlineStr">
        <is>
          <t>2026-09-17</t>
        </is>
      </c>
      <c r="BB477" s="10" t="inlineStr">
        <is>
          <t>Requires Verification</t>
        </is>
      </c>
      <c r="BC477" s="10" t="inlineStr">
        <is>
          <t>Medium</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2026-09-17</t>
        </is>
      </c>
      <c r="BJ477" s="10" t="inlineStr">
        <is>
          <t>New</t>
        </is>
      </c>
      <c r="BK477" s="10" t="inlineStr">
        <is>
          <t>2026-09-17</t>
        </is>
      </c>
      <c r="BL477" s="10" t="inlineStr"/>
      <c r="BM477" s="10" t="inlineStr"/>
      <c r="BN477" s="10" t="inlineStr"/>
      <c r="BO477" s="10" t="inlineStr"/>
      <c r="BP477" s="10" t="inlineStr"/>
      <c r="BQ477" s="10" t="inlineStr"/>
    </row>
    <row r="478">
      <c r="A478" s="5" t="inlineStr">
        <is>
          <t>WY-0102</t>
        </is>
      </c>
      <c r="B478" s="5" t="inlineStr">
        <is>
          <t>WY-0102-01</t>
        </is>
      </c>
      <c r="C478" s="5" t="inlineStr"/>
      <c r="D478" s="5" t="inlineStr">
        <is>
          <t>Kasa Beeston Convenience Store</t>
        </is>
      </c>
      <c r="E478" s="5" t="inlineStr">
        <is>
          <t>Kasa Beeston</t>
        </is>
      </c>
      <c r="F478" s="5" t="inlineStr"/>
      <c r="G478" s="5" t="inlineStr">
        <is>
          <t>Convenience Store</t>
        </is>
      </c>
      <c r="H478" s="5" t="inlineStr">
        <is>
          <t>24-hour convenience store with off-licence and food-to-go</t>
        </is>
      </c>
      <c r="I478" s="5" t="inlineStr">
        <is>
          <t>Independent</t>
        </is>
      </c>
      <c r="J478" s="5" t="inlineStr">
        <is>
          <t>1</t>
        </is>
      </c>
      <c r="K478" s="5" t="inlineStr">
        <is>
          <t>https://kasabeeston.com/</t>
        </is>
      </c>
      <c r="L478" s="5" t="inlineStr">
        <is>
          <t>https://www.facebook.com/kasabeestonstore/</t>
        </is>
      </c>
      <c r="M478" s="5" t="inlineStr"/>
      <c r="N478" s="5" t="inlineStr"/>
      <c r="O478" s="5" t="inlineStr">
        <is>
          <t>334-336 Dewsbury Road</t>
        </is>
      </c>
      <c r="P478" s="5" t="inlineStr">
        <is>
          <t>Beeston</t>
        </is>
      </c>
      <c r="Q478" s="5" t="inlineStr">
        <is>
          <t>Leeds</t>
        </is>
      </c>
      <c r="R478" s="5" t="inlineStr">
        <is>
          <t>West Yorkshire</t>
        </is>
      </c>
      <c r="S478" s="5" t="inlineStr">
        <is>
          <t>LS11 7DJ</t>
        </is>
      </c>
      <c r="T478" s="5" t="inlineStr">
        <is>
          <t>Yorkshire &amp; Humber</t>
        </is>
      </c>
      <c r="U478" s="5" t="inlineStr">
        <is>
          <t>England</t>
        </is>
      </c>
      <c r="V478" s="5" t="inlineStr">
        <is>
          <t>0113 277 5757</t>
        </is>
      </c>
      <c r="W478" s="5" t="inlineStr"/>
      <c r="X478" s="5" t="inlineStr"/>
      <c r="Y478" s="5" t="inlineStr">
        <is>
          <t>info@kasabeeston.com</t>
        </is>
      </c>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groceries; alcohol; halal food-to-go; lottery; PayPoint</t>
        </is>
      </c>
      <c r="AL478" s="5" t="inlineStr"/>
      <c r="AM478" s="5" t="inlineStr">
        <is>
          <t>Convenience Store</t>
        </is>
      </c>
      <c r="AN478" s="5" t="inlineStr"/>
      <c r="AO478" s="5" t="inlineStr">
        <is>
          <t>Open 24/7; cash machine, halal deli counter, delivery offered.</t>
        </is>
      </c>
      <c r="AP478" s="5" t="inlineStr">
        <is>
          <t>Medium</t>
        </is>
      </c>
      <c r="AQ478" s="5" t="inlineStr">
        <is>
          <t>Independent retailer; Relevant category; Public email available; Active website; Social presence</t>
        </is>
      </c>
      <c r="AR478" s="5" t="inlineStr">
        <is>
          <t>https://kasabeeston.com/</t>
        </is>
      </c>
      <c r="AS478" s="5" t="inlineStr">
        <is>
          <t>https://www.bizseek.co.uk/kasa-beeston-convenience-store-0113-277-5757</t>
        </is>
      </c>
      <c r="AT478" s="5" t="inlineStr">
        <is>
          <t>3</t>
        </is>
      </c>
      <c r="AU478" s="5" t="inlineStr">
        <is>
          <t>No</t>
        </is>
      </c>
      <c r="AV478" s="5" t="inlineStr">
        <is>
          <t>No</t>
        </is>
      </c>
      <c r="AW478" s="5" t="inlineStr">
        <is>
          <t>Yes</t>
        </is>
      </c>
      <c r="AX478" s="5" t="inlineStr">
        <is>
          <t>No</t>
        </is>
      </c>
      <c r="AY478" s="5" t="inlineStr">
        <is>
          <t>Verified directory</t>
        </is>
      </c>
      <c r="AZ478" s="5" t="inlineStr">
        <is>
          <t>Website Found</t>
        </is>
      </c>
      <c r="BA478" s="5" t="inlineStr">
        <is>
          <t>2026-09-17</t>
        </is>
      </c>
      <c r="BB478" s="5" t="inlineStr">
        <is>
          <t>Partially Verified</t>
        </is>
      </c>
      <c r="BC478" s="5" t="inlineStr">
        <is>
          <t>Medium</t>
        </is>
      </c>
      <c r="BD478" s="5" t="inlineStr"/>
      <c r="BE478" s="5" t="inlineStr">
        <is>
          <t>Business (B2B)</t>
        </is>
      </c>
      <c r="BF478" s="5" t="inlineStr">
        <is>
          <t>Legitimate interest (B2B) - assess per campaign; PECR: corporate subscribers</t>
        </is>
      </c>
      <c r="BG478" s="5" t="inlineStr"/>
      <c r="BH478" s="5" t="inlineStr">
        <is>
          <t>No</t>
        </is>
      </c>
      <c r="BI478" s="5" t="inlineStr">
        <is>
          <t>2026-09-16</t>
        </is>
      </c>
      <c r="BJ478" s="5" t="inlineStr">
        <is>
          <t>New</t>
        </is>
      </c>
      <c r="BK478" s="5" t="inlineStr">
        <is>
          <t>2026-09-17</t>
        </is>
      </c>
      <c r="BL478" s="5" t="inlineStr"/>
      <c r="BM478" s="5" t="inlineStr"/>
      <c r="BN478" s="5" t="inlineStr"/>
      <c r="BO478" s="5" t="inlineStr"/>
      <c r="BP478" s="5" t="inlineStr"/>
      <c r="BQ478" s="5" t="inlineStr"/>
    </row>
    <row r="479">
      <c r="A479" s="10" t="inlineStr">
        <is>
          <t>WY-0103</t>
        </is>
      </c>
      <c r="B479" s="10" t="inlineStr">
        <is>
          <t>WY-0103-01</t>
        </is>
      </c>
      <c r="C479" s="10" t="inlineStr"/>
      <c r="D479" s="10" t="inlineStr">
        <is>
          <t>Kash News &amp; Gifts</t>
        </is>
      </c>
      <c r="E479" s="10" t="inlineStr">
        <is>
          <t>Kash News</t>
        </is>
      </c>
      <c r="F479" s="10" t="inlineStr"/>
      <c r="G479" s="10" t="inlineStr">
        <is>
          <t>Newsagent</t>
        </is>
      </c>
      <c r="H479" s="10" t="inlineStr">
        <is>
          <t>Newsagent and gifts</t>
        </is>
      </c>
      <c r="I479" s="10" t="inlineStr">
        <is>
          <t>Independent</t>
        </is>
      </c>
      <c r="J479" s="10" t="inlineStr">
        <is>
          <t>1</t>
        </is>
      </c>
      <c r="K479" s="10" t="inlineStr"/>
      <c r="L479" s="10" t="inlineStr"/>
      <c r="M479" s="10" t="inlineStr"/>
      <c r="N479" s="10" t="inlineStr"/>
      <c r="O479" s="10" t="inlineStr">
        <is>
          <t>51 Commercial Street</t>
        </is>
      </c>
      <c r="P479" s="10" t="inlineStr"/>
      <c r="Q479" s="10" t="inlineStr">
        <is>
          <t>Brighouse</t>
        </is>
      </c>
      <c r="R479" s="10" t="inlineStr">
        <is>
          <t>West Yorkshire</t>
        </is>
      </c>
      <c r="S479" s="10" t="inlineStr">
        <is>
          <t>HD6 1AF</t>
        </is>
      </c>
      <c r="T479" s="10" t="inlineStr">
        <is>
          <t>Yorkshire &amp; Humber</t>
        </is>
      </c>
      <c r="U479" s="10" t="inlineStr">
        <is>
          <t>England</t>
        </is>
      </c>
      <c r="V479" s="10" t="inlineStr">
        <is>
          <t>01484 400405</t>
        </is>
      </c>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news; confectionery; gifts</t>
        </is>
      </c>
      <c r="AL479" s="10" t="inlineStr"/>
      <c r="AM479" s="10" t="inlineStr">
        <is>
          <t>Newsagent</t>
        </is>
      </c>
      <c r="AN479" s="10" t="inlineStr"/>
      <c r="AO479" s="10" t="inlineStr">
        <is>
          <t>Open 07:00-17:30 per directory listing.</t>
        </is>
      </c>
      <c r="AP479" s="10" t="inlineStr">
        <is>
          <t>Low</t>
        </is>
      </c>
      <c r="AQ479" s="10" t="inlineStr">
        <is>
          <t>Independent retailer; Relevant category</t>
        </is>
      </c>
      <c r="AR479" s="10" t="inlineStr">
        <is>
          <t>https://www.thomsonlocal.com/search/newsagents/halifax-brighouse-calderdale/kash-news-gifts/922805/01484400405</t>
        </is>
      </c>
      <c r="AS479" s="10" t="inlineStr">
        <is>
          <t>https://findit.batleynews.co.uk/company/437704624939008</t>
        </is>
      </c>
      <c r="AT479" s="10" t="inlineStr">
        <is>
          <t>3</t>
        </is>
      </c>
      <c r="AU479" s="10" t="inlineStr">
        <is>
          <t>No</t>
        </is>
      </c>
      <c r="AV479" s="10" t="inlineStr">
        <is>
          <t>No</t>
        </is>
      </c>
      <c r="AW479" s="10" t="inlineStr">
        <is>
          <t>No</t>
        </is>
      </c>
      <c r="AX479" s="10" t="inlineStr">
        <is>
          <t>No</t>
        </is>
      </c>
      <c r="AY479" s="10" t="inlineStr">
        <is>
          <t>Verified directory</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2026-09-16</t>
        </is>
      </c>
      <c r="BJ479" s="10" t="inlineStr">
        <is>
          <t>New</t>
        </is>
      </c>
      <c r="BK479" s="10" t="inlineStr">
        <is>
          <t>2026-09-17</t>
        </is>
      </c>
      <c r="BL479" s="10" t="inlineStr"/>
      <c r="BM479" s="10" t="inlineStr"/>
      <c r="BN479" s="10" t="inlineStr"/>
      <c r="BO479" s="10" t="inlineStr"/>
      <c r="BP479" s="10" t="inlineStr"/>
      <c r="BQ479" s="10" t="inlineStr"/>
    </row>
    <row r="480">
      <c r="A480" s="5" t="inlineStr">
        <is>
          <t>UK-000789</t>
        </is>
      </c>
      <c r="B480" s="5" t="inlineStr">
        <is>
          <t>UK-000789-01</t>
        </is>
      </c>
      <c r="C480" s="5" t="inlineStr"/>
      <c r="D480" s="5" t="inlineStr">
        <is>
          <t>Kavery Convenience Store</t>
        </is>
      </c>
      <c r="E480" s="5" t="inlineStr">
        <is>
          <t>Kavery Convenience Store</t>
        </is>
      </c>
      <c r="F480" s="5" t="inlineStr"/>
      <c r="G480" s="5" t="inlineStr">
        <is>
          <t>Convenience Store</t>
        </is>
      </c>
      <c r="H480" s="5" t="inlineStr">
        <is>
          <t>Convenience &amp; off-licence</t>
        </is>
      </c>
      <c r="I480" s="5" t="inlineStr">
        <is>
          <t>Independent</t>
        </is>
      </c>
      <c r="J480" s="5" t="inlineStr">
        <is>
          <t>1</t>
        </is>
      </c>
      <c r="K480" s="5" t="inlineStr"/>
      <c r="L480" s="5" t="inlineStr"/>
      <c r="M480" s="5" t="inlineStr"/>
      <c r="N480" s="5" t="inlineStr"/>
      <c r="O480" s="5" t="inlineStr">
        <is>
          <t>269 Gorgie Road</t>
        </is>
      </c>
      <c r="P480" s="5" t="inlineStr"/>
      <c r="Q480" s="5" t="inlineStr">
        <is>
          <t>Edinburgh</t>
        </is>
      </c>
      <c r="R480" s="5" t="inlineStr">
        <is>
          <t>City of Edinburgh</t>
        </is>
      </c>
      <c r="S480" s="5" t="inlineStr">
        <is>
          <t>EH11 1TX</t>
        </is>
      </c>
      <c r="T480" s="5" t="inlineStr">
        <is>
          <t>Scotland</t>
        </is>
      </c>
      <c r="U480" s="5" t="inlineStr">
        <is>
          <t>Scotland</t>
        </is>
      </c>
      <c r="V480" s="5" t="inlineStr">
        <is>
          <t>0131 623 7192</t>
        </is>
      </c>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groceries; alcohol; tobacco</t>
        </is>
      </c>
      <c r="AL480" s="5" t="inlineStr"/>
      <c r="AM480" s="5" t="inlineStr">
        <is>
          <t>Convenience Store</t>
        </is>
      </c>
      <c r="AN480" s="5" t="inlineStr"/>
      <c r="AO480" s="5" t="inlineStr">
        <is>
          <t>Independent convenience store on Gorgie Road. Details from 192.com listing snippet.</t>
        </is>
      </c>
      <c r="AP480" s="5" t="inlineStr">
        <is>
          <t>Low</t>
        </is>
      </c>
      <c r="AQ480" s="5" t="inlineStr">
        <is>
          <t>Independent retailer; Relevant category</t>
        </is>
      </c>
      <c r="AR480" s="5" t="inlineStr">
        <is>
          <t>https://www.192.com/atoz/business/edinburgh-eh11/convenience-stores/kavery-convenience-store/29863d8ca63d97a73540ebc95cddbf28b019a53b/ml/</t>
        </is>
      </c>
      <c r="AS480" s="5" t="inlineStr"/>
      <c r="AT480" s="5" t="inlineStr">
        <is>
          <t>1</t>
        </is>
      </c>
      <c r="AU480" s="5" t="inlineStr">
        <is>
          <t>No</t>
        </is>
      </c>
      <c r="AV480" s="5" t="inlineStr">
        <is>
          <t>No</t>
        </is>
      </c>
      <c r="AW480" s="5" t="inlineStr">
        <is>
          <t>No</t>
        </is>
      </c>
      <c r="AX480" s="5" t="inlineStr">
        <is>
          <t>No</t>
        </is>
      </c>
      <c r="AY480" s="5" t="inlineStr">
        <is>
          <t>Verified directory</t>
        </is>
      </c>
      <c r="AZ480" s="5" t="inlineStr">
        <is>
          <t>Not Found</t>
        </is>
      </c>
      <c r="BA480" s="5" t="inlineStr">
        <is>
          <t>2026-09-17</t>
        </is>
      </c>
      <c r="BB480" s="5" t="inlineStr">
        <is>
          <t>Requires Verification</t>
        </is>
      </c>
      <c r="BC480" s="5" t="inlineStr">
        <is>
          <t>Medium</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WY-0104</t>
        </is>
      </c>
      <c r="B481" s="10" t="inlineStr">
        <is>
          <t>WY-0104-01</t>
        </is>
      </c>
      <c r="C481" s="10" t="inlineStr"/>
      <c r="D481" s="10" t="inlineStr">
        <is>
          <t>Keep In Touch</t>
        </is>
      </c>
      <c r="E481" s="10" t="inlineStr">
        <is>
          <t>Keep In Touch</t>
        </is>
      </c>
      <c r="F481" s="10" t="inlineStr"/>
      <c r="G481" s="10" t="inlineStr">
        <is>
          <t>Newsagent</t>
        </is>
      </c>
      <c r="H481" s="10" t="inlineStr">
        <is>
          <t>Newsagent</t>
        </is>
      </c>
      <c r="I481" s="10" t="inlineStr">
        <is>
          <t>Independent</t>
        </is>
      </c>
      <c r="J481" s="10" t="inlineStr">
        <is>
          <t>1</t>
        </is>
      </c>
      <c r="K481" s="10" t="inlineStr"/>
      <c r="L481" s="10" t="inlineStr"/>
      <c r="M481" s="10" t="inlineStr"/>
      <c r="N481" s="10" t="inlineStr"/>
      <c r="O481" s="10" t="inlineStr">
        <is>
          <t>5 Albion Street</t>
        </is>
      </c>
      <c r="P481" s="10" t="inlineStr"/>
      <c r="Q481" s="10" t="inlineStr">
        <is>
          <t>Castleford</t>
        </is>
      </c>
      <c r="R481" s="10" t="inlineStr">
        <is>
          <t>West Yorkshire</t>
        </is>
      </c>
      <c r="S481" s="10" t="inlineStr">
        <is>
          <t>WF10 1EG</t>
        </is>
      </c>
      <c r="T481" s="10" t="inlineStr">
        <is>
          <t>Yorkshire &amp; Humber</t>
        </is>
      </c>
      <c r="U481" s="10" t="inlineStr">
        <is>
          <t>England</t>
        </is>
      </c>
      <c r="V481" s="10" t="inlineStr"/>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news and magazines; confectionery; tobacco</t>
        </is>
      </c>
      <c r="AL481" s="10" t="inlineStr"/>
      <c r="AM481" s="10" t="inlineStr">
        <is>
          <t>Newsagent</t>
        </is>
      </c>
      <c r="AN481" s="10" t="inlineStr"/>
      <c r="AO481" s="10" t="inlineStr">
        <is>
          <t>Same street (Albion Street) as Tylor's Booze in Castleford town centre.</t>
        </is>
      </c>
      <c r="AP481" s="10" t="inlineStr">
        <is>
          <t>Low</t>
        </is>
      </c>
      <c r="AQ481" s="10" t="inlineStr">
        <is>
          <t>Independent retailer; Relevant category</t>
        </is>
      </c>
      <c r="AR481" s="10" t="inlineStr">
        <is>
          <t>https://www.192.com/atoz/business/castleford-wf10/newsagents/keep-in-touch/645f3ab15b4cb6acdbc0eb9ef27c5a71438678bb/ml/</t>
        </is>
      </c>
      <c r="AS481" s="10" t="inlineStr"/>
      <c r="AT481" s="10" t="inlineStr">
        <is>
          <t>1</t>
        </is>
      </c>
      <c r="AU481" s="10" t="inlineStr">
        <is>
          <t>No</t>
        </is>
      </c>
      <c r="AV481" s="10" t="inlineStr">
        <is>
          <t>No</t>
        </is>
      </c>
      <c r="AW481" s="10" t="inlineStr">
        <is>
          <t>No</t>
        </is>
      </c>
      <c r="AX481" s="10" t="inlineStr">
        <is>
          <t>No</t>
        </is>
      </c>
      <c r="AY481" s="10" t="inlineStr">
        <is>
          <t>Not Found</t>
        </is>
      </c>
      <c r="AZ481" s="10" t="inlineStr">
        <is>
          <t>Not Found</t>
        </is>
      </c>
      <c r="BA481" s="10" t="inlineStr">
        <is>
          <t>2026-09-17</t>
        </is>
      </c>
      <c r="BB481" s="10" t="inlineStr">
        <is>
          <t>Requires Verification</t>
        </is>
      </c>
      <c r="BC481" s="10" t="inlineStr">
        <is>
          <t>Low</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2026-09-16</t>
        </is>
      </c>
      <c r="BJ481" s="10" t="inlineStr">
        <is>
          <t>New</t>
        </is>
      </c>
      <c r="BK481" s="10" t="inlineStr">
        <is>
          <t>2026-09-17</t>
        </is>
      </c>
      <c r="BL481" s="10" t="inlineStr"/>
      <c r="BM481" s="10" t="inlineStr"/>
      <c r="BN481" s="10" t="inlineStr"/>
      <c r="BO481" s="10" t="inlineStr"/>
      <c r="BP481" s="10" t="inlineStr"/>
      <c r="BQ481" s="10" t="inlineStr"/>
    </row>
    <row r="482">
      <c r="A482" s="5" t="inlineStr">
        <is>
          <t>UK-000790</t>
        </is>
      </c>
      <c r="B482" s="5" t="inlineStr">
        <is>
          <t>UK-000790-01</t>
        </is>
      </c>
      <c r="C482" s="5" t="inlineStr"/>
      <c r="D482" s="5" t="inlineStr">
        <is>
          <t>Keerthi Superstore</t>
        </is>
      </c>
      <c r="E482" s="5" t="inlineStr">
        <is>
          <t>Keerthi Superstore</t>
        </is>
      </c>
      <c r="F482" s="5" t="inlineStr"/>
      <c r="G482" s="5" t="inlineStr">
        <is>
          <t>Convenience Store</t>
        </is>
      </c>
      <c r="H482" s="5" t="inlineStr">
        <is>
          <t>Convenience store / off-licence</t>
        </is>
      </c>
      <c r="I482" s="5" t="inlineStr">
        <is>
          <t>Independent</t>
        </is>
      </c>
      <c r="J482" s="5" t="inlineStr">
        <is>
          <t>1</t>
        </is>
      </c>
      <c r="K482" s="5" t="inlineStr"/>
      <c r="L482" s="5" t="inlineStr"/>
      <c r="M482" s="5" t="inlineStr"/>
      <c r="N482" s="5" t="inlineStr"/>
      <c r="O482" s="5" t="inlineStr">
        <is>
          <t>56 King Street</t>
        </is>
      </c>
      <c r="P482" s="5" t="inlineStr"/>
      <c r="Q482" s="5" t="inlineStr">
        <is>
          <t>Wallasey</t>
        </is>
      </c>
      <c r="R482" s="5" t="inlineStr">
        <is>
          <t>Merseyside</t>
        </is>
      </c>
      <c r="S482" s="5" t="inlineStr">
        <is>
          <t>CH44 8AU</t>
        </is>
      </c>
      <c r="T482" s="5" t="inlineStr">
        <is>
          <t>North West</t>
        </is>
      </c>
      <c r="U482" s="5" t="inlineStr">
        <is>
          <t>England</t>
        </is>
      </c>
      <c r="V482" s="5" t="inlineStr"/>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groceries; alcohol; tobacco</t>
        </is>
      </c>
      <c r="AL482" s="5" t="inlineStr"/>
      <c r="AM482" s="5" t="inlineStr">
        <is>
          <t>Convenience Store</t>
        </is>
      </c>
      <c r="AN482" s="5" t="inlineStr"/>
      <c r="AO482" s="5" t="inlineStr">
        <is>
          <t>Independent convenience superstore, 56 King Street, Wallasey; identified via a Wirral Council premises licence application (alcohol). Address/postcode from the council agenda item.</t>
        </is>
      </c>
      <c r="AP482" s="5" t="inlineStr">
        <is>
          <t>Low</t>
        </is>
      </c>
      <c r="AQ482" s="5" t="inlineStr">
        <is>
          <t>Independent retailer; Relevant category</t>
        </is>
      </c>
      <c r="AR482" s="5" t="inlineStr">
        <is>
          <t>https://democracy.wirral.gov.uk/mgAi.aspx?ID=68536</t>
        </is>
      </c>
      <c r="AS482" s="5" t="inlineStr"/>
      <c r="AT482" s="5" t="inlineStr">
        <is>
          <t>1</t>
        </is>
      </c>
      <c r="AU482" s="5" t="inlineStr">
        <is>
          <t>No</t>
        </is>
      </c>
      <c r="AV482" s="5" t="inlineStr">
        <is>
          <t>No</t>
        </is>
      </c>
      <c r="AW482" s="5" t="inlineStr">
        <is>
          <t>No</t>
        </is>
      </c>
      <c r="AX482" s="5" t="inlineStr">
        <is>
          <t>No</t>
        </is>
      </c>
      <c r="AY482" s="5" t="inlineStr">
        <is>
          <t>Not Found</t>
        </is>
      </c>
      <c r="AZ482" s="5" t="inlineStr">
        <is>
          <t>Not Found</t>
        </is>
      </c>
      <c r="BA482" s="5" t="inlineStr">
        <is>
          <t>2026-09-17</t>
        </is>
      </c>
      <c r="BB482" s="5" t="inlineStr">
        <is>
          <t>Requires Verification</t>
        </is>
      </c>
      <c r="BC482" s="5" t="inlineStr">
        <is>
          <t>Low</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WY-0105</t>
        </is>
      </c>
      <c r="B483" s="10" t="inlineStr">
        <is>
          <t>WY-0105-01</t>
        </is>
      </c>
      <c r="C483" s="10" t="inlineStr"/>
      <c r="D483" s="10" t="inlineStr">
        <is>
          <t>Keighley Newsagent</t>
        </is>
      </c>
      <c r="E483" s="10" t="inlineStr">
        <is>
          <t>Keighley Newsagent</t>
        </is>
      </c>
      <c r="F483" s="10" t="inlineStr"/>
      <c r="G483" s="10" t="inlineStr">
        <is>
          <t>Newsagent</t>
        </is>
      </c>
      <c r="H483" s="10" t="inlineStr">
        <is>
          <t>Town-centre newsagent</t>
        </is>
      </c>
      <c r="I483" s="10" t="inlineStr">
        <is>
          <t>Independent</t>
        </is>
      </c>
      <c r="J483" s="10" t="inlineStr">
        <is>
          <t>1</t>
        </is>
      </c>
      <c r="K483" s="10" t="inlineStr"/>
      <c r="L483" s="10" t="inlineStr"/>
      <c r="M483" s="10" t="inlineStr"/>
      <c r="N483" s="10" t="inlineStr"/>
      <c r="O483" s="10" t="inlineStr">
        <is>
          <t>125 North Street</t>
        </is>
      </c>
      <c r="P483" s="10" t="inlineStr"/>
      <c r="Q483" s="10" t="inlineStr">
        <is>
          <t>Keighley</t>
        </is>
      </c>
      <c r="R483" s="10" t="inlineStr">
        <is>
          <t>West Yorkshire</t>
        </is>
      </c>
      <c r="S483" s="10" t="inlineStr">
        <is>
          <t>BD21 3AD</t>
        </is>
      </c>
      <c r="T483" s="10" t="inlineStr">
        <is>
          <t>Yorkshire &amp; Humber</t>
        </is>
      </c>
      <c r="U483" s="10" t="inlineStr">
        <is>
          <t>England</t>
        </is>
      </c>
      <c r="V483" s="10" t="inlineStr"/>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news; magazines; tobacco; convenience lines</t>
        </is>
      </c>
      <c r="AL483" s="10" t="inlineStr"/>
      <c r="AM483" s="10" t="inlineStr">
        <is>
          <t>Newsagent</t>
        </is>
      </c>
      <c r="AN483" s="10" t="inlineStr"/>
      <c r="AO483" s="10" t="inlineStr">
        <is>
          <t>Directory-listed newsagent at 125 North Street (also appears spelled 'Kieghly Newsagent' in one directory).</t>
        </is>
      </c>
      <c r="AP483" s="10" t="inlineStr">
        <is>
          <t>Low</t>
        </is>
      </c>
      <c r="AQ483" s="10" t="inlineStr">
        <is>
          <t>Independent retailer; Relevant category</t>
        </is>
      </c>
      <c r="AR483" s="10" t="inlineStr">
        <is>
          <t>https://directory.bradfordpages.co.uk/company/504571861241856</t>
        </is>
      </c>
      <c r="AS483" s="10" t="inlineStr"/>
      <c r="AT483" s="10" t="inlineStr">
        <is>
          <t>1</t>
        </is>
      </c>
      <c r="AU483" s="10" t="inlineStr">
        <is>
          <t>No</t>
        </is>
      </c>
      <c r="AV483" s="10" t="inlineStr">
        <is>
          <t>No</t>
        </is>
      </c>
      <c r="AW483" s="10" t="inlineStr">
        <is>
          <t>No</t>
        </is>
      </c>
      <c r="AX483" s="10" t="inlineStr">
        <is>
          <t>No</t>
        </is>
      </c>
      <c r="AY483" s="10" t="inlineStr">
        <is>
          <t>Not Found</t>
        </is>
      </c>
      <c r="AZ483" s="10" t="inlineStr">
        <is>
          <t>Not Found</t>
        </is>
      </c>
      <c r="BA483" s="10" t="inlineStr">
        <is>
          <t>2026-09-17</t>
        </is>
      </c>
      <c r="BB483" s="10" t="inlineStr">
        <is>
          <t>Requires Verification</t>
        </is>
      </c>
      <c r="BC483" s="10" t="inlineStr">
        <is>
          <t>Low</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2026-09-16</t>
        </is>
      </c>
      <c r="BJ483" s="10" t="inlineStr">
        <is>
          <t>New</t>
        </is>
      </c>
      <c r="BK483" s="10" t="inlineStr">
        <is>
          <t>2026-09-17</t>
        </is>
      </c>
      <c r="BL483" s="10" t="inlineStr"/>
      <c r="BM483" s="10" t="inlineStr"/>
      <c r="BN483" s="10" t="inlineStr"/>
      <c r="BO483" s="10" t="inlineStr"/>
      <c r="BP483" s="10" t="inlineStr"/>
      <c r="BQ483" s="10" t="inlineStr"/>
    </row>
    <row r="484">
      <c r="A484" s="5" t="inlineStr">
        <is>
          <t>UK-000791</t>
        </is>
      </c>
      <c r="B484" s="5" t="inlineStr">
        <is>
          <t>UK-000791-01</t>
        </is>
      </c>
      <c r="C484" s="5" t="inlineStr"/>
      <c r="D484" s="5" t="inlineStr">
        <is>
          <t>Kellys Wines</t>
        </is>
      </c>
      <c r="E484" s="5" t="inlineStr">
        <is>
          <t>Kellys Wines</t>
        </is>
      </c>
      <c r="F484" s="5" t="inlineStr"/>
      <c r="G484" s="5" t="inlineStr">
        <is>
          <t>Off-Licence</t>
        </is>
      </c>
      <c r="H484" s="5" t="inlineStr">
        <is>
          <t>Off-licence / wines &amp; spirits</t>
        </is>
      </c>
      <c r="I484" s="5" t="inlineStr">
        <is>
          <t>Independent</t>
        </is>
      </c>
      <c r="J484" s="5" t="inlineStr">
        <is>
          <t>1</t>
        </is>
      </c>
      <c r="K484" s="5" t="inlineStr"/>
      <c r="L484" s="5" t="inlineStr"/>
      <c r="M484" s="5" t="inlineStr"/>
      <c r="N484" s="5" t="inlineStr"/>
      <c r="O484" s="5" t="inlineStr">
        <is>
          <t>87 Walton Road</t>
        </is>
      </c>
      <c r="P484" s="5" t="inlineStr">
        <is>
          <t>Kirkdale</t>
        </is>
      </c>
      <c r="Q484" s="5" t="inlineStr">
        <is>
          <t>Liverpool</t>
        </is>
      </c>
      <c r="R484" s="5" t="inlineStr">
        <is>
          <t>Merseyside</t>
        </is>
      </c>
      <c r="S484" s="5" t="inlineStr">
        <is>
          <t>L4 4AF</t>
        </is>
      </c>
      <c r="T484" s="5" t="inlineStr">
        <is>
          <t>North West</t>
        </is>
      </c>
      <c r="U484" s="5" t="inlineStr">
        <is>
          <t>England</t>
        </is>
      </c>
      <c r="V484" s="5" t="inlineStr"/>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wines; beers; spirits</t>
        </is>
      </c>
      <c r="AL484" s="5" t="inlineStr"/>
      <c r="AM484" s="5" t="inlineStr">
        <is>
          <t>Off-Licence</t>
        </is>
      </c>
      <c r="AN484" s="5" t="inlineStr"/>
      <c r="AO484" s="5" t="inlineStr">
        <is>
          <t>Independent off-licence on Walton Road (L4).</t>
        </is>
      </c>
      <c r="AP484" s="5" t="inlineStr">
        <is>
          <t>Low</t>
        </is>
      </c>
      <c r="AQ484" s="5" t="inlineStr">
        <is>
          <t>Independent retailer; Relevant category</t>
        </is>
      </c>
      <c r="AR484" s="5" t="inlineStr">
        <is>
          <t>https://liverpool.cylex-uk.co.uk/off-licence-4.html</t>
        </is>
      </c>
      <c r="AS484" s="5" t="inlineStr"/>
      <c r="AT484" s="5" t="inlineStr">
        <is>
          <t>1</t>
        </is>
      </c>
      <c r="AU484" s="5" t="inlineStr">
        <is>
          <t>No</t>
        </is>
      </c>
      <c r="AV484" s="5" t="inlineStr">
        <is>
          <t>No</t>
        </is>
      </c>
      <c r="AW484" s="5" t="inlineStr">
        <is>
          <t>No</t>
        </is>
      </c>
      <c r="AX484" s="5" t="inlineStr">
        <is>
          <t>No</t>
        </is>
      </c>
      <c r="AY484" s="5" t="inlineStr">
        <is>
          <t>Not Found</t>
        </is>
      </c>
      <c r="AZ484" s="5" t="inlineStr">
        <is>
          <t>Not Found</t>
        </is>
      </c>
      <c r="BA484" s="5" t="inlineStr">
        <is>
          <t>2026-09-17</t>
        </is>
      </c>
      <c r="BB484" s="5" t="inlineStr">
        <is>
          <t>Requires Verification</t>
        </is>
      </c>
      <c r="BC484" s="5" t="inlineStr">
        <is>
          <t>Low</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WY-0106</t>
        </is>
      </c>
      <c r="B485" s="10" t="inlineStr">
        <is>
          <t>WY-0106-01</t>
        </is>
      </c>
      <c r="C485" s="10" t="inlineStr"/>
      <c r="D485" s="10" t="inlineStr">
        <is>
          <t>Khadim Supersave</t>
        </is>
      </c>
      <c r="E485" s="10" t="inlineStr">
        <is>
          <t>Khadim Supersave</t>
        </is>
      </c>
      <c r="F485" s="10" t="inlineStr"/>
      <c r="G485" s="10" t="inlineStr">
        <is>
          <t>Independent Supermarket</t>
        </is>
      </c>
      <c r="H485" s="10" t="inlineStr">
        <is>
          <t>Halal grocery store</t>
        </is>
      </c>
      <c r="I485" s="10" t="inlineStr">
        <is>
          <t>Independent</t>
        </is>
      </c>
      <c r="J485" s="10" t="inlineStr">
        <is>
          <t>1</t>
        </is>
      </c>
      <c r="K485" s="10" t="inlineStr"/>
      <c r="L485" s="10" t="inlineStr"/>
      <c r="M485" s="10" t="inlineStr"/>
      <c r="N485" s="10" t="inlineStr"/>
      <c r="O485" s="10" t="inlineStr">
        <is>
          <t>1 Blacker Road</t>
        </is>
      </c>
      <c r="P485" s="10" t="inlineStr">
        <is>
          <t>Birkby</t>
        </is>
      </c>
      <c r="Q485" s="10" t="inlineStr">
        <is>
          <t>Huddersfield</t>
        </is>
      </c>
      <c r="R485" s="10" t="inlineStr">
        <is>
          <t>West Yorkshire</t>
        </is>
      </c>
      <c r="S485" s="10" t="inlineStr">
        <is>
          <t>HD1 5HU</t>
        </is>
      </c>
      <c r="T485" s="10" t="inlineStr">
        <is>
          <t>Yorkshire &amp; Humber</t>
        </is>
      </c>
      <c r="U485" s="10" t="inlineStr">
        <is>
          <t>England</t>
        </is>
      </c>
      <c r="V485" s="10" t="inlineStr">
        <is>
          <t>01484 360513</t>
        </is>
      </c>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HMC halal meat; groceries; fresh produce</t>
        </is>
      </c>
      <c r="AL485" s="10" t="inlineStr"/>
      <c r="AM485" s="10" t="inlineStr">
        <is>
          <t>Independent Supermarket</t>
        </is>
      </c>
      <c r="AN485" s="10" t="inlineStr"/>
      <c r="AO485" s="10" t="inlineStr"/>
      <c r="AP485" s="10" t="inlineStr">
        <is>
          <t>Low</t>
        </is>
      </c>
      <c r="AQ485" s="10" t="inlineStr">
        <is>
          <t>Independent retailer; Relevant category</t>
        </is>
      </c>
      <c r="AR485" s="10" t="inlineStr">
        <is>
          <t>https://no-divide.co.uk/khadim-supersave/</t>
        </is>
      </c>
      <c r="AS485" s="10" t="inlineStr"/>
      <c r="AT485" s="10" t="inlineStr">
        <is>
          <t>1</t>
        </is>
      </c>
      <c r="AU485" s="10" t="inlineStr">
        <is>
          <t>No</t>
        </is>
      </c>
      <c r="AV485" s="10" t="inlineStr">
        <is>
          <t>No</t>
        </is>
      </c>
      <c r="AW485" s="10" t="inlineStr">
        <is>
          <t>No</t>
        </is>
      </c>
      <c r="AX485" s="10" t="inlineStr">
        <is>
          <t>No</t>
        </is>
      </c>
      <c r="AY485" s="10" t="inlineStr">
        <is>
          <t>Verified directory</t>
        </is>
      </c>
      <c r="AZ485" s="10" t="inlineStr">
        <is>
          <t>Not Found</t>
        </is>
      </c>
      <c r="BA485" s="10" t="inlineStr">
        <is>
          <t>2026-09-17</t>
        </is>
      </c>
      <c r="BB485" s="10" t="inlineStr">
        <is>
          <t>Requires Verification</t>
        </is>
      </c>
      <c r="BC485" s="10" t="inlineStr">
        <is>
          <t>Medium</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2026-09-16</t>
        </is>
      </c>
      <c r="BJ485" s="10" t="inlineStr">
        <is>
          <t>New</t>
        </is>
      </c>
      <c r="BK485" s="10" t="inlineStr">
        <is>
          <t>2026-09-17</t>
        </is>
      </c>
      <c r="BL485" s="10" t="inlineStr"/>
      <c r="BM485" s="10" t="inlineStr"/>
      <c r="BN485" s="10" t="inlineStr"/>
      <c r="BO485" s="10" t="inlineStr"/>
      <c r="BP485" s="10" t="inlineStr"/>
      <c r="BQ485" s="10" t="inlineStr"/>
    </row>
    <row r="486">
      <c r="A486" s="5" t="inlineStr">
        <is>
          <t>UK-000262</t>
        </is>
      </c>
      <c r="B486" s="5" t="inlineStr">
        <is>
          <t>UK-000262-01</t>
        </is>
      </c>
      <c r="C486" s="5" t="inlineStr"/>
      <c r="D486" s="5" t="inlineStr">
        <is>
          <t>Kick Ash Vapes Cleethorpes</t>
        </is>
      </c>
      <c r="E486" s="5" t="inlineStr">
        <is>
          <t>Kick Ash Vapes</t>
        </is>
      </c>
      <c r="F486" s="5" t="inlineStr"/>
      <c r="G486" s="5" t="inlineStr">
        <is>
          <t>Vape Shop</t>
        </is>
      </c>
      <c r="H486" s="5" t="inlineStr">
        <is>
          <t>Vape shop</t>
        </is>
      </c>
      <c r="I486" s="5" t="inlineStr">
        <is>
          <t>Independent</t>
        </is>
      </c>
      <c r="J486" s="5" t="inlineStr">
        <is>
          <t>1</t>
        </is>
      </c>
      <c r="K486" s="5" t="inlineStr"/>
      <c r="L486" s="5" t="inlineStr"/>
      <c r="M486" s="5" t="inlineStr"/>
      <c r="N486" s="5" t="inlineStr"/>
      <c r="O486" s="5" t="inlineStr">
        <is>
          <t>201 Grimsby Road</t>
        </is>
      </c>
      <c r="P486" s="5" t="inlineStr"/>
      <c r="Q486" s="5" t="inlineStr">
        <is>
          <t>Cleethorpes</t>
        </is>
      </c>
      <c r="R486" s="5" t="inlineStr">
        <is>
          <t>Lincolnshire</t>
        </is>
      </c>
      <c r="S486" s="5" t="inlineStr">
        <is>
          <t>DN35 7HB</t>
        </is>
      </c>
      <c r="T486" s="5" t="inlineStr">
        <is>
          <t>Yorkshire &amp; Humber</t>
        </is>
      </c>
      <c r="U486" s="5" t="inlineStr">
        <is>
          <t>England</t>
        </is>
      </c>
      <c r="V486" s="5" t="inlineStr"/>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vape hardware; e-liquids; disposables</t>
        </is>
      </c>
      <c r="AL486" s="5" t="inlineStr"/>
      <c r="AM486" s="5" t="inlineStr">
        <is>
          <t>Vape Shop</t>
        </is>
      </c>
      <c r="AN486" s="5" t="inlineStr"/>
      <c r="AO486" s="5" t="inlineStr">
        <is>
          <t>Independent vape shop on Grimsby Road, Cleethorpes. No phone published in search results.</t>
        </is>
      </c>
      <c r="AP486" s="5" t="inlineStr">
        <is>
          <t>Medium</t>
        </is>
      </c>
      <c r="AQ486" s="5" t="inlineStr">
        <is>
          <t>Independent retailer; Core relevant category</t>
        </is>
      </c>
      <c r="AR486" s="5" t="inlineStr">
        <is>
          <t>https://kick-ash-vapes-cleethorpes.wheree.com/</t>
        </is>
      </c>
      <c r="AS486" s="5" t="inlineStr"/>
      <c r="AT486" s="5" t="inlineStr">
        <is>
          <t>1</t>
        </is>
      </c>
      <c r="AU486" s="5" t="inlineStr">
        <is>
          <t>No</t>
        </is>
      </c>
      <c r="AV486" s="5" t="inlineStr">
        <is>
          <t>No</t>
        </is>
      </c>
      <c r="AW486" s="5" t="inlineStr">
        <is>
          <t>No</t>
        </is>
      </c>
      <c r="AX486" s="5" t="inlineStr">
        <is>
          <t>No</t>
        </is>
      </c>
      <c r="AY486" s="5" t="inlineStr">
        <is>
          <t>Not Found</t>
        </is>
      </c>
      <c r="AZ486" s="5" t="inlineStr">
        <is>
          <t>Not Found</t>
        </is>
      </c>
      <c r="BA486" s="5" t="inlineStr">
        <is>
          <t>2026-09-17</t>
        </is>
      </c>
      <c r="BB486" s="5" t="inlineStr">
        <is>
          <t>Requires Verification</t>
        </is>
      </c>
      <c r="BC486" s="5" t="inlineStr">
        <is>
          <t>Low</t>
        </is>
      </c>
      <c r="BD486" s="5" t="inlineStr"/>
      <c r="BE486" s="5" t="inlineStr">
        <is>
          <t>Business (B2B)</t>
        </is>
      </c>
      <c r="BF486" s="5" t="inlineStr">
        <is>
          <t>Legitimate interest (B2B) - assess per campaign; PECR: corporate subscribers</t>
        </is>
      </c>
      <c r="BG486" s="5" t="inlineStr"/>
      <c r="BH486" s="5" t="inlineStr">
        <is>
          <t>No</t>
        </is>
      </c>
      <c r="BI486" s="5" t="inlineStr">
        <is>
          <t>2026-09-16</t>
        </is>
      </c>
      <c r="BJ486" s="5" t="inlineStr">
        <is>
          <t>New</t>
        </is>
      </c>
      <c r="BK486" s="5" t="inlineStr">
        <is>
          <t>2026-09-17</t>
        </is>
      </c>
      <c r="BL486" s="5" t="inlineStr"/>
      <c r="BM486" s="5" t="inlineStr"/>
      <c r="BN486" s="5" t="inlineStr"/>
      <c r="BO486" s="5" t="inlineStr"/>
      <c r="BP486" s="5" t="inlineStr"/>
      <c r="BQ486" s="5" t="inlineStr"/>
    </row>
    <row r="487">
      <c r="A487" s="10" t="inlineStr">
        <is>
          <t>UK-000792</t>
        </is>
      </c>
      <c r="B487" s="10" t="inlineStr">
        <is>
          <t>UK-000792-01</t>
        </is>
      </c>
      <c r="C487" s="10" t="inlineStr"/>
      <c r="D487" s="10" t="inlineStr">
        <is>
          <t>Kilted Vapor</t>
        </is>
      </c>
      <c r="E487" s="10" t="inlineStr">
        <is>
          <t>Kilted Vapor</t>
        </is>
      </c>
      <c r="F487" s="10" t="inlineStr"/>
      <c r="G487" s="10" t="inlineStr">
        <is>
          <t>Vape Shop</t>
        </is>
      </c>
      <c r="H487" s="10" t="inlineStr">
        <is>
          <t>Vape shop</t>
        </is>
      </c>
      <c r="I487" s="10" t="inlineStr">
        <is>
          <t>Independent</t>
        </is>
      </c>
      <c r="J487" s="10" t="inlineStr">
        <is>
          <t>1</t>
        </is>
      </c>
      <c r="K487" s="10" t="inlineStr"/>
      <c r="L487" s="10" t="inlineStr"/>
      <c r="M487" s="10" t="inlineStr"/>
      <c r="N487" s="10" t="inlineStr"/>
      <c r="O487" s="10" t="inlineStr">
        <is>
          <t>367 Kilbowie Road</t>
        </is>
      </c>
      <c r="P487" s="10" t="inlineStr"/>
      <c r="Q487" s="10" t="inlineStr">
        <is>
          <t>Clydebank</t>
        </is>
      </c>
      <c r="R487" s="10" t="inlineStr">
        <is>
          <t>West Dunbartonshire</t>
        </is>
      </c>
      <c r="S487" s="10" t="inlineStr">
        <is>
          <t>G81 2TU</t>
        </is>
      </c>
      <c r="T487" s="10" t="inlineStr">
        <is>
          <t>Scotland</t>
        </is>
      </c>
      <c r="U487" s="10" t="inlineStr">
        <is>
          <t>Scotland</t>
        </is>
      </c>
      <c r="V487" s="10" t="inlineStr">
        <is>
          <t>0141 952 3687</t>
        </is>
      </c>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vape hardware; e-liquids</t>
        </is>
      </c>
      <c r="AL487" s="10" t="inlineStr"/>
      <c r="AM487" s="10" t="inlineStr">
        <is>
          <t>Vape Shop</t>
        </is>
      </c>
      <c r="AN487" s="10" t="inlineStr"/>
      <c r="AO487" s="10" t="inlineStr">
        <is>
          <t>Independent vape shop on Kilbowie Road, Clydebank. Address and phone from eCig Directory listing.</t>
        </is>
      </c>
      <c r="AP487" s="10" t="inlineStr">
        <is>
          <t>Medium</t>
        </is>
      </c>
      <c r="AQ487" s="10" t="inlineStr">
        <is>
          <t>Independent retailer; Core relevant category</t>
        </is>
      </c>
      <c r="AR487" s="10" t="inlineStr">
        <is>
          <t>https://ecigdirectory.co.uk/vape-shop/listing/kilted-vapor-clydebank</t>
        </is>
      </c>
      <c r="AS487" s="10" t="inlineStr"/>
      <c r="AT487" s="10" t="inlineStr">
        <is>
          <t>1</t>
        </is>
      </c>
      <c r="AU487" s="10" t="inlineStr">
        <is>
          <t>No</t>
        </is>
      </c>
      <c r="AV487" s="10" t="inlineStr">
        <is>
          <t>No</t>
        </is>
      </c>
      <c r="AW487" s="10" t="inlineStr">
        <is>
          <t>No</t>
        </is>
      </c>
      <c r="AX487" s="10" t="inlineStr">
        <is>
          <t>No</t>
        </is>
      </c>
      <c r="AY487" s="10" t="inlineStr">
        <is>
          <t>Verified directory</t>
        </is>
      </c>
      <c r="AZ487" s="10" t="inlineStr">
        <is>
          <t>Not Found</t>
        </is>
      </c>
      <c r="BA487" s="10" t="inlineStr">
        <is>
          <t>2026-09-17</t>
        </is>
      </c>
      <c r="BB487" s="10" t="inlineStr">
        <is>
          <t>Requires Verification</t>
        </is>
      </c>
      <c r="BC487" s="10" t="inlineStr">
        <is>
          <t>Medium</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UK-000619</t>
        </is>
      </c>
      <c r="B488" s="5" t="inlineStr">
        <is>
          <t>UK-000619-01</t>
        </is>
      </c>
      <c r="C488" s="5" t="inlineStr"/>
      <c r="D488" s="5" t="inlineStr">
        <is>
          <t>King Edward Off Licence</t>
        </is>
      </c>
      <c r="E488" s="5" t="inlineStr">
        <is>
          <t>King Edward Off Licence</t>
        </is>
      </c>
      <c r="F488" s="5" t="inlineStr"/>
      <c r="G488" s="5" t="inlineStr">
        <is>
          <t>Off-Licence</t>
        </is>
      </c>
      <c r="H488" s="5" t="inlineStr">
        <is>
          <t>Off-licence</t>
        </is>
      </c>
      <c r="I488" s="5" t="inlineStr">
        <is>
          <t>Independent</t>
        </is>
      </c>
      <c r="J488" s="5" t="inlineStr">
        <is>
          <t>1</t>
        </is>
      </c>
      <c r="K488" s="5" t="inlineStr"/>
      <c r="L488" s="5" t="inlineStr"/>
      <c r="M488" s="5" t="inlineStr"/>
      <c r="N488" s="5" t="inlineStr"/>
      <c r="O488" s="5" t="inlineStr">
        <is>
          <t>30b King Edward's Road</t>
        </is>
      </c>
      <c r="P488" s="5" t="inlineStr"/>
      <c r="Q488" s="5" t="inlineStr">
        <is>
          <t>Hackney</t>
        </is>
      </c>
      <c r="R488" s="5" t="inlineStr">
        <is>
          <t>Greater London</t>
        </is>
      </c>
      <c r="S488" s="5" t="inlineStr">
        <is>
          <t>E9 7SF</t>
        </is>
      </c>
      <c r="T488" s="5" t="inlineStr">
        <is>
          <t>London</t>
        </is>
      </c>
      <c r="U488" s="5" t="inlineStr">
        <is>
          <t>England</t>
        </is>
      </c>
      <c r="V488" s="5" t="inlineStr">
        <is>
          <t>020 8510 9079</t>
        </is>
      </c>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alcohol; tobacco; groceries</t>
        </is>
      </c>
      <c r="AL488" s="5" t="inlineStr"/>
      <c r="AM488" s="5" t="inlineStr">
        <is>
          <t>Off-Licence</t>
        </is>
      </c>
      <c r="AN488" s="5" t="inlineStr"/>
      <c r="AO488" s="5" t="inlineStr">
        <is>
          <t>Independent off-licence, King Edward's Road, Hackney/South Hackney. Address/postcode/phone from Yell directory.</t>
        </is>
      </c>
      <c r="AP488" s="5" t="inlineStr">
        <is>
          <t>Low</t>
        </is>
      </c>
      <c r="AQ488" s="5" t="inlineStr">
        <is>
          <t>Independent retailer; Relevant category</t>
        </is>
      </c>
      <c r="AR488" s="5" t="inlineStr">
        <is>
          <t>https://www.yell.com/s/off+licences-stoke+newington-north+london.html</t>
        </is>
      </c>
      <c r="AS488" s="5" t="inlineStr"/>
      <c r="AT488" s="5" t="inlineStr">
        <is>
          <t>1</t>
        </is>
      </c>
      <c r="AU488" s="5" t="inlineStr">
        <is>
          <t>No</t>
        </is>
      </c>
      <c r="AV488" s="5" t="inlineStr">
        <is>
          <t>No</t>
        </is>
      </c>
      <c r="AW488" s="5" t="inlineStr">
        <is>
          <t>No</t>
        </is>
      </c>
      <c r="AX488" s="5" t="inlineStr">
        <is>
          <t>No</t>
        </is>
      </c>
      <c r="AY488" s="5" t="inlineStr">
        <is>
          <t>Verified directory</t>
        </is>
      </c>
      <c r="AZ488" s="5" t="inlineStr">
        <is>
          <t>Not Found</t>
        </is>
      </c>
      <c r="BA488" s="5" t="inlineStr">
        <is>
          <t>2026-09-17</t>
        </is>
      </c>
      <c r="BB488" s="5" t="inlineStr">
        <is>
          <t>Requires Verification</t>
        </is>
      </c>
      <c r="BC488" s="5" t="inlineStr">
        <is>
          <t>Medium</t>
        </is>
      </c>
      <c r="BD488" s="5" t="inlineStr"/>
      <c r="BE488" s="5" t="inlineStr">
        <is>
          <t>Business (B2B)</t>
        </is>
      </c>
      <c r="BF488" s="5" t="inlineStr">
        <is>
          <t>Legitimate interest (B2B) - assess per campaign; PECR: corporate subscribers</t>
        </is>
      </c>
      <c r="BG488" s="5" t="inlineStr"/>
      <c r="BH488" s="5" t="inlineStr">
        <is>
          <t>No</t>
        </is>
      </c>
      <c r="BI488" s="5" t="inlineStr">
        <is>
          <t>2026-09-17</t>
        </is>
      </c>
      <c r="BJ488" s="5" t="inlineStr">
        <is>
          <t>New</t>
        </is>
      </c>
      <c r="BK488" s="5" t="inlineStr">
        <is>
          <t>2026-09-17</t>
        </is>
      </c>
      <c r="BL488" s="5" t="inlineStr"/>
      <c r="BM488" s="5" t="inlineStr"/>
      <c r="BN488" s="5" t="inlineStr"/>
      <c r="BO488" s="5" t="inlineStr"/>
      <c r="BP488" s="5" t="inlineStr"/>
      <c r="BQ488" s="5" t="inlineStr"/>
    </row>
    <row r="489">
      <c r="A489" s="10" t="inlineStr">
        <is>
          <t>UK-000793</t>
        </is>
      </c>
      <c r="B489" s="10" t="inlineStr">
        <is>
          <t>UK-000793-01</t>
        </is>
      </c>
      <c r="C489" s="10" t="inlineStr"/>
      <c r="D489" s="10" t="inlineStr">
        <is>
          <t>King Vape Paisley</t>
        </is>
      </c>
      <c r="E489" s="10" t="inlineStr">
        <is>
          <t>King Vape</t>
        </is>
      </c>
      <c r="F489" s="10" t="inlineStr"/>
      <c r="G489" s="10" t="inlineStr">
        <is>
          <t>Vape Shop</t>
        </is>
      </c>
      <c r="H489" s="10" t="inlineStr">
        <is>
          <t>Vape shop</t>
        </is>
      </c>
      <c r="I489" s="10" t="inlineStr">
        <is>
          <t>Independent</t>
        </is>
      </c>
      <c r="J489" s="10" t="inlineStr">
        <is>
          <t>1</t>
        </is>
      </c>
      <c r="K489" s="10" t="inlineStr"/>
      <c r="L489" s="10" t="inlineStr"/>
      <c r="M489" s="10" t="inlineStr"/>
      <c r="N489" s="10" t="inlineStr"/>
      <c r="O489" s="10" t="inlineStr">
        <is>
          <t>13 Moss Street</t>
        </is>
      </c>
      <c r="P489" s="10" t="inlineStr"/>
      <c r="Q489" s="10" t="inlineStr">
        <is>
          <t>Paisley</t>
        </is>
      </c>
      <c r="R489" s="10" t="inlineStr">
        <is>
          <t>Renfrewshire</t>
        </is>
      </c>
      <c r="S489" s="10" t="inlineStr">
        <is>
          <t>PA1 1BE</t>
        </is>
      </c>
      <c r="T489" s="10" t="inlineStr">
        <is>
          <t>Scotland</t>
        </is>
      </c>
      <c r="U489" s="10" t="inlineStr">
        <is>
          <t>Scotland</t>
        </is>
      </c>
      <c r="V489" s="10" t="inlineStr"/>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vape hardware; e-liquids</t>
        </is>
      </c>
      <c r="AL489" s="10" t="inlineStr"/>
      <c r="AM489" s="10" t="inlineStr">
        <is>
          <t>Vape Shop</t>
        </is>
      </c>
      <c r="AN489" s="10" t="inlineStr"/>
      <c r="AO489" s="10" t="inlineStr">
        <is>
          <t>Independent vape retailer at 13 Moss Street, Paisley. Address from Firmania directory; phone not confirmed in snippets.</t>
        </is>
      </c>
      <c r="AP489" s="10" t="inlineStr">
        <is>
          <t>Medium</t>
        </is>
      </c>
      <c r="AQ489" s="10" t="inlineStr">
        <is>
          <t>Independent retailer; Core relevant category</t>
        </is>
      </c>
      <c r="AR489" s="10" t="inlineStr">
        <is>
          <t>https://firmania.co.uk/paisley/king-vape-paisley-6635214</t>
        </is>
      </c>
      <c r="AS489" s="10" t="inlineStr"/>
      <c r="AT489" s="10" t="inlineStr">
        <is>
          <t>1</t>
        </is>
      </c>
      <c r="AU489" s="10" t="inlineStr">
        <is>
          <t>No</t>
        </is>
      </c>
      <c r="AV489" s="10" t="inlineStr">
        <is>
          <t>No</t>
        </is>
      </c>
      <c r="AW489" s="10" t="inlineStr">
        <is>
          <t>No</t>
        </is>
      </c>
      <c r="AX489" s="10" t="inlineStr">
        <is>
          <t>No</t>
        </is>
      </c>
      <c r="AY489" s="10" t="inlineStr">
        <is>
          <t>Not Found</t>
        </is>
      </c>
      <c r="AZ489" s="10" t="inlineStr">
        <is>
          <t>Not Found</t>
        </is>
      </c>
      <c r="BA489" s="10" t="inlineStr">
        <is>
          <t>2026-09-17</t>
        </is>
      </c>
      <c r="BB489" s="10" t="inlineStr">
        <is>
          <t>Requires Verification</t>
        </is>
      </c>
      <c r="BC489" s="10" t="inlineStr">
        <is>
          <t>Low</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UK-000620</t>
        </is>
      </c>
      <c r="B490" s="5" t="inlineStr">
        <is>
          <t>UK-000620-01</t>
        </is>
      </c>
      <c r="C490" s="5" t="inlineStr"/>
      <c r="D490" s="5" t="inlineStr">
        <is>
          <t>Kings Cross Continental Stores</t>
        </is>
      </c>
      <c r="E490" s="5" t="inlineStr">
        <is>
          <t>Kings Cross Continental Stores</t>
        </is>
      </c>
      <c r="F490" s="5" t="inlineStr"/>
      <c r="G490" s="5" t="inlineStr">
        <is>
          <t>Convenience Store</t>
        </is>
      </c>
      <c r="H490" s="5" t="inlineStr">
        <is>
          <t>Convenience &amp; off-licence</t>
        </is>
      </c>
      <c r="I490" s="5" t="inlineStr">
        <is>
          <t>Independent</t>
        </is>
      </c>
      <c r="J490" s="5" t="inlineStr">
        <is>
          <t>1</t>
        </is>
      </c>
      <c r="K490" s="5" t="inlineStr"/>
      <c r="L490" s="5" t="inlineStr"/>
      <c r="M490" s="5" t="inlineStr"/>
      <c r="N490" s="5" t="inlineStr"/>
      <c r="O490" s="5" t="inlineStr">
        <is>
          <t>26 Caledonian Road</t>
        </is>
      </c>
      <c r="P490" s="5" t="inlineStr">
        <is>
          <t>King's Cross</t>
        </is>
      </c>
      <c r="Q490" s="5" t="inlineStr">
        <is>
          <t>London</t>
        </is>
      </c>
      <c r="R490" s="5" t="inlineStr">
        <is>
          <t>Greater London</t>
        </is>
      </c>
      <c r="S490" s="5" t="inlineStr"/>
      <c r="T490" s="5" t="inlineStr">
        <is>
          <t>London</t>
        </is>
      </c>
      <c r="U490" s="5" t="inlineStr">
        <is>
          <t>England</t>
        </is>
      </c>
      <c r="V490" s="5" t="inlineStr"/>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convenience groceries; wine; beer; spirits</t>
        </is>
      </c>
      <c r="AL490" s="5" t="inlineStr"/>
      <c r="AM490" s="5" t="inlineStr">
        <is>
          <t>Convenience Store</t>
        </is>
      </c>
      <c r="AN490" s="5" t="inlineStr"/>
      <c r="AO490" s="5" t="inlineStr">
        <is>
          <t>Independent convenience store/off-licence at 26 Caledonian Road, King's Cross, named in an Islington Council premises-licence application document. Postcode/phone not captured; needs enrichment.</t>
        </is>
      </c>
      <c r="AP490" s="5" t="inlineStr">
        <is>
          <t>Low</t>
        </is>
      </c>
      <c r="AQ490" s="5" t="inlineStr">
        <is>
          <t>Independent retailer; Relevant category</t>
        </is>
      </c>
      <c r="AR490" s="5" t="inlineStr">
        <is>
          <t>https://islington.moderngov.co.uk/documents/s38601/Kings%20Cross%20Continental%20Stores%2026%20Caledonian%20Road.pdf</t>
        </is>
      </c>
      <c r="AS490" s="5" t="inlineStr"/>
      <c r="AT490" s="5" t="inlineStr">
        <is>
          <t>1</t>
        </is>
      </c>
      <c r="AU490" s="5" t="inlineStr">
        <is>
          <t>No</t>
        </is>
      </c>
      <c r="AV490" s="5" t="inlineStr">
        <is>
          <t>No</t>
        </is>
      </c>
      <c r="AW490" s="5" t="inlineStr">
        <is>
          <t>No</t>
        </is>
      </c>
      <c r="AX490" s="5" t="inlineStr">
        <is>
          <t>No</t>
        </is>
      </c>
      <c r="AY490" s="5" t="inlineStr">
        <is>
          <t>Not Found</t>
        </is>
      </c>
      <c r="AZ490" s="5" t="inlineStr">
        <is>
          <t>Not Found</t>
        </is>
      </c>
      <c r="BA490" s="5" t="inlineStr">
        <is>
          <t>2026-09-17</t>
        </is>
      </c>
      <c r="BB490" s="5" t="inlineStr">
        <is>
          <t>Requires Verification</t>
        </is>
      </c>
      <c r="BC490" s="5" t="inlineStr">
        <is>
          <t>Low</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UK-000621</t>
        </is>
      </c>
      <c r="B491" s="10" t="inlineStr">
        <is>
          <t>UK-000621-01</t>
        </is>
      </c>
      <c r="C491" s="10" t="inlineStr"/>
      <c r="D491" s="10" t="inlineStr">
        <is>
          <t>Kings Cross Food &amp; Wine</t>
        </is>
      </c>
      <c r="E491" s="10" t="inlineStr">
        <is>
          <t>Kings Cross Food &amp; Wine</t>
        </is>
      </c>
      <c r="F491" s="10" t="inlineStr"/>
      <c r="G491" s="10" t="inlineStr">
        <is>
          <t>Convenience Store</t>
        </is>
      </c>
      <c r="H491" s="10" t="inlineStr">
        <is>
          <t>Convenience &amp; off-licence</t>
        </is>
      </c>
      <c r="I491" s="10" t="inlineStr">
        <is>
          <t>Independent</t>
        </is>
      </c>
      <c r="J491" s="10" t="inlineStr">
        <is>
          <t>1</t>
        </is>
      </c>
      <c r="K491" s="10" t="inlineStr"/>
      <c r="L491" s="10" t="inlineStr"/>
      <c r="M491" s="10" t="inlineStr"/>
      <c r="N491" s="10" t="inlineStr"/>
      <c r="O491" s="10" t="inlineStr"/>
      <c r="P491" s="10" t="inlineStr">
        <is>
          <t>King's Cross</t>
        </is>
      </c>
      <c r="Q491" s="10" t="inlineStr">
        <is>
          <t>London</t>
        </is>
      </c>
      <c r="R491" s="10" t="inlineStr">
        <is>
          <t>Greater London</t>
        </is>
      </c>
      <c r="S491" s="10" t="inlineStr"/>
      <c r="T491" s="10" t="inlineStr">
        <is>
          <t>London</t>
        </is>
      </c>
      <c r="U491" s="10" t="inlineStr">
        <is>
          <t>England</t>
        </is>
      </c>
      <c r="V491" s="10" t="inlineStr"/>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convenience groceries; wine; beer; spirits</t>
        </is>
      </c>
      <c r="AL491" s="10" t="inlineStr"/>
      <c r="AM491" s="10" t="inlineStr">
        <is>
          <t>Convenience Store</t>
        </is>
      </c>
      <c r="AN491" s="10" t="inlineStr"/>
      <c r="AO491" s="10" t="inlineStr">
        <is>
          <t>Independent King's Cross (WC1X) convenience/off-licence listed on Yell. A separately-listed store of the same name at 317 Gray's Inn Road appears closed. Only the Yell listing surfaced; address/postcode/phone not captured. Needs enrichment.</t>
        </is>
      </c>
      <c r="AP491" s="10" t="inlineStr">
        <is>
          <t>Low</t>
        </is>
      </c>
      <c r="AQ491" s="10" t="inlineStr">
        <is>
          <t>Independent retailer; Relevant category</t>
        </is>
      </c>
      <c r="AR491" s="10" t="inlineStr">
        <is>
          <t>https://www.yell.com/biz/kings-cross-food-and-wine-london-7949028/</t>
        </is>
      </c>
      <c r="AS491" s="10" t="inlineStr"/>
      <c r="AT491" s="10" t="inlineStr">
        <is>
          <t>1</t>
        </is>
      </c>
      <c r="AU491" s="10" t="inlineStr">
        <is>
          <t>No</t>
        </is>
      </c>
      <c r="AV491" s="10" t="inlineStr">
        <is>
          <t>No</t>
        </is>
      </c>
      <c r="AW491" s="10" t="inlineStr">
        <is>
          <t>No</t>
        </is>
      </c>
      <c r="AX491" s="10" t="inlineStr">
        <is>
          <t>No</t>
        </is>
      </c>
      <c r="AY491" s="10" t="inlineStr">
        <is>
          <t>Not Found</t>
        </is>
      </c>
      <c r="AZ491" s="10" t="inlineStr">
        <is>
          <t>Not Found</t>
        </is>
      </c>
      <c r="BA491" s="10" t="inlineStr">
        <is>
          <t>2026-09-17</t>
        </is>
      </c>
      <c r="BB491" s="10" t="inlineStr">
        <is>
          <t>Requires Verification</t>
        </is>
      </c>
      <c r="BC491" s="10" t="inlineStr">
        <is>
          <t>Low</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UK-000263</t>
        </is>
      </c>
      <c r="B492" s="5" t="inlineStr">
        <is>
          <t>UK-000263-01</t>
        </is>
      </c>
      <c r="C492" s="5" t="inlineStr"/>
      <c r="D492" s="5" t="inlineStr">
        <is>
          <t>Kings Lites Acomb</t>
        </is>
      </c>
      <c r="E492" s="5" t="inlineStr">
        <is>
          <t>Kings Lites</t>
        </is>
      </c>
      <c r="F492" s="5" t="inlineStr"/>
      <c r="G492" s="5" t="inlineStr">
        <is>
          <t>Vape Shop</t>
        </is>
      </c>
      <c r="H492" s="5" t="inlineStr">
        <is>
          <t>Vaping specialist</t>
        </is>
      </c>
      <c r="I492" s="5" t="inlineStr">
        <is>
          <t>Independent</t>
        </is>
      </c>
      <c r="J492" s="5" t="inlineStr">
        <is>
          <t>1</t>
        </is>
      </c>
      <c r="K492" s="5" t="inlineStr">
        <is>
          <t>https://www.kingslites.co.uk/acomb</t>
        </is>
      </c>
      <c r="L492" s="5" t="inlineStr"/>
      <c r="M492" s="5" t="inlineStr"/>
      <c r="N492" s="5" t="inlineStr"/>
      <c r="O492" s="5" t="inlineStr"/>
      <c r="P492" s="5" t="inlineStr"/>
      <c r="Q492" s="5" t="inlineStr">
        <is>
          <t>York</t>
        </is>
      </c>
      <c r="R492" s="5" t="inlineStr">
        <is>
          <t>North Yorkshire</t>
        </is>
      </c>
      <c r="S492" s="5" t="inlineStr"/>
      <c r="T492" s="5" t="inlineStr">
        <is>
          <t>Yorkshire &amp; Humber</t>
        </is>
      </c>
      <c r="U492" s="5" t="inlineStr">
        <is>
          <t>England</t>
        </is>
      </c>
      <c r="V492" s="5" t="inlineStr"/>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vape hardware; e-liquids</t>
        </is>
      </c>
      <c r="AL492" s="5" t="inlineStr"/>
      <c r="AM492" s="5" t="inlineStr">
        <is>
          <t>Vape Shop</t>
        </is>
      </c>
      <c r="AN492" s="5" t="inlineStr"/>
      <c r="AO492" s="5" t="inlineStr">
        <is>
          <t>Vaping shop in the market place of Acomb (west York suburb), own website kingslites.co.uk/acomb. Exact street address/postcode and phone not surfaced in search snippets; direct fetch blocked. Located with direct access from the A64 per directory description.</t>
        </is>
      </c>
      <c r="AP492" s="5" t="inlineStr">
        <is>
          <t>Medium</t>
        </is>
      </c>
      <c r="AQ492" s="5" t="inlineStr">
        <is>
          <t>Independent retailer; Core relevant category; Active website</t>
        </is>
      </c>
      <c r="AR492" s="5" t="inlineStr">
        <is>
          <t>https://www.kingslites.co.uk/acomb</t>
        </is>
      </c>
      <c r="AS492" s="5" t="inlineStr">
        <is>
          <t>https://york.cylex-uk.co.uk/company/kings-lites-acomb-27065896.html</t>
        </is>
      </c>
      <c r="AT492" s="5" t="inlineStr">
        <is>
          <t>2</t>
        </is>
      </c>
      <c r="AU492" s="5" t="inlineStr">
        <is>
          <t>No</t>
        </is>
      </c>
      <c r="AV492" s="5" t="inlineStr">
        <is>
          <t>No</t>
        </is>
      </c>
      <c r="AW492" s="5" t="inlineStr">
        <is>
          <t>No</t>
        </is>
      </c>
      <c r="AX492" s="5" t="inlineStr">
        <is>
          <t>No</t>
        </is>
      </c>
      <c r="AY492" s="5" t="inlineStr">
        <is>
          <t>Not Found</t>
        </is>
      </c>
      <c r="AZ492" s="5" t="inlineStr">
        <is>
          <t>Website Found</t>
        </is>
      </c>
      <c r="BA492" s="5" t="inlineStr">
        <is>
          <t>2026-09-17</t>
        </is>
      </c>
      <c r="BB492" s="5" t="inlineStr">
        <is>
          <t>Requires Verification</t>
        </is>
      </c>
      <c r="BC492" s="5" t="inlineStr">
        <is>
          <t>Low</t>
        </is>
      </c>
      <c r="BD492" s="5" t="inlineStr"/>
      <c r="BE492" s="5" t="inlineStr">
        <is>
          <t>Business (B2B)</t>
        </is>
      </c>
      <c r="BF492" s="5" t="inlineStr">
        <is>
          <t>Legitimate interest (B2B) - assess per campaign; PECR: corporate subscribers</t>
        </is>
      </c>
      <c r="BG492" s="5" t="inlineStr"/>
      <c r="BH492" s="5" t="inlineStr">
        <is>
          <t>No</t>
        </is>
      </c>
      <c r="BI492" s="5" t="inlineStr">
        <is>
          <t>2026-09-16</t>
        </is>
      </c>
      <c r="BJ492" s="5" t="inlineStr">
        <is>
          <t>New</t>
        </is>
      </c>
      <c r="BK492" s="5" t="inlineStr">
        <is>
          <t>2026-09-17</t>
        </is>
      </c>
      <c r="BL492" s="5" t="inlineStr"/>
      <c r="BM492" s="5" t="inlineStr"/>
      <c r="BN492" s="5" t="inlineStr"/>
      <c r="BO492" s="5" t="inlineStr"/>
      <c r="BP492" s="5" t="inlineStr"/>
      <c r="BQ492" s="5" t="inlineStr"/>
    </row>
    <row r="493">
      <c r="A493" s="10" t="inlineStr">
        <is>
          <t>UK-000622</t>
        </is>
      </c>
      <c r="B493" s="10" t="inlineStr">
        <is>
          <t>UK-000622-01</t>
        </is>
      </c>
      <c r="C493" s="10" t="inlineStr"/>
      <c r="D493" s="10" t="inlineStr">
        <is>
          <t>Kings of Vapes</t>
        </is>
      </c>
      <c r="E493" s="10" t="inlineStr">
        <is>
          <t>Kings of Vapes</t>
        </is>
      </c>
      <c r="F493" s="10" t="inlineStr"/>
      <c r="G493" s="10" t="inlineStr">
        <is>
          <t>Vape Shop</t>
        </is>
      </c>
      <c r="H493" s="10" t="inlineStr">
        <is>
          <t>Vape retail / wholesale</t>
        </is>
      </c>
      <c r="I493" s="10" t="inlineStr">
        <is>
          <t>Independent</t>
        </is>
      </c>
      <c r="J493" s="10" t="inlineStr">
        <is>
          <t>1</t>
        </is>
      </c>
      <c r="K493" s="10" t="inlineStr"/>
      <c r="L493" s="10" t="inlineStr"/>
      <c r="M493" s="10" t="inlineStr"/>
      <c r="N493" s="10" t="inlineStr"/>
      <c r="O493" s="10" t="inlineStr">
        <is>
          <t>9b Grand Union Enterprise Park</t>
        </is>
      </c>
      <c r="P493" s="10" t="inlineStr">
        <is>
          <t>Grand Union Way</t>
        </is>
      </c>
      <c r="Q493" s="10" t="inlineStr">
        <is>
          <t>Southall</t>
        </is>
      </c>
      <c r="R493" s="10" t="inlineStr">
        <is>
          <t>Greater London</t>
        </is>
      </c>
      <c r="S493" s="10" t="inlineStr">
        <is>
          <t>UB2 4EX</t>
        </is>
      </c>
      <c r="T493" s="10" t="inlineStr">
        <is>
          <t>London</t>
        </is>
      </c>
      <c r="U493" s="10" t="inlineStr">
        <is>
          <t>England</t>
        </is>
      </c>
      <c r="V493" s="10" t="inlineStr"/>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vape hardware; e-liquids; disposables</t>
        </is>
      </c>
      <c r="AL493" s="10" t="inlineStr"/>
      <c r="AM493" s="10" t="inlineStr">
        <is>
          <t>Vape Shop</t>
        </is>
      </c>
      <c r="AN493" s="10" t="inlineStr"/>
      <c r="AO493" s="10" t="inlineStr">
        <is>
          <t>Vape retailer/wholesaler at Grand Union Enterprise Park, Southall. Address from 192.com and Yell; phone not confirmed.</t>
        </is>
      </c>
      <c r="AP493" s="10" t="inlineStr">
        <is>
          <t>Medium</t>
        </is>
      </c>
      <c r="AQ493" s="10" t="inlineStr">
        <is>
          <t>Independent retailer; Core relevant category</t>
        </is>
      </c>
      <c r="AR493" s="10" t="inlineStr">
        <is>
          <t>https://www.yell.com/biz/kings-of-vapes-southall-9448970/</t>
        </is>
      </c>
      <c r="AS493" s="10" t="inlineStr">
        <is>
          <t>https://www.192.com/atoz/business/southall-ub2/tobacco-products-retail-sale-of/kings-of-vapes/abbf55cb3c9a00095c4bd6e3cf3ef0725b1173f0/ml/</t>
        </is>
      </c>
      <c r="AT493" s="10" t="inlineStr">
        <is>
          <t>2</t>
        </is>
      </c>
      <c r="AU493" s="10" t="inlineStr">
        <is>
          <t>No</t>
        </is>
      </c>
      <c r="AV493" s="10" t="inlineStr">
        <is>
          <t>No</t>
        </is>
      </c>
      <c r="AW493" s="10" t="inlineStr">
        <is>
          <t>No</t>
        </is>
      </c>
      <c r="AX493" s="10" t="inlineStr">
        <is>
          <t>No</t>
        </is>
      </c>
      <c r="AY493" s="10" t="inlineStr">
        <is>
          <t>Not Found</t>
        </is>
      </c>
      <c r="AZ493" s="10" t="inlineStr">
        <is>
          <t>Not Found</t>
        </is>
      </c>
      <c r="BA493" s="10" t="inlineStr">
        <is>
          <t>2026-09-17</t>
        </is>
      </c>
      <c r="BB493" s="10" t="inlineStr">
        <is>
          <t>Requires Verification</t>
        </is>
      </c>
      <c r="BC493" s="10" t="inlineStr">
        <is>
          <t>Low</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UK-000623</t>
        </is>
      </c>
      <c r="B494" s="5" t="inlineStr">
        <is>
          <t>UK-000623-01</t>
        </is>
      </c>
      <c r="C494" s="5" t="inlineStr"/>
      <c r="D494" s="5" t="inlineStr">
        <is>
          <t>Kingsland Wines</t>
        </is>
      </c>
      <c r="E494" s="5" t="inlineStr">
        <is>
          <t>Kingsland Wines</t>
        </is>
      </c>
      <c r="F494" s="5" t="inlineStr"/>
      <c r="G494" s="5" t="inlineStr">
        <is>
          <t>Off-Licence</t>
        </is>
      </c>
      <c r="H494" s="5" t="inlineStr">
        <is>
          <t>Off-licence</t>
        </is>
      </c>
      <c r="I494" s="5" t="inlineStr">
        <is>
          <t>Independent</t>
        </is>
      </c>
      <c r="J494" s="5" t="inlineStr">
        <is>
          <t>1</t>
        </is>
      </c>
      <c r="K494" s="5" t="inlineStr"/>
      <c r="L494" s="5" t="inlineStr"/>
      <c r="M494" s="5" t="inlineStr"/>
      <c r="N494" s="5" t="inlineStr"/>
      <c r="O494" s="5" t="inlineStr">
        <is>
          <t>77 Kingsland High Street</t>
        </is>
      </c>
      <c r="P494" s="5" t="inlineStr"/>
      <c r="Q494" s="5" t="inlineStr">
        <is>
          <t>Dalston</t>
        </is>
      </c>
      <c r="R494" s="5" t="inlineStr">
        <is>
          <t>Greater London</t>
        </is>
      </c>
      <c r="S494" s="5" t="inlineStr">
        <is>
          <t>E8 2PB</t>
        </is>
      </c>
      <c r="T494" s="5" t="inlineStr">
        <is>
          <t>London</t>
        </is>
      </c>
      <c r="U494" s="5" t="inlineStr">
        <is>
          <t>England</t>
        </is>
      </c>
      <c r="V494" s="5" t="inlineStr"/>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alcohol; tobacco</t>
        </is>
      </c>
      <c r="AL494" s="5" t="inlineStr"/>
      <c r="AM494" s="5" t="inlineStr">
        <is>
          <t>Off-Licence</t>
        </is>
      </c>
      <c r="AN494" s="5" t="inlineStr"/>
      <c r="AO494" s="5" t="inlineStr">
        <is>
          <t>Off-licence on Kingsland High Street, Dalston. Address/postcode from Yell off-licences directory. Phone not in snippet.</t>
        </is>
      </c>
      <c r="AP494" s="5" t="inlineStr">
        <is>
          <t>Low</t>
        </is>
      </c>
      <c r="AQ494" s="5" t="inlineStr">
        <is>
          <t>Independent retailer; Relevant category</t>
        </is>
      </c>
      <c r="AR494" s="5" t="inlineStr">
        <is>
          <t>https://www.yell.com/s/off+licences-dalston-east+london.html</t>
        </is>
      </c>
      <c r="AS494" s="5" t="inlineStr"/>
      <c r="AT494" s="5" t="inlineStr">
        <is>
          <t>1</t>
        </is>
      </c>
      <c r="AU494" s="5" t="inlineStr">
        <is>
          <t>No</t>
        </is>
      </c>
      <c r="AV494" s="5" t="inlineStr">
        <is>
          <t>No</t>
        </is>
      </c>
      <c r="AW494" s="5" t="inlineStr">
        <is>
          <t>No</t>
        </is>
      </c>
      <c r="AX494" s="5" t="inlineStr">
        <is>
          <t>No</t>
        </is>
      </c>
      <c r="AY494" s="5" t="inlineStr">
        <is>
          <t>Not Found</t>
        </is>
      </c>
      <c r="AZ494" s="5" t="inlineStr">
        <is>
          <t>Not Found</t>
        </is>
      </c>
      <c r="BA494" s="5" t="inlineStr">
        <is>
          <t>2026-09-17</t>
        </is>
      </c>
      <c r="BB494" s="5" t="inlineStr">
        <is>
          <t>Requires Verification</t>
        </is>
      </c>
      <c r="BC494" s="5" t="inlineStr">
        <is>
          <t>Low</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UK-000624</t>
        </is>
      </c>
      <c r="B495" s="10" t="inlineStr">
        <is>
          <t>UK-000624-01</t>
        </is>
      </c>
      <c r="C495" s="10" t="inlineStr"/>
      <c r="D495" s="10" t="inlineStr">
        <is>
          <t>Knights Express</t>
        </is>
      </c>
      <c r="E495" s="10" t="inlineStr">
        <is>
          <t>Knights Express</t>
        </is>
      </c>
      <c r="F495" s="10" t="inlineStr"/>
      <c r="G495" s="10" t="inlineStr">
        <is>
          <t>Convenience Store</t>
        </is>
      </c>
      <c r="H495" s="10" t="inlineStr"/>
      <c r="I495" s="10" t="inlineStr">
        <is>
          <t>Independent</t>
        </is>
      </c>
      <c r="J495" s="10" t="inlineStr">
        <is>
          <t>1</t>
        </is>
      </c>
      <c r="K495" s="10" t="inlineStr"/>
      <c r="L495" s="10" t="inlineStr"/>
      <c r="M495" s="10" t="inlineStr"/>
      <c r="N495" s="10" t="inlineStr"/>
      <c r="O495" s="10" t="inlineStr">
        <is>
          <t>237 Mitcham Road</t>
        </is>
      </c>
      <c r="P495" s="10" t="inlineStr"/>
      <c r="Q495" s="10" t="inlineStr">
        <is>
          <t>London</t>
        </is>
      </c>
      <c r="R495" s="10" t="inlineStr">
        <is>
          <t>Greater London</t>
        </is>
      </c>
      <c r="S495" s="10" t="inlineStr">
        <is>
          <t>SW17 9JG</t>
        </is>
      </c>
      <c r="T495" s="10" t="inlineStr">
        <is>
          <t>London</t>
        </is>
      </c>
      <c r="U495" s="10" t="inlineStr">
        <is>
          <t>England</t>
        </is>
      </c>
      <c r="V495" s="10" t="inlineStr">
        <is>
          <t>020 8947 3299</t>
        </is>
      </c>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grocery; off-licence; convenience</t>
        </is>
      </c>
      <c r="AL495" s="10" t="inlineStr"/>
      <c r="AM495" s="10" t="inlineStr">
        <is>
          <t>Convenience Store</t>
        </is>
      </c>
      <c r="AN495" s="10" t="inlineStr"/>
      <c r="AO495" s="10" t="inlineStr">
        <is>
          <t>Independent convenience store on Mitcham Road, Tooting. Address and phone from Yell directory.</t>
        </is>
      </c>
      <c r="AP495" s="10" t="inlineStr">
        <is>
          <t>Low</t>
        </is>
      </c>
      <c r="AQ495" s="10" t="inlineStr">
        <is>
          <t>Independent retailer; Relevant category</t>
        </is>
      </c>
      <c r="AR495" s="10" t="inlineStr">
        <is>
          <t>https://www.yell.com/s/off+licences-tooting-south+west+london.html</t>
        </is>
      </c>
      <c r="AS495" s="10" t="inlineStr"/>
      <c r="AT495" s="10" t="inlineStr">
        <is>
          <t>1</t>
        </is>
      </c>
      <c r="AU495" s="10" t="inlineStr">
        <is>
          <t>No</t>
        </is>
      </c>
      <c r="AV495" s="10" t="inlineStr">
        <is>
          <t>No</t>
        </is>
      </c>
      <c r="AW495" s="10" t="inlineStr">
        <is>
          <t>No</t>
        </is>
      </c>
      <c r="AX495" s="10" t="inlineStr">
        <is>
          <t>No</t>
        </is>
      </c>
      <c r="AY495" s="10" t="inlineStr">
        <is>
          <t>Verified directory</t>
        </is>
      </c>
      <c r="AZ495" s="10" t="inlineStr">
        <is>
          <t>Not Found</t>
        </is>
      </c>
      <c r="BA495" s="10" t="inlineStr">
        <is>
          <t>2026-09-17</t>
        </is>
      </c>
      <c r="BB495" s="10" t="inlineStr">
        <is>
          <t>Requires Verification</t>
        </is>
      </c>
      <c r="BC495" s="10" t="inlineStr">
        <is>
          <t>Medium</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UK-000625</t>
        </is>
      </c>
      <c r="B496" s="5" t="inlineStr">
        <is>
          <t>UK-000625-01</t>
        </is>
      </c>
      <c r="C496" s="5" t="inlineStr"/>
      <c r="D496" s="5" t="inlineStr">
        <is>
          <t>Krystals Food &amp; Wine</t>
        </is>
      </c>
      <c r="E496" s="5" t="inlineStr">
        <is>
          <t>Krystals Food &amp; Wine</t>
        </is>
      </c>
      <c r="F496" s="5" t="inlineStr"/>
      <c r="G496" s="5" t="inlineStr">
        <is>
          <t>Off-Licence</t>
        </is>
      </c>
      <c r="H496" s="5" t="inlineStr">
        <is>
          <t>Convenience &amp; off-licence</t>
        </is>
      </c>
      <c r="I496" s="5" t="inlineStr">
        <is>
          <t>Independent</t>
        </is>
      </c>
      <c r="J496" s="5" t="inlineStr">
        <is>
          <t>1</t>
        </is>
      </c>
      <c r="K496" s="5" t="inlineStr"/>
      <c r="L496" s="5" t="inlineStr"/>
      <c r="M496" s="5" t="inlineStr"/>
      <c r="N496" s="5" t="inlineStr"/>
      <c r="O496" s="5" t="inlineStr">
        <is>
          <t>320-322 Earls Court Road</t>
        </is>
      </c>
      <c r="P496" s="5" t="inlineStr">
        <is>
          <t>Earls Court</t>
        </is>
      </c>
      <c r="Q496" s="5" t="inlineStr">
        <is>
          <t>London</t>
        </is>
      </c>
      <c r="R496" s="5" t="inlineStr">
        <is>
          <t>Greater London</t>
        </is>
      </c>
      <c r="S496" s="5" t="inlineStr">
        <is>
          <t>SW5 9BQ</t>
        </is>
      </c>
      <c r="T496" s="5" t="inlineStr">
        <is>
          <t>London</t>
        </is>
      </c>
      <c r="U496" s="5" t="inlineStr">
        <is>
          <t>England</t>
        </is>
      </c>
      <c r="V496" s="5" t="inlineStr"/>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convenience groceries; wine; beer; spirits</t>
        </is>
      </c>
      <c r="AL496" s="5" t="inlineStr"/>
      <c r="AM496" s="5" t="inlineStr">
        <is>
          <t>Off-Licence</t>
        </is>
      </c>
      <c r="AN496" s="5" t="inlineStr"/>
      <c r="AO496" s="5" t="inlineStr">
        <is>
          <t>Independent convenience/off-licence on Earls Court Road (SW5). Address/postcode from Yell listing snippet; phone not published in accessible snippet.</t>
        </is>
      </c>
      <c r="AP496" s="5" t="inlineStr">
        <is>
          <t>Low</t>
        </is>
      </c>
      <c r="AQ496" s="5" t="inlineStr">
        <is>
          <t>Independent retailer; Relevant category</t>
        </is>
      </c>
      <c r="AR496" s="5" t="inlineStr">
        <is>
          <t>https://www.yell.com/biz/krystals-food-and-wine-london-7962661/</t>
        </is>
      </c>
      <c r="AS496" s="5" t="inlineStr"/>
      <c r="AT496" s="5" t="inlineStr">
        <is>
          <t>1</t>
        </is>
      </c>
      <c r="AU496" s="5" t="inlineStr">
        <is>
          <t>No</t>
        </is>
      </c>
      <c r="AV496" s="5" t="inlineStr">
        <is>
          <t>No</t>
        </is>
      </c>
      <c r="AW496" s="5" t="inlineStr">
        <is>
          <t>No</t>
        </is>
      </c>
      <c r="AX496" s="5" t="inlineStr">
        <is>
          <t>No</t>
        </is>
      </c>
      <c r="AY496" s="5" t="inlineStr">
        <is>
          <t>Not Found</t>
        </is>
      </c>
      <c r="AZ496" s="5" t="inlineStr">
        <is>
          <t>Not Found</t>
        </is>
      </c>
      <c r="BA496" s="5" t="inlineStr">
        <is>
          <t>2026-09-17</t>
        </is>
      </c>
      <c r="BB496" s="5" t="inlineStr">
        <is>
          <t>Requires Verification</t>
        </is>
      </c>
      <c r="BC496" s="5" t="inlineStr">
        <is>
          <t>Low</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WY-0107</t>
        </is>
      </c>
      <c r="B497" s="10" t="inlineStr">
        <is>
          <t>WY-0107-01</t>
        </is>
      </c>
      <c r="C497" s="10" t="inlineStr"/>
      <c r="D497" s="10" t="inlineStr">
        <is>
          <t>Kubus International Food</t>
        </is>
      </c>
      <c r="E497" s="10" t="inlineStr">
        <is>
          <t>Kubus International Food</t>
        </is>
      </c>
      <c r="F497" s="10" t="inlineStr"/>
      <c r="G497" s="10" t="inlineStr">
        <is>
          <t>Convenience Store</t>
        </is>
      </c>
      <c r="H497" s="10" t="inlineStr">
        <is>
          <t>International / Eastern European grocery and convenience</t>
        </is>
      </c>
      <c r="I497" s="10" t="inlineStr">
        <is>
          <t>Independent</t>
        </is>
      </c>
      <c r="J497" s="10" t="inlineStr">
        <is>
          <t>1</t>
        </is>
      </c>
      <c r="K497" s="10" t="inlineStr"/>
      <c r="L497" s="10" t="inlineStr"/>
      <c r="M497" s="10" t="inlineStr"/>
      <c r="N497" s="10" t="inlineStr"/>
      <c r="O497" s="10" t="inlineStr">
        <is>
          <t>86 Kirkgate</t>
        </is>
      </c>
      <c r="P497" s="10" t="inlineStr"/>
      <c r="Q497" s="10" t="inlineStr">
        <is>
          <t>Wakefield</t>
        </is>
      </c>
      <c r="R497" s="10" t="inlineStr">
        <is>
          <t>West Yorkshire</t>
        </is>
      </c>
      <c r="S497" s="10" t="inlineStr"/>
      <c r="T497" s="10" t="inlineStr">
        <is>
          <t>Yorkshire &amp; Humber</t>
        </is>
      </c>
      <c r="U497" s="10" t="inlineStr">
        <is>
          <t>England</t>
        </is>
      </c>
      <c r="V497" s="10" t="inlineStr"/>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international grocery (Eastern European focus); beers and alcohol; convenience</t>
        </is>
      </c>
      <c r="AL497" s="10" t="inlineStr"/>
      <c r="AM497" s="10" t="inlineStr">
        <is>
          <t>Convenience Store</t>
        </is>
      </c>
      <c r="AN497" s="10" t="inlineStr"/>
      <c r="AO497" s="10" t="inlineStr">
        <is>
          <t>Open late (to 11pm Mon-Sat). Good alcohol range per Yorkshire.com profile.</t>
        </is>
      </c>
      <c r="AP497" s="10" t="inlineStr">
        <is>
          <t>Low</t>
        </is>
      </c>
      <c r="AQ497" s="10" t="inlineStr">
        <is>
          <t>Independent retailer; Relevant category</t>
        </is>
      </c>
      <c r="AR497" s="10" t="inlineStr">
        <is>
          <t>https://www.yorkshire.com/wakefield/shopping/corner-shops/kubus-international-food</t>
        </is>
      </c>
      <c r="AS497" s="10" t="inlineStr"/>
      <c r="AT497" s="10" t="inlineStr">
        <is>
          <t>1</t>
        </is>
      </c>
      <c r="AU497" s="10" t="inlineStr">
        <is>
          <t>No</t>
        </is>
      </c>
      <c r="AV497" s="10" t="inlineStr">
        <is>
          <t>No</t>
        </is>
      </c>
      <c r="AW497" s="10" t="inlineStr">
        <is>
          <t>No</t>
        </is>
      </c>
      <c r="AX497" s="10" t="inlineStr">
        <is>
          <t>No</t>
        </is>
      </c>
      <c r="AY497" s="10" t="inlineStr">
        <is>
          <t>Not Found</t>
        </is>
      </c>
      <c r="AZ497" s="10" t="inlineStr">
        <is>
          <t>Not Found</t>
        </is>
      </c>
      <c r="BA497" s="10" t="inlineStr">
        <is>
          <t>2026-09-17</t>
        </is>
      </c>
      <c r="BB497" s="10" t="inlineStr">
        <is>
          <t>Requires Verification</t>
        </is>
      </c>
      <c r="BC497" s="10" t="inlineStr">
        <is>
          <t>Low</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2026-09-16</t>
        </is>
      </c>
      <c r="BJ497" s="10" t="inlineStr">
        <is>
          <t>New</t>
        </is>
      </c>
      <c r="BK497" s="10" t="inlineStr">
        <is>
          <t>2026-09-17</t>
        </is>
      </c>
      <c r="BL497" s="10" t="inlineStr"/>
      <c r="BM497" s="10" t="inlineStr"/>
      <c r="BN497" s="10" t="inlineStr"/>
      <c r="BO497" s="10" t="inlineStr"/>
      <c r="BP497" s="10" t="inlineStr"/>
      <c r="BQ497" s="10" t="inlineStr"/>
    </row>
    <row r="498">
      <c r="A498" s="5" t="inlineStr">
        <is>
          <t>UK-000264</t>
        </is>
      </c>
      <c r="B498" s="5" t="inlineStr">
        <is>
          <t>UK-000264-01</t>
        </is>
      </c>
      <c r="C498" s="5" t="inlineStr"/>
      <c r="D498" s="5" t="inlineStr">
        <is>
          <t>La Vana Restaurant &amp; Shisha</t>
        </is>
      </c>
      <c r="E498" s="5" t="inlineStr">
        <is>
          <t>La Vana</t>
        </is>
      </c>
      <c r="F498" s="5" t="inlineStr"/>
      <c r="G498" s="5" t="inlineStr">
        <is>
          <t>Smoke / Shisha Shop</t>
        </is>
      </c>
      <c r="H498" s="5" t="inlineStr">
        <is>
          <t>Restaurant and shisha lounge</t>
        </is>
      </c>
      <c r="I498" s="5" t="inlineStr">
        <is>
          <t>Independent</t>
        </is>
      </c>
      <c r="J498" s="5" t="inlineStr">
        <is>
          <t>1</t>
        </is>
      </c>
      <c r="K498" s="5" t="inlineStr"/>
      <c r="L498" s="5" t="inlineStr">
        <is>
          <t>https://www.facebook.com/LaVanaShisha/</t>
        </is>
      </c>
      <c r="M498" s="5" t="inlineStr"/>
      <c r="N498" s="5" t="inlineStr"/>
      <c r="O498" s="5" t="inlineStr"/>
      <c r="P498" s="5" t="inlineStr"/>
      <c r="Q498" s="5" t="inlineStr">
        <is>
          <t>Kingston upon Hull</t>
        </is>
      </c>
      <c r="R498" s="5" t="inlineStr">
        <is>
          <t>East Riding of Yorkshire</t>
        </is>
      </c>
      <c r="S498" s="5" t="inlineStr"/>
      <c r="T498" s="5" t="inlineStr">
        <is>
          <t>Yorkshire &amp; Humber</t>
        </is>
      </c>
      <c r="U498" s="5" t="inlineStr">
        <is>
          <t>England</t>
        </is>
      </c>
      <c r="V498" s="5" t="inlineStr"/>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shisha; hookah; restaurant</t>
        </is>
      </c>
      <c r="AL498" s="5" t="inlineStr"/>
      <c r="AM498" s="5" t="inlineStr">
        <is>
          <t>Smoke / Shisha Shop</t>
        </is>
      </c>
      <c r="AN498" s="5" t="inlineStr"/>
      <c r="AO498" s="5" t="inlineStr">
        <is>
          <t>Restaurant and shisha lounge in Hull. No street address/phone in search results.</t>
        </is>
      </c>
      <c r="AP498" s="5" t="inlineStr">
        <is>
          <t>Medium</t>
        </is>
      </c>
      <c r="AQ498" s="5" t="inlineStr">
        <is>
          <t>Independent retailer; Core relevant category; Social presence</t>
        </is>
      </c>
      <c r="AR498" s="5" t="inlineStr">
        <is>
          <t>https://www.facebook.com/LaVanaShisha/</t>
        </is>
      </c>
      <c r="AS498" s="5" t="inlineStr"/>
      <c r="AT498" s="5" t="inlineStr">
        <is>
          <t>1</t>
        </is>
      </c>
      <c r="AU498" s="5" t="inlineStr">
        <is>
          <t>No</t>
        </is>
      </c>
      <c r="AV498" s="5" t="inlineStr">
        <is>
          <t>No</t>
        </is>
      </c>
      <c r="AW498" s="5" t="inlineStr">
        <is>
          <t>No</t>
        </is>
      </c>
      <c r="AX498" s="5" t="inlineStr">
        <is>
          <t>No</t>
        </is>
      </c>
      <c r="AY498" s="5" t="inlineStr">
        <is>
          <t>Not Found</t>
        </is>
      </c>
      <c r="AZ498" s="5" t="inlineStr">
        <is>
          <t>Not Found</t>
        </is>
      </c>
      <c r="BA498" s="5" t="inlineStr">
        <is>
          <t>2026-09-17</t>
        </is>
      </c>
      <c r="BB498" s="5" t="inlineStr">
        <is>
          <t>Requires Verification</t>
        </is>
      </c>
      <c r="BC498" s="5" t="inlineStr">
        <is>
          <t>Low</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UK-000486</t>
        </is>
      </c>
      <c r="B499" s="10" t="inlineStr">
        <is>
          <t>UK-000486-01</t>
        </is>
      </c>
      <c r="C499" s="10" t="inlineStr"/>
      <c r="D499" s="10" t="inlineStr">
        <is>
          <t>Land of Vapes</t>
        </is>
      </c>
      <c r="E499" s="10" t="inlineStr">
        <is>
          <t>Land of Vapes</t>
        </is>
      </c>
      <c r="F499" s="10" t="inlineStr"/>
      <c r="G499" s="10" t="inlineStr">
        <is>
          <t>Vape Shop</t>
        </is>
      </c>
      <c r="H499" s="10" t="inlineStr">
        <is>
          <t>E-liquid specialist</t>
        </is>
      </c>
      <c r="I499" s="10" t="inlineStr">
        <is>
          <t>Independent</t>
        </is>
      </c>
      <c r="J499" s="10" t="inlineStr">
        <is>
          <t>1</t>
        </is>
      </c>
      <c r="K499" s="10" t="inlineStr"/>
      <c r="L499" s="10" t="inlineStr">
        <is>
          <t>https://www.facebook.com/LandofVapes1/</t>
        </is>
      </c>
      <c r="M499" s="10" t="inlineStr"/>
      <c r="N499" s="10" t="inlineStr"/>
      <c r="O499" s="10" t="inlineStr">
        <is>
          <t>10 Broad Street</t>
        </is>
      </c>
      <c r="P499" s="10" t="inlineStr"/>
      <c r="Q499" s="10" t="inlineStr">
        <is>
          <t>Wolverhampton</t>
        </is>
      </c>
      <c r="R499" s="10" t="inlineStr">
        <is>
          <t>West Midlands</t>
        </is>
      </c>
      <c r="S499" s="10" t="inlineStr">
        <is>
          <t>WV1 1HP</t>
        </is>
      </c>
      <c r="T499" s="10" t="inlineStr">
        <is>
          <t>West Midlands</t>
        </is>
      </c>
      <c r="U499" s="10" t="inlineStr">
        <is>
          <t>England</t>
        </is>
      </c>
      <c r="V499" s="10" t="inlineStr">
        <is>
          <t>01902 426610</t>
        </is>
      </c>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is>
          <t>Best of British; Quest USA e-liquids</t>
        </is>
      </c>
      <c r="AK499" s="10" t="inlineStr">
        <is>
          <t>vape hardware; e-liquids; mods; tanks; accessories</t>
        </is>
      </c>
      <c r="AL499" s="10" t="inlineStr"/>
      <c r="AM499" s="10" t="inlineStr">
        <is>
          <t>Vape Shop</t>
        </is>
      </c>
      <c r="AN499" s="10" t="inlineStr"/>
      <c r="AO499" s="10" t="inlineStr">
        <is>
          <t>Independent city-centre vape shop, Broad Street. Stocks Best of British and Quest USA liquids plus mods/tanks.</t>
        </is>
      </c>
      <c r="AP499" s="10" t="inlineStr">
        <is>
          <t>Medium</t>
        </is>
      </c>
      <c r="AQ499" s="10" t="inlineStr">
        <is>
          <t>Independent retailer; Core relevant category; Social presence</t>
        </is>
      </c>
      <c r="AR499" s="10" t="inlineStr">
        <is>
          <t>https://ecigdirectory.co.uk/vape-shop/listing/land-of-vapes-wolverhampton</t>
        </is>
      </c>
      <c r="AS499" s="10" t="inlineStr"/>
      <c r="AT499" s="10" t="inlineStr">
        <is>
          <t>1</t>
        </is>
      </c>
      <c r="AU499" s="10" t="inlineStr">
        <is>
          <t>No</t>
        </is>
      </c>
      <c r="AV499" s="10" t="inlineStr">
        <is>
          <t>No</t>
        </is>
      </c>
      <c r="AW499" s="10" t="inlineStr">
        <is>
          <t>No</t>
        </is>
      </c>
      <c r="AX499" s="10" t="inlineStr">
        <is>
          <t>No</t>
        </is>
      </c>
      <c r="AY499" s="10" t="inlineStr">
        <is>
          <t>Verified directory</t>
        </is>
      </c>
      <c r="AZ499" s="10" t="inlineStr">
        <is>
          <t>Not Found</t>
        </is>
      </c>
      <c r="BA499" s="10" t="inlineStr">
        <is>
          <t>2026-09-17</t>
        </is>
      </c>
      <c r="BB499" s="10" t="inlineStr">
        <is>
          <t>Requires Verification</t>
        </is>
      </c>
      <c r="BC499" s="10" t="inlineStr">
        <is>
          <t>Medium</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2026-09-17</t>
        </is>
      </c>
      <c r="BJ499" s="10" t="inlineStr">
        <is>
          <t>New</t>
        </is>
      </c>
      <c r="BK499" s="10" t="inlineStr">
        <is>
          <t>2026-09-17</t>
        </is>
      </c>
      <c r="BL499" s="10" t="inlineStr"/>
      <c r="BM499" s="10" t="inlineStr"/>
      <c r="BN499" s="10" t="inlineStr"/>
      <c r="BO499" s="10" t="inlineStr"/>
      <c r="BP499" s="10" t="inlineStr"/>
      <c r="BQ499" s="10" t="inlineStr"/>
    </row>
    <row r="500">
      <c r="A500" s="5" t="inlineStr">
        <is>
          <t>WY-0108</t>
        </is>
      </c>
      <c r="B500" s="5" t="inlineStr">
        <is>
          <t>WY-0108-01</t>
        </is>
      </c>
      <c r="C500" s="5" t="inlineStr"/>
      <c r="D500" s="5" t="inlineStr">
        <is>
          <t>Latitude Wine &amp; Liquor Merchant</t>
        </is>
      </c>
      <c r="E500" s="5" t="inlineStr">
        <is>
          <t>Latitude Wine &amp; Liquor Merchant</t>
        </is>
      </c>
      <c r="F500" s="5" t="inlineStr"/>
      <c r="G500" s="5" t="inlineStr">
        <is>
          <t>Off-Licence</t>
        </is>
      </c>
      <c r="H500" s="5" t="inlineStr">
        <is>
          <t>Specialist wine and spirits merchant</t>
        </is>
      </c>
      <c r="I500" s="5" t="inlineStr">
        <is>
          <t>Independent</t>
        </is>
      </c>
      <c r="J500" s="5" t="inlineStr">
        <is>
          <t>1</t>
        </is>
      </c>
      <c r="K500" s="5" t="inlineStr">
        <is>
          <t>https://latitudewine.co.uk/</t>
        </is>
      </c>
      <c r="L500" s="5" t="inlineStr"/>
      <c r="M500" s="5" t="inlineStr"/>
      <c r="N500" s="5" t="inlineStr"/>
      <c r="O500" s="5" t="inlineStr">
        <is>
          <t>5 Cherry Tree Walk</t>
        </is>
      </c>
      <c r="P500" s="5" t="inlineStr">
        <is>
          <t>The Calls, City Centre</t>
        </is>
      </c>
      <c r="Q500" s="5" t="inlineStr">
        <is>
          <t>Leeds</t>
        </is>
      </c>
      <c r="R500" s="5" t="inlineStr">
        <is>
          <t>West Yorkshire</t>
        </is>
      </c>
      <c r="S500" s="5" t="inlineStr">
        <is>
          <t>LS2 7EB</t>
        </is>
      </c>
      <c r="T500" s="5" t="inlineStr">
        <is>
          <t>Yorkshire &amp; Humber</t>
        </is>
      </c>
      <c r="U500" s="5" t="inlineStr">
        <is>
          <t>England</t>
        </is>
      </c>
      <c r="V500" s="5" t="inlineStr">
        <is>
          <t>0113 245 3393</t>
        </is>
      </c>
      <c r="W500" s="5" t="inlineStr"/>
      <c r="X500" s="5" t="inlineStr"/>
      <c r="Y500" s="5" t="inlineStr"/>
      <c r="Z500" s="5" t="inlineStr">
        <is>
          <t>sales@latitudewine.co.uk</t>
        </is>
      </c>
      <c r="AA500" s="5" t="inlineStr"/>
      <c r="AB500" s="5" t="inlineStr"/>
      <c r="AC500" s="5" t="inlineStr"/>
      <c r="AD500" s="5" t="inlineStr"/>
      <c r="AE500" s="5" t="inlineStr"/>
      <c r="AF500" s="5" t="inlineStr"/>
      <c r="AG500" s="5" t="inlineStr"/>
      <c r="AH500" s="5" t="inlineStr"/>
      <c r="AI500" s="5" t="inlineStr"/>
      <c r="AJ500" s="5" t="inlineStr"/>
      <c r="AK500" s="5" t="inlineStr">
        <is>
          <t>wine; spirits; craft beer</t>
        </is>
      </c>
      <c r="AL500" s="5" t="inlineStr"/>
      <c r="AM500" s="5" t="inlineStr">
        <is>
          <t>Off-Licence</t>
        </is>
      </c>
      <c r="AN500" s="5" t="inlineStr"/>
      <c r="AO500" s="5" t="inlineStr">
        <is>
          <t>Independent city-centre wine and spirits merchant; Mon-Sat 10:00-19:00.</t>
        </is>
      </c>
      <c r="AP500" s="5" t="inlineStr">
        <is>
          <t>Medium</t>
        </is>
      </c>
      <c r="AQ500" s="5" t="inlineStr">
        <is>
          <t>Independent retailer; Relevant category; Public trade/sales contact; Active website</t>
        </is>
      </c>
      <c r="AR500" s="5" t="inlineStr">
        <is>
          <t>https://latitudewine.co.uk/</t>
        </is>
      </c>
      <c r="AS500" s="5" t="inlineStr">
        <is>
          <t>https://latitudewine.co.uk/pages/contact-us</t>
        </is>
      </c>
      <c r="AT500" s="5" t="inlineStr">
        <is>
          <t>3</t>
        </is>
      </c>
      <c r="AU500" s="5" t="inlineStr">
        <is>
          <t>No</t>
        </is>
      </c>
      <c r="AV500" s="5" t="inlineStr">
        <is>
          <t>No</t>
        </is>
      </c>
      <c r="AW500" s="5" t="inlineStr">
        <is>
          <t>Yes</t>
        </is>
      </c>
      <c r="AX500" s="5" t="inlineStr">
        <is>
          <t>No</t>
        </is>
      </c>
      <c r="AY500" s="5" t="inlineStr">
        <is>
          <t>Verified directory</t>
        </is>
      </c>
      <c r="AZ500" s="5" t="inlineStr">
        <is>
          <t>Website Found</t>
        </is>
      </c>
      <c r="BA500" s="5" t="inlineStr">
        <is>
          <t>2026-09-17</t>
        </is>
      </c>
      <c r="BB500" s="5" t="inlineStr">
        <is>
          <t>Partially Verified</t>
        </is>
      </c>
      <c r="BC500" s="5" t="inlineStr">
        <is>
          <t>Medium</t>
        </is>
      </c>
      <c r="BD500" s="5" t="inlineStr"/>
      <c r="BE500" s="5" t="inlineStr">
        <is>
          <t>Business (B2B)</t>
        </is>
      </c>
      <c r="BF500" s="5" t="inlineStr">
        <is>
          <t>Legitimate interest (B2B) - assess per campaign; PECR: corporate subscribers</t>
        </is>
      </c>
      <c r="BG500" s="5" t="inlineStr"/>
      <c r="BH500" s="5" t="inlineStr">
        <is>
          <t>No</t>
        </is>
      </c>
      <c r="BI500" s="5" t="inlineStr">
        <is>
          <t>2026-09-16</t>
        </is>
      </c>
      <c r="BJ500" s="5" t="inlineStr">
        <is>
          <t>New</t>
        </is>
      </c>
      <c r="BK500" s="5" t="inlineStr">
        <is>
          <t>2026-09-17</t>
        </is>
      </c>
      <c r="BL500" s="5" t="inlineStr"/>
      <c r="BM500" s="5" t="inlineStr"/>
      <c r="BN500" s="5" t="inlineStr"/>
      <c r="BO500" s="5" t="inlineStr"/>
      <c r="BP500" s="5" t="inlineStr"/>
      <c r="BQ500" s="5" t="inlineStr"/>
    </row>
    <row r="501">
      <c r="A501" s="10" t="inlineStr">
        <is>
          <t>UK-000626</t>
        </is>
      </c>
      <c r="B501" s="10" t="inlineStr">
        <is>
          <t>UK-000626-01</t>
        </is>
      </c>
      <c r="C501" s="10" t="inlineStr"/>
      <c r="D501" s="10" t="inlineStr">
        <is>
          <t>Lauries Afro Caribbean Food Centre</t>
        </is>
      </c>
      <c r="E501" s="10" t="inlineStr">
        <is>
          <t>Lauries</t>
        </is>
      </c>
      <c r="F501" s="10" t="inlineStr"/>
      <c r="G501" s="10" t="inlineStr">
        <is>
          <t>Independent Supermarket</t>
        </is>
      </c>
      <c r="H501" s="10" t="inlineStr">
        <is>
          <t>Afro-Caribbean food store</t>
        </is>
      </c>
      <c r="I501" s="10" t="inlineStr">
        <is>
          <t>Independent</t>
        </is>
      </c>
      <c r="J501" s="10" t="inlineStr">
        <is>
          <t>1</t>
        </is>
      </c>
      <c r="K501" s="10" t="inlineStr"/>
      <c r="L501" s="10" t="inlineStr"/>
      <c r="M501" s="10" t="inlineStr"/>
      <c r="N501" s="10" t="inlineStr"/>
      <c r="O501" s="10" t="inlineStr">
        <is>
          <t>86 Deptford High Street</t>
        </is>
      </c>
      <c r="P501" s="10" t="inlineStr">
        <is>
          <t>Deptford</t>
        </is>
      </c>
      <c r="Q501" s="10" t="inlineStr">
        <is>
          <t>London</t>
        </is>
      </c>
      <c r="R501" s="10" t="inlineStr">
        <is>
          <t>Greater London</t>
        </is>
      </c>
      <c r="S501" s="10" t="inlineStr">
        <is>
          <t>SE8 4RG</t>
        </is>
      </c>
      <c r="T501" s="10" t="inlineStr">
        <is>
          <t>London</t>
        </is>
      </c>
      <c r="U501" s="10" t="inlineStr">
        <is>
          <t>England</t>
        </is>
      </c>
      <c r="V501" s="10" t="inlineStr"/>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Afro-Caribbean groceries; fresh produce; frozen; fish</t>
        </is>
      </c>
      <c r="AL501" s="10" t="inlineStr"/>
      <c r="AM501" s="10" t="inlineStr">
        <is>
          <t>Independent Supermarket</t>
        </is>
      </c>
      <c r="AN501" s="10" t="inlineStr"/>
      <c r="AO501" s="10" t="inlineStr">
        <is>
          <t>Long-established independent Afro-Caribbean food centre on Deptford High Street. Address from Yell listing.</t>
        </is>
      </c>
      <c r="AP501" s="10" t="inlineStr">
        <is>
          <t>Low</t>
        </is>
      </c>
      <c r="AQ501" s="10" t="inlineStr">
        <is>
          <t>Independent retailer; Relevant category</t>
        </is>
      </c>
      <c r="AR501" s="10" t="inlineStr">
        <is>
          <t>https://www.yell.com/biz/lauries-afro-caribbean-food-centre-london-7946211/</t>
        </is>
      </c>
      <c r="AS501" s="10" t="inlineStr"/>
      <c r="AT501" s="10" t="inlineStr">
        <is>
          <t>1</t>
        </is>
      </c>
      <c r="AU501" s="10" t="inlineStr">
        <is>
          <t>No</t>
        </is>
      </c>
      <c r="AV501" s="10" t="inlineStr">
        <is>
          <t>No</t>
        </is>
      </c>
      <c r="AW501" s="10" t="inlineStr">
        <is>
          <t>No</t>
        </is>
      </c>
      <c r="AX501" s="10" t="inlineStr">
        <is>
          <t>No</t>
        </is>
      </c>
      <c r="AY501" s="10" t="inlineStr">
        <is>
          <t>Not Found</t>
        </is>
      </c>
      <c r="AZ501" s="10" t="inlineStr">
        <is>
          <t>Not Found</t>
        </is>
      </c>
      <c r="BA501" s="10" t="inlineStr">
        <is>
          <t>2026-09-17</t>
        </is>
      </c>
      <c r="BB501" s="10" t="inlineStr">
        <is>
          <t>Requires Verification</t>
        </is>
      </c>
      <c r="BC501" s="10" t="inlineStr">
        <is>
          <t>Low</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WY-0109</t>
        </is>
      </c>
      <c r="B502" s="5" t="inlineStr">
        <is>
          <t>WY-0109-01</t>
        </is>
      </c>
      <c r="C502" s="5" t="inlineStr"/>
      <c r="D502" s="5" t="inlineStr">
        <is>
          <t>Leeds Shisha Wholesale</t>
        </is>
      </c>
      <c r="E502" s="5" t="inlineStr">
        <is>
          <t>Leeds Shisha Wholesale</t>
        </is>
      </c>
      <c r="F502" s="5" t="inlineStr"/>
      <c r="G502" s="5" t="inlineStr">
        <is>
          <t>Smoke / Shisha Shop</t>
        </is>
      </c>
      <c r="H502" s="5" t="inlineStr">
        <is>
          <t>Shisha wholesale and retail supplier</t>
        </is>
      </c>
      <c r="I502" s="5" t="inlineStr">
        <is>
          <t>Independent</t>
        </is>
      </c>
      <c r="J502" s="5" t="inlineStr">
        <is>
          <t>1</t>
        </is>
      </c>
      <c r="K502" s="5" t="inlineStr"/>
      <c r="L502" s="5" t="inlineStr">
        <is>
          <t>https://www.facebook.com/p/Leeds-Shisha-Wholesale-100066917521496/</t>
        </is>
      </c>
      <c r="M502" s="5" t="inlineStr"/>
      <c r="N502" s="5" t="inlineStr"/>
      <c r="O502" s="5" t="inlineStr"/>
      <c r="P502" s="5" t="inlineStr"/>
      <c r="Q502" s="5" t="inlineStr">
        <is>
          <t>Leeds</t>
        </is>
      </c>
      <c r="R502" s="5" t="inlineStr">
        <is>
          <t>West Yorkshire</t>
        </is>
      </c>
      <c r="S502" s="5" t="inlineStr"/>
      <c r="T502" s="5" t="inlineStr">
        <is>
          <t>Yorkshire &amp; Humber</t>
        </is>
      </c>
      <c r="U502" s="5" t="inlineStr">
        <is>
          <t>England</t>
        </is>
      </c>
      <c r="V502" s="5" t="inlineStr"/>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shisha pipes; shisha flavours; coals; accessories</t>
        </is>
      </c>
      <c r="AL502" s="5" t="inlineStr"/>
      <c r="AM502" s="5" t="inlineStr">
        <is>
          <t>Smoke / Shisha Shop</t>
        </is>
      </c>
      <c r="AN502" s="5" t="inlineStr"/>
      <c r="AO502" s="5" t="inlineStr">
        <is>
          <t>Leeds-based wholesale and retail shisha supplier, delivers UK-wide; street address not published in sources found.</t>
        </is>
      </c>
      <c r="AP502" s="5" t="inlineStr">
        <is>
          <t>Medium</t>
        </is>
      </c>
      <c r="AQ502" s="5" t="inlineStr">
        <is>
          <t>Independent retailer; Core relevant category; Social presence</t>
        </is>
      </c>
      <c r="AR502" s="5" t="inlineStr">
        <is>
          <t>https://www.facebook.com/p/Leeds-Shisha-Wholesale-100066917521496/</t>
        </is>
      </c>
      <c r="AS502" s="5" t="inlineStr">
        <is>
          <t>https://leeds.cylex-uk.co.uk/company/leeds-shisha-wholesale-27498601.html</t>
        </is>
      </c>
      <c r="AT502" s="5" t="inlineStr">
        <is>
          <t>2</t>
        </is>
      </c>
      <c r="AU502" s="5" t="inlineStr">
        <is>
          <t>No</t>
        </is>
      </c>
      <c r="AV502" s="5" t="inlineStr">
        <is>
          <t>No</t>
        </is>
      </c>
      <c r="AW502" s="5" t="inlineStr">
        <is>
          <t>No</t>
        </is>
      </c>
      <c r="AX502" s="5" t="inlineStr">
        <is>
          <t>No</t>
        </is>
      </c>
      <c r="AY502" s="5" t="inlineStr">
        <is>
          <t>Not Found</t>
        </is>
      </c>
      <c r="AZ502" s="5" t="inlineStr">
        <is>
          <t>Not Found</t>
        </is>
      </c>
      <c r="BA502" s="5" t="inlineStr">
        <is>
          <t>2026-09-17</t>
        </is>
      </c>
      <c r="BB502" s="5" t="inlineStr">
        <is>
          <t>Requires Verification</t>
        </is>
      </c>
      <c r="BC502" s="5" t="inlineStr">
        <is>
          <t>Low</t>
        </is>
      </c>
      <c r="BD502" s="5" t="inlineStr"/>
      <c r="BE502" s="5" t="inlineStr">
        <is>
          <t>Business (B2B)</t>
        </is>
      </c>
      <c r="BF502" s="5" t="inlineStr">
        <is>
          <t>Legitimate interest (B2B) - assess per campaign; PECR: corporate subscribers</t>
        </is>
      </c>
      <c r="BG502" s="5" t="inlineStr"/>
      <c r="BH502" s="5" t="inlineStr">
        <is>
          <t>No</t>
        </is>
      </c>
      <c r="BI502" s="5" t="inlineStr">
        <is>
          <t>2026-09-16</t>
        </is>
      </c>
      <c r="BJ502" s="5" t="inlineStr">
        <is>
          <t>New</t>
        </is>
      </c>
      <c r="BK502" s="5" t="inlineStr">
        <is>
          <t>2026-09-17</t>
        </is>
      </c>
      <c r="BL502" s="5" t="inlineStr"/>
      <c r="BM502" s="5" t="inlineStr"/>
      <c r="BN502" s="5" t="inlineStr"/>
      <c r="BO502" s="5" t="inlineStr"/>
      <c r="BP502" s="5" t="inlineStr"/>
      <c r="BQ502" s="5" t="inlineStr"/>
    </row>
    <row r="503">
      <c r="A503" s="10" t="inlineStr">
        <is>
          <t>UK-000487</t>
        </is>
      </c>
      <c r="B503" s="10" t="inlineStr">
        <is>
          <t>UK-000487-01</t>
        </is>
      </c>
      <c r="C503" s="10" t="inlineStr"/>
      <c r="D503" s="10" t="inlineStr">
        <is>
          <t>Lewis Food Wholesalers Ltd</t>
        </is>
      </c>
      <c r="E503" s="10" t="inlineStr">
        <is>
          <t>Lewis Food Wholesalers</t>
        </is>
      </c>
      <c r="F503" s="10" t="inlineStr">
        <is>
          <t>Lewis Food Wholesalers Ltd</t>
        </is>
      </c>
      <c r="G503" s="10" t="inlineStr">
        <is>
          <t>Cash &amp; Carry</t>
        </is>
      </c>
      <c r="H503" s="10" t="inlineStr">
        <is>
          <t>Grocery &amp; food cash &amp; carry</t>
        </is>
      </c>
      <c r="I503" s="10" t="inlineStr">
        <is>
          <t>Independent</t>
        </is>
      </c>
      <c r="J503" s="10" t="inlineStr">
        <is>
          <t>1</t>
        </is>
      </c>
      <c r="K503" s="10" t="inlineStr"/>
      <c r="L503" s="10" t="inlineStr"/>
      <c r="M503" s="10" t="inlineStr"/>
      <c r="N503" s="10" t="inlineStr"/>
      <c r="O503" s="10" t="inlineStr">
        <is>
          <t>Unit 1 Trading Estate, Kelvin Way</t>
        </is>
      </c>
      <c r="P503" s="10" t="inlineStr"/>
      <c r="Q503" s="10" t="inlineStr">
        <is>
          <t>West Bromwich</t>
        </is>
      </c>
      <c r="R503" s="10" t="inlineStr">
        <is>
          <t>West Midlands</t>
        </is>
      </c>
      <c r="S503" s="10" t="inlineStr">
        <is>
          <t>B70 7TN</t>
        </is>
      </c>
      <c r="T503" s="10" t="inlineStr">
        <is>
          <t>West Midlands</t>
        </is>
      </c>
      <c r="U503" s="10" t="inlineStr">
        <is>
          <t>England</t>
        </is>
      </c>
      <c r="V503" s="10" t="inlineStr"/>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grocery wholesale; frozen; food service; drinks</t>
        </is>
      </c>
      <c r="AL503" s="10" t="inlineStr"/>
      <c r="AM503" s="10" t="inlineStr">
        <is>
          <t>Cash &amp; Carry</t>
        </is>
      </c>
      <c r="AN503" s="10" t="inlineStr"/>
      <c r="AO503" s="10" t="inlineStr">
        <is>
          <t>Independent food cash &amp; carry wholesaler, Unit 1 Trading Estate, Kelvin Way, West Bromwich B70 7TN. Address from Yell/192.com listing snippet.</t>
        </is>
      </c>
      <c r="AP503" s="10" t="inlineStr">
        <is>
          <t>Medium</t>
        </is>
      </c>
      <c r="AQ503" s="10" t="inlineStr">
        <is>
          <t>Independent retailer; Core relevant category</t>
        </is>
      </c>
      <c r="AR503" s="10" t="inlineStr">
        <is>
          <t>https://www.yell.com/biz/lewis-food-wholesalers-west-bromwich-1583979/</t>
        </is>
      </c>
      <c r="AS503" s="10" t="inlineStr"/>
      <c r="AT503" s="10" t="inlineStr">
        <is>
          <t>1</t>
        </is>
      </c>
      <c r="AU503" s="10" t="inlineStr">
        <is>
          <t>No</t>
        </is>
      </c>
      <c r="AV503" s="10" t="inlineStr">
        <is>
          <t>No</t>
        </is>
      </c>
      <c r="AW503" s="10" t="inlineStr">
        <is>
          <t>No</t>
        </is>
      </c>
      <c r="AX503" s="10" t="inlineStr">
        <is>
          <t>No</t>
        </is>
      </c>
      <c r="AY503" s="10" t="inlineStr">
        <is>
          <t>Not Found</t>
        </is>
      </c>
      <c r="AZ503" s="10" t="inlineStr">
        <is>
          <t>Not Found</t>
        </is>
      </c>
      <c r="BA503" s="10" t="inlineStr">
        <is>
          <t>2026-09-17</t>
        </is>
      </c>
      <c r="BB503" s="10" t="inlineStr">
        <is>
          <t>Requires Verification</t>
        </is>
      </c>
      <c r="BC503" s="10" t="inlineStr">
        <is>
          <t>Medium</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2026-09-17</t>
        </is>
      </c>
      <c r="BJ503" s="10" t="inlineStr">
        <is>
          <t>New</t>
        </is>
      </c>
      <c r="BK503" s="10" t="inlineStr">
        <is>
          <t>2026-09-17</t>
        </is>
      </c>
      <c r="BL503" s="10" t="inlineStr"/>
      <c r="BM503" s="10" t="inlineStr"/>
      <c r="BN503" s="10" t="inlineStr"/>
      <c r="BO503" s="10" t="inlineStr"/>
      <c r="BP503" s="10" t="inlineStr"/>
      <c r="BQ503" s="10" t="inlineStr"/>
    </row>
    <row r="504">
      <c r="A504" s="5" t="inlineStr">
        <is>
          <t>UK-000627</t>
        </is>
      </c>
      <c r="B504" s="5" t="inlineStr">
        <is>
          <t>UK-000627-01</t>
        </is>
      </c>
      <c r="C504" s="5" t="inlineStr"/>
      <c r="D504" s="5" t="inlineStr">
        <is>
          <t>Lewisham Best Food Supermarket</t>
        </is>
      </c>
      <c r="E504" s="5" t="inlineStr">
        <is>
          <t>Lewisham Best Food Supermarket</t>
        </is>
      </c>
      <c r="F504" s="5" t="inlineStr"/>
      <c r="G504" s="5" t="inlineStr">
        <is>
          <t>Independent Supermarket</t>
        </is>
      </c>
      <c r="H504" s="5" t="inlineStr">
        <is>
          <t>World food supermarket</t>
        </is>
      </c>
      <c r="I504" s="5" t="inlineStr">
        <is>
          <t>Independent</t>
        </is>
      </c>
      <c r="J504" s="5" t="inlineStr">
        <is>
          <t>1</t>
        </is>
      </c>
      <c r="K504" s="5" t="inlineStr"/>
      <c r="L504" s="5" t="inlineStr"/>
      <c r="M504" s="5" t="inlineStr"/>
      <c r="N504" s="5" t="inlineStr"/>
      <c r="O504" s="5" t="inlineStr"/>
      <c r="P504" s="5" t="inlineStr"/>
      <c r="Q504" s="5" t="inlineStr">
        <is>
          <t>London</t>
        </is>
      </c>
      <c r="R504" s="5" t="inlineStr">
        <is>
          <t>Greater London</t>
        </is>
      </c>
      <c r="S504" s="5" t="inlineStr"/>
      <c r="T504" s="5" t="inlineStr">
        <is>
          <t>London</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world groceries; fresh produce</t>
        </is>
      </c>
      <c r="AL504" s="5" t="inlineStr"/>
      <c r="AM504" s="5" t="inlineStr">
        <is>
          <t>Independent Supermarket</t>
        </is>
      </c>
      <c r="AN504" s="5" t="inlineStr"/>
      <c r="AO504" s="5" t="inlineStr">
        <is>
          <t>Independent world-food supermarket in Lewisham. Full address/postcode not confirmed in snippet.</t>
        </is>
      </c>
      <c r="AP504" s="5" t="inlineStr">
        <is>
          <t>Low</t>
        </is>
      </c>
      <c r="AQ504" s="5" t="inlineStr">
        <is>
          <t>Independent retailer; Relevant category</t>
        </is>
      </c>
      <c r="AR504" s="5" t="inlineStr">
        <is>
          <t>https://www.yell.com/biz/lewisham-best-food-supermarket-london-9473572/</t>
        </is>
      </c>
      <c r="AS504" s="5" t="inlineStr"/>
      <c r="AT504" s="5" t="inlineStr">
        <is>
          <t>1</t>
        </is>
      </c>
      <c r="AU504" s="5" t="inlineStr">
        <is>
          <t>No</t>
        </is>
      </c>
      <c r="AV504" s="5" t="inlineStr">
        <is>
          <t>No</t>
        </is>
      </c>
      <c r="AW504" s="5" t="inlineStr">
        <is>
          <t>No</t>
        </is>
      </c>
      <c r="AX504" s="5" t="inlineStr">
        <is>
          <t>No</t>
        </is>
      </c>
      <c r="AY504" s="5" t="inlineStr">
        <is>
          <t>Not Found</t>
        </is>
      </c>
      <c r="AZ504" s="5" t="inlineStr">
        <is>
          <t>Not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2026-09-17</t>
        </is>
      </c>
      <c r="BJ504" s="5" t="inlineStr">
        <is>
          <t>New</t>
        </is>
      </c>
      <c r="BK504" s="5" t="inlineStr">
        <is>
          <t>2026-09-17</t>
        </is>
      </c>
      <c r="BL504" s="5" t="inlineStr"/>
      <c r="BM504" s="5" t="inlineStr"/>
      <c r="BN504" s="5" t="inlineStr"/>
      <c r="BO504" s="5" t="inlineStr"/>
      <c r="BP504" s="5" t="inlineStr"/>
      <c r="BQ504" s="5" t="inlineStr"/>
    </row>
    <row r="505">
      <c r="A505" s="10" t="inlineStr">
        <is>
          <t>UK-000628</t>
        </is>
      </c>
      <c r="B505" s="10" t="inlineStr">
        <is>
          <t>UK-000628-01</t>
        </is>
      </c>
      <c r="C505" s="10" t="inlineStr"/>
      <c r="D505" s="10" t="inlineStr">
        <is>
          <t>Leyton Food</t>
        </is>
      </c>
      <c r="E505" s="10" t="inlineStr">
        <is>
          <t>Leyton Food</t>
        </is>
      </c>
      <c r="F505" s="10" t="inlineStr"/>
      <c r="G505" s="10" t="inlineStr">
        <is>
          <t>Convenience Store</t>
        </is>
      </c>
      <c r="H505" s="10" t="inlineStr">
        <is>
          <t>Convenience &amp; grocery</t>
        </is>
      </c>
      <c r="I505" s="10" t="inlineStr">
        <is>
          <t>Independent</t>
        </is>
      </c>
      <c r="J505" s="10" t="inlineStr">
        <is>
          <t>1</t>
        </is>
      </c>
      <c r="K505" s="10" t="inlineStr"/>
      <c r="L505" s="10" t="inlineStr"/>
      <c r="M505" s="10" t="inlineStr"/>
      <c r="N505" s="10" t="inlineStr"/>
      <c r="O505" s="10" t="inlineStr">
        <is>
          <t>124 High Road Leyton</t>
        </is>
      </c>
      <c r="P505" s="10" t="inlineStr"/>
      <c r="Q505" s="10" t="inlineStr">
        <is>
          <t>Leyton</t>
        </is>
      </c>
      <c r="R505" s="10" t="inlineStr">
        <is>
          <t>Greater London</t>
        </is>
      </c>
      <c r="S505" s="10" t="inlineStr">
        <is>
          <t>E15 2BX</t>
        </is>
      </c>
      <c r="T505" s="10" t="inlineStr">
        <is>
          <t>London</t>
        </is>
      </c>
      <c r="U505" s="10" t="inlineStr">
        <is>
          <t>England</t>
        </is>
      </c>
      <c r="V505" s="10" t="inlineStr"/>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groceries; alcohol; tobacco</t>
        </is>
      </c>
      <c r="AL505" s="10" t="inlineStr"/>
      <c r="AM505" s="10" t="inlineStr">
        <is>
          <t>Convenience Store</t>
        </is>
      </c>
      <c r="AN505" s="10" t="inlineStr"/>
      <c r="AO505" s="10" t="inlineStr">
        <is>
          <t>Convenience/grocery store on High Road Leyton. Address/postcode from Yell directory. Phone not in snippet.</t>
        </is>
      </c>
      <c r="AP505" s="10" t="inlineStr">
        <is>
          <t>Low</t>
        </is>
      </c>
      <c r="AQ505" s="10" t="inlineStr">
        <is>
          <t>Independent retailer; Relevant category</t>
        </is>
      </c>
      <c r="AR505" s="10" t="inlineStr">
        <is>
          <t>https://www.yell.com/s/vape+shops-stratford-east+london.html</t>
        </is>
      </c>
      <c r="AS505" s="10" t="inlineStr"/>
      <c r="AT505" s="10" t="inlineStr">
        <is>
          <t>1</t>
        </is>
      </c>
      <c r="AU505" s="10" t="inlineStr">
        <is>
          <t>No</t>
        </is>
      </c>
      <c r="AV505" s="10" t="inlineStr">
        <is>
          <t>No</t>
        </is>
      </c>
      <c r="AW505" s="10" t="inlineStr">
        <is>
          <t>No</t>
        </is>
      </c>
      <c r="AX505" s="10" t="inlineStr">
        <is>
          <t>No</t>
        </is>
      </c>
      <c r="AY505" s="10" t="inlineStr">
        <is>
          <t>Not Found</t>
        </is>
      </c>
      <c r="AZ505" s="10" t="inlineStr">
        <is>
          <t>Not Found</t>
        </is>
      </c>
      <c r="BA505" s="10" t="inlineStr">
        <is>
          <t>2026-09-17</t>
        </is>
      </c>
      <c r="BB505" s="10" t="inlineStr">
        <is>
          <t>Requires Verification</t>
        </is>
      </c>
      <c r="BC505" s="10" t="inlineStr">
        <is>
          <t>Low</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UK-000488</t>
        </is>
      </c>
      <c r="B506" s="5" t="inlineStr">
        <is>
          <t>UK-000488-01</t>
        </is>
      </c>
      <c r="C506" s="5" t="inlineStr"/>
      <c r="D506" s="5" t="inlineStr">
        <is>
          <t>Lioncroft Wholesale Ltd</t>
        </is>
      </c>
      <c r="E506" s="5" t="inlineStr">
        <is>
          <t>Lioncroft Wholesale</t>
        </is>
      </c>
      <c r="F506" s="5" t="inlineStr">
        <is>
          <t>Lioncroft Wholesale Ltd</t>
        </is>
      </c>
      <c r="G506" s="5" t="inlineStr">
        <is>
          <t>Cash &amp; Carry</t>
        </is>
      </c>
      <c r="H506" s="5" t="inlineStr">
        <is>
          <t>Food &amp; drink wholesaler / cash &amp; carry</t>
        </is>
      </c>
      <c r="I506" s="5" t="inlineStr">
        <is>
          <t>Independent</t>
        </is>
      </c>
      <c r="J506" s="5" t="inlineStr">
        <is>
          <t>1</t>
        </is>
      </c>
      <c r="K506" s="5" t="inlineStr">
        <is>
          <t>https://lioncroftwholesale.co.uk/</t>
        </is>
      </c>
      <c r="L506" s="5" t="inlineStr"/>
      <c r="M506" s="5" t="inlineStr"/>
      <c r="N506" s="5" t="inlineStr"/>
      <c r="O506" s="5" t="inlineStr"/>
      <c r="P506" s="5" t="inlineStr"/>
      <c r="Q506" s="5" t="inlineStr">
        <is>
          <t>Birmingham</t>
        </is>
      </c>
      <c r="R506" s="5" t="inlineStr">
        <is>
          <t>West Midlands</t>
        </is>
      </c>
      <c r="S506" s="5" t="inlineStr"/>
      <c r="T506" s="5" t="inlineStr">
        <is>
          <t>West Midlands</t>
        </is>
      </c>
      <c r="U506" s="5" t="inlineStr">
        <is>
          <t>England</t>
        </is>
      </c>
      <c r="V506" s="5" t="inlineStr"/>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wholesale food &amp; drink (16,000+ products)</t>
        </is>
      </c>
      <c r="AL506" s="5" t="inlineStr"/>
      <c r="AM506" s="5" t="inlineStr">
        <is>
          <t>Cash &amp; Carry</t>
        </is>
      </c>
      <c r="AN506" s="5" t="inlineStr"/>
      <c r="AO506" s="5" t="inlineStr">
        <is>
          <t>Birmingham-based food &amp; drink wholesaler / cash &amp; carry supplying trade customers; stocks 16,000+ products. Exact depot address/postcode not captured from search snippets (WebFetch blocked) - needs confirmation.</t>
        </is>
      </c>
      <c r="AP506" s="5" t="inlineStr">
        <is>
          <t>Medium</t>
        </is>
      </c>
      <c r="AQ506" s="5" t="inlineStr">
        <is>
          <t>Independent retailer; Core relevant category; Active website</t>
        </is>
      </c>
      <c r="AR506" s="5" t="inlineStr">
        <is>
          <t>https://lioncroftwholesale.co.uk/</t>
        </is>
      </c>
      <c r="AS506" s="5" t="inlineStr"/>
      <c r="AT506" s="5" t="inlineStr">
        <is>
          <t>1</t>
        </is>
      </c>
      <c r="AU506" s="5" t="inlineStr">
        <is>
          <t>No</t>
        </is>
      </c>
      <c r="AV506" s="5" t="inlineStr">
        <is>
          <t>No</t>
        </is>
      </c>
      <c r="AW506" s="5" t="inlineStr">
        <is>
          <t>No</t>
        </is>
      </c>
      <c r="AX506" s="5" t="inlineStr">
        <is>
          <t>No</t>
        </is>
      </c>
      <c r="AY506" s="5" t="inlineStr">
        <is>
          <t>Not Found</t>
        </is>
      </c>
      <c r="AZ506" s="5" t="inlineStr">
        <is>
          <t>Website Found</t>
        </is>
      </c>
      <c r="BA506" s="5" t="inlineStr">
        <is>
          <t>2026-09-17</t>
        </is>
      </c>
      <c r="BB506" s="5" t="inlineStr">
        <is>
          <t>Requires Verification</t>
        </is>
      </c>
      <c r="BC506" s="5" t="inlineStr">
        <is>
          <t>Low</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WY-0110</t>
        </is>
      </c>
      <c r="B507" s="10" t="inlineStr">
        <is>
          <t>WY-0110-01</t>
        </is>
      </c>
      <c r="C507" s="10" t="inlineStr"/>
      <c r="D507" s="10" t="inlineStr">
        <is>
          <t>Liquid Mafia The King of Vapes</t>
        </is>
      </c>
      <c r="E507" s="10" t="inlineStr">
        <is>
          <t>Liquid Mafia</t>
        </is>
      </c>
      <c r="F507" s="10" t="inlineStr"/>
      <c r="G507" s="10" t="inlineStr">
        <is>
          <t>Vape Shop</t>
        </is>
      </c>
      <c r="H507" s="10" t="inlineStr">
        <is>
          <t>Vape retailer</t>
        </is>
      </c>
      <c r="I507" s="10" t="inlineStr">
        <is>
          <t>Independent</t>
        </is>
      </c>
      <c r="J507" s="10" t="inlineStr">
        <is>
          <t>1</t>
        </is>
      </c>
      <c r="K507" s="10" t="inlineStr"/>
      <c r="L507" s="10" t="inlineStr"/>
      <c r="M507" s="10" t="inlineStr">
        <is>
          <t>https://www.instagram.com/liquidmafiaofficial/</t>
        </is>
      </c>
      <c r="N507" s="10" t="inlineStr"/>
      <c r="O507" s="10" t="inlineStr">
        <is>
          <t>506 Huddersfield Road</t>
        </is>
      </c>
      <c r="P507" s="10" t="inlineStr">
        <is>
          <t>Ravensthorpe</t>
        </is>
      </c>
      <c r="Q507" s="10" t="inlineStr">
        <is>
          <t>Dewsbury</t>
        </is>
      </c>
      <c r="R507" s="10" t="inlineStr">
        <is>
          <t>West Yorkshire</t>
        </is>
      </c>
      <c r="S507" s="10" t="inlineStr">
        <is>
          <t>WF13 3ET</t>
        </is>
      </c>
      <c r="T507" s="10" t="inlineStr">
        <is>
          <t>Yorkshire &amp; Humber</t>
        </is>
      </c>
      <c r="U507" s="10" t="inlineStr">
        <is>
          <t>England</t>
        </is>
      </c>
      <c r="V507" s="10" t="inlineStr">
        <is>
          <t>07512 340800</t>
        </is>
      </c>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vape hardware; e-liquids; disposable vapes</t>
        </is>
      </c>
      <c r="AL507" s="10" t="inlineStr"/>
      <c r="AM507" s="10" t="inlineStr">
        <is>
          <t>Vape Shop</t>
        </is>
      </c>
      <c r="AN507" s="10" t="inlineStr"/>
      <c r="AO507" s="10" t="inlineStr">
        <is>
          <t>Open 10:30-22:00 daily. Instagram bio lists an alternative mobile 07746 183134.</t>
        </is>
      </c>
      <c r="AP507" s="10" t="inlineStr">
        <is>
          <t>Medium</t>
        </is>
      </c>
      <c r="AQ507" s="10" t="inlineStr">
        <is>
          <t>Independent retailer; Core relevant category; Social presence</t>
        </is>
      </c>
      <c r="AR507" s="10" t="inlineStr">
        <is>
          <t>https://www.instagram.com/liquidmafiaofficial/</t>
        </is>
      </c>
      <c r="AS507" s="10" t="inlineStr">
        <is>
          <t>https://vapemaps.co/england/west-yorkshire/dewsbury/liquid-mafia-the-king-of-vapes/8788</t>
        </is>
      </c>
      <c r="AT507" s="10" t="inlineStr">
        <is>
          <t>3</t>
        </is>
      </c>
      <c r="AU507" s="10" t="inlineStr">
        <is>
          <t>No</t>
        </is>
      </c>
      <c r="AV507" s="10" t="inlineStr">
        <is>
          <t>No</t>
        </is>
      </c>
      <c r="AW507" s="10" t="inlineStr">
        <is>
          <t>No</t>
        </is>
      </c>
      <c r="AX507" s="10" t="inlineStr">
        <is>
          <t>No</t>
        </is>
      </c>
      <c r="AY507" s="10" t="inlineStr">
        <is>
          <t>Verified directory</t>
        </is>
      </c>
      <c r="AZ507" s="10" t="inlineStr">
        <is>
          <t>Not Found</t>
        </is>
      </c>
      <c r="BA507" s="10" t="inlineStr">
        <is>
          <t>2026-09-17</t>
        </is>
      </c>
      <c r="BB507" s="10" t="inlineStr">
        <is>
          <t>Requires Verification</t>
        </is>
      </c>
      <c r="BC507" s="10" t="inlineStr">
        <is>
          <t>Medium</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2026-09-16</t>
        </is>
      </c>
      <c r="BJ507" s="10" t="inlineStr">
        <is>
          <t>New</t>
        </is>
      </c>
      <c r="BK507" s="10" t="inlineStr">
        <is>
          <t>2026-09-17</t>
        </is>
      </c>
      <c r="BL507" s="10" t="inlineStr"/>
      <c r="BM507" s="10" t="inlineStr"/>
      <c r="BN507" s="10" t="inlineStr"/>
      <c r="BO507" s="10" t="inlineStr"/>
      <c r="BP507" s="10" t="inlineStr"/>
      <c r="BQ507" s="10" t="inlineStr"/>
    </row>
    <row r="508">
      <c r="A508" s="5" t="inlineStr">
        <is>
          <t>UK-000489</t>
        </is>
      </c>
      <c r="B508" s="5" t="inlineStr">
        <is>
          <t>UK-000489-01</t>
        </is>
      </c>
      <c r="C508" s="5" t="inlineStr"/>
      <c r="D508" s="5" t="inlineStr">
        <is>
          <t>Liquor Bins</t>
        </is>
      </c>
      <c r="E508" s="5" t="inlineStr">
        <is>
          <t>Liquor Bins</t>
        </is>
      </c>
      <c r="F508" s="5" t="inlineStr"/>
      <c r="G508" s="5" t="inlineStr">
        <is>
          <t>Off-Licence</t>
        </is>
      </c>
      <c r="H508" s="5" t="inlineStr">
        <is>
          <t>Off-licence &amp; convenience</t>
        </is>
      </c>
      <c r="I508" s="5" t="inlineStr">
        <is>
          <t>Independent</t>
        </is>
      </c>
      <c r="J508" s="5" t="inlineStr">
        <is>
          <t>1</t>
        </is>
      </c>
      <c r="K508" s="5" t="inlineStr"/>
      <c r="L508" s="5" t="inlineStr"/>
      <c r="M508" s="5" t="inlineStr"/>
      <c r="N508" s="5" t="inlineStr"/>
      <c r="O508" s="5" t="inlineStr">
        <is>
          <t>468-470 Bearwood Road</t>
        </is>
      </c>
      <c r="P508" s="5" t="inlineStr">
        <is>
          <t>Bearwood</t>
        </is>
      </c>
      <c r="Q508" s="5" t="inlineStr">
        <is>
          <t>Smethwick</t>
        </is>
      </c>
      <c r="R508" s="5" t="inlineStr">
        <is>
          <t>West Midlands</t>
        </is>
      </c>
      <c r="S508" s="5" t="inlineStr">
        <is>
          <t>B66 4HA</t>
        </is>
      </c>
      <c r="T508" s="5" t="inlineStr">
        <is>
          <t>West Midlands</t>
        </is>
      </c>
      <c r="U508" s="5" t="inlineStr">
        <is>
          <t>England</t>
        </is>
      </c>
      <c r="V508" s="5" t="inlineStr"/>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beers; wines; spirits; convenience</t>
        </is>
      </c>
      <c r="AL508" s="5" t="inlineStr"/>
      <c r="AM508" s="5" t="inlineStr">
        <is>
          <t>Off-Licence</t>
        </is>
      </c>
      <c r="AN508" s="5" t="inlineStr"/>
      <c r="AO508" s="5" t="inlineStr">
        <is>
          <t>Independent off-licence, 468-470 Bearwood Road, Bearwood, Smethwick. Address from Yell Bearwood/Smethwick off-licences listing snippet.</t>
        </is>
      </c>
      <c r="AP508" s="5" t="inlineStr">
        <is>
          <t>Low</t>
        </is>
      </c>
      <c r="AQ508" s="5" t="inlineStr">
        <is>
          <t>Independent retailer; Relevant category</t>
        </is>
      </c>
      <c r="AR508" s="5" t="inlineStr">
        <is>
          <t>https://www.yell.com/s/off+licences-bearwood.html</t>
        </is>
      </c>
      <c r="AS508" s="5" t="inlineStr"/>
      <c r="AT508" s="5" t="inlineStr">
        <is>
          <t>1</t>
        </is>
      </c>
      <c r="AU508" s="5" t="inlineStr">
        <is>
          <t>No</t>
        </is>
      </c>
      <c r="AV508" s="5" t="inlineStr">
        <is>
          <t>No</t>
        </is>
      </c>
      <c r="AW508" s="5" t="inlineStr">
        <is>
          <t>No</t>
        </is>
      </c>
      <c r="AX508" s="5" t="inlineStr">
        <is>
          <t>No</t>
        </is>
      </c>
      <c r="AY508" s="5" t="inlineStr">
        <is>
          <t>Not Found</t>
        </is>
      </c>
      <c r="AZ508" s="5" t="inlineStr">
        <is>
          <t>Not Found</t>
        </is>
      </c>
      <c r="BA508" s="5" t="inlineStr">
        <is>
          <t>2026-09-17</t>
        </is>
      </c>
      <c r="BB508" s="5" t="inlineStr">
        <is>
          <t>Requires Verification</t>
        </is>
      </c>
      <c r="BC508" s="5" t="inlineStr">
        <is>
          <t>Medium</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UK-000794</t>
        </is>
      </c>
      <c r="B509" s="10" t="inlineStr">
        <is>
          <t>UK-000794-01</t>
        </is>
      </c>
      <c r="C509" s="10" t="inlineStr"/>
      <c r="D509" s="10" t="inlineStr">
        <is>
          <t>Liverpool 8 Superstore</t>
        </is>
      </c>
      <c r="E509" s="10" t="inlineStr">
        <is>
          <t>Liverpool 8 Superstore</t>
        </is>
      </c>
      <c r="F509" s="10" t="inlineStr"/>
      <c r="G509" s="10" t="inlineStr">
        <is>
          <t>Independent Supermarket</t>
        </is>
      </c>
      <c r="H509" s="10" t="inlineStr">
        <is>
          <t>World-food / international superstore</t>
        </is>
      </c>
      <c r="I509" s="10" t="inlineStr">
        <is>
          <t>Independent</t>
        </is>
      </c>
      <c r="J509" s="10" t="inlineStr">
        <is>
          <t>1</t>
        </is>
      </c>
      <c r="K509" s="10" t="inlineStr"/>
      <c r="L509" s="10" t="inlineStr"/>
      <c r="M509" s="10" t="inlineStr"/>
      <c r="N509" s="10" t="inlineStr"/>
      <c r="O509" s="10" t="inlineStr">
        <is>
          <t>129 Lodge Lane</t>
        </is>
      </c>
      <c r="P509" s="10" t="inlineStr">
        <is>
          <t>Toxteth</t>
        </is>
      </c>
      <c r="Q509" s="10" t="inlineStr">
        <is>
          <t>Liverpool</t>
        </is>
      </c>
      <c r="R509" s="10" t="inlineStr">
        <is>
          <t>Merseyside</t>
        </is>
      </c>
      <c r="S509" s="10" t="inlineStr">
        <is>
          <t>L8 0QF</t>
        </is>
      </c>
      <c r="T509" s="10" t="inlineStr">
        <is>
          <t>North West</t>
        </is>
      </c>
      <c r="U509" s="10" t="inlineStr">
        <is>
          <t>England</t>
        </is>
      </c>
      <c r="V509" s="10" t="inlineStr"/>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international groceries; household; toiletries; baby food; bread</t>
        </is>
      </c>
      <c r="AL509" s="10" t="inlineStr"/>
      <c r="AM509" s="10" t="inlineStr">
        <is>
          <t>Independent Supermarket</t>
        </is>
      </c>
      <c r="AN509" s="10" t="inlineStr"/>
      <c r="AO509" s="10" t="inlineStr">
        <is>
          <t>Independent international/world-food superstore on Lodge Lane, Toxteth (L8). Stocks international goods, household, toiletries, baby food, bread.</t>
        </is>
      </c>
      <c r="AP509" s="10" t="inlineStr">
        <is>
          <t>Low</t>
        </is>
      </c>
      <c r="AQ509" s="10" t="inlineStr">
        <is>
          <t>Independent retailer; Relevant category</t>
        </is>
      </c>
      <c r="AR509" s="10" t="inlineStr">
        <is>
          <t>https://confidentials.com/liverpool/counter-culture-the-liverpool-8-superstore</t>
        </is>
      </c>
      <c r="AS509" s="10" t="inlineStr"/>
      <c r="AT509" s="10" t="inlineStr">
        <is>
          <t>1</t>
        </is>
      </c>
      <c r="AU509" s="10" t="inlineStr">
        <is>
          <t>No</t>
        </is>
      </c>
      <c r="AV509" s="10" t="inlineStr">
        <is>
          <t>No</t>
        </is>
      </c>
      <c r="AW509" s="10" t="inlineStr">
        <is>
          <t>No</t>
        </is>
      </c>
      <c r="AX509" s="10" t="inlineStr">
        <is>
          <t>No</t>
        </is>
      </c>
      <c r="AY509" s="10" t="inlineStr">
        <is>
          <t>Not Found</t>
        </is>
      </c>
      <c r="AZ509" s="10" t="inlineStr">
        <is>
          <t>Not Found</t>
        </is>
      </c>
      <c r="BA509" s="10" t="inlineStr">
        <is>
          <t>2026-09-17</t>
        </is>
      </c>
      <c r="BB509" s="10" t="inlineStr">
        <is>
          <t>Requires Verification</t>
        </is>
      </c>
      <c r="BC509" s="10" t="inlineStr">
        <is>
          <t>Low</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2026-09-17</t>
        </is>
      </c>
      <c r="BJ509" s="10" t="inlineStr">
        <is>
          <t>New</t>
        </is>
      </c>
      <c r="BK509" s="10" t="inlineStr">
        <is>
          <t>2026-09-17</t>
        </is>
      </c>
      <c r="BL509" s="10" t="inlineStr"/>
      <c r="BM509" s="10" t="inlineStr"/>
      <c r="BN509" s="10" t="inlineStr"/>
      <c r="BO509" s="10" t="inlineStr"/>
      <c r="BP509" s="10" t="inlineStr"/>
      <c r="BQ509" s="10" t="inlineStr"/>
    </row>
    <row r="510">
      <c r="A510" s="5" t="inlineStr">
        <is>
          <t>UK-000795</t>
        </is>
      </c>
      <c r="B510" s="5" t="inlineStr">
        <is>
          <t>UK-000795-01</t>
        </is>
      </c>
      <c r="C510" s="5" t="inlineStr"/>
      <c r="D510" s="5" t="inlineStr">
        <is>
          <t>Liverpool Vape Shack</t>
        </is>
      </c>
      <c r="E510" s="5" t="inlineStr">
        <is>
          <t>Vape Shack</t>
        </is>
      </c>
      <c r="F510" s="5" t="inlineStr"/>
      <c r="G510" s="5" t="inlineStr">
        <is>
          <t>Vape Shop</t>
        </is>
      </c>
      <c r="H510" s="5" t="inlineStr">
        <is>
          <t>Vape &amp; e-liquid retailer</t>
        </is>
      </c>
      <c r="I510" s="5" t="inlineStr">
        <is>
          <t>Independent</t>
        </is>
      </c>
      <c r="J510" s="5" t="inlineStr">
        <is>
          <t>1</t>
        </is>
      </c>
      <c r="K510" s="5" t="inlineStr"/>
      <c r="L510" s="5" t="inlineStr"/>
      <c r="M510" s="5" t="inlineStr"/>
      <c r="N510" s="5" t="inlineStr"/>
      <c r="O510" s="5" t="inlineStr">
        <is>
          <t>12 Church Street</t>
        </is>
      </c>
      <c r="P510" s="5" t="inlineStr"/>
      <c r="Q510" s="5" t="inlineStr">
        <is>
          <t>Prescot</t>
        </is>
      </c>
      <c r="R510" s="5" t="inlineStr">
        <is>
          <t>Merseyside</t>
        </is>
      </c>
      <c r="S510" s="5" t="inlineStr">
        <is>
          <t>L34 3LA</t>
        </is>
      </c>
      <c r="T510" s="5" t="inlineStr">
        <is>
          <t>North West</t>
        </is>
      </c>
      <c r="U510" s="5" t="inlineStr">
        <is>
          <t>England</t>
        </is>
      </c>
      <c r="V510" s="5" t="inlineStr"/>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vape hardware; e-liquids; starter kits; accessories</t>
        </is>
      </c>
      <c r="AL510" s="5" t="inlineStr"/>
      <c r="AM510" s="5" t="inlineStr">
        <is>
          <t>Vape Shop</t>
        </is>
      </c>
      <c r="AN510" s="5" t="inlineStr"/>
      <c r="AO510" s="5" t="inlineStr">
        <is>
          <t>Independent vape shop in Prescot town centre (Knowsley). Stocks flavours, starter kits, batteries and accessories.</t>
        </is>
      </c>
      <c r="AP510" s="5" t="inlineStr">
        <is>
          <t>Medium</t>
        </is>
      </c>
      <c r="AQ510" s="5" t="inlineStr">
        <is>
          <t>Independent retailer; Core relevant category</t>
        </is>
      </c>
      <c r="AR510" s="5" t="inlineStr">
        <is>
          <t>https://www.yell.com/biz/vape-shack-prescot-8046036/</t>
        </is>
      </c>
      <c r="AS510" s="5" t="inlineStr"/>
      <c r="AT510" s="5" t="inlineStr">
        <is>
          <t>1</t>
        </is>
      </c>
      <c r="AU510" s="5" t="inlineStr">
        <is>
          <t>No</t>
        </is>
      </c>
      <c r="AV510" s="5" t="inlineStr">
        <is>
          <t>No</t>
        </is>
      </c>
      <c r="AW510" s="5" t="inlineStr">
        <is>
          <t>No</t>
        </is>
      </c>
      <c r="AX510" s="5" t="inlineStr">
        <is>
          <t>No</t>
        </is>
      </c>
      <c r="AY510" s="5" t="inlineStr">
        <is>
          <t>Not Found</t>
        </is>
      </c>
      <c r="AZ510" s="5" t="inlineStr">
        <is>
          <t>Not Found</t>
        </is>
      </c>
      <c r="BA510" s="5" t="inlineStr">
        <is>
          <t>2026-09-17</t>
        </is>
      </c>
      <c r="BB510" s="5" t="inlineStr">
        <is>
          <t>Requires Verification</t>
        </is>
      </c>
      <c r="BC510" s="5" t="inlineStr">
        <is>
          <t>Low</t>
        </is>
      </c>
      <c r="BD510" s="5" t="inlineStr"/>
      <c r="BE510" s="5" t="inlineStr">
        <is>
          <t>Business (B2B)</t>
        </is>
      </c>
      <c r="BF510" s="5" t="inlineStr">
        <is>
          <t>Legitimate interest (B2B) - assess per campaign; PECR: corporate subscribers</t>
        </is>
      </c>
      <c r="BG510" s="5" t="inlineStr"/>
      <c r="BH510" s="5" t="inlineStr">
        <is>
          <t>No</t>
        </is>
      </c>
      <c r="BI510" s="5" t="inlineStr">
        <is>
          <t>2026-09-17</t>
        </is>
      </c>
      <c r="BJ510" s="5" t="inlineStr">
        <is>
          <t>New</t>
        </is>
      </c>
      <c r="BK510" s="5" t="inlineStr">
        <is>
          <t>2026-09-17</t>
        </is>
      </c>
      <c r="BL510" s="5" t="inlineStr"/>
      <c r="BM510" s="5" t="inlineStr"/>
      <c r="BN510" s="5" t="inlineStr"/>
      <c r="BO510" s="5" t="inlineStr"/>
      <c r="BP510" s="5" t="inlineStr"/>
      <c r="BQ510" s="5" t="inlineStr"/>
    </row>
    <row r="511">
      <c r="A511" s="10" t="inlineStr">
        <is>
          <t>WY-0111</t>
        </is>
      </c>
      <c r="B511" s="10" t="inlineStr">
        <is>
          <t>WY-0111-01</t>
        </is>
      </c>
      <c r="C511" s="10" t="inlineStr"/>
      <c r="D511" s="10" t="inlineStr">
        <is>
          <t>Local Convenience Store (Elsinore Avenue)</t>
        </is>
      </c>
      <c r="E511" s="10" t="inlineStr">
        <is>
          <t>Local Convenience Store</t>
        </is>
      </c>
      <c r="F511" s="10" t="inlineStr"/>
      <c r="G511" s="10" t="inlineStr">
        <is>
          <t>Convenience Store</t>
        </is>
      </c>
      <c r="H511" s="10" t="inlineStr"/>
      <c r="I511" s="10" t="inlineStr">
        <is>
          <t>Independent</t>
        </is>
      </c>
      <c r="J511" s="10" t="inlineStr">
        <is>
          <t>1</t>
        </is>
      </c>
      <c r="K511" s="10" t="inlineStr"/>
      <c r="L511" s="10" t="inlineStr"/>
      <c r="M511" s="10" t="inlineStr"/>
      <c r="N511" s="10" t="inlineStr"/>
      <c r="O511" s="10" t="inlineStr">
        <is>
          <t>12 Elsinore Avenue</t>
        </is>
      </c>
      <c r="P511" s="10" t="inlineStr"/>
      <c r="Q511" s="10" t="inlineStr">
        <is>
          <t>Elland</t>
        </is>
      </c>
      <c r="R511" s="10" t="inlineStr">
        <is>
          <t>West Yorkshire</t>
        </is>
      </c>
      <c r="S511" s="10" t="inlineStr">
        <is>
          <t>HX5 0LT</t>
        </is>
      </c>
      <c r="T511" s="10" t="inlineStr">
        <is>
          <t>Yorkshire &amp; Humber</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convenience; food and wine</t>
        </is>
      </c>
      <c r="AL511" s="10" t="inlineStr"/>
      <c r="AM511" s="10" t="inlineStr">
        <is>
          <t>Convenience Store</t>
        </is>
      </c>
      <c r="AN511" s="10" t="inlineStr"/>
      <c r="AO511" s="10" t="inlineStr">
        <is>
          <t>Directory listing gives only the generic name 'Local Convenience Store'; actual trading name may differ - verify on the ground.</t>
        </is>
      </c>
      <c r="AP511" s="10" t="inlineStr">
        <is>
          <t>Low</t>
        </is>
      </c>
      <c r="AQ511" s="10" t="inlineStr">
        <is>
          <t>Independent retailer; Relevant category</t>
        </is>
      </c>
      <c r="AR511" s="10" t="inlineStr">
        <is>
          <t>https://www.yorkshire.com/elland/shopping/corner-shops</t>
        </is>
      </c>
      <c r="AS511" s="10" t="inlineStr"/>
      <c r="AT511" s="10" t="inlineStr">
        <is>
          <t>1</t>
        </is>
      </c>
      <c r="AU511" s="10" t="inlineStr">
        <is>
          <t>No</t>
        </is>
      </c>
      <c r="AV511" s="10" t="inlineStr">
        <is>
          <t>No</t>
        </is>
      </c>
      <c r="AW511" s="10" t="inlineStr">
        <is>
          <t>No</t>
        </is>
      </c>
      <c r="AX511" s="10" t="inlineStr">
        <is>
          <t>No</t>
        </is>
      </c>
      <c r="AY511" s="10" t="inlineStr">
        <is>
          <t>Not Found</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2026-09-16</t>
        </is>
      </c>
      <c r="BJ511" s="10" t="inlineStr">
        <is>
          <t>New</t>
        </is>
      </c>
      <c r="BK511" s="10" t="inlineStr">
        <is>
          <t>2026-09-17</t>
        </is>
      </c>
      <c r="BL511" s="10" t="inlineStr"/>
      <c r="BM511" s="10" t="inlineStr"/>
      <c r="BN511" s="10" t="inlineStr"/>
      <c r="BO511" s="10" t="inlineStr"/>
      <c r="BP511" s="10" t="inlineStr"/>
      <c r="BQ511" s="10" t="inlineStr"/>
    </row>
    <row r="512">
      <c r="A512" s="5" t="inlineStr">
        <is>
          <t>WY-0112</t>
        </is>
      </c>
      <c r="B512" s="5" t="inlineStr">
        <is>
          <t>WY-0112-01</t>
        </is>
      </c>
      <c r="C512" s="5" t="inlineStr"/>
      <c r="D512" s="5" t="inlineStr">
        <is>
          <t>Local Express Off Licence</t>
        </is>
      </c>
      <c r="E512" s="5" t="inlineStr">
        <is>
          <t>Local Express Off Licence</t>
        </is>
      </c>
      <c r="F512" s="5" t="inlineStr"/>
      <c r="G512" s="5" t="inlineStr">
        <is>
          <t>Off-Licence</t>
        </is>
      </c>
      <c r="H512" s="5" t="inlineStr">
        <is>
          <t>Off-licence / beer store</t>
        </is>
      </c>
      <c r="I512" s="5" t="inlineStr">
        <is>
          <t>Independent</t>
        </is>
      </c>
      <c r="J512" s="5" t="inlineStr">
        <is>
          <t>1</t>
        </is>
      </c>
      <c r="K512" s="5" t="inlineStr"/>
      <c r="L512" s="5" t="inlineStr"/>
      <c r="M512" s="5" t="inlineStr"/>
      <c r="N512" s="5" t="inlineStr"/>
      <c r="O512" s="5" t="inlineStr">
        <is>
          <t>30 Common Road</t>
        </is>
      </c>
      <c r="P512" s="5" t="inlineStr"/>
      <c r="Q512" s="5" t="inlineStr">
        <is>
          <t>Batley</t>
        </is>
      </c>
      <c r="R512" s="5" t="inlineStr">
        <is>
          <t>West Yorkshire</t>
        </is>
      </c>
      <c r="S512" s="5" t="inlineStr"/>
      <c r="T512" s="5" t="inlineStr">
        <is>
          <t>Yorkshire &amp; Humber</t>
        </is>
      </c>
      <c r="U512" s="5" t="inlineStr">
        <is>
          <t>England</t>
        </is>
      </c>
      <c r="V512" s="5" t="inlineStr"/>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alcohol; convenience goods</t>
        </is>
      </c>
      <c r="AL512" s="5" t="inlineStr"/>
      <c r="AM512" s="5" t="inlineStr">
        <is>
          <t>Off-Licence</t>
        </is>
      </c>
      <c r="AN512" s="5" t="inlineStr"/>
      <c r="AO512" s="5" t="inlineStr"/>
      <c r="AP512" s="5" t="inlineStr">
        <is>
          <t>Low</t>
        </is>
      </c>
      <c r="AQ512" s="5" t="inlineStr">
        <is>
          <t>Independent retailer; Relevant category</t>
        </is>
      </c>
      <c r="AR512" s="5" t="inlineStr">
        <is>
          <t>https://www.bigreddirectory.com/local-express-off-licence-batley</t>
        </is>
      </c>
      <c r="AS512" s="5" t="inlineStr"/>
      <c r="AT512" s="5" t="inlineStr">
        <is>
          <t>1</t>
        </is>
      </c>
      <c r="AU512" s="5" t="inlineStr">
        <is>
          <t>No</t>
        </is>
      </c>
      <c r="AV512" s="5" t="inlineStr">
        <is>
          <t>No</t>
        </is>
      </c>
      <c r="AW512" s="5" t="inlineStr">
        <is>
          <t>No</t>
        </is>
      </c>
      <c r="AX512" s="5" t="inlineStr">
        <is>
          <t>No</t>
        </is>
      </c>
      <c r="AY512" s="5" t="inlineStr">
        <is>
          <t>Not Found</t>
        </is>
      </c>
      <c r="AZ512" s="5" t="inlineStr">
        <is>
          <t>Not Found</t>
        </is>
      </c>
      <c r="BA512" s="5" t="inlineStr">
        <is>
          <t>2026-09-17</t>
        </is>
      </c>
      <c r="BB512" s="5" t="inlineStr">
        <is>
          <t>Requires Verification</t>
        </is>
      </c>
      <c r="BC512" s="5" t="inlineStr">
        <is>
          <t>Low</t>
        </is>
      </c>
      <c r="BD512" s="5" t="inlineStr"/>
      <c r="BE512" s="5" t="inlineStr">
        <is>
          <t>Business (B2B)</t>
        </is>
      </c>
      <c r="BF512" s="5" t="inlineStr">
        <is>
          <t>Legitimate interest (B2B) - assess per campaign; PECR: corporate subscribers</t>
        </is>
      </c>
      <c r="BG512" s="5" t="inlineStr"/>
      <c r="BH512" s="5" t="inlineStr">
        <is>
          <t>No</t>
        </is>
      </c>
      <c r="BI512" s="5" t="inlineStr">
        <is>
          <t>2026-09-16</t>
        </is>
      </c>
      <c r="BJ512" s="5" t="inlineStr">
        <is>
          <t>New</t>
        </is>
      </c>
      <c r="BK512" s="5" t="inlineStr">
        <is>
          <t>2026-09-17</t>
        </is>
      </c>
      <c r="BL512" s="5" t="inlineStr"/>
      <c r="BM512" s="5" t="inlineStr"/>
      <c r="BN512" s="5" t="inlineStr"/>
      <c r="BO512" s="5" t="inlineStr"/>
      <c r="BP512" s="5" t="inlineStr"/>
      <c r="BQ512" s="5" t="inlineStr"/>
    </row>
    <row r="513">
      <c r="A513" s="10" t="inlineStr">
        <is>
          <t>WY-0113</t>
        </is>
      </c>
      <c r="B513" s="10" t="inlineStr">
        <is>
          <t>WY-0113-01</t>
        </is>
      </c>
      <c r="C513" s="10" t="inlineStr"/>
      <c r="D513" s="10" t="inlineStr">
        <is>
          <t>Londis Normanton (313 Castleford Road)</t>
        </is>
      </c>
      <c r="E513" s="10" t="inlineStr">
        <is>
          <t>Londis</t>
        </is>
      </c>
      <c r="F513" s="10" t="inlineStr"/>
      <c r="G513" s="10" t="inlineStr">
        <is>
          <t>Convenience Store</t>
        </is>
      </c>
      <c r="H513" s="10" t="inlineStr">
        <is>
          <t>Convenience store with off-licence</t>
        </is>
      </c>
      <c r="I513" s="10" t="inlineStr">
        <is>
          <t>Franchise / Symbol Group</t>
        </is>
      </c>
      <c r="J513" s="10" t="inlineStr">
        <is>
          <t>1</t>
        </is>
      </c>
      <c r="K513" s="10" t="inlineStr">
        <is>
          <t>https://www.londis.co.uk/our-stores/londis-normanton</t>
        </is>
      </c>
      <c r="L513" s="10" t="inlineStr"/>
      <c r="M513" s="10" t="inlineStr"/>
      <c r="N513" s="10" t="inlineStr"/>
      <c r="O513" s="10" t="inlineStr">
        <is>
          <t>313 Castleford Road</t>
        </is>
      </c>
      <c r="P513" s="10" t="inlineStr"/>
      <c r="Q513" s="10" t="inlineStr">
        <is>
          <t>Normanton</t>
        </is>
      </c>
      <c r="R513" s="10" t="inlineStr">
        <is>
          <t>West Yorkshire</t>
        </is>
      </c>
      <c r="S513" s="10" t="inlineStr">
        <is>
          <t>WF6 2HL</t>
        </is>
      </c>
      <c r="T513" s="10" t="inlineStr">
        <is>
          <t>Yorkshire &amp; Humber</t>
        </is>
      </c>
      <c r="U513" s="10" t="inlineStr">
        <is>
          <t>England</t>
        </is>
      </c>
      <c r="V513" s="10" t="inlineStr">
        <is>
          <t>01924 892113</t>
        </is>
      </c>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grocery; confectionery; beers, wines and spirits; food to go</t>
        </is>
      </c>
      <c r="AL513" s="10" t="inlineStr"/>
      <c r="AM513" s="10" t="inlineStr">
        <is>
          <t>Convenience Store</t>
        </is>
      </c>
      <c r="AN513" s="10" t="inlineStr">
        <is>
          <t>Londis symbol group (Booker/Tesco supply)</t>
        </is>
      </c>
      <c r="AO513" s="10" t="inlineStr">
        <is>
          <t>Independently owned symbol-group store. NOTE: a second Londis store page exists for Castleford Road, Normanton WF6 2DW (separate record) - both appear on the Londis official store finder with different postcodes and phone numbers.</t>
        </is>
      </c>
      <c r="AP513" s="10" t="inlineStr">
        <is>
          <t>Medium</t>
        </is>
      </c>
      <c r="AQ513" s="10" t="inlineStr">
        <is>
          <t>Independent retailer; Relevant category; Active website; Phone verified on official website</t>
        </is>
      </c>
      <c r="AR513" s="10" t="inlineStr">
        <is>
          <t>https://www.londis.co.uk/our-stores/londis-normanton</t>
        </is>
      </c>
      <c r="AS513" s="10" t="inlineStr"/>
      <c r="AT513" s="10" t="inlineStr">
        <is>
          <t>1</t>
        </is>
      </c>
      <c r="AU513" s="10" t="inlineStr">
        <is>
          <t>No</t>
        </is>
      </c>
      <c r="AV513" s="10" t="inlineStr">
        <is>
          <t>No</t>
        </is>
      </c>
      <c r="AW513" s="10" t="inlineStr">
        <is>
          <t>No</t>
        </is>
      </c>
      <c r="AX513" s="10" t="inlineStr">
        <is>
          <t>No</t>
        </is>
      </c>
      <c r="AY513" s="10" t="inlineStr">
        <is>
          <t>Verified on official website</t>
        </is>
      </c>
      <c r="AZ513" s="10" t="inlineStr">
        <is>
          <t>Not Found</t>
        </is>
      </c>
      <c r="BA513" s="10" t="inlineStr">
        <is>
          <t>2026-09-17</t>
        </is>
      </c>
      <c r="BB513" s="10" t="inlineStr">
        <is>
          <t>Requires Verification</t>
        </is>
      </c>
      <c r="BC513" s="10" t="inlineStr">
        <is>
          <t>Medium</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2026-09-16</t>
        </is>
      </c>
      <c r="BJ513" s="10" t="inlineStr">
        <is>
          <t>New</t>
        </is>
      </c>
      <c r="BK513" s="10" t="inlineStr">
        <is>
          <t>2026-09-17</t>
        </is>
      </c>
      <c r="BL513" s="10" t="inlineStr"/>
      <c r="BM513" s="10" t="inlineStr"/>
      <c r="BN513" s="10" t="inlineStr"/>
      <c r="BO513" s="10" t="inlineStr"/>
      <c r="BP513" s="10" t="inlineStr"/>
      <c r="BQ513" s="10" t="inlineStr"/>
    </row>
    <row r="514">
      <c r="A514" s="5" t="inlineStr">
        <is>
          <t>WY-0114</t>
        </is>
      </c>
      <c r="B514" s="5" t="inlineStr">
        <is>
          <t>WY-0114-01</t>
        </is>
      </c>
      <c r="C514" s="5" t="inlineStr"/>
      <c r="D514" s="5" t="inlineStr">
        <is>
          <t>Londis Normanton (Castleford Road, WF6 2DW)</t>
        </is>
      </c>
      <c r="E514" s="5" t="inlineStr">
        <is>
          <t>Londis</t>
        </is>
      </c>
      <c r="F514" s="5" t="inlineStr"/>
      <c r="G514" s="5" t="inlineStr">
        <is>
          <t>Convenience Store</t>
        </is>
      </c>
      <c r="H514" s="5" t="inlineStr">
        <is>
          <t>Convenience store with off-licence</t>
        </is>
      </c>
      <c r="I514" s="5" t="inlineStr">
        <is>
          <t>Franchise / Symbol Group</t>
        </is>
      </c>
      <c r="J514" s="5" t="inlineStr">
        <is>
          <t>1</t>
        </is>
      </c>
      <c r="K514" s="5" t="inlineStr">
        <is>
          <t>https://www.londis.co.uk/our-stores/normanton</t>
        </is>
      </c>
      <c r="L514" s="5" t="inlineStr"/>
      <c r="M514" s="5" t="inlineStr"/>
      <c r="N514" s="5" t="inlineStr"/>
      <c r="O514" s="5" t="inlineStr">
        <is>
          <t>Castleford Road</t>
        </is>
      </c>
      <c r="P514" s="5" t="inlineStr"/>
      <c r="Q514" s="5" t="inlineStr">
        <is>
          <t>Normanton</t>
        </is>
      </c>
      <c r="R514" s="5" t="inlineStr">
        <is>
          <t>West Yorkshire</t>
        </is>
      </c>
      <c r="S514" s="5" t="inlineStr">
        <is>
          <t>WF6 2DW</t>
        </is>
      </c>
      <c r="T514" s="5" t="inlineStr">
        <is>
          <t>Yorkshire &amp; Humber</t>
        </is>
      </c>
      <c r="U514" s="5" t="inlineStr">
        <is>
          <t>England</t>
        </is>
      </c>
      <c r="V514" s="5" t="inlineStr">
        <is>
          <t>01924 890438</t>
        </is>
      </c>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grocery; confectionery; beers, wines and spirits; fresh produce; food to go</t>
        </is>
      </c>
      <c r="AL514" s="5" t="inlineStr"/>
      <c r="AM514" s="5" t="inlineStr">
        <is>
          <t>Convenience Store</t>
        </is>
      </c>
      <c r="AN514" s="5" t="inlineStr">
        <is>
          <t>Londis symbol group (Booker/Tesco supply)</t>
        </is>
      </c>
      <c r="AO514" s="5" t="inlineStr">
        <is>
          <t>Independently owned symbol-group store. Listed on the Londis official store finder separately from the 313 Castleford Road WF6 2HL store; different postcode and phone. Flag for dedupe check on merge.</t>
        </is>
      </c>
      <c r="AP514" s="5" t="inlineStr">
        <is>
          <t>Medium</t>
        </is>
      </c>
      <c r="AQ514" s="5" t="inlineStr">
        <is>
          <t>Independent retailer; Relevant category; Active website; Phone verified on official website</t>
        </is>
      </c>
      <c r="AR514" s="5" t="inlineStr">
        <is>
          <t>https://www.londis.co.uk/our-stores/normanton</t>
        </is>
      </c>
      <c r="AS514" s="5" t="inlineStr"/>
      <c r="AT514" s="5" t="inlineStr">
        <is>
          <t>1</t>
        </is>
      </c>
      <c r="AU514" s="5" t="inlineStr">
        <is>
          <t>No</t>
        </is>
      </c>
      <c r="AV514" s="5" t="inlineStr">
        <is>
          <t>No</t>
        </is>
      </c>
      <c r="AW514" s="5" t="inlineStr">
        <is>
          <t>No</t>
        </is>
      </c>
      <c r="AX514" s="5" t="inlineStr">
        <is>
          <t>No</t>
        </is>
      </c>
      <c r="AY514" s="5" t="inlineStr">
        <is>
          <t>Verified on official website</t>
        </is>
      </c>
      <c r="AZ514" s="5" t="inlineStr">
        <is>
          <t>Not Found</t>
        </is>
      </c>
      <c r="BA514" s="5" t="inlineStr">
        <is>
          <t>2026-09-17</t>
        </is>
      </c>
      <c r="BB514" s="5" t="inlineStr">
        <is>
          <t>Requires Verification</t>
        </is>
      </c>
      <c r="BC514" s="5" t="inlineStr">
        <is>
          <t>Medium</t>
        </is>
      </c>
      <c r="BD514" s="5" t="inlineStr"/>
      <c r="BE514" s="5" t="inlineStr">
        <is>
          <t>Business (B2B)</t>
        </is>
      </c>
      <c r="BF514" s="5" t="inlineStr">
        <is>
          <t>Legitimate interest (B2B) - assess per campaign; PECR: corporate subscribers</t>
        </is>
      </c>
      <c r="BG514" s="5" t="inlineStr"/>
      <c r="BH514" s="5" t="inlineStr">
        <is>
          <t>No</t>
        </is>
      </c>
      <c r="BI514" s="5" t="inlineStr">
        <is>
          <t>2026-09-16</t>
        </is>
      </c>
      <c r="BJ514" s="5" t="inlineStr">
        <is>
          <t>New</t>
        </is>
      </c>
      <c r="BK514" s="5" t="inlineStr">
        <is>
          <t>2026-09-17</t>
        </is>
      </c>
      <c r="BL514" s="5" t="inlineStr"/>
      <c r="BM514" s="5" t="inlineStr"/>
      <c r="BN514" s="5" t="inlineStr"/>
      <c r="BO514" s="5" t="inlineStr"/>
      <c r="BP514" s="5" t="inlineStr"/>
      <c r="BQ514" s="5" t="inlineStr"/>
    </row>
    <row r="515">
      <c r="A515" s="10" t="inlineStr">
        <is>
          <t>WY-0115</t>
        </is>
      </c>
      <c r="B515" s="10" t="inlineStr">
        <is>
          <t>WY-0115-01</t>
        </is>
      </c>
      <c r="C515" s="10" t="inlineStr"/>
      <c r="D515" s="10" t="inlineStr">
        <is>
          <t>Londis Ravensthorpe</t>
        </is>
      </c>
      <c r="E515" s="10" t="inlineStr">
        <is>
          <t>Londis Ravensthorpe</t>
        </is>
      </c>
      <c r="F515" s="10" t="inlineStr"/>
      <c r="G515" s="10" t="inlineStr">
        <is>
          <t>Convenience Store</t>
        </is>
      </c>
      <c r="H515" s="10" t="inlineStr">
        <is>
          <t>Londis symbol group convenience store</t>
        </is>
      </c>
      <c r="I515" s="10" t="inlineStr">
        <is>
          <t>Franchise / Symbol Group</t>
        </is>
      </c>
      <c r="J515" s="10" t="inlineStr">
        <is>
          <t>1</t>
        </is>
      </c>
      <c r="K515" s="10" t="inlineStr">
        <is>
          <t>https://www.londis.co.uk/our-stores/londis-ravensthorpe</t>
        </is>
      </c>
      <c r="L515" s="10" t="inlineStr"/>
      <c r="M515" s="10" t="inlineStr"/>
      <c r="N515" s="10" t="inlineStr"/>
      <c r="O515" s="10" t="inlineStr"/>
      <c r="P515" s="10" t="inlineStr">
        <is>
          <t>Ravensthorpe</t>
        </is>
      </c>
      <c r="Q515" s="10" t="inlineStr">
        <is>
          <t>Dewsbury</t>
        </is>
      </c>
      <c r="R515" s="10" t="inlineStr">
        <is>
          <t>West Yorkshire</t>
        </is>
      </c>
      <c r="S515" s="10" t="inlineStr">
        <is>
          <t>WF13 3JE</t>
        </is>
      </c>
      <c r="T515" s="10" t="inlineStr">
        <is>
          <t>Yorkshire &amp; Humber</t>
        </is>
      </c>
      <c r="U515" s="10" t="inlineStr">
        <is>
          <t>England</t>
        </is>
      </c>
      <c r="V515" s="10" t="inlineStr">
        <is>
          <t>01924 461300</t>
        </is>
      </c>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convenience goods; alcohol; tobacco; groceries</t>
        </is>
      </c>
      <c r="AL515" s="10" t="inlineStr"/>
      <c r="AM515" s="10" t="inlineStr">
        <is>
          <t>Convenience Store</t>
        </is>
      </c>
      <c r="AN515" s="10" t="inlineStr">
        <is>
          <t>Londis (Booker) symbol group</t>
        </is>
      </c>
      <c r="AO515" s="10" t="inlineStr">
        <is>
          <t>Independently owned store under the Londis fascia, listed on the official Londis store locator for Ravensthorpe, Dewsbury; street address not captured (page fetch blocked).</t>
        </is>
      </c>
      <c r="AP515" s="10" t="inlineStr">
        <is>
          <t>Medium</t>
        </is>
      </c>
      <c r="AQ515" s="10" t="inlineStr">
        <is>
          <t>Independent retailer; Relevant category; Active website</t>
        </is>
      </c>
      <c r="AR515" s="10" t="inlineStr">
        <is>
          <t>https://www.londis.co.uk/our-stores/londis-ravensthorpe</t>
        </is>
      </c>
      <c r="AS515" s="10" t="inlineStr">
        <is>
          <t>https://directory.gazettelive.co.uk/company/999b46611b8a8afc4d77d779e9c8dcf7</t>
        </is>
      </c>
      <c r="AT515" s="10" t="inlineStr">
        <is>
          <t>2</t>
        </is>
      </c>
      <c r="AU515" s="10" t="inlineStr">
        <is>
          <t>No</t>
        </is>
      </c>
      <c r="AV515" s="10" t="inlineStr">
        <is>
          <t>No</t>
        </is>
      </c>
      <c r="AW515" s="10" t="inlineStr">
        <is>
          <t>No</t>
        </is>
      </c>
      <c r="AX515" s="10" t="inlineStr">
        <is>
          <t>No</t>
        </is>
      </c>
      <c r="AY515" s="10" t="inlineStr">
        <is>
          <t>Verified directory</t>
        </is>
      </c>
      <c r="AZ515" s="10" t="inlineStr">
        <is>
          <t>Not Found</t>
        </is>
      </c>
      <c r="BA515" s="10" t="inlineStr">
        <is>
          <t>2026-09-17</t>
        </is>
      </c>
      <c r="BB515" s="10" t="inlineStr">
        <is>
          <t>Requires Verification</t>
        </is>
      </c>
      <c r="BC515" s="10" t="inlineStr">
        <is>
          <t>Medium</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2026-09-16</t>
        </is>
      </c>
      <c r="BJ515" s="10" t="inlineStr">
        <is>
          <t>New</t>
        </is>
      </c>
      <c r="BK515" s="10" t="inlineStr">
        <is>
          <t>2026-09-17</t>
        </is>
      </c>
      <c r="BL515" s="10" t="inlineStr"/>
      <c r="BM515" s="10" t="inlineStr"/>
      <c r="BN515" s="10" t="inlineStr"/>
      <c r="BO515" s="10" t="inlineStr"/>
      <c r="BP515" s="10" t="inlineStr"/>
      <c r="BQ515" s="10" t="inlineStr"/>
    </row>
    <row r="516">
      <c r="A516" s="5" t="inlineStr">
        <is>
          <t>UK-000629</t>
        </is>
      </c>
      <c r="B516" s="5" t="inlineStr">
        <is>
          <t>UK-000629-01</t>
        </is>
      </c>
      <c r="C516" s="5" t="inlineStr"/>
      <c r="D516" s="5" t="inlineStr">
        <is>
          <t>London Fog Vapery</t>
        </is>
      </c>
      <c r="E516" s="5" t="inlineStr">
        <is>
          <t>London Fog Vapery</t>
        </is>
      </c>
      <c r="F516" s="5" t="inlineStr"/>
      <c r="G516" s="5" t="inlineStr">
        <is>
          <t>Vape Shop</t>
        </is>
      </c>
      <c r="H516" s="5" t="inlineStr">
        <is>
          <t>Vape hardware &amp; e-liquids</t>
        </is>
      </c>
      <c r="I516" s="5" t="inlineStr">
        <is>
          <t>Independent</t>
        </is>
      </c>
      <c r="J516" s="5" t="inlineStr">
        <is>
          <t>1</t>
        </is>
      </c>
      <c r="K516" s="5" t="inlineStr"/>
      <c r="L516" s="5" t="inlineStr"/>
      <c r="M516" s="5" t="inlineStr"/>
      <c r="N516" s="5" t="inlineStr"/>
      <c r="O516" s="5" t="inlineStr">
        <is>
          <t>222 Hornsey Road</t>
        </is>
      </c>
      <c r="P516" s="5" t="inlineStr"/>
      <c r="Q516" s="5" t="inlineStr">
        <is>
          <t>Islington</t>
        </is>
      </c>
      <c r="R516" s="5" t="inlineStr">
        <is>
          <t>Greater London</t>
        </is>
      </c>
      <c r="S516" s="5" t="inlineStr">
        <is>
          <t>N7 7LL</t>
        </is>
      </c>
      <c r="T516" s="5" t="inlineStr">
        <is>
          <t>London</t>
        </is>
      </c>
      <c r="U516" s="5" t="inlineStr">
        <is>
          <t>England</t>
        </is>
      </c>
      <c r="V516" s="5" t="inlineStr">
        <is>
          <t>07754 181177</t>
        </is>
      </c>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vape hardware; e-liquids</t>
        </is>
      </c>
      <c r="AL516" s="5" t="inlineStr"/>
      <c r="AM516" s="5" t="inlineStr">
        <is>
          <t>Vape Shop</t>
        </is>
      </c>
      <c r="AN516" s="5" t="inlineStr"/>
      <c r="AO516" s="5" t="inlineStr">
        <is>
          <t>Independent vape shop, Hornsey Road (Islington/Holloway border). Address/postcode/phone from Yell/Cylex directory listing.</t>
        </is>
      </c>
      <c r="AP516" s="5" t="inlineStr">
        <is>
          <t>Medium</t>
        </is>
      </c>
      <c r="AQ516" s="5" t="inlineStr">
        <is>
          <t>Independent retailer; Core relevant category</t>
        </is>
      </c>
      <c r="AR516" s="5" t="inlineStr">
        <is>
          <t>https://www.yell.com/s/vape+shops-islington-central+london.html</t>
        </is>
      </c>
      <c r="AS516" s="5" t="inlineStr"/>
      <c r="AT516" s="5" t="inlineStr">
        <is>
          <t>1</t>
        </is>
      </c>
      <c r="AU516" s="5" t="inlineStr">
        <is>
          <t>No</t>
        </is>
      </c>
      <c r="AV516" s="5" t="inlineStr">
        <is>
          <t>No</t>
        </is>
      </c>
      <c r="AW516" s="5" t="inlineStr">
        <is>
          <t>No</t>
        </is>
      </c>
      <c r="AX516" s="5" t="inlineStr">
        <is>
          <t>No</t>
        </is>
      </c>
      <c r="AY516" s="5" t="inlineStr">
        <is>
          <t>Verified directory</t>
        </is>
      </c>
      <c r="AZ516" s="5" t="inlineStr">
        <is>
          <t>Not Found</t>
        </is>
      </c>
      <c r="BA516" s="5" t="inlineStr">
        <is>
          <t>2026-09-17</t>
        </is>
      </c>
      <c r="BB516" s="5" t="inlineStr">
        <is>
          <t>Requires Verification</t>
        </is>
      </c>
      <c r="BC516" s="5" t="inlineStr">
        <is>
          <t>Medium</t>
        </is>
      </c>
      <c r="BD516" s="5" t="inlineStr"/>
      <c r="BE516" s="5" t="inlineStr">
        <is>
          <t>Business (B2B)</t>
        </is>
      </c>
      <c r="BF516" s="5" t="inlineStr">
        <is>
          <t>Legitimate interest (B2B) - assess per campaign; PECR: corporate subscribers</t>
        </is>
      </c>
      <c r="BG516" s="5" t="inlineStr"/>
      <c r="BH516" s="5" t="inlineStr">
        <is>
          <t>No</t>
        </is>
      </c>
      <c r="BI516" s="5" t="inlineStr">
        <is>
          <t>2026-09-17</t>
        </is>
      </c>
      <c r="BJ516" s="5" t="inlineStr">
        <is>
          <t>New</t>
        </is>
      </c>
      <c r="BK516" s="5" t="inlineStr">
        <is>
          <t>2026-09-17</t>
        </is>
      </c>
      <c r="BL516" s="5" t="inlineStr"/>
      <c r="BM516" s="5" t="inlineStr"/>
      <c r="BN516" s="5" t="inlineStr"/>
      <c r="BO516" s="5" t="inlineStr"/>
      <c r="BP516" s="5" t="inlineStr"/>
      <c r="BQ516" s="5" t="inlineStr"/>
    </row>
    <row r="517">
      <c r="A517" s="10" t="inlineStr">
        <is>
          <t>UK-000796</t>
        </is>
      </c>
      <c r="B517" s="10" t="inlineStr">
        <is>
          <t>UK-000796-01</t>
        </is>
      </c>
      <c r="C517" s="10" t="inlineStr"/>
      <c r="D517" s="10" t="inlineStr">
        <is>
          <t>Loon Fung</t>
        </is>
      </c>
      <c r="E517" s="10" t="inlineStr">
        <is>
          <t>Loon Fung</t>
        </is>
      </c>
      <c r="F517" s="10" t="inlineStr"/>
      <c r="G517" s="10" t="inlineStr">
        <is>
          <t>Independent Supermarket</t>
        </is>
      </c>
      <c r="H517" s="10" t="inlineStr">
        <is>
          <t>Chinese world-food supermarket</t>
        </is>
      </c>
      <c r="I517" s="10" t="inlineStr">
        <is>
          <t>Independent</t>
        </is>
      </c>
      <c r="J517" s="10" t="inlineStr">
        <is>
          <t>1</t>
        </is>
      </c>
      <c r="K517" s="10" t="inlineStr"/>
      <c r="L517" s="10" t="inlineStr"/>
      <c r="M517" s="10" t="inlineStr"/>
      <c r="N517" s="10" t="inlineStr"/>
      <c r="O517" s="10" t="inlineStr">
        <is>
          <t>201 Leith Walk</t>
        </is>
      </c>
      <c r="P517" s="10" t="inlineStr"/>
      <c r="Q517" s="10" t="inlineStr">
        <is>
          <t>Edinburgh</t>
        </is>
      </c>
      <c r="R517" s="10" t="inlineStr">
        <is>
          <t>City of Edinburgh</t>
        </is>
      </c>
      <c r="S517" s="10" t="inlineStr">
        <is>
          <t>EH6 8NX</t>
        </is>
      </c>
      <c r="T517" s="10" t="inlineStr">
        <is>
          <t>Scotland</t>
        </is>
      </c>
      <c r="U517" s="10" t="inlineStr">
        <is>
          <t>Scotland</t>
        </is>
      </c>
      <c r="V517" s="10" t="inlineStr">
        <is>
          <t>0131 555 1098</t>
        </is>
      </c>
      <c r="W517" s="10" t="inlineStr"/>
      <c r="X517" s="10" t="inlineStr"/>
      <c r="Y517" s="10" t="inlineStr"/>
      <c r="Z517" s="10" t="inlineStr"/>
      <c r="AA517" s="10" t="inlineStr"/>
      <c r="AB517" s="10" t="inlineStr"/>
      <c r="AC517" s="10" t="inlineStr"/>
      <c r="AD517" s="10" t="inlineStr"/>
      <c r="AE517" s="10" t="inlineStr"/>
      <c r="AF517" s="10" t="inlineStr"/>
      <c r="AG517" s="10" t="inlineStr"/>
      <c r="AH517" s="10" t="inlineStr"/>
      <c r="AI517" s="10" t="inlineStr"/>
      <c r="AJ517" s="10" t="inlineStr"/>
      <c r="AK517" s="10" t="inlineStr">
        <is>
          <t>Chinese &amp; Asian groceries; frozen; dry goods</t>
        </is>
      </c>
      <c r="AL517" s="10" t="inlineStr"/>
      <c r="AM517" s="10" t="inlineStr">
        <is>
          <t>Independent Supermarket</t>
        </is>
      </c>
      <c r="AN517" s="10" t="inlineStr"/>
      <c r="AO517" s="10" t="inlineStr">
        <is>
          <t>Independent Chinese world-food supermarket on Leith Walk. Details from directory/search snippet.</t>
        </is>
      </c>
      <c r="AP517" s="10" t="inlineStr">
        <is>
          <t>Low</t>
        </is>
      </c>
      <c r="AQ517" s="10" t="inlineStr">
        <is>
          <t>Independent retailer; Relevant category</t>
        </is>
      </c>
      <c r="AR517" s="10" t="inlineStr">
        <is>
          <t>https://www.yell.com/s/asian+supermarkets-edinburgh.html</t>
        </is>
      </c>
      <c r="AS517" s="10" t="inlineStr"/>
      <c r="AT517" s="10" t="inlineStr">
        <is>
          <t>1</t>
        </is>
      </c>
      <c r="AU517" s="10" t="inlineStr">
        <is>
          <t>No</t>
        </is>
      </c>
      <c r="AV517" s="10" t="inlineStr">
        <is>
          <t>No</t>
        </is>
      </c>
      <c r="AW517" s="10" t="inlineStr">
        <is>
          <t>No</t>
        </is>
      </c>
      <c r="AX517" s="10" t="inlineStr">
        <is>
          <t>No</t>
        </is>
      </c>
      <c r="AY517" s="10" t="inlineStr">
        <is>
          <t>Verified directory</t>
        </is>
      </c>
      <c r="AZ517" s="10" t="inlineStr">
        <is>
          <t>Not Found</t>
        </is>
      </c>
      <c r="BA517" s="10" t="inlineStr">
        <is>
          <t>2026-09-17</t>
        </is>
      </c>
      <c r="BB517" s="10" t="inlineStr">
        <is>
          <t>Requires Verification</t>
        </is>
      </c>
      <c r="BC517" s="10" t="inlineStr">
        <is>
          <t>Medium</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2026-09-17</t>
        </is>
      </c>
      <c r="BJ517" s="10" t="inlineStr">
        <is>
          <t>New</t>
        </is>
      </c>
      <c r="BK517" s="10" t="inlineStr">
        <is>
          <t>2026-09-17</t>
        </is>
      </c>
      <c r="BL517" s="10" t="inlineStr"/>
      <c r="BM517" s="10" t="inlineStr"/>
      <c r="BN517" s="10" t="inlineStr"/>
      <c r="BO517" s="10" t="inlineStr"/>
      <c r="BP517" s="10" t="inlineStr"/>
      <c r="BQ517" s="10" t="inlineStr"/>
    </row>
    <row r="518">
      <c r="A518" s="5" t="inlineStr">
        <is>
          <t>UK-000797</t>
        </is>
      </c>
      <c r="B518" s="5" t="inlineStr">
        <is>
          <t>UK-000797-01</t>
        </is>
      </c>
      <c r="C518" s="5" t="inlineStr"/>
      <c r="D518" s="5" t="inlineStr">
        <is>
          <t>Lots Of Vape</t>
        </is>
      </c>
      <c r="E518" s="5" t="inlineStr">
        <is>
          <t>Lots Of Vape</t>
        </is>
      </c>
      <c r="F518" s="5" t="inlineStr"/>
      <c r="G518" s="5" t="inlineStr">
        <is>
          <t>Vape Shop</t>
        </is>
      </c>
      <c r="H518" s="5" t="inlineStr">
        <is>
          <t>Vape shop</t>
        </is>
      </c>
      <c r="I518" s="5" t="inlineStr">
        <is>
          <t>Independent</t>
        </is>
      </c>
      <c r="J518" s="5" t="inlineStr">
        <is>
          <t>1</t>
        </is>
      </c>
      <c r="K518" s="5" t="inlineStr"/>
      <c r="L518" s="5" t="inlineStr"/>
      <c r="M518" s="5" t="inlineStr"/>
      <c r="N518" s="5" t="inlineStr"/>
      <c r="O518" s="5" t="inlineStr">
        <is>
          <t>131 Forefield Lane</t>
        </is>
      </c>
      <c r="P518" s="5" t="inlineStr">
        <is>
          <t>Crosby</t>
        </is>
      </c>
      <c r="Q518" s="5" t="inlineStr">
        <is>
          <t>Liverpool</t>
        </is>
      </c>
      <c r="R518" s="5" t="inlineStr">
        <is>
          <t>Merseyside</t>
        </is>
      </c>
      <c r="S518" s="5" t="inlineStr">
        <is>
          <t>L23 9SL</t>
        </is>
      </c>
      <c r="T518" s="5" t="inlineStr">
        <is>
          <t>North West</t>
        </is>
      </c>
      <c r="U518" s="5" t="inlineStr">
        <is>
          <t>England</t>
        </is>
      </c>
      <c r="V518" s="5" t="inlineStr">
        <is>
          <t>07852 392659</t>
        </is>
      </c>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vape hardware; e-liquids</t>
        </is>
      </c>
      <c r="AL518" s="5" t="inlineStr"/>
      <c r="AM518" s="5" t="inlineStr">
        <is>
          <t>Vape Shop</t>
        </is>
      </c>
      <c r="AN518" s="5" t="inlineStr"/>
      <c r="AO518" s="5" t="inlineStr">
        <is>
          <t>Independent vape shop on Forefield Lane, Crosby (L23, Sefton). Address/phone from Waterloo/Sefton vape shop directory search.</t>
        </is>
      </c>
      <c r="AP518" s="5" t="inlineStr">
        <is>
          <t>Medium</t>
        </is>
      </c>
      <c r="AQ518" s="5" t="inlineStr">
        <is>
          <t>Independent retailer; Core relevant category</t>
        </is>
      </c>
      <c r="AR518" s="5" t="inlineStr">
        <is>
          <t>https://waterloo-sefton.cylex-uk.co.uk/company/virgin-vapours-27370213.html</t>
        </is>
      </c>
      <c r="AS518" s="5" t="inlineStr"/>
      <c r="AT518" s="5" t="inlineStr">
        <is>
          <t>1</t>
        </is>
      </c>
      <c r="AU518" s="5" t="inlineStr">
        <is>
          <t>No</t>
        </is>
      </c>
      <c r="AV518" s="5" t="inlineStr">
        <is>
          <t>No</t>
        </is>
      </c>
      <c r="AW518" s="5" t="inlineStr">
        <is>
          <t>No</t>
        </is>
      </c>
      <c r="AX518" s="5" t="inlineStr">
        <is>
          <t>No</t>
        </is>
      </c>
      <c r="AY518" s="5" t="inlineStr">
        <is>
          <t>Verified directory</t>
        </is>
      </c>
      <c r="AZ518" s="5" t="inlineStr">
        <is>
          <t>Not Found</t>
        </is>
      </c>
      <c r="BA518" s="5" t="inlineStr">
        <is>
          <t>2026-09-17</t>
        </is>
      </c>
      <c r="BB518" s="5" t="inlineStr">
        <is>
          <t>Requires Verification</t>
        </is>
      </c>
      <c r="BC518" s="5" t="inlineStr">
        <is>
          <t>Low</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UK-000265</t>
        </is>
      </c>
      <c r="B519" s="10" t="inlineStr">
        <is>
          <t>UK-000265-01</t>
        </is>
      </c>
      <c r="C519" s="10" t="inlineStr"/>
      <c r="D519" s="10" t="inlineStr">
        <is>
          <t>Lounge 418</t>
        </is>
      </c>
      <c r="E519" s="10" t="inlineStr">
        <is>
          <t>Lounge 418</t>
        </is>
      </c>
      <c r="F519" s="10" t="inlineStr"/>
      <c r="G519" s="10" t="inlineStr">
        <is>
          <t>Smoke / Shisha Shop</t>
        </is>
      </c>
      <c r="H519" s="10" t="inlineStr">
        <is>
          <t>Middle Eastern restaurant and shisha bar</t>
        </is>
      </c>
      <c r="I519" s="10" t="inlineStr">
        <is>
          <t>Independent</t>
        </is>
      </c>
      <c r="J519" s="10" t="inlineStr">
        <is>
          <t>1</t>
        </is>
      </c>
      <c r="K519" s="10" t="inlineStr">
        <is>
          <t>https://www.lounge418.co.uk/</t>
        </is>
      </c>
      <c r="L519" s="10" t="inlineStr"/>
      <c r="M519" s="10" t="inlineStr"/>
      <c r="N519" s="10" t="inlineStr"/>
      <c r="O519" s="10" t="inlineStr"/>
      <c r="P519" s="10" t="inlineStr"/>
      <c r="Q519" s="10" t="inlineStr">
        <is>
          <t>Sheffield</t>
        </is>
      </c>
      <c r="R519" s="10" t="inlineStr">
        <is>
          <t>South Yorkshire</t>
        </is>
      </c>
      <c r="S519" s="10" t="inlineStr"/>
      <c r="T519" s="10" t="inlineStr">
        <is>
          <t>Yorkshire &amp; Humber</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shisha; cocktails; Middle Eastern food</t>
        </is>
      </c>
      <c r="AL519" s="10" t="inlineStr"/>
      <c r="AM519" s="10" t="inlineStr">
        <is>
          <t>Smoke / Shisha Shop</t>
        </is>
      </c>
      <c r="AN519" s="10" t="inlineStr"/>
      <c r="AO519" s="10" t="inlineStr">
        <is>
          <t>Independent Middle Eastern restaurant and bar offering shisha, Sheffield. Own website found; address/postcode not captured.</t>
        </is>
      </c>
      <c r="AP519" s="10" t="inlineStr">
        <is>
          <t>Medium</t>
        </is>
      </c>
      <c r="AQ519" s="10" t="inlineStr">
        <is>
          <t>Independent retailer; Core relevant category; Active website</t>
        </is>
      </c>
      <c r="AR519" s="10" t="inlineStr">
        <is>
          <t>https://www.lounge418.co.uk/</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Website Found</t>
        </is>
      </c>
      <c r="BA519" s="10" t="inlineStr">
        <is>
          <t>2026-09-17</t>
        </is>
      </c>
      <c r="BB519" s="10" t="inlineStr">
        <is>
          <t>Requires Verification</t>
        </is>
      </c>
      <c r="BC519" s="10" t="inlineStr">
        <is>
          <t>Low</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2026-09-16</t>
        </is>
      </c>
      <c r="BJ519" s="10" t="inlineStr">
        <is>
          <t>New</t>
        </is>
      </c>
      <c r="BK519" s="10" t="inlineStr">
        <is>
          <t>2026-09-17</t>
        </is>
      </c>
      <c r="BL519" s="10" t="inlineStr"/>
      <c r="BM519" s="10" t="inlineStr"/>
      <c r="BN519" s="10" t="inlineStr"/>
      <c r="BO519" s="10" t="inlineStr"/>
      <c r="BP519" s="10" t="inlineStr"/>
      <c r="BQ519" s="10" t="inlineStr"/>
    </row>
    <row r="520">
      <c r="A520" s="5" t="inlineStr">
        <is>
          <t>UK-000630</t>
        </is>
      </c>
      <c r="B520" s="5" t="inlineStr">
        <is>
          <t>UK-000630-01</t>
        </is>
      </c>
      <c r="C520" s="5" t="inlineStr"/>
      <c r="D520" s="5" t="inlineStr">
        <is>
          <t>Love Vape Brixton</t>
        </is>
      </c>
      <c r="E520" s="5" t="inlineStr">
        <is>
          <t>Love Vape Brixton</t>
        </is>
      </c>
      <c r="F520" s="5" t="inlineStr"/>
      <c r="G520" s="5" t="inlineStr">
        <is>
          <t>Vape Shop</t>
        </is>
      </c>
      <c r="H520" s="5" t="inlineStr"/>
      <c r="I520" s="5" t="inlineStr">
        <is>
          <t>Independent</t>
        </is>
      </c>
      <c r="J520" s="5" t="inlineStr">
        <is>
          <t>1</t>
        </is>
      </c>
      <c r="K520" s="5" t="inlineStr"/>
      <c r="L520" s="5" t="inlineStr"/>
      <c r="M520" s="5" t="inlineStr"/>
      <c r="N520" s="5" t="inlineStr"/>
      <c r="O520" s="5" t="inlineStr"/>
      <c r="P520" s="5" t="inlineStr"/>
      <c r="Q520" s="5" t="inlineStr">
        <is>
          <t>London</t>
        </is>
      </c>
      <c r="R520" s="5" t="inlineStr">
        <is>
          <t>Greater London</t>
        </is>
      </c>
      <c r="S520" s="5" t="inlineStr"/>
      <c r="T520" s="5" t="inlineStr">
        <is>
          <t>London</t>
        </is>
      </c>
      <c r="U520" s="5" t="inlineStr">
        <is>
          <t>England</t>
        </is>
      </c>
      <c r="V520" s="5" t="inlineStr"/>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vape hardware; e-liquids</t>
        </is>
      </c>
      <c r="AL520" s="5" t="inlineStr"/>
      <c r="AM520" s="5" t="inlineStr">
        <is>
          <t>Vape Shop</t>
        </is>
      </c>
      <c r="AN520" s="5" t="inlineStr"/>
      <c r="AO520" s="5" t="inlineStr">
        <is>
          <t>Independent vape shop in Brixton (Lambeth). Full address/postcode not confirmed in snippet.</t>
        </is>
      </c>
      <c r="AP520" s="5" t="inlineStr">
        <is>
          <t>Medium</t>
        </is>
      </c>
      <c r="AQ520" s="5" t="inlineStr">
        <is>
          <t>Independent retailer; Core relevant category</t>
        </is>
      </c>
      <c r="AR520" s="5" t="inlineStr">
        <is>
          <t>https://www.yell.com/biz/love-vape-brixton-london-8747292/</t>
        </is>
      </c>
      <c r="AS520" s="5" t="inlineStr"/>
      <c r="AT520" s="5" t="inlineStr">
        <is>
          <t>1</t>
        </is>
      </c>
      <c r="AU520" s="5" t="inlineStr">
        <is>
          <t>No</t>
        </is>
      </c>
      <c r="AV520" s="5" t="inlineStr">
        <is>
          <t>No</t>
        </is>
      </c>
      <c r="AW520" s="5" t="inlineStr">
        <is>
          <t>No</t>
        </is>
      </c>
      <c r="AX520" s="5" t="inlineStr">
        <is>
          <t>No</t>
        </is>
      </c>
      <c r="AY520" s="5" t="inlineStr">
        <is>
          <t>Not Found</t>
        </is>
      </c>
      <c r="AZ520" s="5" t="inlineStr">
        <is>
          <t>Not Found</t>
        </is>
      </c>
      <c r="BA520" s="5" t="inlineStr">
        <is>
          <t>2026-09-17</t>
        </is>
      </c>
      <c r="BB520" s="5" t="inlineStr">
        <is>
          <t>Requires Verification</t>
        </is>
      </c>
      <c r="BC520" s="5" t="inlineStr">
        <is>
          <t>Low</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WY-0116</t>
        </is>
      </c>
      <c r="B521" s="10" t="inlineStr">
        <is>
          <t>WY-0116-01</t>
        </is>
      </c>
      <c r="C521" s="10" t="inlineStr"/>
      <c r="D521" s="10" t="inlineStr">
        <is>
          <t>Low Lane Convenience Store (Premier)</t>
        </is>
      </c>
      <c r="E521" s="10" t="inlineStr">
        <is>
          <t>Low Lane Convenience Store</t>
        </is>
      </c>
      <c r="F521" s="10" t="inlineStr"/>
      <c r="G521" s="10" t="inlineStr">
        <is>
          <t>Convenience Store</t>
        </is>
      </c>
      <c r="H521" s="10" t="inlineStr">
        <is>
          <t>Premier symbol group convenience store</t>
        </is>
      </c>
      <c r="I521" s="10" t="inlineStr">
        <is>
          <t>Franchise / Symbol Group</t>
        </is>
      </c>
      <c r="J521" s="10" t="inlineStr">
        <is>
          <t>1</t>
        </is>
      </c>
      <c r="K521" s="10" t="inlineStr">
        <is>
          <t>https://www.premier-stores.co.uk/our-stores/low-lane-convenience-store</t>
        </is>
      </c>
      <c r="L521" s="10" t="inlineStr"/>
      <c r="M521" s="10" t="inlineStr"/>
      <c r="N521" s="10" t="inlineStr"/>
      <c r="O521" s="10" t="inlineStr">
        <is>
          <t>6 Low Lane</t>
        </is>
      </c>
      <c r="P521" s="10" t="inlineStr">
        <is>
          <t>Birstall</t>
        </is>
      </c>
      <c r="Q521" s="10" t="inlineStr">
        <is>
          <t>Batley</t>
        </is>
      </c>
      <c r="R521" s="10" t="inlineStr">
        <is>
          <t>West Yorkshire</t>
        </is>
      </c>
      <c r="S521" s="10" t="inlineStr">
        <is>
          <t>WF17 9EY</t>
        </is>
      </c>
      <c r="T521" s="10" t="inlineStr">
        <is>
          <t>Yorkshire &amp; Humber</t>
        </is>
      </c>
      <c r="U521" s="10" t="inlineStr">
        <is>
          <t>England</t>
        </is>
      </c>
      <c r="V521" s="10" t="inlineStr"/>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convenience goods; alcohol; tobacco; groceries</t>
        </is>
      </c>
      <c r="AL521" s="10" t="inlineStr"/>
      <c r="AM521" s="10" t="inlineStr">
        <is>
          <t>Convenience Store</t>
        </is>
      </c>
      <c r="AN521" s="10" t="inlineStr">
        <is>
          <t>Premier (Booker) symbol group</t>
        </is>
      </c>
      <c r="AO521" s="10" t="inlineStr">
        <is>
          <t>Independently owned store trading under the Premier fascia; listed on the official Premier Stores locator.</t>
        </is>
      </c>
      <c r="AP521" s="10" t="inlineStr">
        <is>
          <t>Medium</t>
        </is>
      </c>
      <c r="AQ521" s="10" t="inlineStr">
        <is>
          <t>Independent retailer; Relevant category; Active website</t>
        </is>
      </c>
      <c r="AR521" s="10" t="inlineStr">
        <is>
          <t>https://www.premier-stores.co.uk/our-stores/low-lane-convenience-store</t>
        </is>
      </c>
      <c r="AS521" s="10" t="inlineStr"/>
      <c r="AT521" s="10" t="inlineStr">
        <is>
          <t>1</t>
        </is>
      </c>
      <c r="AU521" s="10" t="inlineStr">
        <is>
          <t>No</t>
        </is>
      </c>
      <c r="AV521" s="10" t="inlineStr">
        <is>
          <t>No</t>
        </is>
      </c>
      <c r="AW521" s="10" t="inlineStr">
        <is>
          <t>No</t>
        </is>
      </c>
      <c r="AX521" s="10" t="inlineStr">
        <is>
          <t>No</t>
        </is>
      </c>
      <c r="AY521" s="10" t="inlineStr">
        <is>
          <t>Not Found</t>
        </is>
      </c>
      <c r="AZ521" s="10" t="inlineStr">
        <is>
          <t>Not Found</t>
        </is>
      </c>
      <c r="BA521" s="10" t="inlineStr">
        <is>
          <t>2026-09-17</t>
        </is>
      </c>
      <c r="BB521" s="10" t="inlineStr">
        <is>
          <t>Requires Verification</t>
        </is>
      </c>
      <c r="BC521" s="10" t="inlineStr">
        <is>
          <t>Medium</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2026-09-16</t>
        </is>
      </c>
      <c r="BJ521" s="10" t="inlineStr">
        <is>
          <t>New</t>
        </is>
      </c>
      <c r="BK521" s="10" t="inlineStr">
        <is>
          <t>2026-09-17</t>
        </is>
      </c>
      <c r="BL521" s="10" t="inlineStr"/>
      <c r="BM521" s="10" t="inlineStr"/>
      <c r="BN521" s="10" t="inlineStr"/>
      <c r="BO521" s="10" t="inlineStr"/>
      <c r="BP521" s="10" t="inlineStr"/>
      <c r="BQ521" s="10" t="inlineStr"/>
    </row>
    <row r="522">
      <c r="A522" s="5" t="inlineStr">
        <is>
          <t>UK-000368</t>
        </is>
      </c>
      <c r="B522" s="5" t="inlineStr">
        <is>
          <t>UK-000368-01</t>
        </is>
      </c>
      <c r="C522" s="5" t="inlineStr"/>
      <c r="D522" s="5" t="inlineStr">
        <is>
          <t>Luxury Shisha Lounge (Rusholme)</t>
        </is>
      </c>
      <c r="E522" s="5" t="inlineStr">
        <is>
          <t>Luxury Shisha Lounge</t>
        </is>
      </c>
      <c r="F522" s="5" t="inlineStr"/>
      <c r="G522" s="5" t="inlineStr">
        <is>
          <t>Smoke / Shisha Shop</t>
        </is>
      </c>
      <c r="H522" s="5" t="inlineStr">
        <is>
          <t>Shisha lounge</t>
        </is>
      </c>
      <c r="I522" s="5" t="inlineStr">
        <is>
          <t>Independent</t>
        </is>
      </c>
      <c r="J522" s="5" t="inlineStr">
        <is>
          <t>1</t>
        </is>
      </c>
      <c r="K522" s="5" t="inlineStr"/>
      <c r="L522" s="5" t="inlineStr"/>
      <c r="M522" s="5" t="inlineStr"/>
      <c r="N522" s="5" t="inlineStr"/>
      <c r="O522" s="5" t="inlineStr">
        <is>
          <t>Unit 3 Walmer Street East</t>
        </is>
      </c>
      <c r="P522" s="5" t="inlineStr">
        <is>
          <t>Rusholme</t>
        </is>
      </c>
      <c r="Q522" s="5" t="inlineStr">
        <is>
          <t>Manchester</t>
        </is>
      </c>
      <c r="R522" s="5" t="inlineStr">
        <is>
          <t>Greater Manchester</t>
        </is>
      </c>
      <c r="S522" s="5" t="inlineStr">
        <is>
          <t>M14 5SS</t>
        </is>
      </c>
      <c r="T522" s="5" t="inlineStr">
        <is>
          <t>North West</t>
        </is>
      </c>
      <c r="U522" s="5" t="inlineStr">
        <is>
          <t>England</t>
        </is>
      </c>
      <c r="V522" s="5" t="inlineStr">
        <is>
          <t>0161 249 0077</t>
        </is>
      </c>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shisha/hookah; tobacco molasses; charcoal; cafe</t>
        </is>
      </c>
      <c r="AL522" s="5" t="inlineStr"/>
      <c r="AM522" s="5" t="inlineStr">
        <is>
          <t>Smoke / Shisha Shop</t>
        </is>
      </c>
      <c r="AN522" s="5" t="inlineStr"/>
      <c r="AO522" s="5" t="inlineStr">
        <is>
          <t>Rusholme (Curry Mile) shisha lounge; address/phone from Tripadvisor listing.</t>
        </is>
      </c>
      <c r="AP522" s="5" t="inlineStr">
        <is>
          <t>Medium</t>
        </is>
      </c>
      <c r="AQ522" s="5" t="inlineStr">
        <is>
          <t>Independent retailer; Core relevant category</t>
        </is>
      </c>
      <c r="AR522" s="5" t="inlineStr">
        <is>
          <t>https://www.tripadvisor.com/Restaurant_Review-g187069-d10377632-Reviews-Luxury_Shisha_Lounge-Manchester_Greater_Manchester_England.html</t>
        </is>
      </c>
      <c r="AS522" s="5" t="inlineStr"/>
      <c r="AT522" s="5" t="inlineStr">
        <is>
          <t>1</t>
        </is>
      </c>
      <c r="AU522" s="5" t="inlineStr">
        <is>
          <t>No</t>
        </is>
      </c>
      <c r="AV522" s="5" t="inlineStr">
        <is>
          <t>No</t>
        </is>
      </c>
      <c r="AW522" s="5" t="inlineStr">
        <is>
          <t>No</t>
        </is>
      </c>
      <c r="AX522" s="5" t="inlineStr">
        <is>
          <t>No</t>
        </is>
      </c>
      <c r="AY522" s="5" t="inlineStr">
        <is>
          <t>Verified directory</t>
        </is>
      </c>
      <c r="AZ522" s="5" t="inlineStr">
        <is>
          <t>Not Found</t>
        </is>
      </c>
      <c r="BA522" s="5" t="inlineStr">
        <is>
          <t>2026-09-17</t>
        </is>
      </c>
      <c r="BB522" s="5" t="inlineStr">
        <is>
          <t>Requires Verification</t>
        </is>
      </c>
      <c r="BC522" s="5" t="inlineStr">
        <is>
          <t>Medium</t>
        </is>
      </c>
      <c r="BD522" s="5" t="inlineStr"/>
      <c r="BE522" s="5" t="inlineStr">
        <is>
          <t>Business (B2B)</t>
        </is>
      </c>
      <c r="BF522" s="5" t="inlineStr">
        <is>
          <t>Legitimate interest (B2B) - assess per campaign; PECR: corporate subscribers</t>
        </is>
      </c>
      <c r="BG522" s="5" t="inlineStr"/>
      <c r="BH522" s="5" t="inlineStr">
        <is>
          <t>No</t>
        </is>
      </c>
      <c r="BI522" s="5" t="inlineStr">
        <is>
          <t>2026-09-17</t>
        </is>
      </c>
      <c r="BJ522" s="5" t="inlineStr">
        <is>
          <t>New</t>
        </is>
      </c>
      <c r="BK522" s="5" t="inlineStr">
        <is>
          <t>2026-09-17</t>
        </is>
      </c>
      <c r="BL522" s="5" t="inlineStr"/>
      <c r="BM522" s="5" t="inlineStr"/>
      <c r="BN522" s="5" t="inlineStr"/>
      <c r="BO522" s="5" t="inlineStr"/>
      <c r="BP522" s="5" t="inlineStr"/>
      <c r="BQ522" s="5" t="inlineStr"/>
    </row>
    <row r="523">
      <c r="A523" s="10" t="inlineStr">
        <is>
          <t>UK-000490</t>
        </is>
      </c>
      <c r="B523" s="10" t="inlineStr">
        <is>
          <t>UK-000490-01</t>
        </is>
      </c>
      <c r="C523" s="10" t="inlineStr"/>
      <c r="D523" s="10" t="inlineStr">
        <is>
          <t>M &amp; T Supermarket Ltd</t>
        </is>
      </c>
      <c r="E523" s="10" t="inlineStr">
        <is>
          <t>M &amp; T Supermarket</t>
        </is>
      </c>
      <c r="F523" s="10" t="inlineStr">
        <is>
          <t>M &amp; T Supermarket Ltd</t>
        </is>
      </c>
      <c r="G523" s="10" t="inlineStr">
        <is>
          <t>Independent Supermarket</t>
        </is>
      </c>
      <c r="H523" s="10" t="inlineStr">
        <is>
          <t>Ethnic / international grocery</t>
        </is>
      </c>
      <c r="I523" s="10" t="inlineStr">
        <is>
          <t>Independent</t>
        </is>
      </c>
      <c r="J523" s="10" t="inlineStr">
        <is>
          <t>1</t>
        </is>
      </c>
      <c r="K523" s="10" t="inlineStr"/>
      <c r="L523" s="10" t="inlineStr">
        <is>
          <t>https://www.facebook.com/mandtsupermarket/</t>
        </is>
      </c>
      <c r="M523" s="10" t="inlineStr"/>
      <c r="N523" s="10" t="inlineStr"/>
      <c r="O523" s="10" t="inlineStr">
        <is>
          <t>147-157 Caldmore Road</t>
        </is>
      </c>
      <c r="P523" s="10" t="inlineStr">
        <is>
          <t>Caldmore</t>
        </is>
      </c>
      <c r="Q523" s="10" t="inlineStr">
        <is>
          <t>Walsall</t>
        </is>
      </c>
      <c r="R523" s="10" t="inlineStr">
        <is>
          <t>West Midlands</t>
        </is>
      </c>
      <c r="S523" s="10" t="inlineStr">
        <is>
          <t>WS1 3RF</t>
        </is>
      </c>
      <c r="T523" s="10" t="inlineStr">
        <is>
          <t>West Midlands</t>
        </is>
      </c>
      <c r="U523" s="10" t="inlineStr">
        <is>
          <t>England</t>
        </is>
      </c>
      <c r="V523" s="10" t="inlineStr">
        <is>
          <t>01922 620607</t>
        </is>
      </c>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Asian &amp; international groceries; spices; fresh meat &amp; veg</t>
        </is>
      </c>
      <c r="AL523" s="10" t="inlineStr"/>
      <c r="AM523" s="10" t="inlineStr">
        <is>
          <t>Independent Supermarket</t>
        </is>
      </c>
      <c r="AN523" s="10" t="inlineStr"/>
      <c r="AO523" s="10" t="inlineStr">
        <is>
          <t>Large independent ethnic supermarket on Caldmore Road, described as the largest ethnic store in the West Midlands, trading since 1981.</t>
        </is>
      </c>
      <c r="AP523" s="10" t="inlineStr">
        <is>
          <t>Medium</t>
        </is>
      </c>
      <c r="AQ523" s="10" t="inlineStr">
        <is>
          <t>Independent retailer; Relevant category; Social presence</t>
        </is>
      </c>
      <c r="AR523" s="10" t="inlineStr">
        <is>
          <t>https://www.yell.com/biz/m-and-t-supermarket-ltd-walsall-5024939/</t>
        </is>
      </c>
      <c r="AS523" s="10" t="inlineStr">
        <is>
          <t>https://citikey.uk/display/m-t-supermarket-1VAVV</t>
        </is>
      </c>
      <c r="AT523" s="10" t="inlineStr">
        <is>
          <t>2</t>
        </is>
      </c>
      <c r="AU523" s="10" t="inlineStr">
        <is>
          <t>No</t>
        </is>
      </c>
      <c r="AV523" s="10" t="inlineStr">
        <is>
          <t>No</t>
        </is>
      </c>
      <c r="AW523" s="10" t="inlineStr">
        <is>
          <t>No</t>
        </is>
      </c>
      <c r="AX523" s="10" t="inlineStr">
        <is>
          <t>No</t>
        </is>
      </c>
      <c r="AY523" s="10" t="inlineStr">
        <is>
          <t>Verified directory</t>
        </is>
      </c>
      <c r="AZ523" s="10" t="inlineStr">
        <is>
          <t>Not Found</t>
        </is>
      </c>
      <c r="BA523" s="10" t="inlineStr">
        <is>
          <t>2026-09-17</t>
        </is>
      </c>
      <c r="BB523" s="10" t="inlineStr">
        <is>
          <t>Requires Verification</t>
        </is>
      </c>
      <c r="BC523" s="10" t="inlineStr">
        <is>
          <t>Medium</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2026-09-17</t>
        </is>
      </c>
      <c r="BJ523" s="10" t="inlineStr">
        <is>
          <t>New</t>
        </is>
      </c>
      <c r="BK523" s="10" t="inlineStr">
        <is>
          <t>2026-09-17</t>
        </is>
      </c>
      <c r="BL523" s="10" t="inlineStr"/>
      <c r="BM523" s="10" t="inlineStr"/>
      <c r="BN523" s="10" t="inlineStr"/>
      <c r="BO523" s="10" t="inlineStr"/>
      <c r="BP523" s="10" t="inlineStr"/>
      <c r="BQ523" s="10" t="inlineStr"/>
    </row>
    <row r="524">
      <c r="A524" s="5" t="inlineStr">
        <is>
          <t>UK-000798</t>
        </is>
      </c>
      <c r="B524" s="5" t="inlineStr">
        <is>
          <t>UK-000798-01</t>
        </is>
      </c>
      <c r="C524" s="5" t="inlineStr"/>
      <c r="D524" s="5" t="inlineStr">
        <is>
          <t>MNS Shisha Shop</t>
        </is>
      </c>
      <c r="E524" s="5" t="inlineStr">
        <is>
          <t>MNS Shisha Shop</t>
        </is>
      </c>
      <c r="F524" s="5" t="inlineStr"/>
      <c r="G524" s="5" t="inlineStr">
        <is>
          <t>Smoke / Shisha Shop</t>
        </is>
      </c>
      <c r="H524" s="5" t="inlineStr">
        <is>
          <t>Shisha &amp; tobacco specialist</t>
        </is>
      </c>
      <c r="I524" s="5" t="inlineStr">
        <is>
          <t>Independent</t>
        </is>
      </c>
      <c r="J524" s="5" t="inlineStr">
        <is>
          <t>1</t>
        </is>
      </c>
      <c r="K524" s="5" t="inlineStr"/>
      <c r="L524" s="5" t="inlineStr"/>
      <c r="M524" s="5" t="inlineStr"/>
      <c r="N524" s="5" t="inlineStr"/>
      <c r="O524" s="5" t="inlineStr">
        <is>
          <t>Pembroke Place</t>
        </is>
      </c>
      <c r="P524" s="5" t="inlineStr"/>
      <c r="Q524" s="5" t="inlineStr">
        <is>
          <t>Liverpool</t>
        </is>
      </c>
      <c r="R524" s="5" t="inlineStr">
        <is>
          <t>Merseyside</t>
        </is>
      </c>
      <c r="S524" s="5" t="inlineStr"/>
      <c r="T524" s="5" t="inlineStr">
        <is>
          <t>North West</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shisha; shisha tobacco; smoking accessories</t>
        </is>
      </c>
      <c r="AL524" s="5" t="inlineStr"/>
      <c r="AM524" s="5" t="inlineStr">
        <is>
          <t>Smoke / Shisha Shop</t>
        </is>
      </c>
      <c r="AN524" s="5" t="inlineStr"/>
      <c r="AO524" s="5" t="inlineStr">
        <is>
          <t>Independent shisha shop on Pembroke Place, Liverpool city centre/Kensington fringe. Directory phone was partially masked so left blank; postcode not confirmed.</t>
        </is>
      </c>
      <c r="AP524" s="5" t="inlineStr">
        <is>
          <t>Medium</t>
        </is>
      </c>
      <c r="AQ524" s="5" t="inlineStr">
        <is>
          <t>Independent retailer; Core relevant category</t>
        </is>
      </c>
      <c r="AR524" s="5" t="inlineStr">
        <is>
          <t>https://liverpool.cylex-uk.co.uk/company/mns-shisha-shop-27245333.html</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2026-09-17</t>
        </is>
      </c>
      <c r="BJ524" s="5" t="inlineStr">
        <is>
          <t>New</t>
        </is>
      </c>
      <c r="BK524" s="5" t="inlineStr">
        <is>
          <t>2026-09-17</t>
        </is>
      </c>
      <c r="BL524" s="5" t="inlineStr"/>
      <c r="BM524" s="5" t="inlineStr"/>
      <c r="BN524" s="5" t="inlineStr"/>
      <c r="BO524" s="5" t="inlineStr"/>
      <c r="BP524" s="5" t="inlineStr"/>
      <c r="BQ524" s="5" t="inlineStr"/>
    </row>
    <row r="525">
      <c r="A525" s="10" t="inlineStr">
        <is>
          <t>WY-0117</t>
        </is>
      </c>
      <c r="B525" s="10" t="inlineStr">
        <is>
          <t>WY-0117-01</t>
        </is>
      </c>
      <c r="C525" s="10" t="inlineStr"/>
      <c r="D525" s="10" t="inlineStr">
        <is>
          <t>Mace News &amp; Off Licence</t>
        </is>
      </c>
      <c r="E525" s="10" t="inlineStr">
        <is>
          <t>Mace News &amp; Off Licence</t>
        </is>
      </c>
      <c r="F525" s="10" t="inlineStr"/>
      <c r="G525" s="10" t="inlineStr">
        <is>
          <t>Newsagent</t>
        </is>
      </c>
      <c r="H525" s="10" t="inlineStr">
        <is>
          <t>Newsagent with off-licence</t>
        </is>
      </c>
      <c r="I525" s="10" t="inlineStr">
        <is>
          <t>Franchise / Symbol Group</t>
        </is>
      </c>
      <c r="J525" s="10" t="inlineStr">
        <is>
          <t>1</t>
        </is>
      </c>
      <c r="K525" s="10" t="inlineStr"/>
      <c r="L525" s="10" t="inlineStr"/>
      <c r="M525" s="10" t="inlineStr"/>
      <c r="N525" s="10" t="inlineStr"/>
      <c r="O525" s="10" t="inlineStr">
        <is>
          <t>Otley Road</t>
        </is>
      </c>
      <c r="P525" s="10" t="inlineStr">
        <is>
          <t>Baildon</t>
        </is>
      </c>
      <c r="Q525" s="10" t="inlineStr">
        <is>
          <t>Shipley</t>
        </is>
      </c>
      <c r="R525" s="10" t="inlineStr">
        <is>
          <t>West Yorkshire</t>
        </is>
      </c>
      <c r="S525" s="10" t="inlineStr"/>
      <c r="T525" s="10" t="inlineStr">
        <is>
          <t>Yorkshire &amp; Humber</t>
        </is>
      </c>
      <c r="U525" s="10" t="inlineStr">
        <is>
          <t>England</t>
        </is>
      </c>
      <c r="V525" s="10" t="inlineStr"/>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news; magazines; alcohol; convenience lines</t>
        </is>
      </c>
      <c r="AL525" s="10" t="inlineStr"/>
      <c r="AM525" s="10" t="inlineStr">
        <is>
          <t>Newsagent</t>
        </is>
      </c>
      <c r="AN525" s="10" t="inlineStr"/>
      <c r="AO525" s="10" t="inlineStr">
        <is>
          <t>Independently owned Mace symbol-group newsagent/off-licence on Otley Road, Baildon. Open daily 9am-9pm per listing snippet.</t>
        </is>
      </c>
      <c r="AP525" s="10" t="inlineStr">
        <is>
          <t>Low</t>
        </is>
      </c>
      <c r="AQ525" s="10" t="inlineStr">
        <is>
          <t>Independent retailer; Relevant category</t>
        </is>
      </c>
      <c r="AR525" s="10" t="inlineStr">
        <is>
          <t>https://www.yorkshire.com/shipley/shopping/off-license/mace-news-off-licence</t>
        </is>
      </c>
      <c r="AS525" s="10" t="inlineStr"/>
      <c r="AT525" s="10" t="inlineStr">
        <is>
          <t>1</t>
        </is>
      </c>
      <c r="AU525" s="10" t="inlineStr">
        <is>
          <t>No</t>
        </is>
      </c>
      <c r="AV525" s="10" t="inlineStr">
        <is>
          <t>No</t>
        </is>
      </c>
      <c r="AW525" s="10" t="inlineStr">
        <is>
          <t>No</t>
        </is>
      </c>
      <c r="AX525" s="10" t="inlineStr">
        <is>
          <t>No</t>
        </is>
      </c>
      <c r="AY525" s="10" t="inlineStr">
        <is>
          <t>Not Found</t>
        </is>
      </c>
      <c r="AZ525" s="10" t="inlineStr">
        <is>
          <t>Not Found</t>
        </is>
      </c>
      <c r="BA525" s="10" t="inlineStr">
        <is>
          <t>2026-09-17</t>
        </is>
      </c>
      <c r="BB525" s="10" t="inlineStr">
        <is>
          <t>Requires Verification</t>
        </is>
      </c>
      <c r="BC525" s="10" t="inlineStr">
        <is>
          <t>Low</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2026-09-16</t>
        </is>
      </c>
      <c r="BJ525" s="10" t="inlineStr">
        <is>
          <t>New</t>
        </is>
      </c>
      <c r="BK525" s="10" t="inlineStr">
        <is>
          <t>2026-09-17</t>
        </is>
      </c>
      <c r="BL525" s="10" t="inlineStr"/>
      <c r="BM525" s="10" t="inlineStr"/>
      <c r="BN525" s="10" t="inlineStr"/>
      <c r="BO525" s="10" t="inlineStr"/>
      <c r="BP525" s="10" t="inlineStr"/>
      <c r="BQ525" s="10" t="inlineStr"/>
    </row>
    <row r="526">
      <c r="A526" s="5" t="inlineStr">
        <is>
          <t>UK-000799</t>
        </is>
      </c>
      <c r="B526" s="5" t="inlineStr">
        <is>
          <t>UK-000799-01</t>
        </is>
      </c>
      <c r="C526" s="5" t="inlineStr"/>
      <c r="D526" s="5" t="inlineStr">
        <is>
          <t>Makkah Halal Meats And Delhi Ltd</t>
        </is>
      </c>
      <c r="E526" s="5" t="inlineStr">
        <is>
          <t>Makkah Halal Meats &amp; Deli</t>
        </is>
      </c>
      <c r="F526" s="5" t="inlineStr">
        <is>
          <t>Makkah Halal Meats And Delhi Ltd</t>
        </is>
      </c>
      <c r="G526" s="5" t="inlineStr">
        <is>
          <t>Independent Supermarket</t>
        </is>
      </c>
      <c r="H526" s="5" t="inlineStr">
        <is>
          <t>Halal grocery / butcher</t>
        </is>
      </c>
      <c r="I526" s="5" t="inlineStr">
        <is>
          <t>Independent</t>
        </is>
      </c>
      <c r="J526" s="5" t="inlineStr">
        <is>
          <t>1</t>
        </is>
      </c>
      <c r="K526" s="5" t="inlineStr"/>
      <c r="L526" s="5" t="inlineStr"/>
      <c r="M526" s="5" t="inlineStr"/>
      <c r="N526" s="5" t="inlineStr"/>
      <c r="O526" s="5" t="inlineStr">
        <is>
          <t>142 Granby Street</t>
        </is>
      </c>
      <c r="P526" s="5" t="inlineStr">
        <is>
          <t>Toxteth</t>
        </is>
      </c>
      <c r="Q526" s="5" t="inlineStr">
        <is>
          <t>Liverpool</t>
        </is>
      </c>
      <c r="R526" s="5" t="inlineStr">
        <is>
          <t>Merseyside</t>
        </is>
      </c>
      <c r="S526" s="5" t="inlineStr">
        <is>
          <t>L8 2XA</t>
        </is>
      </c>
      <c r="T526" s="5" t="inlineStr">
        <is>
          <t>North West</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halal meats; international groceries; world food</t>
        </is>
      </c>
      <c r="AL526" s="5" t="inlineStr"/>
      <c r="AM526" s="5" t="inlineStr">
        <is>
          <t>Independent Supermarket</t>
        </is>
      </c>
      <c r="AN526" s="5" t="inlineStr"/>
      <c r="AO526" s="5" t="inlineStr">
        <is>
          <t>Independent halal grocery / deli on Granby Street, Toxteth (L8). Listed as a limited company.</t>
        </is>
      </c>
      <c r="AP526" s="5" t="inlineStr">
        <is>
          <t>Low</t>
        </is>
      </c>
      <c r="AQ526" s="5" t="inlineStr">
        <is>
          <t>Independent retailer; Relevant category</t>
        </is>
      </c>
      <c r="AR526" s="5" t="inlineStr">
        <is>
          <t>https://liverpool.cylex-uk.co.uk/company/makkah-halal-meats-and-delhi-ltd-20583923.html</t>
        </is>
      </c>
      <c r="AS526" s="5" t="inlineStr"/>
      <c r="AT526" s="5" t="inlineStr">
        <is>
          <t>1</t>
        </is>
      </c>
      <c r="AU526" s="5" t="inlineStr">
        <is>
          <t>No</t>
        </is>
      </c>
      <c r="AV526" s="5" t="inlineStr">
        <is>
          <t>No</t>
        </is>
      </c>
      <c r="AW526" s="5" t="inlineStr">
        <is>
          <t>No</t>
        </is>
      </c>
      <c r="AX526" s="5" t="inlineStr">
        <is>
          <t>No</t>
        </is>
      </c>
      <c r="AY526" s="5" t="inlineStr">
        <is>
          <t>Not Found</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2026-09-17</t>
        </is>
      </c>
      <c r="BJ526" s="5" t="inlineStr">
        <is>
          <t>New</t>
        </is>
      </c>
      <c r="BK526" s="5" t="inlineStr">
        <is>
          <t>2026-09-17</t>
        </is>
      </c>
      <c r="BL526" s="5" t="inlineStr"/>
      <c r="BM526" s="5" t="inlineStr"/>
      <c r="BN526" s="5" t="inlineStr"/>
      <c r="BO526" s="5" t="inlineStr"/>
      <c r="BP526" s="5" t="inlineStr"/>
      <c r="BQ526" s="5" t="inlineStr"/>
    </row>
    <row r="527">
      <c r="A527" s="10" t="inlineStr">
        <is>
          <t>UK-000631</t>
        </is>
      </c>
      <c r="B527" s="10" t="inlineStr">
        <is>
          <t>UK-000631-01</t>
        </is>
      </c>
      <c r="C527" s="10" t="inlineStr"/>
      <c r="D527" s="10" t="inlineStr">
        <is>
          <t>Malar Supermarket</t>
        </is>
      </c>
      <c r="E527" s="10" t="inlineStr">
        <is>
          <t>Malar Supermarket</t>
        </is>
      </c>
      <c r="F527" s="10" t="inlineStr"/>
      <c r="G527" s="10" t="inlineStr">
        <is>
          <t>Independent Supermarket</t>
        </is>
      </c>
      <c r="H527" s="10" t="inlineStr">
        <is>
          <t>South Asian / Sri Lankan world food</t>
        </is>
      </c>
      <c r="I527" s="10" t="inlineStr">
        <is>
          <t>Independent</t>
        </is>
      </c>
      <c r="J527" s="10" t="inlineStr">
        <is>
          <t>1</t>
        </is>
      </c>
      <c r="K527" s="10" t="inlineStr"/>
      <c r="L527" s="10" t="inlineStr"/>
      <c r="M527" s="10" t="inlineStr"/>
      <c r="N527" s="10" t="inlineStr"/>
      <c r="O527" s="10" t="inlineStr">
        <is>
          <t>543 High Road</t>
        </is>
      </c>
      <c r="P527" s="10" t="inlineStr"/>
      <c r="Q527" s="10" t="inlineStr">
        <is>
          <t>Wembley</t>
        </is>
      </c>
      <c r="R527" s="10" t="inlineStr">
        <is>
          <t>Greater London</t>
        </is>
      </c>
      <c r="S527" s="10" t="inlineStr">
        <is>
          <t>HA0 2DJ</t>
        </is>
      </c>
      <c r="T527" s="10" t="inlineStr">
        <is>
          <t>London</t>
        </is>
      </c>
      <c r="U527" s="10" t="inlineStr">
        <is>
          <t>England</t>
        </is>
      </c>
      <c r="V527" s="10" t="inlineStr"/>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South Asian groceries; fresh produce; world foods</t>
        </is>
      </c>
      <c r="AL527" s="10" t="inlineStr"/>
      <c r="AM527" s="10" t="inlineStr">
        <is>
          <t>Independent Supermarket</t>
        </is>
      </c>
      <c r="AN527" s="10" t="inlineStr"/>
      <c r="AO527" s="10" t="inlineStr">
        <is>
          <t>Independent world-food supermarket on Wembley High Road, long opening hours. Address from Yell listing.</t>
        </is>
      </c>
      <c r="AP527" s="10" t="inlineStr">
        <is>
          <t>Low</t>
        </is>
      </c>
      <c r="AQ527" s="10" t="inlineStr">
        <is>
          <t>Independent retailer; Relevant category</t>
        </is>
      </c>
      <c r="AR527" s="10" t="inlineStr">
        <is>
          <t>https://www.yell.com/biz/malar-supermarket-wembley-10906329/</t>
        </is>
      </c>
      <c r="AS527" s="10" t="inlineStr"/>
      <c r="AT527" s="10" t="inlineStr">
        <is>
          <t>1</t>
        </is>
      </c>
      <c r="AU527" s="10" t="inlineStr">
        <is>
          <t>No</t>
        </is>
      </c>
      <c r="AV527" s="10" t="inlineStr">
        <is>
          <t>No</t>
        </is>
      </c>
      <c r="AW527" s="10" t="inlineStr">
        <is>
          <t>No</t>
        </is>
      </c>
      <c r="AX527" s="10" t="inlineStr">
        <is>
          <t>No</t>
        </is>
      </c>
      <c r="AY527" s="10" t="inlineStr">
        <is>
          <t>Not Found</t>
        </is>
      </c>
      <c r="AZ527" s="10" t="inlineStr">
        <is>
          <t>Not Found</t>
        </is>
      </c>
      <c r="BA527" s="10" t="inlineStr">
        <is>
          <t>2026-09-17</t>
        </is>
      </c>
      <c r="BB527" s="10" t="inlineStr">
        <is>
          <t>Requires Verification</t>
        </is>
      </c>
      <c r="BC527" s="10" t="inlineStr">
        <is>
          <t>Low</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UK-000491</t>
        </is>
      </c>
      <c r="B528" s="5" t="inlineStr">
        <is>
          <t>UK-000491-01</t>
        </is>
      </c>
      <c r="C528" s="5" t="inlineStr"/>
      <c r="D528" s="5" t="inlineStr">
        <is>
          <t>Malhi Wine &amp; Beer Convenience Store</t>
        </is>
      </c>
      <c r="E528" s="5" t="inlineStr">
        <is>
          <t>Malhi Wine &amp; Beer Convenience Store</t>
        </is>
      </c>
      <c r="F528" s="5" t="inlineStr"/>
      <c r="G528" s="5" t="inlineStr">
        <is>
          <t>Off-Licence</t>
        </is>
      </c>
      <c r="H528" s="5" t="inlineStr">
        <is>
          <t>Off-licence and convenience store</t>
        </is>
      </c>
      <c r="I528" s="5" t="inlineStr">
        <is>
          <t>Independent</t>
        </is>
      </c>
      <c r="J528" s="5" t="inlineStr">
        <is>
          <t>1</t>
        </is>
      </c>
      <c r="K528" s="5" t="inlineStr"/>
      <c r="L528" s="5" t="inlineStr"/>
      <c r="M528" s="5" t="inlineStr"/>
      <c r="N528" s="5" t="inlineStr"/>
      <c r="O528" s="5" t="inlineStr">
        <is>
          <t>179 Rookery Road</t>
        </is>
      </c>
      <c r="P528" s="5" t="inlineStr">
        <is>
          <t>Handsworth</t>
        </is>
      </c>
      <c r="Q528" s="5" t="inlineStr">
        <is>
          <t>Birmingham</t>
        </is>
      </c>
      <c r="R528" s="5" t="inlineStr">
        <is>
          <t>West Midlands</t>
        </is>
      </c>
      <c r="S528" s="5" t="inlineStr">
        <is>
          <t>B21 9QZ</t>
        </is>
      </c>
      <c r="T528" s="5" t="inlineStr">
        <is>
          <t>West Midlands</t>
        </is>
      </c>
      <c r="U528" s="5" t="inlineStr">
        <is>
          <t>England</t>
        </is>
      </c>
      <c r="V528" s="5" t="inlineStr">
        <is>
          <t>0121 250 4968</t>
        </is>
      </c>
      <c r="W528" s="5" t="inlineStr"/>
      <c r="X528" s="5" t="inlineStr"/>
      <c r="Y528" s="5" t="inlineStr"/>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off-licence; convenience grocery</t>
        </is>
      </c>
      <c r="AL528" s="5" t="inlineStr"/>
      <c r="AM528" s="5" t="inlineStr">
        <is>
          <t>Off-Licence</t>
        </is>
      </c>
      <c r="AN528" s="5" t="inlineStr"/>
      <c r="AO528" s="5" t="inlineStr">
        <is>
          <t>Off-licence / convenience store on Rookery Road, Handsworth.</t>
        </is>
      </c>
      <c r="AP528" s="5" t="inlineStr">
        <is>
          <t>Low</t>
        </is>
      </c>
      <c r="AQ528" s="5" t="inlineStr">
        <is>
          <t>Independent retailer; Relevant category</t>
        </is>
      </c>
      <c r="AR528" s="5" t="inlineStr">
        <is>
          <t>https://www.yell.com/s/off+licences-handsworth-birmingham.html</t>
        </is>
      </c>
      <c r="AS528" s="5" t="inlineStr"/>
      <c r="AT528" s="5" t="inlineStr">
        <is>
          <t>1</t>
        </is>
      </c>
      <c r="AU528" s="5" t="inlineStr">
        <is>
          <t>No</t>
        </is>
      </c>
      <c r="AV528" s="5" t="inlineStr">
        <is>
          <t>No</t>
        </is>
      </c>
      <c r="AW528" s="5" t="inlineStr">
        <is>
          <t>No</t>
        </is>
      </c>
      <c r="AX528" s="5" t="inlineStr">
        <is>
          <t>No</t>
        </is>
      </c>
      <c r="AY528" s="5" t="inlineStr">
        <is>
          <t>Verified directory</t>
        </is>
      </c>
      <c r="AZ528" s="5" t="inlineStr">
        <is>
          <t>Not Found</t>
        </is>
      </c>
      <c r="BA528" s="5" t="inlineStr">
        <is>
          <t>2026-09-17</t>
        </is>
      </c>
      <c r="BB528" s="5" t="inlineStr">
        <is>
          <t>Requires Verification</t>
        </is>
      </c>
      <c r="BC528" s="5" t="inlineStr">
        <is>
          <t>Low</t>
        </is>
      </c>
      <c r="BD528" s="5" t="inlineStr"/>
      <c r="BE528" s="5" t="inlineStr">
        <is>
          <t>Business (B2B)</t>
        </is>
      </c>
      <c r="BF528" s="5" t="inlineStr">
        <is>
          <t>Legitimate interest (B2B) - assess per campaign; PECR: corporate subscribers</t>
        </is>
      </c>
      <c r="BG528" s="5" t="inlineStr"/>
      <c r="BH528" s="5" t="inlineStr">
        <is>
          <t>No</t>
        </is>
      </c>
      <c r="BI528" s="5" t="inlineStr">
        <is>
          <t>2026-09-17</t>
        </is>
      </c>
      <c r="BJ528" s="5" t="inlineStr">
        <is>
          <t>New</t>
        </is>
      </c>
      <c r="BK528" s="5" t="inlineStr">
        <is>
          <t>2026-09-17</t>
        </is>
      </c>
      <c r="BL528" s="5" t="inlineStr"/>
      <c r="BM528" s="5" t="inlineStr"/>
      <c r="BN528" s="5" t="inlineStr"/>
      <c r="BO528" s="5" t="inlineStr"/>
      <c r="BP528" s="5" t="inlineStr"/>
      <c r="BQ528" s="5" t="inlineStr"/>
    </row>
    <row r="529">
      <c r="A529" s="10" t="inlineStr">
        <is>
          <t>UK-000492</t>
        </is>
      </c>
      <c r="B529" s="10" t="inlineStr">
        <is>
          <t>UK-000492-01</t>
        </is>
      </c>
      <c r="C529" s="10" t="inlineStr"/>
      <c r="D529" s="10" t="inlineStr">
        <is>
          <t>Malvern Convenience Store</t>
        </is>
      </c>
      <c r="E529" s="10" t="inlineStr">
        <is>
          <t>Malvern Convenience Store</t>
        </is>
      </c>
      <c r="F529" s="10" t="inlineStr"/>
      <c r="G529" s="10" t="inlineStr">
        <is>
          <t>Convenience Store</t>
        </is>
      </c>
      <c r="H529" s="10" t="inlineStr">
        <is>
          <t>Convenience store</t>
        </is>
      </c>
      <c r="I529" s="10" t="inlineStr">
        <is>
          <t>Independent</t>
        </is>
      </c>
      <c r="J529" s="10" t="inlineStr">
        <is>
          <t>1</t>
        </is>
      </c>
      <c r="K529" s="10" t="inlineStr"/>
      <c r="L529" s="10" t="inlineStr"/>
      <c r="M529" s="10" t="inlineStr"/>
      <c r="N529" s="10" t="inlineStr"/>
      <c r="O529" s="10" t="inlineStr">
        <is>
          <t>22 Yardley Road</t>
        </is>
      </c>
      <c r="P529" s="10" t="inlineStr">
        <is>
          <t>Yardley</t>
        </is>
      </c>
      <c r="Q529" s="10" t="inlineStr">
        <is>
          <t>Birmingham</t>
        </is>
      </c>
      <c r="R529" s="10" t="inlineStr">
        <is>
          <t>West Midlands</t>
        </is>
      </c>
      <c r="S529" s="10" t="inlineStr"/>
      <c r="T529" s="10" t="inlineStr">
        <is>
          <t>West Midlands</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convenience grocery</t>
        </is>
      </c>
      <c r="AL529" s="10" t="inlineStr"/>
      <c r="AM529" s="10" t="inlineStr">
        <is>
          <t>Convenience Store</t>
        </is>
      </c>
      <c r="AN529" s="10" t="inlineStr"/>
      <c r="AO529" s="10" t="inlineStr">
        <is>
          <t>Convenience store on Yardley Road. Postcode not captured from Yelp snippet.</t>
        </is>
      </c>
      <c r="AP529" s="10" t="inlineStr">
        <is>
          <t>Low</t>
        </is>
      </c>
      <c r="AQ529" s="10" t="inlineStr">
        <is>
          <t>Independent retailer; Relevant category</t>
        </is>
      </c>
      <c r="AR529" s="10" t="inlineStr">
        <is>
          <t>https://www.yelp.com/biz/malvern-convenience-store-birmingham</t>
        </is>
      </c>
      <c r="AS529" s="10" t="inlineStr"/>
      <c r="AT529" s="10" t="inlineStr">
        <is>
          <t>1</t>
        </is>
      </c>
      <c r="AU529" s="10" t="inlineStr">
        <is>
          <t>No</t>
        </is>
      </c>
      <c r="AV529" s="10" t="inlineStr">
        <is>
          <t>No</t>
        </is>
      </c>
      <c r="AW529" s="10" t="inlineStr">
        <is>
          <t>No</t>
        </is>
      </c>
      <c r="AX529" s="10" t="inlineStr">
        <is>
          <t>No</t>
        </is>
      </c>
      <c r="AY529" s="10" t="inlineStr">
        <is>
          <t>Not Found</t>
        </is>
      </c>
      <c r="AZ529" s="10" t="inlineStr">
        <is>
          <t>Not Found</t>
        </is>
      </c>
      <c r="BA529" s="10" t="inlineStr">
        <is>
          <t>2026-09-17</t>
        </is>
      </c>
      <c r="BB529" s="10" t="inlineStr">
        <is>
          <t>Requires Verification</t>
        </is>
      </c>
      <c r="BC529" s="10" t="inlineStr">
        <is>
          <t>Low</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2026-09-17</t>
        </is>
      </c>
      <c r="BJ529" s="10" t="inlineStr">
        <is>
          <t>New</t>
        </is>
      </c>
      <c r="BK529" s="10" t="inlineStr">
        <is>
          <t>2026-09-17</t>
        </is>
      </c>
      <c r="BL529" s="10" t="inlineStr"/>
      <c r="BM529" s="10" t="inlineStr"/>
      <c r="BN529" s="10" t="inlineStr"/>
      <c r="BO529" s="10" t="inlineStr"/>
      <c r="BP529" s="10" t="inlineStr"/>
      <c r="BQ529" s="10" t="inlineStr"/>
    </row>
    <row r="530">
      <c r="A530" s="5" t="inlineStr">
        <is>
          <t>UK-000369</t>
        </is>
      </c>
      <c r="B530" s="5" t="inlineStr">
        <is>
          <t>UK-000369-01</t>
        </is>
      </c>
      <c r="C530" s="5" t="inlineStr"/>
      <c r="D530" s="5" t="inlineStr">
        <is>
          <t>Marfast &amp; Co Ltd (Cheetham Hill)</t>
        </is>
      </c>
      <c r="E530" s="5" t="inlineStr">
        <is>
          <t>Marfast Cash &amp; Carry</t>
        </is>
      </c>
      <c r="F530" s="5" t="inlineStr">
        <is>
          <t>Marfast &amp; Co Ltd</t>
        </is>
      </c>
      <c r="G530" s="5" t="inlineStr">
        <is>
          <t>Cash &amp; Carry</t>
        </is>
      </c>
      <c r="H530" s="5" t="inlineStr">
        <is>
          <t>Grocery &amp; food wholesale cash &amp; carry</t>
        </is>
      </c>
      <c r="I530" s="5" t="inlineStr">
        <is>
          <t>Independent</t>
        </is>
      </c>
      <c r="J530" s="5" t="inlineStr">
        <is>
          <t>1</t>
        </is>
      </c>
      <c r="K530" s="5" t="inlineStr">
        <is>
          <t>https://marfast.co.uk/</t>
        </is>
      </c>
      <c r="L530" s="5" t="inlineStr"/>
      <c r="M530" s="5" t="inlineStr"/>
      <c r="N530" s="5" t="inlineStr"/>
      <c r="O530" s="5" t="inlineStr">
        <is>
          <t>30 Broughton Street</t>
        </is>
      </c>
      <c r="P530" s="5" t="inlineStr">
        <is>
          <t>Cheetham Hill</t>
        </is>
      </c>
      <c r="Q530" s="5" t="inlineStr">
        <is>
          <t>Manchester</t>
        </is>
      </c>
      <c r="R530" s="5" t="inlineStr">
        <is>
          <t>Greater Manchester</t>
        </is>
      </c>
      <c r="S530" s="5" t="inlineStr">
        <is>
          <t>M8 8NN</t>
        </is>
      </c>
      <c r="T530" s="5" t="inlineStr">
        <is>
          <t>North West</t>
        </is>
      </c>
      <c r="U530" s="5" t="inlineStr">
        <is>
          <t>England</t>
        </is>
      </c>
      <c r="V530" s="5" t="inlineStr">
        <is>
          <t>0161 833 0024</t>
        </is>
      </c>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grocery wholesale; food; household; confectionery; soft drinks</t>
        </is>
      </c>
      <c r="AL530" s="5" t="inlineStr"/>
      <c r="AM530" s="5" t="inlineStr">
        <is>
          <t>Cash &amp; Carry</t>
        </is>
      </c>
      <c r="AN530" s="5" t="inlineStr"/>
      <c r="AO530" s="5" t="inlineStr">
        <is>
          <t>Family-run Cheetham Hill cash &amp; carry; no membership/minimum spend, free parking. Own website (marfast.co.uk) with cash &amp; carry page. Email not published in accessible snippet.</t>
        </is>
      </c>
      <c r="AP530" s="5" t="inlineStr">
        <is>
          <t>Medium</t>
        </is>
      </c>
      <c r="AQ530" s="5" t="inlineStr">
        <is>
          <t>Independent retailer; Core relevant category; Active website</t>
        </is>
      </c>
      <c r="AR530" s="5" t="inlineStr">
        <is>
          <t>https://marfast.co.uk/cashandcarry</t>
        </is>
      </c>
      <c r="AS530" s="5" t="inlineStr">
        <is>
          <t>https://manchester.cylex-uk.co.uk/company/marfast-co-ltd-16424765.html</t>
        </is>
      </c>
      <c r="AT530" s="5" t="inlineStr">
        <is>
          <t>2</t>
        </is>
      </c>
      <c r="AU530" s="5" t="inlineStr">
        <is>
          <t>No</t>
        </is>
      </c>
      <c r="AV530" s="5" t="inlineStr">
        <is>
          <t>No</t>
        </is>
      </c>
      <c r="AW530" s="5" t="inlineStr">
        <is>
          <t>No</t>
        </is>
      </c>
      <c r="AX530" s="5" t="inlineStr">
        <is>
          <t>No</t>
        </is>
      </c>
      <c r="AY530" s="5" t="inlineStr">
        <is>
          <t>Verified directory</t>
        </is>
      </c>
      <c r="AZ530" s="5" t="inlineStr">
        <is>
          <t>Website Found</t>
        </is>
      </c>
      <c r="BA530" s="5" t="inlineStr">
        <is>
          <t>2026-09-17</t>
        </is>
      </c>
      <c r="BB530" s="5" t="inlineStr">
        <is>
          <t>Requires Verification</t>
        </is>
      </c>
      <c r="BC530" s="5" t="inlineStr">
        <is>
          <t>Medium</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UK-000370</t>
        </is>
      </c>
      <c r="B531" s="10" t="inlineStr">
        <is>
          <t>UK-000370-01</t>
        </is>
      </c>
      <c r="C531" s="10" t="inlineStr"/>
      <c r="D531" s="10" t="inlineStr">
        <is>
          <t>Marple Bridge Stores</t>
        </is>
      </c>
      <c r="E531" s="10" t="inlineStr">
        <is>
          <t>Marple Bridge Stores</t>
        </is>
      </c>
      <c r="F531" s="10" t="inlineStr">
        <is>
          <t>Marple Bridge Stores Ltd</t>
        </is>
      </c>
      <c r="G531" s="10" t="inlineStr">
        <is>
          <t>Newsagent</t>
        </is>
      </c>
      <c r="H531" s="10" t="inlineStr">
        <is>
          <t>Newsagent &amp; convenience</t>
        </is>
      </c>
      <c r="I531" s="10" t="inlineStr">
        <is>
          <t>Independent</t>
        </is>
      </c>
      <c r="J531" s="10" t="inlineStr">
        <is>
          <t>1</t>
        </is>
      </c>
      <c r="K531" s="10" t="inlineStr"/>
      <c r="L531" s="10" t="inlineStr"/>
      <c r="M531" s="10" t="inlineStr"/>
      <c r="N531" s="10" t="inlineStr"/>
      <c r="O531" s="10" t="inlineStr">
        <is>
          <t>14-16 Town Street</t>
        </is>
      </c>
      <c r="P531" s="10" t="inlineStr">
        <is>
          <t>Marple Bridge</t>
        </is>
      </c>
      <c r="Q531" s="10" t="inlineStr">
        <is>
          <t>Marple</t>
        </is>
      </c>
      <c r="R531" s="10" t="inlineStr">
        <is>
          <t>Greater Manchester</t>
        </is>
      </c>
      <c r="S531" s="10" t="inlineStr">
        <is>
          <t>SK6 5AA</t>
        </is>
      </c>
      <c r="T531" s="10" t="inlineStr">
        <is>
          <t>North West</t>
        </is>
      </c>
      <c r="U531" s="10" t="inlineStr">
        <is>
          <t>England</t>
        </is>
      </c>
      <c r="V531" s="10" t="inlineStr">
        <is>
          <t>0161 427 2046</t>
        </is>
      </c>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news; magazines; convenience; tobacco</t>
        </is>
      </c>
      <c r="AL531" s="10" t="inlineStr"/>
      <c r="AM531" s="10" t="inlineStr">
        <is>
          <t>Newsagent</t>
        </is>
      </c>
      <c r="AN531" s="10" t="inlineStr"/>
      <c r="AO531" s="10" t="inlineStr">
        <is>
          <t>Independent newsagent/convenience store in Marple Bridge.</t>
        </is>
      </c>
      <c r="AP531" s="10" t="inlineStr">
        <is>
          <t>Low</t>
        </is>
      </c>
      <c r="AQ531" s="10" t="inlineStr">
        <is>
          <t>Independent retailer; Relevant category</t>
        </is>
      </c>
      <c r="AR531" s="10" t="inlineStr">
        <is>
          <t>https://www.mynewsagent.co.uk/16218/</t>
        </is>
      </c>
      <c r="AS531" s="10" t="inlineStr"/>
      <c r="AT531" s="10" t="inlineStr">
        <is>
          <t>1</t>
        </is>
      </c>
      <c r="AU531" s="10" t="inlineStr">
        <is>
          <t>No</t>
        </is>
      </c>
      <c r="AV531" s="10" t="inlineStr">
        <is>
          <t>No</t>
        </is>
      </c>
      <c r="AW531" s="10" t="inlineStr">
        <is>
          <t>No</t>
        </is>
      </c>
      <c r="AX531" s="10" t="inlineStr">
        <is>
          <t>No</t>
        </is>
      </c>
      <c r="AY531" s="10" t="inlineStr">
        <is>
          <t>Verified directory</t>
        </is>
      </c>
      <c r="AZ531" s="10" t="inlineStr">
        <is>
          <t>Not Found</t>
        </is>
      </c>
      <c r="BA531" s="10" t="inlineStr">
        <is>
          <t>2026-09-17</t>
        </is>
      </c>
      <c r="BB531" s="10" t="inlineStr">
        <is>
          <t>Requires Verification</t>
        </is>
      </c>
      <c r="BC531" s="10" t="inlineStr">
        <is>
          <t>Medium</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2026-09-17</t>
        </is>
      </c>
      <c r="BJ531" s="10" t="inlineStr">
        <is>
          <t>New</t>
        </is>
      </c>
      <c r="BK531" s="10" t="inlineStr">
        <is>
          <t>2026-09-17</t>
        </is>
      </c>
      <c r="BL531" s="10" t="inlineStr"/>
      <c r="BM531" s="10" t="inlineStr"/>
      <c r="BN531" s="10" t="inlineStr"/>
      <c r="BO531" s="10" t="inlineStr"/>
      <c r="BP531" s="10" t="inlineStr"/>
      <c r="BQ531" s="10" t="inlineStr"/>
    </row>
    <row r="532">
      <c r="A532" s="5" t="inlineStr">
        <is>
          <t>UK-000371</t>
        </is>
      </c>
      <c r="B532" s="5" t="inlineStr">
        <is>
          <t>UK-000371-01</t>
        </is>
      </c>
      <c r="C532" s="5" t="inlineStr"/>
      <c r="D532" s="5" t="inlineStr">
        <is>
          <t>Marple News</t>
        </is>
      </c>
      <c r="E532" s="5" t="inlineStr">
        <is>
          <t>Marple News</t>
        </is>
      </c>
      <c r="F532" s="5" t="inlineStr"/>
      <c r="G532" s="5" t="inlineStr">
        <is>
          <t>Newsagent</t>
        </is>
      </c>
      <c r="H532" s="5" t="inlineStr"/>
      <c r="I532" s="5" t="inlineStr">
        <is>
          <t>Independent</t>
        </is>
      </c>
      <c r="J532" s="5" t="inlineStr">
        <is>
          <t>1</t>
        </is>
      </c>
      <c r="K532" s="5" t="inlineStr"/>
      <c r="L532" s="5" t="inlineStr"/>
      <c r="M532" s="5" t="inlineStr"/>
      <c r="N532" s="5" t="inlineStr"/>
      <c r="O532" s="5" t="inlineStr">
        <is>
          <t>132 Stockport Road</t>
        </is>
      </c>
      <c r="P532" s="5" t="inlineStr"/>
      <c r="Q532" s="5" t="inlineStr">
        <is>
          <t>Marple</t>
        </is>
      </c>
      <c r="R532" s="5" t="inlineStr">
        <is>
          <t>Greater Manchester</t>
        </is>
      </c>
      <c r="S532" s="5" t="inlineStr">
        <is>
          <t>SK6 6DQ</t>
        </is>
      </c>
      <c r="T532" s="5" t="inlineStr">
        <is>
          <t>North West</t>
        </is>
      </c>
      <c r="U532" s="5" t="inlineStr">
        <is>
          <t>England</t>
        </is>
      </c>
      <c r="V532" s="5" t="inlineStr">
        <is>
          <t>0161 427 7493</t>
        </is>
      </c>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news; magazines; confectionery; tobacco</t>
        </is>
      </c>
      <c r="AL532" s="5" t="inlineStr"/>
      <c r="AM532" s="5" t="inlineStr">
        <is>
          <t>Newsagent</t>
        </is>
      </c>
      <c r="AN532" s="5" t="inlineStr"/>
      <c r="AO532" s="5" t="inlineStr">
        <is>
          <t>Independent newsagent in Marple.</t>
        </is>
      </c>
      <c r="AP532" s="5" t="inlineStr">
        <is>
          <t>Low</t>
        </is>
      </c>
      <c r="AQ532" s="5" t="inlineStr">
        <is>
          <t>Independent retailer; Relevant category</t>
        </is>
      </c>
      <c r="AR532" s="5" t="inlineStr">
        <is>
          <t>https://www.mynewsagent.co.uk/16222/</t>
        </is>
      </c>
      <c r="AS532" s="5" t="inlineStr"/>
      <c r="AT532" s="5" t="inlineStr">
        <is>
          <t>1</t>
        </is>
      </c>
      <c r="AU532" s="5" t="inlineStr">
        <is>
          <t>No</t>
        </is>
      </c>
      <c r="AV532" s="5" t="inlineStr">
        <is>
          <t>No</t>
        </is>
      </c>
      <c r="AW532" s="5" t="inlineStr">
        <is>
          <t>No</t>
        </is>
      </c>
      <c r="AX532" s="5" t="inlineStr">
        <is>
          <t>No</t>
        </is>
      </c>
      <c r="AY532" s="5" t="inlineStr">
        <is>
          <t>Verified directory</t>
        </is>
      </c>
      <c r="AZ532" s="5" t="inlineStr">
        <is>
          <t>Not Found</t>
        </is>
      </c>
      <c r="BA532" s="5" t="inlineStr">
        <is>
          <t>2026-09-17</t>
        </is>
      </c>
      <c r="BB532" s="5" t="inlineStr">
        <is>
          <t>Requires Verification</t>
        </is>
      </c>
      <c r="BC532" s="5" t="inlineStr">
        <is>
          <t>Medium</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WY-0118</t>
        </is>
      </c>
      <c r="B533" s="10" t="inlineStr">
        <is>
          <t>WY-0118-01</t>
        </is>
      </c>
      <c r="C533" s="10" t="inlineStr"/>
      <c r="D533" s="10" t="inlineStr">
        <is>
          <t>Martinez Wines</t>
        </is>
      </c>
      <c r="E533" s="10" t="inlineStr">
        <is>
          <t>Martinez Wines</t>
        </is>
      </c>
      <c r="F533" s="10" t="inlineStr"/>
      <c r="G533" s="10" t="inlineStr">
        <is>
          <t>Off-Licence</t>
        </is>
      </c>
      <c r="H533" s="10" t="inlineStr">
        <is>
          <t>Independent fine wine merchant (with cellar wine bar)</t>
        </is>
      </c>
      <c r="I533" s="10" t="inlineStr">
        <is>
          <t>Independent</t>
        </is>
      </c>
      <c r="J533" s="10" t="inlineStr">
        <is>
          <t>1</t>
        </is>
      </c>
      <c r="K533" s="10" t="inlineStr">
        <is>
          <t>https://martinez.co.uk/</t>
        </is>
      </c>
      <c r="L533" s="10" t="inlineStr"/>
      <c r="M533" s="10" t="inlineStr">
        <is>
          <t>https://www.instagram.com/martinezwines/</t>
        </is>
      </c>
      <c r="N533" s="10" t="inlineStr">
        <is>
          <t>https://x.com/martinezwines</t>
        </is>
      </c>
      <c r="O533" s="10" t="inlineStr">
        <is>
          <t>35 The Grove</t>
        </is>
      </c>
      <c r="P533" s="10" t="inlineStr"/>
      <c r="Q533" s="10" t="inlineStr">
        <is>
          <t>Ilkley</t>
        </is>
      </c>
      <c r="R533" s="10" t="inlineStr">
        <is>
          <t>West Yorkshire</t>
        </is>
      </c>
      <c r="S533" s="10" t="inlineStr">
        <is>
          <t>LS29 9NJ</t>
        </is>
      </c>
      <c r="T533" s="10" t="inlineStr">
        <is>
          <t>Yorkshire &amp; Humber</t>
        </is>
      </c>
      <c r="U533" s="10" t="inlineStr">
        <is>
          <t>England</t>
        </is>
      </c>
      <c r="V533" s="10" t="inlineStr">
        <is>
          <t>01943 600000</t>
        </is>
      </c>
      <c r="W533" s="10" t="inlineStr"/>
      <c r="X533" s="10" t="inlineStr"/>
      <c r="Y533" s="10" t="inlineStr">
        <is>
          <t>shop@martinez.co.uk</t>
        </is>
      </c>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fine wine; spirits; beer</t>
        </is>
      </c>
      <c r="AL533" s="10" t="inlineStr"/>
      <c r="AM533" s="10" t="inlineStr">
        <is>
          <t>Off-Licence</t>
        </is>
      </c>
      <c r="AN533" s="10" t="inlineStr"/>
      <c r="AO533" s="10" t="inlineStr">
        <is>
          <t>Long-established independent wine merchant in Ilkley; listed in the Harpers directory as 'Martinez Fine Wines'. Phone and email as summarised from its own contact page (martinez.co.uk/shop-services/contact/) in search results.</t>
        </is>
      </c>
      <c r="AP533" s="10" t="inlineStr">
        <is>
          <t>High</t>
        </is>
      </c>
      <c r="AQ533" s="10" t="inlineStr">
        <is>
          <t>Independent retailer; Relevant category; Public email available; Active website; Social presence; Phone verified on official website</t>
        </is>
      </c>
      <c r="AR533" s="10" t="inlineStr">
        <is>
          <t>https://martinez.co.uk/shop-services/contact/</t>
        </is>
      </c>
      <c r="AS533" s="10" t="inlineStr">
        <is>
          <t>https://www.instagram.com/martinezwines/</t>
        </is>
      </c>
      <c r="AT533" s="10" t="inlineStr">
        <is>
          <t>3</t>
        </is>
      </c>
      <c r="AU533" s="10" t="inlineStr">
        <is>
          <t>No</t>
        </is>
      </c>
      <c r="AV533" s="10" t="inlineStr">
        <is>
          <t>No</t>
        </is>
      </c>
      <c r="AW533" s="10" t="inlineStr">
        <is>
          <t>No</t>
        </is>
      </c>
      <c r="AX533" s="10" t="inlineStr">
        <is>
          <t>No</t>
        </is>
      </c>
      <c r="AY533" s="10" t="inlineStr">
        <is>
          <t>Verified on official website</t>
        </is>
      </c>
      <c r="AZ533" s="10" t="inlineStr">
        <is>
          <t>Publicly Listed</t>
        </is>
      </c>
      <c r="BA533" s="10" t="inlineStr">
        <is>
          <t>2026-09-17</t>
        </is>
      </c>
      <c r="BB533" s="10" t="inlineStr">
        <is>
          <t>Requires Verification</t>
        </is>
      </c>
      <c r="BC533" s="10" t="inlineStr">
        <is>
          <t>Medium</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2026-09-16</t>
        </is>
      </c>
      <c r="BJ533" s="10" t="inlineStr">
        <is>
          <t>New</t>
        </is>
      </c>
      <c r="BK533" s="10" t="inlineStr">
        <is>
          <t>2026-09-17</t>
        </is>
      </c>
      <c r="BL533" s="10" t="inlineStr"/>
      <c r="BM533" s="10" t="inlineStr"/>
      <c r="BN533" s="10" t="inlineStr"/>
      <c r="BO533" s="10" t="inlineStr"/>
      <c r="BP533" s="10" t="inlineStr"/>
      <c r="BQ533" s="10" t="inlineStr"/>
    </row>
    <row r="534">
      <c r="A534" s="5" t="inlineStr">
        <is>
          <t>UK-000632</t>
        </is>
      </c>
      <c r="B534" s="5" t="inlineStr">
        <is>
          <t>UK-000632-01</t>
        </is>
      </c>
      <c r="C534" s="5" t="inlineStr"/>
      <c r="D534" s="5" t="inlineStr">
        <is>
          <t>Maruti Wines</t>
        </is>
      </c>
      <c r="E534" s="5" t="inlineStr">
        <is>
          <t>Maruti Wines</t>
        </is>
      </c>
      <c r="F534" s="5" t="inlineStr"/>
      <c r="G534" s="5" t="inlineStr">
        <is>
          <t>Off-Licence</t>
        </is>
      </c>
      <c r="H534" s="5" t="inlineStr">
        <is>
          <t>Off-licence</t>
        </is>
      </c>
      <c r="I534" s="5" t="inlineStr">
        <is>
          <t>Independent</t>
        </is>
      </c>
      <c r="J534" s="5" t="inlineStr">
        <is>
          <t>1</t>
        </is>
      </c>
      <c r="K534" s="5" t="inlineStr"/>
      <c r="L534" s="5" t="inlineStr"/>
      <c r="M534" s="5" t="inlineStr"/>
      <c r="N534" s="5" t="inlineStr"/>
      <c r="O534" s="5" t="inlineStr">
        <is>
          <t>10 Porters Avenue</t>
        </is>
      </c>
      <c r="P534" s="5" t="inlineStr"/>
      <c r="Q534" s="5" t="inlineStr">
        <is>
          <t>Dagenham</t>
        </is>
      </c>
      <c r="R534" s="5" t="inlineStr">
        <is>
          <t>Greater London</t>
        </is>
      </c>
      <c r="S534" s="5" t="inlineStr">
        <is>
          <t>RM8 2AQ</t>
        </is>
      </c>
      <c r="T534" s="5" t="inlineStr">
        <is>
          <t>London</t>
        </is>
      </c>
      <c r="U534" s="5" t="inlineStr">
        <is>
          <t>England</t>
        </is>
      </c>
      <c r="V534" s="5" t="inlineStr"/>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alcohol; tobacco; groceries</t>
        </is>
      </c>
      <c r="AL534" s="5" t="inlineStr"/>
      <c r="AM534" s="5" t="inlineStr">
        <is>
          <t>Off-Licence</t>
        </is>
      </c>
      <c r="AN534" s="5" t="inlineStr"/>
      <c r="AO534" s="5" t="inlineStr">
        <is>
          <t>Off-licence on Porters Avenue, Dagenham. Address/postcode from Yell off-licences (RM8) directory. Phone not in snippet.</t>
        </is>
      </c>
      <c r="AP534" s="5" t="inlineStr">
        <is>
          <t>Low</t>
        </is>
      </c>
      <c r="AQ534" s="5" t="inlineStr">
        <is>
          <t>Independent retailer; Relevant category</t>
        </is>
      </c>
      <c r="AR534" s="5" t="inlineStr">
        <is>
          <t>https://www.yell.com/s/off+licences-rm8.html</t>
        </is>
      </c>
      <c r="AS534" s="5" t="inlineStr"/>
      <c r="AT534" s="5" t="inlineStr">
        <is>
          <t>1</t>
        </is>
      </c>
      <c r="AU534" s="5" t="inlineStr">
        <is>
          <t>No</t>
        </is>
      </c>
      <c r="AV534" s="5" t="inlineStr">
        <is>
          <t>No</t>
        </is>
      </c>
      <c r="AW534" s="5" t="inlineStr">
        <is>
          <t>No</t>
        </is>
      </c>
      <c r="AX534" s="5" t="inlineStr">
        <is>
          <t>No</t>
        </is>
      </c>
      <c r="AY534" s="5" t="inlineStr">
        <is>
          <t>Not Found</t>
        </is>
      </c>
      <c r="AZ534" s="5" t="inlineStr">
        <is>
          <t>Not Found</t>
        </is>
      </c>
      <c r="BA534" s="5" t="inlineStr">
        <is>
          <t>2026-09-17</t>
        </is>
      </c>
      <c r="BB534" s="5" t="inlineStr">
        <is>
          <t>Requires Verification</t>
        </is>
      </c>
      <c r="BC534" s="5" t="inlineStr">
        <is>
          <t>Low</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UK-000633</t>
        </is>
      </c>
      <c r="B535" s="10" t="inlineStr">
        <is>
          <t>UK-000633-01</t>
        </is>
      </c>
      <c r="C535" s="10" t="inlineStr"/>
      <c r="D535" s="10" t="inlineStr">
        <is>
          <t>Marylebone News</t>
        </is>
      </c>
      <c r="E535" s="10" t="inlineStr">
        <is>
          <t>Marylebone News</t>
        </is>
      </c>
      <c r="F535" s="10" t="inlineStr"/>
      <c r="G535" s="10" t="inlineStr">
        <is>
          <t>Newsagent</t>
        </is>
      </c>
      <c r="H535" s="10" t="inlineStr">
        <is>
          <t>Newsagent &amp; convenience</t>
        </is>
      </c>
      <c r="I535" s="10" t="inlineStr">
        <is>
          <t>Independent</t>
        </is>
      </c>
      <c r="J535" s="10" t="inlineStr">
        <is>
          <t>1</t>
        </is>
      </c>
      <c r="K535" s="10" t="inlineStr"/>
      <c r="L535" s="10" t="inlineStr"/>
      <c r="M535" s="10" t="inlineStr"/>
      <c r="N535" s="10" t="inlineStr"/>
      <c r="O535" s="10" t="inlineStr">
        <is>
          <t>47 Marylebone High Street</t>
        </is>
      </c>
      <c r="P535" s="10" t="inlineStr">
        <is>
          <t>Marylebone</t>
        </is>
      </c>
      <c r="Q535" s="10" t="inlineStr">
        <is>
          <t>London</t>
        </is>
      </c>
      <c r="R535" s="10" t="inlineStr">
        <is>
          <t>Greater London</t>
        </is>
      </c>
      <c r="S535" s="10" t="inlineStr">
        <is>
          <t>W1U 5HH</t>
        </is>
      </c>
      <c r="T535" s="10" t="inlineStr">
        <is>
          <t>London</t>
        </is>
      </c>
      <c r="U535" s="10" t="inlineStr">
        <is>
          <t>England</t>
        </is>
      </c>
      <c r="V535" s="10" t="inlineStr"/>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newspapers; magazines; tobacco; convenience</t>
        </is>
      </c>
      <c r="AL535" s="10" t="inlineStr"/>
      <c r="AM535" s="10" t="inlineStr">
        <is>
          <t>Newsagent</t>
        </is>
      </c>
      <c r="AN535" s="10" t="inlineStr"/>
      <c r="AO535" s="10" t="inlineStr">
        <is>
          <t>Independent newsagent on Marylebone High Street. Address/postcode from Yell listing snippet; phone not published in accessible snippet.</t>
        </is>
      </c>
      <c r="AP535" s="10" t="inlineStr">
        <is>
          <t>Low</t>
        </is>
      </c>
      <c r="AQ535" s="10" t="inlineStr">
        <is>
          <t>Independent retailer; Relevant category</t>
        </is>
      </c>
      <c r="AR535" s="10" t="inlineStr">
        <is>
          <t>https://www.yell.com/biz/marylebone-news-london-10688888/</t>
        </is>
      </c>
      <c r="AS535" s="10" t="inlineStr"/>
      <c r="AT535" s="10" t="inlineStr">
        <is>
          <t>1</t>
        </is>
      </c>
      <c r="AU535" s="10" t="inlineStr">
        <is>
          <t>No</t>
        </is>
      </c>
      <c r="AV535" s="10" t="inlineStr">
        <is>
          <t>No</t>
        </is>
      </c>
      <c r="AW535" s="10" t="inlineStr">
        <is>
          <t>No</t>
        </is>
      </c>
      <c r="AX535" s="10" t="inlineStr">
        <is>
          <t>No</t>
        </is>
      </c>
      <c r="AY535" s="10" t="inlineStr">
        <is>
          <t>Not Found</t>
        </is>
      </c>
      <c r="AZ535" s="10" t="inlineStr">
        <is>
          <t>Not Found</t>
        </is>
      </c>
      <c r="BA535" s="10" t="inlineStr">
        <is>
          <t>2026-09-17</t>
        </is>
      </c>
      <c r="BB535" s="10" t="inlineStr">
        <is>
          <t>Requires Verification</t>
        </is>
      </c>
      <c r="BC535" s="10" t="inlineStr">
        <is>
          <t>Low</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WY-0119</t>
        </is>
      </c>
      <c r="B536" s="5" t="inlineStr">
        <is>
          <t>WY-0119-01</t>
        </is>
      </c>
      <c r="C536" s="5" t="inlineStr"/>
      <c r="D536" s="5" t="inlineStr">
        <is>
          <t>Matharu Newsagents</t>
        </is>
      </c>
      <c r="E536" s="5" t="inlineStr">
        <is>
          <t>Matharu Newsagents</t>
        </is>
      </c>
      <c r="F536" s="5" t="inlineStr"/>
      <c r="G536" s="5" t="inlineStr">
        <is>
          <t>Newsagent</t>
        </is>
      </c>
      <c r="H536" s="5" t="inlineStr"/>
      <c r="I536" s="5" t="inlineStr">
        <is>
          <t>Independent</t>
        </is>
      </c>
      <c r="J536" s="5" t="inlineStr">
        <is>
          <t>1</t>
        </is>
      </c>
      <c r="K536" s="5" t="inlineStr"/>
      <c r="L536" s="5" t="inlineStr"/>
      <c r="M536" s="5" t="inlineStr"/>
      <c r="N536" s="5" t="inlineStr"/>
      <c r="O536" s="5" t="inlineStr">
        <is>
          <t>46 Monk Bridge Road</t>
        </is>
      </c>
      <c r="P536" s="5" t="inlineStr">
        <is>
          <t>Meanwood</t>
        </is>
      </c>
      <c r="Q536" s="5" t="inlineStr">
        <is>
          <t>Leeds</t>
        </is>
      </c>
      <c r="R536" s="5" t="inlineStr">
        <is>
          <t>West Yorkshire</t>
        </is>
      </c>
      <c r="S536" s="5" t="inlineStr">
        <is>
          <t>LS6 4ER</t>
        </is>
      </c>
      <c r="T536" s="5" t="inlineStr">
        <is>
          <t>Yorkshire &amp; Humber</t>
        </is>
      </c>
      <c r="U536" s="5" t="inlineStr">
        <is>
          <t>England</t>
        </is>
      </c>
      <c r="V536" s="5" t="inlineStr">
        <is>
          <t>0113 275 1851</t>
        </is>
      </c>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newspapers; magazines; confectionery; tobacco</t>
        </is>
      </c>
      <c r="AL536" s="5" t="inlineStr"/>
      <c r="AM536" s="5" t="inlineStr">
        <is>
          <t>Newsagent</t>
        </is>
      </c>
      <c r="AN536" s="5" t="inlineStr"/>
      <c r="AO536" s="5" t="inlineStr"/>
      <c r="AP536" s="5" t="inlineStr">
        <is>
          <t>Low</t>
        </is>
      </c>
      <c r="AQ536" s="5" t="inlineStr">
        <is>
          <t>Independent retailer; Relevant category</t>
        </is>
      </c>
      <c r="AR536" s="5" t="inlineStr">
        <is>
          <t>https://findit.yorkshireeveningpost.co.uk/search/leeds/newsagent</t>
        </is>
      </c>
      <c r="AS536" s="5" t="inlineStr"/>
      <c r="AT536" s="5" t="inlineStr">
        <is>
          <t>1</t>
        </is>
      </c>
      <c r="AU536" s="5" t="inlineStr">
        <is>
          <t>No</t>
        </is>
      </c>
      <c r="AV536" s="5" t="inlineStr">
        <is>
          <t>No</t>
        </is>
      </c>
      <c r="AW536" s="5" t="inlineStr">
        <is>
          <t>No</t>
        </is>
      </c>
      <c r="AX536" s="5" t="inlineStr">
        <is>
          <t>No</t>
        </is>
      </c>
      <c r="AY536" s="5" t="inlineStr">
        <is>
          <t>Verified directory</t>
        </is>
      </c>
      <c r="AZ536" s="5" t="inlineStr">
        <is>
          <t>Not Found</t>
        </is>
      </c>
      <c r="BA536" s="5" t="inlineStr">
        <is>
          <t>2026-09-17</t>
        </is>
      </c>
      <c r="BB536" s="5" t="inlineStr">
        <is>
          <t>Requires Verification</t>
        </is>
      </c>
      <c r="BC536" s="5" t="inlineStr">
        <is>
          <t>Medium</t>
        </is>
      </c>
      <c r="BD536" s="5" t="inlineStr"/>
      <c r="BE536" s="5" t="inlineStr">
        <is>
          <t>Business (B2B)</t>
        </is>
      </c>
      <c r="BF536" s="5" t="inlineStr">
        <is>
          <t>Legitimate interest (B2B) - assess per campaign; PECR: corporate subscribers</t>
        </is>
      </c>
      <c r="BG536" s="5" t="inlineStr"/>
      <c r="BH536" s="5" t="inlineStr">
        <is>
          <t>No</t>
        </is>
      </c>
      <c r="BI536" s="5" t="inlineStr">
        <is>
          <t>2026-09-16</t>
        </is>
      </c>
      <c r="BJ536" s="5" t="inlineStr">
        <is>
          <t>New</t>
        </is>
      </c>
      <c r="BK536" s="5" t="inlineStr">
        <is>
          <t>2026-09-17</t>
        </is>
      </c>
      <c r="BL536" s="5" t="inlineStr"/>
      <c r="BM536" s="5" t="inlineStr"/>
      <c r="BN536" s="5" t="inlineStr"/>
      <c r="BO536" s="5" t="inlineStr"/>
      <c r="BP536" s="5" t="inlineStr"/>
      <c r="BQ536" s="5" t="inlineStr"/>
    </row>
    <row r="537">
      <c r="A537" s="10" t="inlineStr">
        <is>
          <t>UK-000372</t>
        </is>
      </c>
      <c r="B537" s="10" t="inlineStr">
        <is>
          <t>UK-000372-01</t>
        </is>
      </c>
      <c r="C537" s="10" t="inlineStr"/>
      <c r="D537" s="10" t="inlineStr">
        <is>
          <t>Mazzalini Shisha Lounge</t>
        </is>
      </c>
      <c r="E537" s="10" t="inlineStr">
        <is>
          <t>Mazzalini Shisha Lounge</t>
        </is>
      </c>
      <c r="F537" s="10" t="inlineStr"/>
      <c r="G537" s="10" t="inlineStr">
        <is>
          <t>Smoke / Shisha Shop</t>
        </is>
      </c>
      <c r="H537" s="10" t="inlineStr">
        <is>
          <t>Shisha lounge</t>
        </is>
      </c>
      <c r="I537" s="10" t="inlineStr">
        <is>
          <t>Independent</t>
        </is>
      </c>
      <c r="J537" s="10" t="inlineStr">
        <is>
          <t>1</t>
        </is>
      </c>
      <c r="K537" s="10" t="inlineStr"/>
      <c r="L537" s="10" t="inlineStr"/>
      <c r="M537" s="10" t="inlineStr"/>
      <c r="N537" s="10" t="inlineStr"/>
      <c r="O537" s="10" t="inlineStr">
        <is>
          <t>178 Middleton Road</t>
        </is>
      </c>
      <c r="P537" s="10" t="inlineStr">
        <is>
          <t>Westwood</t>
        </is>
      </c>
      <c r="Q537" s="10" t="inlineStr">
        <is>
          <t>Oldham</t>
        </is>
      </c>
      <c r="R537" s="10" t="inlineStr">
        <is>
          <t>Greater Manchester</t>
        </is>
      </c>
      <c r="S537" s="10" t="inlineStr">
        <is>
          <t>OL9 6BG</t>
        </is>
      </c>
      <c r="T537" s="10" t="inlineStr">
        <is>
          <t>North West</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shisha; hookah</t>
        </is>
      </c>
      <c r="AL537" s="10" t="inlineStr"/>
      <c r="AM537" s="10" t="inlineStr">
        <is>
          <t>Smoke / Shisha Shop</t>
        </is>
      </c>
      <c r="AN537" s="10" t="inlineStr"/>
      <c r="AO537" s="10" t="inlineStr">
        <is>
          <t>Shisha lounge in Westwood, Oldham.</t>
        </is>
      </c>
      <c r="AP537" s="10" t="inlineStr">
        <is>
          <t>Medium</t>
        </is>
      </c>
      <c r="AQ537" s="10" t="inlineStr">
        <is>
          <t>Independent retailer; Core relevant category</t>
        </is>
      </c>
      <c r="AR537" s="10" t="inlineStr">
        <is>
          <t>https://www.yelp.co.uk/biz/mazzalini-shisha-lounge-oldham</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WY-0120</t>
        </is>
      </c>
      <c r="B538" s="5" t="inlineStr">
        <is>
          <t>WY-0120-01</t>
        </is>
      </c>
      <c r="C538" s="5" t="inlineStr"/>
      <c r="D538" s="5" t="inlineStr">
        <is>
          <t>Meltham Convenience Store</t>
        </is>
      </c>
      <c r="E538" s="5" t="inlineStr">
        <is>
          <t>Meltham Convenience Store</t>
        </is>
      </c>
      <c r="F538" s="5" t="inlineStr"/>
      <c r="G538" s="5" t="inlineStr">
        <is>
          <t>Convenience Store</t>
        </is>
      </c>
      <c r="H538" s="5" t="inlineStr">
        <is>
          <t>Convenience store and off-licence</t>
        </is>
      </c>
      <c r="I538" s="5" t="inlineStr">
        <is>
          <t>Independent</t>
        </is>
      </c>
      <c r="J538" s="5" t="inlineStr">
        <is>
          <t>1</t>
        </is>
      </c>
      <c r="K538" s="5" t="inlineStr"/>
      <c r="L538" s="5" t="inlineStr"/>
      <c r="M538" s="5" t="inlineStr"/>
      <c r="N538" s="5" t="inlineStr"/>
      <c r="O538" s="5" t="inlineStr">
        <is>
          <t>30 Meltham Mills Road</t>
        </is>
      </c>
      <c r="P538" s="5" t="inlineStr"/>
      <c r="Q538" s="5" t="inlineStr">
        <is>
          <t>Meltham</t>
        </is>
      </c>
      <c r="R538" s="5" t="inlineStr">
        <is>
          <t>West Yorkshire</t>
        </is>
      </c>
      <c r="S538" s="5" t="inlineStr">
        <is>
          <t>HD9 4EJ</t>
        </is>
      </c>
      <c r="T538" s="5" t="inlineStr">
        <is>
          <t>Yorkshire &amp; Humber</t>
        </is>
      </c>
      <c r="U538" s="5" t="inlineStr">
        <is>
          <t>England</t>
        </is>
      </c>
      <c r="V538" s="5" t="inlineStr">
        <is>
          <t>01484 618211</t>
        </is>
      </c>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convenience goods; alcohol; tobacco; newspapers</t>
        </is>
      </c>
      <c r="AL538" s="5" t="inlineStr"/>
      <c r="AM538" s="5" t="inlineStr">
        <is>
          <t>Convenience Store</t>
        </is>
      </c>
      <c r="AN538" s="5" t="inlineStr"/>
      <c r="AO538" s="5" t="inlineStr">
        <is>
          <t>Listed under Off Licences on Yell and as a convenience store on Gazette Live directory with matching address and phone.</t>
        </is>
      </c>
      <c r="AP538" s="5" t="inlineStr">
        <is>
          <t>Low</t>
        </is>
      </c>
      <c r="AQ538" s="5" t="inlineStr">
        <is>
          <t>Independent retailer; Relevant category</t>
        </is>
      </c>
      <c r="AR538" s="5" t="inlineStr">
        <is>
          <t>https://www.yell.com/biz/meltham-convenience-store-holmfirth-9079746/</t>
        </is>
      </c>
      <c r="AS538" s="5" t="inlineStr">
        <is>
          <t>https://directory.gazettelive.co.uk/company/d9f72795f940854d6693354206b3bc2d</t>
        </is>
      </c>
      <c r="AT538" s="5" t="inlineStr">
        <is>
          <t>2</t>
        </is>
      </c>
      <c r="AU538" s="5" t="inlineStr">
        <is>
          <t>No</t>
        </is>
      </c>
      <c r="AV538" s="5" t="inlineStr">
        <is>
          <t>No</t>
        </is>
      </c>
      <c r="AW538" s="5" t="inlineStr">
        <is>
          <t>No</t>
        </is>
      </c>
      <c r="AX538" s="5" t="inlineStr">
        <is>
          <t>No</t>
        </is>
      </c>
      <c r="AY538" s="5" t="inlineStr">
        <is>
          <t>Verified directory</t>
        </is>
      </c>
      <c r="AZ538" s="5" t="inlineStr">
        <is>
          <t>Not Found</t>
        </is>
      </c>
      <c r="BA538" s="5" t="inlineStr">
        <is>
          <t>2026-09-17</t>
        </is>
      </c>
      <c r="BB538" s="5" t="inlineStr">
        <is>
          <t>Requires Verification</t>
        </is>
      </c>
      <c r="BC538" s="5" t="inlineStr">
        <is>
          <t>Medium</t>
        </is>
      </c>
      <c r="BD538" s="5" t="inlineStr"/>
      <c r="BE538" s="5" t="inlineStr">
        <is>
          <t>Business (B2B)</t>
        </is>
      </c>
      <c r="BF538" s="5" t="inlineStr">
        <is>
          <t>Legitimate interest (B2B) - assess per campaign; PECR: corporate subscribers</t>
        </is>
      </c>
      <c r="BG538" s="5" t="inlineStr"/>
      <c r="BH538" s="5" t="inlineStr">
        <is>
          <t>No</t>
        </is>
      </c>
      <c r="BI538" s="5" t="inlineStr">
        <is>
          <t>2026-09-16</t>
        </is>
      </c>
      <c r="BJ538" s="5" t="inlineStr">
        <is>
          <t>New</t>
        </is>
      </c>
      <c r="BK538" s="5" t="inlineStr">
        <is>
          <t>2026-09-17</t>
        </is>
      </c>
      <c r="BL538" s="5" t="inlineStr"/>
      <c r="BM538" s="5" t="inlineStr"/>
      <c r="BN538" s="5" t="inlineStr"/>
      <c r="BO538" s="5" t="inlineStr"/>
      <c r="BP538" s="5" t="inlineStr"/>
      <c r="BQ538" s="5" t="inlineStr"/>
    </row>
    <row r="539">
      <c r="A539" s="10" t="inlineStr">
        <is>
          <t>UK-000800</t>
        </is>
      </c>
      <c r="B539" s="10" t="inlineStr">
        <is>
          <t>UK-000800-01</t>
        </is>
      </c>
      <c r="C539" s="10" t="inlineStr"/>
      <c r="D539" s="10" t="inlineStr">
        <is>
          <t>Mersey Vapour Maghull</t>
        </is>
      </c>
      <c r="E539" s="10" t="inlineStr">
        <is>
          <t>Mersey Vapour</t>
        </is>
      </c>
      <c r="F539" s="10" t="inlineStr"/>
      <c r="G539" s="10" t="inlineStr">
        <is>
          <t>Vape Shop</t>
        </is>
      </c>
      <c r="H539" s="10" t="inlineStr">
        <is>
          <t>Vape shop</t>
        </is>
      </c>
      <c r="I539" s="10" t="inlineStr">
        <is>
          <t>Independent</t>
        </is>
      </c>
      <c r="J539" s="10" t="inlineStr">
        <is>
          <t>1</t>
        </is>
      </c>
      <c r="K539" s="10" t="inlineStr"/>
      <c r="L539" s="10" t="inlineStr"/>
      <c r="M539" s="10" t="inlineStr"/>
      <c r="N539" s="10" t="inlineStr"/>
      <c r="O539" s="10" t="inlineStr">
        <is>
          <t>5 Tree View Court</t>
        </is>
      </c>
      <c r="P539" s="10" t="inlineStr"/>
      <c r="Q539" s="10" t="inlineStr">
        <is>
          <t>Maghull</t>
        </is>
      </c>
      <c r="R539" s="10" t="inlineStr">
        <is>
          <t>Merseyside</t>
        </is>
      </c>
      <c r="S539" s="10" t="inlineStr">
        <is>
          <t>L31 3HF</t>
        </is>
      </c>
      <c r="T539" s="10" t="inlineStr">
        <is>
          <t>North West</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vape hardware; e-liquids</t>
        </is>
      </c>
      <c r="AL539" s="10" t="inlineStr"/>
      <c r="AM539" s="10" t="inlineStr">
        <is>
          <t>Vape Shop</t>
        </is>
      </c>
      <c r="AN539" s="10" t="inlineStr"/>
      <c r="AO539" s="10" t="inlineStr">
        <is>
          <t>Independent vape shop at Tree View Court, Maghull (L31, Sefton). Address/postcode from Sefton vape shop directory search. Phone not confirmed.</t>
        </is>
      </c>
      <c r="AP539" s="10" t="inlineStr">
        <is>
          <t>Medium</t>
        </is>
      </c>
      <c r="AQ539" s="10" t="inlineStr">
        <is>
          <t>Independent retailer; Core relevant category</t>
        </is>
      </c>
      <c r="AR539" s="10" t="inlineStr">
        <is>
          <t>https://waterloo-sefton.cylex-uk.co.uk/company/virgin-vapours-27370213.html</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2026-09-17</t>
        </is>
      </c>
      <c r="BJ539" s="10" t="inlineStr">
        <is>
          <t>New</t>
        </is>
      </c>
      <c r="BK539" s="10" t="inlineStr">
        <is>
          <t>2026-09-17</t>
        </is>
      </c>
      <c r="BL539" s="10" t="inlineStr"/>
      <c r="BM539" s="10" t="inlineStr"/>
      <c r="BN539" s="10" t="inlineStr"/>
      <c r="BO539" s="10" t="inlineStr"/>
      <c r="BP539" s="10" t="inlineStr"/>
      <c r="BQ539" s="10" t="inlineStr"/>
    </row>
    <row r="540">
      <c r="A540" s="5" t="inlineStr">
        <is>
          <t>UK-000801</t>
        </is>
      </c>
      <c r="B540" s="5" t="inlineStr">
        <is>
          <t>UK-000801-01</t>
        </is>
      </c>
      <c r="C540" s="5" t="inlineStr"/>
      <c r="D540" s="5" t="inlineStr">
        <is>
          <t>Mick's Convenience Store</t>
        </is>
      </c>
      <c r="E540" s="5" t="inlineStr">
        <is>
          <t>Mick's Convenience Store</t>
        </is>
      </c>
      <c r="F540" s="5" t="inlineStr"/>
      <c r="G540" s="5" t="inlineStr">
        <is>
          <t>Convenience Store</t>
        </is>
      </c>
      <c r="H540" s="5" t="inlineStr">
        <is>
          <t>Grocer &amp; convenience store</t>
        </is>
      </c>
      <c r="I540" s="5" t="inlineStr">
        <is>
          <t>Independent</t>
        </is>
      </c>
      <c r="J540" s="5" t="inlineStr">
        <is>
          <t>1</t>
        </is>
      </c>
      <c r="K540" s="5" t="inlineStr"/>
      <c r="L540" s="5" t="inlineStr"/>
      <c r="M540" s="5" t="inlineStr"/>
      <c r="N540" s="5" t="inlineStr"/>
      <c r="O540" s="5" t="inlineStr">
        <is>
          <t>203 Strand Road</t>
        </is>
      </c>
      <c r="P540" s="5" t="inlineStr"/>
      <c r="Q540" s="5" t="inlineStr">
        <is>
          <t>Bootle</t>
        </is>
      </c>
      <c r="R540" s="5" t="inlineStr">
        <is>
          <t>Merseyside</t>
        </is>
      </c>
      <c r="S540" s="5" t="inlineStr">
        <is>
          <t>L20 3HJ</t>
        </is>
      </c>
      <c r="T540" s="5" t="inlineStr">
        <is>
          <t>North West</t>
        </is>
      </c>
      <c r="U540" s="5" t="inlineStr">
        <is>
          <t>England</t>
        </is>
      </c>
      <c r="V540" s="5" t="inlineStr"/>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convenience groceries; tobacco; soft drinks</t>
        </is>
      </c>
      <c r="AL540" s="5" t="inlineStr"/>
      <c r="AM540" s="5" t="inlineStr">
        <is>
          <t>Convenience Store</t>
        </is>
      </c>
      <c r="AN540" s="5" t="inlineStr"/>
      <c r="AO540" s="5" t="inlineStr">
        <is>
          <t>Independent convenience store on Strand Road, Bootle (L20).</t>
        </is>
      </c>
      <c r="AP540" s="5" t="inlineStr">
        <is>
          <t>Low</t>
        </is>
      </c>
      <c r="AQ540" s="5" t="inlineStr">
        <is>
          <t>Independent retailer; Relevant category</t>
        </is>
      </c>
      <c r="AR540" s="5" t="inlineStr">
        <is>
          <t>https://www.yell.com/biz/mick-s-convenience-store-bootle-10203737/</t>
        </is>
      </c>
      <c r="AS540" s="5" t="inlineStr"/>
      <c r="AT540" s="5" t="inlineStr">
        <is>
          <t>1</t>
        </is>
      </c>
      <c r="AU540" s="5" t="inlineStr">
        <is>
          <t>No</t>
        </is>
      </c>
      <c r="AV540" s="5" t="inlineStr">
        <is>
          <t>No</t>
        </is>
      </c>
      <c r="AW540" s="5" t="inlineStr">
        <is>
          <t>No</t>
        </is>
      </c>
      <c r="AX540" s="5" t="inlineStr">
        <is>
          <t>No</t>
        </is>
      </c>
      <c r="AY540" s="5" t="inlineStr">
        <is>
          <t>Not Found</t>
        </is>
      </c>
      <c r="AZ540" s="5" t="inlineStr">
        <is>
          <t>Not Found</t>
        </is>
      </c>
      <c r="BA540" s="5" t="inlineStr">
        <is>
          <t>2026-09-17</t>
        </is>
      </c>
      <c r="BB540" s="5" t="inlineStr">
        <is>
          <t>Requires Verification</t>
        </is>
      </c>
      <c r="BC540" s="5" t="inlineStr">
        <is>
          <t>Low</t>
        </is>
      </c>
      <c r="BD540" s="5" t="inlineStr"/>
      <c r="BE540" s="5" t="inlineStr">
        <is>
          <t>Business (B2B)</t>
        </is>
      </c>
      <c r="BF540" s="5" t="inlineStr">
        <is>
          <t>Legitimate interest (B2B) - assess per campaign; PECR: corporate subscribers</t>
        </is>
      </c>
      <c r="BG540" s="5" t="inlineStr"/>
      <c r="BH540" s="5" t="inlineStr">
        <is>
          <t>No</t>
        </is>
      </c>
      <c r="BI540" s="5" t="inlineStr">
        <is>
          <t>2026-09-17</t>
        </is>
      </c>
      <c r="BJ540" s="5" t="inlineStr">
        <is>
          <t>New</t>
        </is>
      </c>
      <c r="BK540" s="5" t="inlineStr">
        <is>
          <t>2026-09-17</t>
        </is>
      </c>
      <c r="BL540" s="5" t="inlineStr"/>
      <c r="BM540" s="5" t="inlineStr"/>
      <c r="BN540" s="5" t="inlineStr"/>
      <c r="BO540" s="5" t="inlineStr"/>
      <c r="BP540" s="5" t="inlineStr"/>
      <c r="BQ540" s="5" t="inlineStr"/>
    </row>
    <row r="541">
      <c r="A541" s="10" t="inlineStr">
        <is>
          <t>UK-000634</t>
        </is>
      </c>
      <c r="B541" s="10" t="inlineStr">
        <is>
          <t>UK-000634-01</t>
        </is>
      </c>
      <c r="C541" s="10" t="inlineStr"/>
      <c r="D541" s="10" t="inlineStr">
        <is>
          <t>Millennium Food &amp; Wine</t>
        </is>
      </c>
      <c r="E541" s="10" t="inlineStr">
        <is>
          <t>Millennium Food &amp; Wine</t>
        </is>
      </c>
      <c r="F541" s="10" t="inlineStr"/>
      <c r="G541" s="10" t="inlineStr">
        <is>
          <t>Off-Licence</t>
        </is>
      </c>
      <c r="H541" s="10" t="inlineStr">
        <is>
          <t>Off-licence &amp; grocery</t>
        </is>
      </c>
      <c r="I541" s="10" t="inlineStr">
        <is>
          <t>Independent</t>
        </is>
      </c>
      <c r="J541" s="10" t="inlineStr">
        <is>
          <t>1</t>
        </is>
      </c>
      <c r="K541" s="10" t="inlineStr"/>
      <c r="L541" s="10" t="inlineStr"/>
      <c r="M541" s="10" t="inlineStr"/>
      <c r="N541" s="10" t="inlineStr"/>
      <c r="O541" s="10" t="inlineStr">
        <is>
          <t>176 The Grove</t>
        </is>
      </c>
      <c r="P541" s="10" t="inlineStr"/>
      <c r="Q541" s="10" t="inlineStr">
        <is>
          <t>Stratford</t>
        </is>
      </c>
      <c r="R541" s="10" t="inlineStr">
        <is>
          <t>Greater London</t>
        </is>
      </c>
      <c r="S541" s="10" t="inlineStr">
        <is>
          <t>E15 1NS</t>
        </is>
      </c>
      <c r="T541" s="10" t="inlineStr">
        <is>
          <t>London</t>
        </is>
      </c>
      <c r="U541" s="10" t="inlineStr">
        <is>
          <t>England</t>
        </is>
      </c>
      <c r="V541" s="10" t="inlineStr"/>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alcohol; groceries; tobacco</t>
        </is>
      </c>
      <c r="AL541" s="10" t="inlineStr"/>
      <c r="AM541" s="10" t="inlineStr">
        <is>
          <t>Off-Licence</t>
        </is>
      </c>
      <c r="AN541" s="10" t="inlineStr"/>
      <c r="AO541" s="10" t="inlineStr">
        <is>
          <t>Off-licence/grocery on The Grove, Stratford. Address/postcode from Yell directory. Phone not in snippet.</t>
        </is>
      </c>
      <c r="AP541" s="10" t="inlineStr">
        <is>
          <t>Low</t>
        </is>
      </c>
      <c r="AQ541" s="10" t="inlineStr">
        <is>
          <t>Independent retailer; Relevant category</t>
        </is>
      </c>
      <c r="AR541" s="10" t="inlineStr">
        <is>
          <t>https://www.yell.com/s/vape+shops-stratford-east+london.html</t>
        </is>
      </c>
      <c r="AS541" s="10" t="inlineStr"/>
      <c r="AT541" s="10" t="inlineStr">
        <is>
          <t>1</t>
        </is>
      </c>
      <c r="AU541" s="10" t="inlineStr">
        <is>
          <t>No</t>
        </is>
      </c>
      <c r="AV541" s="10" t="inlineStr">
        <is>
          <t>No</t>
        </is>
      </c>
      <c r="AW541" s="10" t="inlineStr">
        <is>
          <t>No</t>
        </is>
      </c>
      <c r="AX541" s="10" t="inlineStr">
        <is>
          <t>No</t>
        </is>
      </c>
      <c r="AY541" s="10" t="inlineStr">
        <is>
          <t>Not Found</t>
        </is>
      </c>
      <c r="AZ541" s="10" t="inlineStr">
        <is>
          <t>Not Found</t>
        </is>
      </c>
      <c r="BA541" s="10" t="inlineStr">
        <is>
          <t>2026-09-17</t>
        </is>
      </c>
      <c r="BB541" s="10" t="inlineStr">
        <is>
          <t>Requires Verification</t>
        </is>
      </c>
      <c r="BC541" s="10" t="inlineStr">
        <is>
          <t>Low</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UK-000802</t>
        </is>
      </c>
      <c r="B542" s="5" t="inlineStr">
        <is>
          <t>UK-000802-01</t>
        </is>
      </c>
      <c r="C542" s="5" t="inlineStr"/>
      <c r="D542" s="5" t="inlineStr">
        <is>
          <t>Millstreet Wines</t>
        </is>
      </c>
      <c r="E542" s="5" t="inlineStr">
        <is>
          <t>Millstreet Wines</t>
        </is>
      </c>
      <c r="F542" s="5" t="inlineStr"/>
      <c r="G542" s="5" t="inlineStr">
        <is>
          <t>Off-Licence</t>
        </is>
      </c>
      <c r="H542" s="5" t="inlineStr">
        <is>
          <t>Off-licence / wines &amp; spirits</t>
        </is>
      </c>
      <c r="I542" s="5" t="inlineStr">
        <is>
          <t>Independent</t>
        </is>
      </c>
      <c r="J542" s="5" t="inlineStr">
        <is>
          <t>1</t>
        </is>
      </c>
      <c r="K542" s="5" t="inlineStr"/>
      <c r="L542" s="5" t="inlineStr"/>
      <c r="M542" s="5" t="inlineStr"/>
      <c r="N542" s="5" t="inlineStr"/>
      <c r="O542" s="5" t="inlineStr">
        <is>
          <t>483-485 Mill Street</t>
        </is>
      </c>
      <c r="P542" s="5" t="inlineStr">
        <is>
          <t>Toxteth</t>
        </is>
      </c>
      <c r="Q542" s="5" t="inlineStr">
        <is>
          <t>Liverpool</t>
        </is>
      </c>
      <c r="R542" s="5" t="inlineStr">
        <is>
          <t>Merseyside</t>
        </is>
      </c>
      <c r="S542" s="5" t="inlineStr">
        <is>
          <t>L8 4RD</t>
        </is>
      </c>
      <c r="T542" s="5" t="inlineStr">
        <is>
          <t>North West</t>
        </is>
      </c>
      <c r="U542" s="5" t="inlineStr">
        <is>
          <t>England</t>
        </is>
      </c>
      <c r="V542" s="5" t="inlineStr">
        <is>
          <t>0151 726 0900</t>
        </is>
      </c>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wines; beers; spirits</t>
        </is>
      </c>
      <c r="AL542" s="5" t="inlineStr"/>
      <c r="AM542" s="5" t="inlineStr">
        <is>
          <t>Off-Licence</t>
        </is>
      </c>
      <c r="AN542" s="5" t="inlineStr"/>
      <c r="AO542" s="5" t="inlineStr">
        <is>
          <t>Independent off-licence on Mill Street, Toxteth (L8).</t>
        </is>
      </c>
      <c r="AP542" s="5" t="inlineStr">
        <is>
          <t>Low</t>
        </is>
      </c>
      <c r="AQ542" s="5" t="inlineStr">
        <is>
          <t>Independent retailer; Relevant category</t>
        </is>
      </c>
      <c r="AR542" s="5" t="inlineStr">
        <is>
          <t>https://liverpool.cylex-uk.co.uk/off-licence-4.html</t>
        </is>
      </c>
      <c r="AS542" s="5" t="inlineStr"/>
      <c r="AT542" s="5" t="inlineStr">
        <is>
          <t>1</t>
        </is>
      </c>
      <c r="AU542" s="5" t="inlineStr">
        <is>
          <t>No</t>
        </is>
      </c>
      <c r="AV542" s="5" t="inlineStr">
        <is>
          <t>No</t>
        </is>
      </c>
      <c r="AW542" s="5" t="inlineStr">
        <is>
          <t>No</t>
        </is>
      </c>
      <c r="AX542" s="5" t="inlineStr">
        <is>
          <t>No</t>
        </is>
      </c>
      <c r="AY542" s="5" t="inlineStr">
        <is>
          <t>Verified directory</t>
        </is>
      </c>
      <c r="AZ542" s="5" t="inlineStr">
        <is>
          <t>Not Found</t>
        </is>
      </c>
      <c r="BA542" s="5" t="inlineStr">
        <is>
          <t>2026-09-17</t>
        </is>
      </c>
      <c r="BB542" s="5" t="inlineStr">
        <is>
          <t>Requires Verification</t>
        </is>
      </c>
      <c r="BC542" s="5" t="inlineStr">
        <is>
          <t>Low</t>
        </is>
      </c>
      <c r="BD542" s="5" t="inlineStr"/>
      <c r="BE542" s="5" t="inlineStr">
        <is>
          <t>Business (B2B)</t>
        </is>
      </c>
      <c r="BF542" s="5" t="inlineStr">
        <is>
          <t>Legitimate interest (B2B) - assess per campaign; PECR: corporate subscribers</t>
        </is>
      </c>
      <c r="BG542" s="5" t="inlineStr"/>
      <c r="BH542" s="5" t="inlineStr">
        <is>
          <t>No</t>
        </is>
      </c>
      <c r="BI542" s="5" t="inlineStr">
        <is>
          <t>2026-09-17</t>
        </is>
      </c>
      <c r="BJ542" s="5" t="inlineStr">
        <is>
          <t>New</t>
        </is>
      </c>
      <c r="BK542" s="5" t="inlineStr">
        <is>
          <t>2026-09-17</t>
        </is>
      </c>
      <c r="BL542" s="5" t="inlineStr"/>
      <c r="BM542" s="5" t="inlineStr"/>
      <c r="BN542" s="5" t="inlineStr"/>
      <c r="BO542" s="5" t="inlineStr"/>
      <c r="BP542" s="5" t="inlineStr"/>
      <c r="BQ542" s="5" t="inlineStr"/>
    </row>
    <row r="543">
      <c r="A543" s="10" t="inlineStr">
        <is>
          <t>UK-000635</t>
        </is>
      </c>
      <c r="B543" s="10" t="inlineStr">
        <is>
          <t>UK-000635-01</t>
        </is>
      </c>
      <c r="C543" s="10" t="inlineStr"/>
      <c r="D543" s="10" t="inlineStr">
        <is>
          <t>Mina Stores</t>
        </is>
      </c>
      <c r="E543" s="10" t="inlineStr">
        <is>
          <t>Mina Stores</t>
        </is>
      </c>
      <c r="F543" s="10" t="inlineStr"/>
      <c r="G543" s="10" t="inlineStr">
        <is>
          <t>Convenience Store</t>
        </is>
      </c>
      <c r="H543" s="10" t="inlineStr">
        <is>
          <t>Convenience &amp; world-food grocery</t>
        </is>
      </c>
      <c r="I543" s="10" t="inlineStr">
        <is>
          <t>Independent</t>
        </is>
      </c>
      <c r="J543" s="10" t="inlineStr">
        <is>
          <t>1</t>
        </is>
      </c>
      <c r="K543" s="10" t="inlineStr"/>
      <c r="L543" s="10" t="inlineStr"/>
      <c r="M543" s="10" t="inlineStr"/>
      <c r="N543" s="10" t="inlineStr"/>
      <c r="O543" s="10" t="inlineStr">
        <is>
          <t>274 Green Street</t>
        </is>
      </c>
      <c r="P543" s="10" t="inlineStr"/>
      <c r="Q543" s="10" t="inlineStr">
        <is>
          <t>Forest Gate</t>
        </is>
      </c>
      <c r="R543" s="10" t="inlineStr">
        <is>
          <t>Greater London</t>
        </is>
      </c>
      <c r="S543" s="10" t="inlineStr">
        <is>
          <t>E7 8LF</t>
        </is>
      </c>
      <c r="T543" s="10" t="inlineStr">
        <is>
          <t>London</t>
        </is>
      </c>
      <c r="U543" s="10" t="inlineStr">
        <is>
          <t>England</t>
        </is>
      </c>
      <c r="V543" s="10" t="inlineStr"/>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groceries; world foods; tobacco</t>
        </is>
      </c>
      <c r="AL543" s="10" t="inlineStr"/>
      <c r="AM543" s="10" t="inlineStr">
        <is>
          <t>Convenience Store</t>
        </is>
      </c>
      <c r="AN543" s="10" t="inlineStr"/>
      <c r="AO543" s="10" t="inlineStr">
        <is>
          <t>Grocery/convenience store on Green Street, Forest Gate. Address/postcode from Cylex/192 Upton Park grocery listings.</t>
        </is>
      </c>
      <c r="AP543" s="10" t="inlineStr">
        <is>
          <t>Low</t>
        </is>
      </c>
      <c r="AQ543" s="10" t="inlineStr">
        <is>
          <t>Independent retailer; Relevant category</t>
        </is>
      </c>
      <c r="AR543" s="10" t="inlineStr">
        <is>
          <t>https://london.cylex-uk.co.uk/upton-park/grocery%20stores.html</t>
        </is>
      </c>
      <c r="AS543" s="10" t="inlineStr"/>
      <c r="AT543" s="10" t="inlineStr">
        <is>
          <t>1</t>
        </is>
      </c>
      <c r="AU543" s="10" t="inlineStr">
        <is>
          <t>No</t>
        </is>
      </c>
      <c r="AV543" s="10" t="inlineStr">
        <is>
          <t>No</t>
        </is>
      </c>
      <c r="AW543" s="10" t="inlineStr">
        <is>
          <t>No</t>
        </is>
      </c>
      <c r="AX543" s="10" t="inlineStr">
        <is>
          <t>No</t>
        </is>
      </c>
      <c r="AY543" s="10" t="inlineStr">
        <is>
          <t>Not Found</t>
        </is>
      </c>
      <c r="AZ543" s="10" t="inlineStr">
        <is>
          <t>Not Found</t>
        </is>
      </c>
      <c r="BA543" s="10" t="inlineStr">
        <is>
          <t>2026-09-17</t>
        </is>
      </c>
      <c r="BB543" s="10" t="inlineStr">
        <is>
          <t>Requires Verification</t>
        </is>
      </c>
      <c r="BC543" s="10" t="inlineStr">
        <is>
          <t>Low</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UK-000803</t>
        </is>
      </c>
      <c r="B544" s="5" t="inlineStr">
        <is>
          <t>UK-000803-01</t>
        </is>
      </c>
      <c r="C544" s="5" t="inlineStr"/>
      <c r="D544" s="5" t="inlineStr">
        <is>
          <t>Minar Superstore &amp; Halal Meat Shop</t>
        </is>
      </c>
      <c r="E544" s="5" t="inlineStr">
        <is>
          <t>Minar Superstore</t>
        </is>
      </c>
      <c r="F544" s="5" t="inlineStr">
        <is>
          <t>Minar Butchers Ltd</t>
        </is>
      </c>
      <c r="G544" s="5" t="inlineStr">
        <is>
          <t>Independent Supermarket</t>
        </is>
      </c>
      <c r="H544" s="5" t="inlineStr">
        <is>
          <t>World food / halal grocery supermarket</t>
        </is>
      </c>
      <c r="I544" s="5" t="inlineStr">
        <is>
          <t>Independent</t>
        </is>
      </c>
      <c r="J544" s="5" t="inlineStr">
        <is>
          <t>1</t>
        </is>
      </c>
      <c r="K544" s="5" t="inlineStr"/>
      <c r="L544" s="5" t="inlineStr">
        <is>
          <t>https://www.facebook.com/p/Minar-Superstore-Maxwell-Road-Glasgow-100068677794891/</t>
        </is>
      </c>
      <c r="M544" s="5" t="inlineStr"/>
      <c r="N544" s="5" t="inlineStr"/>
      <c r="O544" s="5" t="inlineStr">
        <is>
          <t>313-317 Maxwell Road</t>
        </is>
      </c>
      <c r="P544" s="5" t="inlineStr">
        <is>
          <t>Pollokshields</t>
        </is>
      </c>
      <c r="Q544" s="5" t="inlineStr">
        <is>
          <t>Glasgow</t>
        </is>
      </c>
      <c r="R544" s="5" t="inlineStr">
        <is>
          <t>Glasgow City</t>
        </is>
      </c>
      <c r="S544" s="5" t="inlineStr">
        <is>
          <t>G41 1TD</t>
        </is>
      </c>
      <c r="T544" s="5" t="inlineStr">
        <is>
          <t>Scotland</t>
        </is>
      </c>
      <c r="U544" s="5" t="inlineStr">
        <is>
          <t>Scotland</t>
        </is>
      </c>
      <c r="V544" s="5" t="inlineStr">
        <is>
          <t>0141 429 4348</t>
        </is>
      </c>
      <c r="W544" s="5" t="inlineStr"/>
      <c r="X544" s="5" t="inlineStr"/>
      <c r="Y544" s="5" t="inlineStr"/>
      <c r="Z544" s="5" t="inlineStr"/>
      <c r="AA544" s="5" t="inlineStr"/>
      <c r="AB544" s="5" t="inlineStr"/>
      <c r="AC544" s="5" t="inlineStr"/>
      <c r="AD544" s="5" t="inlineStr"/>
      <c r="AE544" s="5" t="inlineStr">
        <is>
          <t>SC662637</t>
        </is>
      </c>
      <c r="AF544" s="5" t="inlineStr"/>
      <c r="AG544" s="5" t="inlineStr">
        <is>
          <t>MINAR BUTCHERS LTD</t>
        </is>
      </c>
      <c r="AH544" s="5" t="inlineStr"/>
      <c r="AI544" s="5" t="inlineStr"/>
      <c r="AJ544" s="5" t="inlineStr"/>
      <c r="AK544" s="5" t="inlineStr">
        <is>
          <t>halal meat; world groceries; fresh produce; household</t>
        </is>
      </c>
      <c r="AL544" s="5" t="inlineStr"/>
      <c r="AM544" s="5" t="inlineStr">
        <is>
          <t>Independent Supermarket</t>
        </is>
      </c>
      <c r="AN544" s="5" t="inlineStr"/>
      <c r="AO544" s="5" t="inlineStr">
        <is>
          <t>Independent world-food supermarket and halal butcher on Maxwell Road, Pollokshields. Companies House SC662637 (Minar Butchers Ltd). Address, postcode and phone from Firmania/Halalfoodle listings.</t>
        </is>
      </c>
      <c r="AP544" s="5" t="inlineStr">
        <is>
          <t>Medium</t>
        </is>
      </c>
      <c r="AQ544" s="5" t="inlineStr">
        <is>
          <t>Independent retailer; Relevant category; Social presence</t>
        </is>
      </c>
      <c r="AR544" s="5" t="inlineStr">
        <is>
          <t>https://find-and-update.company-information.service.gov.uk/company/SC662637</t>
        </is>
      </c>
      <c r="AS544" s="5" t="inlineStr">
        <is>
          <t>https://firmania.co.uk/glasgow/minar-superstore-halal-meat-shop-3024910</t>
        </is>
      </c>
      <c r="AT544" s="5" t="inlineStr">
        <is>
          <t>2</t>
        </is>
      </c>
      <c r="AU544" s="5" t="inlineStr">
        <is>
          <t>No</t>
        </is>
      </c>
      <c r="AV544" s="5" t="inlineStr">
        <is>
          <t>No</t>
        </is>
      </c>
      <c r="AW544" s="5" t="inlineStr">
        <is>
          <t>No</t>
        </is>
      </c>
      <c r="AX544" s="5" t="inlineStr">
        <is>
          <t>No</t>
        </is>
      </c>
      <c r="AY544" s="5" t="inlineStr">
        <is>
          <t>Verified directory</t>
        </is>
      </c>
      <c r="AZ544" s="5" t="inlineStr">
        <is>
          <t>Not Found</t>
        </is>
      </c>
      <c r="BA544" s="5" t="inlineStr">
        <is>
          <t>2026-09-17</t>
        </is>
      </c>
      <c r="BB544" s="5" t="inlineStr">
        <is>
          <t>Requires Verification</t>
        </is>
      </c>
      <c r="BC544" s="5" t="inlineStr">
        <is>
          <t>High</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UK-000636</t>
        </is>
      </c>
      <c r="B545" s="10" t="inlineStr">
        <is>
          <t>UK-000636-01</t>
        </is>
      </c>
      <c r="C545" s="10" t="inlineStr"/>
      <c r="D545" s="10" t="inlineStr">
        <is>
          <t>Mini Free Off Licence</t>
        </is>
      </c>
      <c r="E545" s="10" t="inlineStr">
        <is>
          <t>Mini Free Off Licence</t>
        </is>
      </c>
      <c r="F545" s="10" t="inlineStr"/>
      <c r="G545" s="10" t="inlineStr">
        <is>
          <t>Off-Licence</t>
        </is>
      </c>
      <c r="H545" s="10" t="inlineStr">
        <is>
          <t>Off-licence</t>
        </is>
      </c>
      <c r="I545" s="10" t="inlineStr">
        <is>
          <t>Independent</t>
        </is>
      </c>
      <c r="J545" s="10" t="inlineStr">
        <is>
          <t>1</t>
        </is>
      </c>
      <c r="K545" s="10" t="inlineStr"/>
      <c r="L545" s="10" t="inlineStr"/>
      <c r="M545" s="10" t="inlineStr"/>
      <c r="N545" s="10" t="inlineStr"/>
      <c r="O545" s="10" t="inlineStr">
        <is>
          <t>37 Roman Road</t>
        </is>
      </c>
      <c r="P545" s="10" t="inlineStr"/>
      <c r="Q545" s="10" t="inlineStr">
        <is>
          <t>Bethnal Green</t>
        </is>
      </c>
      <c r="R545" s="10" t="inlineStr">
        <is>
          <t>Greater London</t>
        </is>
      </c>
      <c r="S545" s="10" t="inlineStr">
        <is>
          <t>E2 0HU</t>
        </is>
      </c>
      <c r="T545" s="10" t="inlineStr">
        <is>
          <t>London</t>
        </is>
      </c>
      <c r="U545" s="10" t="inlineStr">
        <is>
          <t>England</t>
        </is>
      </c>
      <c r="V545" s="10" t="inlineStr">
        <is>
          <t>020 8980 4690</t>
        </is>
      </c>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alcohol; tobacco; groceries</t>
        </is>
      </c>
      <c r="AL545" s="10" t="inlineStr"/>
      <c r="AM545" s="10" t="inlineStr">
        <is>
          <t>Off-Licence</t>
        </is>
      </c>
      <c r="AN545" s="10" t="inlineStr"/>
      <c r="AO545" s="10" t="inlineStr">
        <is>
          <t>Off-licence on Roman Road, Bethnal Green. Address/postcode/phone from 192.com / Yell directory.</t>
        </is>
      </c>
      <c r="AP545" s="10" t="inlineStr">
        <is>
          <t>Low</t>
        </is>
      </c>
      <c r="AQ545" s="10" t="inlineStr">
        <is>
          <t>Independent retailer; Relevant category</t>
        </is>
      </c>
      <c r="AR545" s="10" t="inlineStr">
        <is>
          <t>https://www.yell.com/s/off+licences-bethnal+green-east+london.html</t>
        </is>
      </c>
      <c r="AS545" s="10" t="inlineStr"/>
      <c r="AT545" s="10" t="inlineStr">
        <is>
          <t>1</t>
        </is>
      </c>
      <c r="AU545" s="10" t="inlineStr">
        <is>
          <t>No</t>
        </is>
      </c>
      <c r="AV545" s="10" t="inlineStr">
        <is>
          <t>No</t>
        </is>
      </c>
      <c r="AW545" s="10" t="inlineStr">
        <is>
          <t>No</t>
        </is>
      </c>
      <c r="AX545" s="10" t="inlineStr">
        <is>
          <t>No</t>
        </is>
      </c>
      <c r="AY545" s="10" t="inlineStr">
        <is>
          <t>Verified directory</t>
        </is>
      </c>
      <c r="AZ545" s="10" t="inlineStr">
        <is>
          <t>Not Found</t>
        </is>
      </c>
      <c r="BA545" s="10" t="inlineStr">
        <is>
          <t>2026-09-17</t>
        </is>
      </c>
      <c r="BB545" s="10" t="inlineStr">
        <is>
          <t>Requires Verification</t>
        </is>
      </c>
      <c r="BC545" s="10" t="inlineStr">
        <is>
          <t>Medium</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2026-09-17</t>
        </is>
      </c>
      <c r="BJ545" s="10" t="inlineStr">
        <is>
          <t>New</t>
        </is>
      </c>
      <c r="BK545" s="10" t="inlineStr">
        <is>
          <t>2026-09-17</t>
        </is>
      </c>
      <c r="BL545" s="10" t="inlineStr"/>
      <c r="BM545" s="10" t="inlineStr"/>
      <c r="BN545" s="10" t="inlineStr"/>
      <c r="BO545" s="10" t="inlineStr"/>
      <c r="BP545" s="10" t="inlineStr"/>
      <c r="BQ545" s="10" t="inlineStr"/>
    </row>
    <row r="546">
      <c r="A546" s="5" t="inlineStr">
        <is>
          <t>UK-000493</t>
        </is>
      </c>
      <c r="B546" s="5" t="inlineStr">
        <is>
          <t>UK-000493-01</t>
        </is>
      </c>
      <c r="C546" s="5" t="inlineStr"/>
      <c r="D546" s="5" t="inlineStr">
        <is>
          <t>Mini-Stop Express</t>
        </is>
      </c>
      <c r="E546" s="5" t="inlineStr">
        <is>
          <t>Mini-Stop Express</t>
        </is>
      </c>
      <c r="F546" s="5" t="inlineStr"/>
      <c r="G546" s="5" t="inlineStr">
        <is>
          <t>Convenience Store</t>
        </is>
      </c>
      <c r="H546" s="5" t="inlineStr">
        <is>
          <t>Convenience store &amp; off-licence</t>
        </is>
      </c>
      <c r="I546" s="5" t="inlineStr">
        <is>
          <t>Independent</t>
        </is>
      </c>
      <c r="J546" s="5" t="inlineStr">
        <is>
          <t>1</t>
        </is>
      </c>
      <c r="K546" s="5" t="inlineStr"/>
      <c r="L546" s="5" t="inlineStr"/>
      <c r="M546" s="5" t="inlineStr"/>
      <c r="N546" s="5" t="inlineStr"/>
      <c r="O546" s="5" t="inlineStr">
        <is>
          <t>515 Hagley Road</t>
        </is>
      </c>
      <c r="P546" s="5" t="inlineStr">
        <is>
          <t>Bearwood</t>
        </is>
      </c>
      <c r="Q546" s="5" t="inlineStr">
        <is>
          <t>Smethwick</t>
        </is>
      </c>
      <c r="R546" s="5" t="inlineStr">
        <is>
          <t>West Midlands</t>
        </is>
      </c>
      <c r="S546" s="5" t="inlineStr">
        <is>
          <t>B66 4AX</t>
        </is>
      </c>
      <c r="T546" s="5" t="inlineStr">
        <is>
          <t>West Midlands</t>
        </is>
      </c>
      <c r="U546" s="5" t="inlineStr">
        <is>
          <t>England</t>
        </is>
      </c>
      <c r="V546" s="5" t="inlineStr"/>
      <c r="W546" s="5" t="inlineStr"/>
      <c r="X546" s="5" t="inlineStr"/>
      <c r="Y546" s="5" t="inlineStr"/>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groceries; beers; wines; spirits; convenience</t>
        </is>
      </c>
      <c r="AL546" s="5" t="inlineStr"/>
      <c r="AM546" s="5" t="inlineStr">
        <is>
          <t>Convenience Store</t>
        </is>
      </c>
      <c r="AN546" s="5" t="inlineStr"/>
      <c r="AO546" s="5" t="inlineStr">
        <is>
          <t>Independent convenience store / off-licence, 515 Hagley Road, Bearwood, Smethwick. Address from Yell Bearwood/Smethwick off-licences listing snippet.</t>
        </is>
      </c>
      <c r="AP546" s="5" t="inlineStr">
        <is>
          <t>Low</t>
        </is>
      </c>
      <c r="AQ546" s="5" t="inlineStr">
        <is>
          <t>Independent retailer; Relevant category</t>
        </is>
      </c>
      <c r="AR546" s="5" t="inlineStr">
        <is>
          <t>https://www.yell.com/s/off+licences-bearwood.html</t>
        </is>
      </c>
      <c r="AS546" s="5" t="inlineStr"/>
      <c r="AT546" s="5" t="inlineStr">
        <is>
          <t>1</t>
        </is>
      </c>
      <c r="AU546" s="5" t="inlineStr">
        <is>
          <t>No</t>
        </is>
      </c>
      <c r="AV546" s="5" t="inlineStr">
        <is>
          <t>No</t>
        </is>
      </c>
      <c r="AW546" s="5" t="inlineStr">
        <is>
          <t>No</t>
        </is>
      </c>
      <c r="AX546" s="5" t="inlineStr">
        <is>
          <t>No</t>
        </is>
      </c>
      <c r="AY546" s="5" t="inlineStr">
        <is>
          <t>Not Found</t>
        </is>
      </c>
      <c r="AZ546" s="5" t="inlineStr">
        <is>
          <t>Not Found</t>
        </is>
      </c>
      <c r="BA546" s="5" t="inlineStr">
        <is>
          <t>2026-09-17</t>
        </is>
      </c>
      <c r="BB546" s="5" t="inlineStr">
        <is>
          <t>Requires Verification</t>
        </is>
      </c>
      <c r="BC546" s="5" t="inlineStr">
        <is>
          <t>Medium</t>
        </is>
      </c>
      <c r="BD546" s="5" t="inlineStr"/>
      <c r="BE546" s="5" t="inlineStr">
        <is>
          <t>Business (B2B)</t>
        </is>
      </c>
      <c r="BF546" s="5" t="inlineStr">
        <is>
          <t>Legitimate interest (B2B) - assess per campaign; PECR: corporate subscribers</t>
        </is>
      </c>
      <c r="BG546" s="5" t="inlineStr"/>
      <c r="BH546" s="5" t="inlineStr">
        <is>
          <t>No</t>
        </is>
      </c>
      <c r="BI546" s="5" t="inlineStr">
        <is>
          <t>2026-09-17</t>
        </is>
      </c>
      <c r="BJ546" s="5" t="inlineStr">
        <is>
          <t>New</t>
        </is>
      </c>
      <c r="BK546" s="5" t="inlineStr">
        <is>
          <t>2026-09-17</t>
        </is>
      </c>
      <c r="BL546" s="5" t="inlineStr"/>
      <c r="BM546" s="5" t="inlineStr"/>
      <c r="BN546" s="5" t="inlineStr"/>
      <c r="BO546" s="5" t="inlineStr"/>
      <c r="BP546" s="5" t="inlineStr"/>
      <c r="BQ546" s="5" t="inlineStr"/>
    </row>
    <row r="547">
      <c r="A547" s="10" t="inlineStr">
        <is>
          <t>WY-0121</t>
        </is>
      </c>
      <c r="B547" s="10" t="inlineStr">
        <is>
          <t>WY-0121-01</t>
        </is>
      </c>
      <c r="C547" s="10" t="inlineStr"/>
      <c r="D547" s="10" t="inlineStr">
        <is>
          <t>Mister Motivaper</t>
        </is>
      </c>
      <c r="E547" s="10" t="inlineStr">
        <is>
          <t>Mister Motivaper</t>
        </is>
      </c>
      <c r="F547" s="10" t="inlineStr"/>
      <c r="G547" s="10" t="inlineStr">
        <is>
          <t>Vape Shop</t>
        </is>
      </c>
      <c r="H547" s="10" t="inlineStr">
        <is>
          <t>Vape retailer</t>
        </is>
      </c>
      <c r="I547" s="10" t="inlineStr">
        <is>
          <t>Independent</t>
        </is>
      </c>
      <c r="J547" s="10" t="inlineStr">
        <is>
          <t>1</t>
        </is>
      </c>
      <c r="K547" s="10" t="inlineStr"/>
      <c r="L547" s="10" t="inlineStr"/>
      <c r="M547" s="10" t="inlineStr"/>
      <c r="N547" s="10" t="inlineStr"/>
      <c r="O547" s="10" t="inlineStr">
        <is>
          <t>7 Horse Fair</t>
        </is>
      </c>
      <c r="P547" s="10" t="inlineStr"/>
      <c r="Q547" s="10" t="inlineStr">
        <is>
          <t>Pontefract</t>
        </is>
      </c>
      <c r="R547" s="10" t="inlineStr">
        <is>
          <t>West Yorkshire</t>
        </is>
      </c>
      <c r="S547" s="10" t="inlineStr"/>
      <c r="T547" s="10" t="inlineStr">
        <is>
          <t>Yorkshire &amp; Humber</t>
        </is>
      </c>
      <c r="U547" s="10" t="inlineStr">
        <is>
          <t>England</t>
        </is>
      </c>
      <c r="V547" s="10" t="inlineStr">
        <is>
          <t>01274 987430</t>
        </is>
      </c>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vape hardware; e-liquids</t>
        </is>
      </c>
      <c r="AL547" s="10" t="inlineStr"/>
      <c r="AM547" s="10" t="inlineStr">
        <is>
          <t>Vape Shop</t>
        </is>
      </c>
      <c r="AN547" s="10" t="inlineStr"/>
      <c r="AO547" s="10" t="inlineStr">
        <is>
          <t>Next door to Vaperites on Horse Fair. Listed phone is a Bradford (01274) number, suggesting possible link to a Bradford-based operator - unconfirmed.</t>
        </is>
      </c>
      <c r="AP547" s="10" t="inlineStr">
        <is>
          <t>Medium</t>
        </is>
      </c>
      <c r="AQ547" s="10" t="inlineStr">
        <is>
          <t>Independent retailer; Core relevant category</t>
        </is>
      </c>
      <c r="AR547" s="10" t="inlineStr">
        <is>
          <t>https://ecigdirectory.co.uk/vape-shop/listing/mister-motivaper-pontefract</t>
        </is>
      </c>
      <c r="AS547" s="10" t="inlineStr"/>
      <c r="AT547" s="10" t="inlineStr">
        <is>
          <t>1</t>
        </is>
      </c>
      <c r="AU547" s="10" t="inlineStr">
        <is>
          <t>No</t>
        </is>
      </c>
      <c r="AV547" s="10" t="inlineStr">
        <is>
          <t>No</t>
        </is>
      </c>
      <c r="AW547" s="10" t="inlineStr">
        <is>
          <t>No</t>
        </is>
      </c>
      <c r="AX547" s="10" t="inlineStr">
        <is>
          <t>No</t>
        </is>
      </c>
      <c r="AY547" s="10" t="inlineStr">
        <is>
          <t>Verified directory</t>
        </is>
      </c>
      <c r="AZ547" s="10" t="inlineStr">
        <is>
          <t>Not Found</t>
        </is>
      </c>
      <c r="BA547" s="10" t="inlineStr">
        <is>
          <t>2026-09-17</t>
        </is>
      </c>
      <c r="BB547" s="10" t="inlineStr">
        <is>
          <t>Requires Verification</t>
        </is>
      </c>
      <c r="BC547" s="10" t="inlineStr">
        <is>
          <t>Low</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2026-09-16</t>
        </is>
      </c>
      <c r="BJ547" s="10" t="inlineStr">
        <is>
          <t>New</t>
        </is>
      </c>
      <c r="BK547" s="10" t="inlineStr">
        <is>
          <t>2026-09-17</t>
        </is>
      </c>
      <c r="BL547" s="10" t="inlineStr"/>
      <c r="BM547" s="10" t="inlineStr"/>
      <c r="BN547" s="10" t="inlineStr"/>
      <c r="BO547" s="10" t="inlineStr"/>
      <c r="BP547" s="10" t="inlineStr"/>
      <c r="BQ547" s="10" t="inlineStr"/>
    </row>
    <row r="548">
      <c r="A548" s="5" t="inlineStr">
        <is>
          <t>UK-000804</t>
        </is>
      </c>
      <c r="B548" s="5" t="inlineStr">
        <is>
          <t>UK-000804-01</t>
        </is>
      </c>
      <c r="C548" s="5" t="inlineStr"/>
      <c r="D548" s="5" t="inlineStr">
        <is>
          <t>Mobile Tech &amp; Vape</t>
        </is>
      </c>
      <c r="E548" s="5" t="inlineStr">
        <is>
          <t>Mobile Tech &amp; Vape</t>
        </is>
      </c>
      <c r="F548" s="5" t="inlineStr"/>
      <c r="G548" s="5" t="inlineStr">
        <is>
          <t>Vape Shop</t>
        </is>
      </c>
      <c r="H548" s="5" t="inlineStr">
        <is>
          <t>Vape &amp; mobile accessories</t>
        </is>
      </c>
      <c r="I548" s="5" t="inlineStr">
        <is>
          <t>Independent</t>
        </is>
      </c>
      <c r="J548" s="5" t="inlineStr">
        <is>
          <t>1</t>
        </is>
      </c>
      <c r="K548" s="5" t="inlineStr"/>
      <c r="L548" s="5" t="inlineStr"/>
      <c r="M548" s="5" t="inlineStr"/>
      <c r="N548" s="5" t="inlineStr"/>
      <c r="O548" s="5" t="inlineStr">
        <is>
          <t>48 Grahams Road</t>
        </is>
      </c>
      <c r="P548" s="5" t="inlineStr"/>
      <c r="Q548" s="5" t="inlineStr">
        <is>
          <t>Falkirk</t>
        </is>
      </c>
      <c r="R548" s="5" t="inlineStr">
        <is>
          <t>Falkirk</t>
        </is>
      </c>
      <c r="S548" s="5" t="inlineStr">
        <is>
          <t>FK1 1HR</t>
        </is>
      </c>
      <c r="T548" s="5" t="inlineStr">
        <is>
          <t>Scotland</t>
        </is>
      </c>
      <c r="U548" s="5" t="inlineStr">
        <is>
          <t>Scotland</t>
        </is>
      </c>
      <c r="V548" s="5" t="inlineStr">
        <is>
          <t>07450 116416</t>
        </is>
      </c>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vape hardware; e-liquids; mobile accessories</t>
        </is>
      </c>
      <c r="AL548" s="5" t="inlineStr"/>
      <c r="AM548" s="5" t="inlineStr">
        <is>
          <t>Vape Shop</t>
        </is>
      </c>
      <c r="AN548" s="5" t="inlineStr"/>
      <c r="AO548" s="5" t="inlineStr">
        <is>
          <t>Independent vape and mobile-accessory shop on Grahams Road, Falkirk. Details from Yell/Cylex Falkirk vape listing snippet.</t>
        </is>
      </c>
      <c r="AP548" s="5" t="inlineStr">
        <is>
          <t>Medium</t>
        </is>
      </c>
      <c r="AQ548" s="5" t="inlineStr">
        <is>
          <t>Independent retailer; Core relevant category</t>
        </is>
      </c>
      <c r="AR548" s="5" t="inlineStr">
        <is>
          <t>https://www.yell.com/s/vape+shops-falkirk.html</t>
        </is>
      </c>
      <c r="AS548" s="5" t="inlineStr"/>
      <c r="AT548" s="5" t="inlineStr">
        <is>
          <t>1</t>
        </is>
      </c>
      <c r="AU548" s="5" t="inlineStr">
        <is>
          <t>No</t>
        </is>
      </c>
      <c r="AV548" s="5" t="inlineStr">
        <is>
          <t>No</t>
        </is>
      </c>
      <c r="AW548" s="5" t="inlineStr">
        <is>
          <t>No</t>
        </is>
      </c>
      <c r="AX548" s="5" t="inlineStr">
        <is>
          <t>No</t>
        </is>
      </c>
      <c r="AY548" s="5" t="inlineStr">
        <is>
          <t>Verified directory</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UK-000373</t>
        </is>
      </c>
      <c r="B549" s="10" t="inlineStr">
        <is>
          <t>UK-000373-01</t>
        </is>
      </c>
      <c r="C549" s="10" t="inlineStr"/>
      <c r="D549" s="10" t="inlineStr">
        <is>
          <t>Mobile and Vape Shop Hindley</t>
        </is>
      </c>
      <c r="E549" s="10" t="inlineStr">
        <is>
          <t>Mobile and Vape Shop</t>
        </is>
      </c>
      <c r="F549" s="10" t="inlineStr"/>
      <c r="G549" s="10" t="inlineStr">
        <is>
          <t>Vape Shop</t>
        </is>
      </c>
      <c r="H549" s="10" t="inlineStr">
        <is>
          <t>Mobile phone and vape retailer</t>
        </is>
      </c>
      <c r="I549" s="10" t="inlineStr">
        <is>
          <t>Independent</t>
        </is>
      </c>
      <c r="J549" s="10" t="inlineStr">
        <is>
          <t>1</t>
        </is>
      </c>
      <c r="K549" s="10" t="inlineStr"/>
      <c r="L549" s="10" t="inlineStr"/>
      <c r="M549" s="10" t="inlineStr"/>
      <c r="N549" s="10" t="inlineStr"/>
      <c r="O549" s="10" t="inlineStr">
        <is>
          <t>77 Market Street</t>
        </is>
      </c>
      <c r="P549" s="10" t="inlineStr">
        <is>
          <t>Hindley</t>
        </is>
      </c>
      <c r="Q549" s="10" t="inlineStr">
        <is>
          <t>Wigan</t>
        </is>
      </c>
      <c r="R549" s="10" t="inlineStr">
        <is>
          <t>Greater Manchester</t>
        </is>
      </c>
      <c r="S549" s="10" t="inlineStr"/>
      <c r="T549" s="10" t="inlineStr">
        <is>
          <t>North West</t>
        </is>
      </c>
      <c r="U549" s="10" t="inlineStr">
        <is>
          <t>England</t>
        </is>
      </c>
      <c r="V549" s="10" t="inlineStr"/>
      <c r="W549" s="10" t="inlineStr"/>
      <c r="X549" s="10" t="inlineStr"/>
      <c r="Y549" s="10" t="inlineStr"/>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vape hardware; e-liquids; mobile accessories</t>
        </is>
      </c>
      <c r="AL549" s="10" t="inlineStr"/>
      <c r="AM549" s="10" t="inlineStr">
        <is>
          <t>Vape Shop</t>
        </is>
      </c>
      <c r="AN549" s="10" t="inlineStr"/>
      <c r="AO549" s="10" t="inlineStr">
        <is>
          <t>Independent combined mobile phone and vape shop on Market Street, Hindley. Postcode not confirmed in snippet.</t>
        </is>
      </c>
      <c r="AP549" s="10" t="inlineStr">
        <is>
          <t>Medium</t>
        </is>
      </c>
      <c r="AQ549" s="10" t="inlineStr">
        <is>
          <t>Independent retailer; Core relevant category</t>
        </is>
      </c>
      <c r="AR549" s="10" t="inlineStr">
        <is>
          <t>https://www.yelp.com/biz/mobile-and-vape-shop-hindley</t>
        </is>
      </c>
      <c r="AS549" s="10" t="inlineStr"/>
      <c r="AT549" s="10" t="inlineStr">
        <is>
          <t>1</t>
        </is>
      </c>
      <c r="AU549" s="10" t="inlineStr">
        <is>
          <t>No</t>
        </is>
      </c>
      <c r="AV549" s="10" t="inlineStr">
        <is>
          <t>No</t>
        </is>
      </c>
      <c r="AW549" s="10" t="inlineStr">
        <is>
          <t>No</t>
        </is>
      </c>
      <c r="AX549" s="10" t="inlineStr">
        <is>
          <t>No</t>
        </is>
      </c>
      <c r="AY549" s="10" t="inlineStr">
        <is>
          <t>Not Found</t>
        </is>
      </c>
      <c r="AZ549" s="10" t="inlineStr">
        <is>
          <t>Not Found</t>
        </is>
      </c>
      <c r="BA549" s="10" t="inlineStr">
        <is>
          <t>2026-09-17</t>
        </is>
      </c>
      <c r="BB549" s="10" t="inlineStr">
        <is>
          <t>Requires Verification</t>
        </is>
      </c>
      <c r="BC549" s="10" t="inlineStr">
        <is>
          <t>Low</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2026-09-17</t>
        </is>
      </c>
      <c r="BJ549" s="10" t="inlineStr">
        <is>
          <t>New</t>
        </is>
      </c>
      <c r="BK549" s="10" t="inlineStr">
        <is>
          <t>2026-09-17</t>
        </is>
      </c>
      <c r="BL549" s="10" t="inlineStr"/>
      <c r="BM549" s="10" t="inlineStr"/>
      <c r="BN549" s="10" t="inlineStr"/>
      <c r="BO549" s="10" t="inlineStr"/>
      <c r="BP549" s="10" t="inlineStr"/>
      <c r="BQ549" s="10" t="inlineStr"/>
    </row>
    <row r="550">
      <c r="A550" s="5" t="inlineStr">
        <is>
          <t>UK-000494</t>
        </is>
      </c>
      <c r="B550" s="5" t="inlineStr">
        <is>
          <t>UK-000494-01</t>
        </is>
      </c>
      <c r="C550" s="5" t="inlineStr"/>
      <c r="D550" s="5" t="inlineStr">
        <is>
          <t>Monmore Confectionery (Midlands) Ltd</t>
        </is>
      </c>
      <c r="E550" s="5" t="inlineStr">
        <is>
          <t>Monmore Confectionery</t>
        </is>
      </c>
      <c r="F550" s="5" t="inlineStr">
        <is>
          <t>Monmore Confectionery (Midlands) Limited</t>
        </is>
      </c>
      <c r="G550" s="5" t="inlineStr">
        <is>
          <t>Cash &amp; Carry</t>
        </is>
      </c>
      <c r="H550" s="5" t="inlineStr">
        <is>
          <t>Confectionery &amp; soft drinks wholesale</t>
        </is>
      </c>
      <c r="I550" s="5" t="inlineStr">
        <is>
          <t>Independent</t>
        </is>
      </c>
      <c r="J550" s="5" t="inlineStr">
        <is>
          <t>1</t>
        </is>
      </c>
      <c r="K550" s="5" t="inlineStr">
        <is>
          <t>https://www.monmoreconfectionery.co.uk/</t>
        </is>
      </c>
      <c r="L550" s="5" t="inlineStr"/>
      <c r="M550" s="5" t="inlineStr"/>
      <c r="N550" s="5" t="inlineStr"/>
      <c r="O550" s="5" t="inlineStr">
        <is>
          <t>Unit 7 Phoenix Industrial Estate</t>
        </is>
      </c>
      <c r="P550" s="5" t="inlineStr">
        <is>
          <t>Loxdale Street</t>
        </is>
      </c>
      <c r="Q550" s="5" t="inlineStr">
        <is>
          <t>Bilston</t>
        </is>
      </c>
      <c r="R550" s="5" t="inlineStr">
        <is>
          <t>West Midlands</t>
        </is>
      </c>
      <c r="S550" s="5" t="inlineStr">
        <is>
          <t>WV14 0PR</t>
        </is>
      </c>
      <c r="T550" s="5" t="inlineStr">
        <is>
          <t>West Midlands</t>
        </is>
      </c>
      <c r="U550" s="5" t="inlineStr">
        <is>
          <t>England</t>
        </is>
      </c>
      <c r="V550" s="5" t="inlineStr">
        <is>
          <t>01902 403336</t>
        </is>
      </c>
      <c r="W550" s="5" t="inlineStr"/>
      <c r="X550" s="5" t="inlineStr"/>
      <c r="Y550" s="5" t="inlineStr"/>
      <c r="Z550" s="5" t="inlineStr"/>
      <c r="AA550" s="5" t="inlineStr"/>
      <c r="AB550" s="5" t="inlineStr"/>
      <c r="AC550" s="5" t="inlineStr"/>
      <c r="AD550" s="5" t="inlineStr"/>
      <c r="AE550" s="5" t="inlineStr">
        <is>
          <t>04449605</t>
        </is>
      </c>
      <c r="AF550" s="5" t="inlineStr"/>
      <c r="AG550" s="5" t="inlineStr">
        <is>
          <t>MONMORE CONFECTIONERY (MIDLANDS) LIMITED</t>
        </is>
      </c>
      <c r="AH550" s="5" t="inlineStr"/>
      <c r="AI550" s="5" t="inlineStr"/>
      <c r="AJ550" s="5" t="inlineStr"/>
      <c r="AK550" s="5" t="inlineStr">
        <is>
          <t>wholesale sweets; snacks; soft drinks; chocolate; trade packs</t>
        </is>
      </c>
      <c r="AL550" s="5" t="inlineStr"/>
      <c r="AM550" s="5" t="inlineStr">
        <is>
          <t>Cash &amp; Carry</t>
        </is>
      </c>
      <c r="AN550" s="5" t="inlineStr">
        <is>
          <t>Trade-only cash &amp; carry serving shops, cafes and caterers across the Black Country; next-day delivery and click &amp; collect.</t>
        </is>
      </c>
      <c r="AO550" s="5" t="inlineStr">
        <is>
          <t>Independent confectionery/soft-drinks wholesaler and cash &amp; carry, Bilston. Serves the exact retail base being targeted.</t>
        </is>
      </c>
      <c r="AP550" s="5" t="inlineStr">
        <is>
          <t>Medium</t>
        </is>
      </c>
      <c r="AQ550" s="5" t="inlineStr">
        <is>
          <t>Independent retailer; Core relevant category; Active website; Phone verified on official website</t>
        </is>
      </c>
      <c r="AR550" s="5" t="inlineStr">
        <is>
          <t>https://www.monmoreconfectionery.co.uk/cash-carry</t>
        </is>
      </c>
      <c r="AS550" s="5" t="inlineStr">
        <is>
          <t>http://companycheck.co.uk/company/04449605/MONMORE-CONFECTIONERY-MIDLANDS-LIMITED</t>
        </is>
      </c>
      <c r="AT550" s="5" t="inlineStr">
        <is>
          <t>3</t>
        </is>
      </c>
      <c r="AU550" s="5" t="inlineStr">
        <is>
          <t>Yes</t>
        </is>
      </c>
      <c r="AV550" s="5" t="inlineStr">
        <is>
          <t>No</t>
        </is>
      </c>
      <c r="AW550" s="5" t="inlineStr">
        <is>
          <t>No</t>
        </is>
      </c>
      <c r="AX550" s="5" t="inlineStr">
        <is>
          <t>Yes</t>
        </is>
      </c>
      <c r="AY550" s="5" t="inlineStr">
        <is>
          <t>Verified on official website</t>
        </is>
      </c>
      <c r="AZ550" s="5" t="inlineStr">
        <is>
          <t>Website Found</t>
        </is>
      </c>
      <c r="BA550" s="5" t="inlineStr">
        <is>
          <t>2026-09-17</t>
        </is>
      </c>
      <c r="BB550" s="5" t="inlineStr">
        <is>
          <t>Verified (website + Companies House)</t>
        </is>
      </c>
      <c r="BC550" s="5" t="inlineStr">
        <is>
          <t>High</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WY-0122</t>
        </is>
      </c>
      <c r="B551" s="10" t="inlineStr">
        <is>
          <t>WY-0122-01</t>
        </is>
      </c>
      <c r="C551" s="10" t="inlineStr"/>
      <c r="D551" s="10" t="inlineStr">
        <is>
          <t>Mount Pellon Newsagent</t>
        </is>
      </c>
      <c r="E551" s="10" t="inlineStr">
        <is>
          <t>Mount Pellon Newsagent</t>
        </is>
      </c>
      <c r="F551" s="10" t="inlineStr"/>
      <c r="G551" s="10" t="inlineStr">
        <is>
          <t>Newsagent</t>
        </is>
      </c>
      <c r="H551" s="10" t="inlineStr">
        <is>
          <t>Corner shop newsagent with Royal Mail parcel services</t>
        </is>
      </c>
      <c r="I551" s="10" t="inlineStr">
        <is>
          <t>Independent</t>
        </is>
      </c>
      <c r="J551" s="10" t="inlineStr">
        <is>
          <t>1</t>
        </is>
      </c>
      <c r="K551" s="10" t="inlineStr"/>
      <c r="L551" s="10" t="inlineStr"/>
      <c r="M551" s="10" t="inlineStr"/>
      <c r="N551" s="10" t="inlineStr"/>
      <c r="O551" s="10" t="inlineStr">
        <is>
          <t>Cross Street West</t>
        </is>
      </c>
      <c r="P551" s="10" t="inlineStr">
        <is>
          <t>Mount Pellon</t>
        </is>
      </c>
      <c r="Q551" s="10" t="inlineStr">
        <is>
          <t>Halifax</t>
        </is>
      </c>
      <c r="R551" s="10" t="inlineStr">
        <is>
          <t>West Yorkshire</t>
        </is>
      </c>
      <c r="S551" s="10" t="inlineStr">
        <is>
          <t>HX2 0HA</t>
        </is>
      </c>
      <c r="T551" s="10" t="inlineStr">
        <is>
          <t>Yorkshire &amp; Humber</t>
        </is>
      </c>
      <c r="U551" s="10" t="inlineStr">
        <is>
          <t>England</t>
        </is>
      </c>
      <c r="V551" s="10" t="inlineStr">
        <is>
          <t>01422 361609</t>
        </is>
      </c>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c r="AK551" s="10" t="inlineStr">
        <is>
          <t>news; convenience; parcel services</t>
        </is>
      </c>
      <c r="AL551" s="10" t="inlineStr"/>
      <c r="AM551" s="10" t="inlineStr">
        <is>
          <t>Newsagent</t>
        </is>
      </c>
      <c r="AN551" s="10" t="inlineStr"/>
      <c r="AO551" s="10" t="inlineStr"/>
      <c r="AP551" s="10" t="inlineStr">
        <is>
          <t>Low</t>
        </is>
      </c>
      <c r="AQ551" s="10" t="inlineStr">
        <is>
          <t>Independent retailer; Relevant category</t>
        </is>
      </c>
      <c r="AR551" s="10" t="inlineStr">
        <is>
          <t>https://www.misterwhat.co.uk/company/573371-mount-pellon-newsagent-halifax</t>
        </is>
      </c>
      <c r="AS551" s="10" t="inlineStr">
        <is>
          <t>https://www.yorkshire.com/halifax/shopping/corner-shops/mount-pellon-newsagent</t>
        </is>
      </c>
      <c r="AT551" s="10" t="inlineStr">
        <is>
          <t>2</t>
        </is>
      </c>
      <c r="AU551" s="10" t="inlineStr">
        <is>
          <t>No</t>
        </is>
      </c>
      <c r="AV551" s="10" t="inlineStr">
        <is>
          <t>No</t>
        </is>
      </c>
      <c r="AW551" s="10" t="inlineStr">
        <is>
          <t>No</t>
        </is>
      </c>
      <c r="AX551" s="10" t="inlineStr">
        <is>
          <t>No</t>
        </is>
      </c>
      <c r="AY551" s="10" t="inlineStr">
        <is>
          <t>Verified directory</t>
        </is>
      </c>
      <c r="AZ551" s="10" t="inlineStr">
        <is>
          <t>Not Found</t>
        </is>
      </c>
      <c r="BA551" s="10" t="inlineStr">
        <is>
          <t>2026-09-17</t>
        </is>
      </c>
      <c r="BB551" s="10" t="inlineStr">
        <is>
          <t>Requires Verification</t>
        </is>
      </c>
      <c r="BC551" s="10" t="inlineStr">
        <is>
          <t>Medium</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2026-09-16</t>
        </is>
      </c>
      <c r="BJ551" s="10" t="inlineStr">
        <is>
          <t>New</t>
        </is>
      </c>
      <c r="BK551" s="10" t="inlineStr">
        <is>
          <t>2026-09-17</t>
        </is>
      </c>
      <c r="BL551" s="10" t="inlineStr"/>
      <c r="BM551" s="10" t="inlineStr"/>
      <c r="BN551" s="10" t="inlineStr"/>
      <c r="BO551" s="10" t="inlineStr"/>
      <c r="BP551" s="10" t="inlineStr"/>
      <c r="BQ551" s="10" t="inlineStr"/>
    </row>
    <row r="552">
      <c r="A552" s="5" t="inlineStr">
        <is>
          <t>UK-000637</t>
        </is>
      </c>
      <c r="B552" s="5" t="inlineStr">
        <is>
          <t>UK-000637-01</t>
        </is>
      </c>
      <c r="C552" s="5" t="inlineStr"/>
      <c r="D552" s="5" t="inlineStr">
        <is>
          <t>Mount Superstore</t>
        </is>
      </c>
      <c r="E552" s="5" t="inlineStr">
        <is>
          <t>Mount Superstore</t>
        </is>
      </c>
      <c r="F552" s="5" t="inlineStr"/>
      <c r="G552" s="5" t="inlineStr">
        <is>
          <t>Convenience Store</t>
        </is>
      </c>
      <c r="H552" s="5" t="inlineStr">
        <is>
          <t>Convenience store / newsagent</t>
        </is>
      </c>
      <c r="I552" s="5" t="inlineStr">
        <is>
          <t>Independent</t>
        </is>
      </c>
      <c r="J552" s="5" t="inlineStr">
        <is>
          <t>1</t>
        </is>
      </c>
      <c r="K552" s="5" t="inlineStr"/>
      <c r="L552" s="5" t="inlineStr"/>
      <c r="M552" s="5" t="inlineStr"/>
      <c r="N552" s="5" t="inlineStr"/>
      <c r="O552" s="5" t="inlineStr">
        <is>
          <t>1 Market Parade</t>
        </is>
      </c>
      <c r="P552" s="5" t="inlineStr">
        <is>
          <t>Hampton Road West</t>
        </is>
      </c>
      <c r="Q552" s="5" t="inlineStr">
        <is>
          <t>Feltham</t>
        </is>
      </c>
      <c r="R552" s="5" t="inlineStr">
        <is>
          <t>Greater London</t>
        </is>
      </c>
      <c r="S552" s="5" t="inlineStr">
        <is>
          <t>TW13 6AJ</t>
        </is>
      </c>
      <c r="T552" s="5" t="inlineStr">
        <is>
          <t>London</t>
        </is>
      </c>
      <c r="U552" s="5" t="inlineStr">
        <is>
          <t>England</t>
        </is>
      </c>
      <c r="V552" s="5" t="inlineStr">
        <is>
          <t>020 8707 4977</t>
        </is>
      </c>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grocery; off-licence; news; convenience</t>
        </is>
      </c>
      <c r="AL552" s="5" t="inlineStr"/>
      <c r="AM552" s="5" t="inlineStr">
        <is>
          <t>Convenience Store</t>
        </is>
      </c>
      <c r="AN552" s="5" t="inlineStr"/>
      <c r="AO552" s="5" t="inlineStr">
        <is>
          <t>Independent convenience superstore in Feltham. Address and phone cross-checked on allinlondon and Cylex.</t>
        </is>
      </c>
      <c r="AP552" s="5" t="inlineStr">
        <is>
          <t>Low</t>
        </is>
      </c>
      <c r="AQ552" s="5" t="inlineStr">
        <is>
          <t>Independent retailer; Relevant category</t>
        </is>
      </c>
      <c r="AR552" s="5" t="inlineStr">
        <is>
          <t>https://www.allinlondon.co.uk/directory/newsagents/231848-mount-superstore</t>
        </is>
      </c>
      <c r="AS552" s="5" t="inlineStr">
        <is>
          <t>https://feltham.cylex-uk.co.uk/company/mount-superstore-28830856.html</t>
        </is>
      </c>
      <c r="AT552" s="5" t="inlineStr">
        <is>
          <t>2</t>
        </is>
      </c>
      <c r="AU552" s="5" t="inlineStr">
        <is>
          <t>No</t>
        </is>
      </c>
      <c r="AV552" s="5" t="inlineStr">
        <is>
          <t>No</t>
        </is>
      </c>
      <c r="AW552" s="5" t="inlineStr">
        <is>
          <t>No</t>
        </is>
      </c>
      <c r="AX552" s="5" t="inlineStr">
        <is>
          <t>No</t>
        </is>
      </c>
      <c r="AY552" s="5" t="inlineStr">
        <is>
          <t>Verified directory</t>
        </is>
      </c>
      <c r="AZ552" s="5" t="inlineStr">
        <is>
          <t>Not Found</t>
        </is>
      </c>
      <c r="BA552" s="5" t="inlineStr">
        <is>
          <t>2026-09-17</t>
        </is>
      </c>
      <c r="BB552" s="5" t="inlineStr">
        <is>
          <t>Requires Verification</t>
        </is>
      </c>
      <c r="BC552" s="5" t="inlineStr">
        <is>
          <t>Medium</t>
        </is>
      </c>
      <c r="BD552" s="5" t="inlineStr"/>
      <c r="BE552" s="5" t="inlineStr">
        <is>
          <t>Business (B2B)</t>
        </is>
      </c>
      <c r="BF552" s="5" t="inlineStr">
        <is>
          <t>Legitimate interest (B2B) - assess per campaign; PECR: corporate subscribers</t>
        </is>
      </c>
      <c r="BG552" s="5" t="inlineStr"/>
      <c r="BH552" s="5" t="inlineStr">
        <is>
          <t>No</t>
        </is>
      </c>
      <c r="BI552" s="5" t="inlineStr">
        <is>
          <t>2026-09-17</t>
        </is>
      </c>
      <c r="BJ552" s="5" t="inlineStr">
        <is>
          <t>New</t>
        </is>
      </c>
      <c r="BK552" s="5" t="inlineStr">
        <is>
          <t>2026-09-17</t>
        </is>
      </c>
      <c r="BL552" s="5" t="inlineStr"/>
      <c r="BM552" s="5" t="inlineStr"/>
      <c r="BN552" s="5" t="inlineStr"/>
      <c r="BO552" s="5" t="inlineStr"/>
      <c r="BP552" s="5" t="inlineStr"/>
      <c r="BQ552" s="5" t="inlineStr"/>
    </row>
    <row r="553">
      <c r="A553" s="10" t="inlineStr">
        <is>
          <t>WY-0123</t>
        </is>
      </c>
      <c r="B553" s="10" t="inlineStr">
        <is>
          <t>WY-0123-01</t>
        </is>
      </c>
      <c r="C553" s="10" t="inlineStr"/>
      <c r="D553" s="10" t="inlineStr">
        <is>
          <t>Mount Vapes</t>
        </is>
      </c>
      <c r="E553" s="10" t="inlineStr">
        <is>
          <t>Mount Vapes</t>
        </is>
      </c>
      <c r="F553" s="10" t="inlineStr"/>
      <c r="G553" s="10" t="inlineStr">
        <is>
          <t>Vape Shop</t>
        </is>
      </c>
      <c r="H553" s="10" t="inlineStr"/>
      <c r="I553" s="10" t="inlineStr">
        <is>
          <t>Independent</t>
        </is>
      </c>
      <c r="J553" s="10" t="inlineStr">
        <is>
          <t>1</t>
        </is>
      </c>
      <c r="K553" s="10" t="inlineStr">
        <is>
          <t>https://mountvapes.co.uk/</t>
        </is>
      </c>
      <c r="L553" s="10" t="inlineStr">
        <is>
          <t>https://www.facebook.com/MountVapes/</t>
        </is>
      </c>
      <c r="M553" s="10" t="inlineStr"/>
      <c r="N553" s="10" t="inlineStr"/>
      <c r="O553" s="10" t="inlineStr"/>
      <c r="P553" s="10" t="inlineStr">
        <is>
          <t>Boothtown</t>
        </is>
      </c>
      <c r="Q553" s="10" t="inlineStr">
        <is>
          <t>Halifax</t>
        </is>
      </c>
      <c r="R553" s="10" t="inlineStr">
        <is>
          <t>West Yorkshire</t>
        </is>
      </c>
      <c r="S553" s="10" t="inlineStr">
        <is>
          <t>HX3 6EE</t>
        </is>
      </c>
      <c r="T553" s="10" t="inlineStr">
        <is>
          <t>Yorkshire &amp; Humber</t>
        </is>
      </c>
      <c r="U553" s="10" t="inlineStr">
        <is>
          <t>England</t>
        </is>
      </c>
      <c r="V553" s="10" t="inlineStr">
        <is>
          <t>07843 846154</t>
        </is>
      </c>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vape hardware; e-liquids</t>
        </is>
      </c>
      <c r="AL553" s="10" t="inlineStr"/>
      <c r="AM553" s="10" t="inlineStr">
        <is>
          <t>Vape Shop</t>
        </is>
      </c>
      <c r="AN553" s="10" t="inlineStr"/>
      <c r="AO553" s="10" t="inlineStr">
        <is>
          <t>Shop in the Boothtown area of Halifax with its own website and Facebook page; street address not obtainable (website fetch blocked by network egress proxy).</t>
        </is>
      </c>
      <c r="AP553" s="10" t="inlineStr">
        <is>
          <t>Medium</t>
        </is>
      </c>
      <c r="AQ553" s="10" t="inlineStr">
        <is>
          <t>Independent retailer; Core relevant category; Active website; Social presence</t>
        </is>
      </c>
      <c r="AR553" s="10" t="inlineStr">
        <is>
          <t>https://mountvapes.co.uk/</t>
        </is>
      </c>
      <c r="AS553" s="10" t="inlineStr">
        <is>
          <t>https://vapeshops.puffingbird.com/yorkshire-and-the-humber/halifax/mount-vapes</t>
        </is>
      </c>
      <c r="AT553" s="10" t="inlineStr">
        <is>
          <t>3</t>
        </is>
      </c>
      <c r="AU553" s="10" t="inlineStr">
        <is>
          <t>No</t>
        </is>
      </c>
      <c r="AV553" s="10" t="inlineStr">
        <is>
          <t>No</t>
        </is>
      </c>
      <c r="AW553" s="10" t="inlineStr">
        <is>
          <t>No</t>
        </is>
      </c>
      <c r="AX553" s="10" t="inlineStr">
        <is>
          <t>No</t>
        </is>
      </c>
      <c r="AY553" s="10" t="inlineStr">
        <is>
          <t>Verified directory</t>
        </is>
      </c>
      <c r="AZ553" s="10" t="inlineStr">
        <is>
          <t>Website Found</t>
        </is>
      </c>
      <c r="BA553" s="10" t="inlineStr">
        <is>
          <t>2026-09-17</t>
        </is>
      </c>
      <c r="BB553" s="10" t="inlineStr">
        <is>
          <t>Requires Verification</t>
        </is>
      </c>
      <c r="BC553" s="10" t="inlineStr">
        <is>
          <t>Medium</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2026-09-16</t>
        </is>
      </c>
      <c r="BJ553" s="10" t="inlineStr">
        <is>
          <t>New</t>
        </is>
      </c>
      <c r="BK553" s="10" t="inlineStr">
        <is>
          <t>2026-09-17</t>
        </is>
      </c>
      <c r="BL553" s="10" t="inlineStr"/>
      <c r="BM553" s="10" t="inlineStr"/>
      <c r="BN553" s="10" t="inlineStr"/>
      <c r="BO553" s="10" t="inlineStr"/>
      <c r="BP553" s="10" t="inlineStr"/>
      <c r="BQ553" s="10" t="inlineStr"/>
    </row>
    <row r="554">
      <c r="A554" s="5" t="inlineStr">
        <is>
          <t>UK-000374</t>
        </is>
      </c>
      <c r="B554" s="5" t="inlineStr">
        <is>
          <t>UK-000374-01</t>
        </is>
      </c>
      <c r="C554" s="5" t="inlineStr"/>
      <c r="D554" s="5" t="inlineStr">
        <is>
          <t>Mr Ciggies</t>
        </is>
      </c>
      <c r="E554" s="5" t="inlineStr">
        <is>
          <t>Mr Ciggies</t>
        </is>
      </c>
      <c r="F554" s="5" t="inlineStr"/>
      <c r="G554" s="5" t="inlineStr">
        <is>
          <t>Vape Shop</t>
        </is>
      </c>
      <c r="H554" s="5" t="inlineStr"/>
      <c r="I554" s="5" t="inlineStr">
        <is>
          <t>Independent</t>
        </is>
      </c>
      <c r="J554" s="5" t="inlineStr">
        <is>
          <t>1</t>
        </is>
      </c>
      <c r="K554" s="5" t="inlineStr"/>
      <c r="L554" s="5" t="inlineStr"/>
      <c r="M554" s="5" t="inlineStr"/>
      <c r="N554" s="5" t="inlineStr"/>
      <c r="O554" s="5" t="inlineStr">
        <is>
          <t>41 Melbourne Street</t>
        </is>
      </c>
      <c r="P554" s="5" t="inlineStr"/>
      <c r="Q554" s="5" t="inlineStr">
        <is>
          <t>Stalybridge</t>
        </is>
      </c>
      <c r="R554" s="5" t="inlineStr">
        <is>
          <t>Greater Manchester</t>
        </is>
      </c>
      <c r="S554" s="5" t="inlineStr">
        <is>
          <t>SK15 2JJ</t>
        </is>
      </c>
      <c r="T554" s="5" t="inlineStr">
        <is>
          <t>North West</t>
        </is>
      </c>
      <c r="U554" s="5" t="inlineStr">
        <is>
          <t>England</t>
        </is>
      </c>
      <c r="V554" s="5" t="inlineStr"/>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e-liquids; vape hardware; tobacco accessories</t>
        </is>
      </c>
      <c r="AL554" s="5" t="inlineStr"/>
      <c r="AM554" s="5" t="inlineStr">
        <is>
          <t>Vape Shop</t>
        </is>
      </c>
      <c r="AN554" s="5" t="inlineStr"/>
      <c r="AO554" s="5" t="inlineStr">
        <is>
          <t>Vape/e-cig shop on Melbourne Street, Stalybridge.</t>
        </is>
      </c>
      <c r="AP554" s="5" t="inlineStr">
        <is>
          <t>Medium</t>
        </is>
      </c>
      <c r="AQ554" s="5" t="inlineStr">
        <is>
          <t>Independent retailer; Core relevant category</t>
        </is>
      </c>
      <c r="AR554" s="5" t="inlineStr">
        <is>
          <t>https://denton-tameside.cylex-uk.co.uk/vape-shops/</t>
        </is>
      </c>
      <c r="AS554" s="5" t="inlineStr"/>
      <c r="AT554" s="5" t="inlineStr">
        <is>
          <t>1</t>
        </is>
      </c>
      <c r="AU554" s="5" t="inlineStr">
        <is>
          <t>No</t>
        </is>
      </c>
      <c r="AV554" s="5" t="inlineStr">
        <is>
          <t>No</t>
        </is>
      </c>
      <c r="AW554" s="5" t="inlineStr">
        <is>
          <t>No</t>
        </is>
      </c>
      <c r="AX554" s="5" t="inlineStr">
        <is>
          <t>No</t>
        </is>
      </c>
      <c r="AY554" s="5" t="inlineStr">
        <is>
          <t>Not Found</t>
        </is>
      </c>
      <c r="AZ554" s="5" t="inlineStr">
        <is>
          <t>Not Found</t>
        </is>
      </c>
      <c r="BA554" s="5" t="inlineStr">
        <is>
          <t>2026-09-17</t>
        </is>
      </c>
      <c r="BB554" s="5" t="inlineStr">
        <is>
          <t>Requires Verification</t>
        </is>
      </c>
      <c r="BC554" s="5" t="inlineStr">
        <is>
          <t>Low</t>
        </is>
      </c>
      <c r="BD554" s="5" t="inlineStr"/>
      <c r="BE554" s="5" t="inlineStr">
        <is>
          <t>Business (B2B)</t>
        </is>
      </c>
      <c r="BF554" s="5" t="inlineStr">
        <is>
          <t>Legitimate interest (B2B) - assess per campaign; PECR: corporate subscribers</t>
        </is>
      </c>
      <c r="BG554" s="5" t="inlineStr"/>
      <c r="BH554" s="5" t="inlineStr">
        <is>
          <t>No</t>
        </is>
      </c>
      <c r="BI554" s="5" t="inlineStr">
        <is>
          <t>2026-09-17</t>
        </is>
      </c>
      <c r="BJ554" s="5" t="inlineStr">
        <is>
          <t>New</t>
        </is>
      </c>
      <c r="BK554" s="5" t="inlineStr">
        <is>
          <t>2026-09-17</t>
        </is>
      </c>
      <c r="BL554" s="5" t="inlineStr"/>
      <c r="BM554" s="5" t="inlineStr"/>
      <c r="BN554" s="5" t="inlineStr"/>
      <c r="BO554" s="5" t="inlineStr"/>
      <c r="BP554" s="5" t="inlineStr"/>
      <c r="BQ554" s="5" t="inlineStr"/>
    </row>
    <row r="555">
      <c r="A555" s="10" t="inlineStr">
        <is>
          <t>UK-000805</t>
        </is>
      </c>
      <c r="B555" s="10" t="inlineStr">
        <is>
          <t>UK-000805-01</t>
        </is>
      </c>
      <c r="C555" s="10" t="inlineStr"/>
      <c r="D555" s="10" t="inlineStr">
        <is>
          <t>Mr MotiVapor</t>
        </is>
      </c>
      <c r="E555" s="10" t="inlineStr">
        <is>
          <t>Mr MotiVapor</t>
        </is>
      </c>
      <c r="F555" s="10" t="inlineStr"/>
      <c r="G555" s="10" t="inlineStr">
        <is>
          <t>Vape Shop</t>
        </is>
      </c>
      <c r="H555" s="10" t="inlineStr">
        <is>
          <t>Vape shop / e-liquids</t>
        </is>
      </c>
      <c r="I555" s="10" t="inlineStr">
        <is>
          <t>Independent</t>
        </is>
      </c>
      <c r="J555" s="10" t="inlineStr">
        <is>
          <t>1</t>
        </is>
      </c>
      <c r="K555" s="10" t="inlineStr"/>
      <c r="L555" s="10" t="inlineStr"/>
      <c r="M555" s="10" t="inlineStr"/>
      <c r="N555" s="10" t="inlineStr"/>
      <c r="O555" s="10" t="inlineStr"/>
      <c r="P555" s="10" t="inlineStr"/>
      <c r="Q555" s="10" t="inlineStr">
        <is>
          <t>Bathgate</t>
        </is>
      </c>
      <c r="R555" s="10" t="inlineStr">
        <is>
          <t>West Lothian</t>
        </is>
      </c>
      <c r="S555" s="10" t="inlineStr"/>
      <c r="T555" s="10" t="inlineStr">
        <is>
          <t>Scotland</t>
        </is>
      </c>
      <c r="U555" s="10" t="inlineStr">
        <is>
          <t>Scotland</t>
        </is>
      </c>
      <c r="V555" s="10" t="inlineStr"/>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vape hardware; e-liquids</t>
        </is>
      </c>
      <c r="AL555" s="10" t="inlineStr"/>
      <c r="AM555" s="10" t="inlineStr">
        <is>
          <t>Vape Shop</t>
        </is>
      </c>
      <c r="AN555" s="10" t="inlineStr"/>
      <c r="AO555" s="10" t="inlineStr">
        <is>
          <t>Independent vape shop in Bathgate, named in the Yell/Cylex Bathgate vape listing. Exact street address, postcode and phone not published in the snippet, so left blank rather than guessed.</t>
        </is>
      </c>
      <c r="AP555" s="10" t="inlineStr">
        <is>
          <t>Medium</t>
        </is>
      </c>
      <c r="AQ555" s="10" t="inlineStr">
        <is>
          <t>Independent retailer; Core relevant category</t>
        </is>
      </c>
      <c r="AR555" s="10" t="inlineStr">
        <is>
          <t>https://bathgate.cylex-uk.co.uk/vape-shops/</t>
        </is>
      </c>
      <c r="AS555" s="10" t="inlineStr"/>
      <c r="AT555" s="10" t="inlineStr">
        <is>
          <t>1</t>
        </is>
      </c>
      <c r="AU555" s="10" t="inlineStr">
        <is>
          <t>No</t>
        </is>
      </c>
      <c r="AV555" s="10" t="inlineStr">
        <is>
          <t>No</t>
        </is>
      </c>
      <c r="AW555" s="10" t="inlineStr">
        <is>
          <t>No</t>
        </is>
      </c>
      <c r="AX555" s="10" t="inlineStr">
        <is>
          <t>No</t>
        </is>
      </c>
      <c r="AY555" s="10" t="inlineStr">
        <is>
          <t>Not Found</t>
        </is>
      </c>
      <c r="AZ555" s="10" t="inlineStr">
        <is>
          <t>Not Found</t>
        </is>
      </c>
      <c r="BA555" s="10" t="inlineStr">
        <is>
          <t>2026-09-17</t>
        </is>
      </c>
      <c r="BB555" s="10" t="inlineStr">
        <is>
          <t>Requires Verification</t>
        </is>
      </c>
      <c r="BC555" s="10" t="inlineStr">
        <is>
          <t>Low</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UK-000638</t>
        </is>
      </c>
      <c r="B556" s="5" t="inlineStr">
        <is>
          <t>UK-000638-01</t>
        </is>
      </c>
      <c r="C556" s="5" t="inlineStr"/>
      <c r="D556" s="5" t="inlineStr">
        <is>
          <t>Mr Vape</t>
        </is>
      </c>
      <c r="E556" s="5" t="inlineStr">
        <is>
          <t>Mr Vape</t>
        </is>
      </c>
      <c r="F556" s="5" t="inlineStr"/>
      <c r="G556" s="5" t="inlineStr">
        <is>
          <t>Vape Shop</t>
        </is>
      </c>
      <c r="H556" s="5" t="inlineStr"/>
      <c r="I556" s="5" t="inlineStr">
        <is>
          <t>Independent</t>
        </is>
      </c>
      <c r="J556" s="5" t="inlineStr">
        <is>
          <t>1</t>
        </is>
      </c>
      <c r="K556" s="5" t="inlineStr"/>
      <c r="L556" s="5" t="inlineStr"/>
      <c r="M556" s="5" t="inlineStr"/>
      <c r="N556" s="5" t="inlineStr"/>
      <c r="O556" s="5" t="inlineStr">
        <is>
          <t>111 Streatham High Road</t>
        </is>
      </c>
      <c r="P556" s="5" t="inlineStr">
        <is>
          <t>Streatham</t>
        </is>
      </c>
      <c r="Q556" s="5" t="inlineStr">
        <is>
          <t>London</t>
        </is>
      </c>
      <c r="R556" s="5" t="inlineStr">
        <is>
          <t>Greater London</t>
        </is>
      </c>
      <c r="S556" s="5" t="inlineStr">
        <is>
          <t>SW16 1HJ</t>
        </is>
      </c>
      <c r="T556" s="5" t="inlineStr">
        <is>
          <t>London</t>
        </is>
      </c>
      <c r="U556" s="5" t="inlineStr">
        <is>
          <t>England</t>
        </is>
      </c>
      <c r="V556" s="5" t="inlineStr"/>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vape hardware; e-liquids</t>
        </is>
      </c>
      <c r="AL556" s="5" t="inlineStr"/>
      <c r="AM556" s="5" t="inlineStr">
        <is>
          <t>Vape Shop</t>
        </is>
      </c>
      <c r="AN556" s="5" t="inlineStr"/>
      <c r="AO556" s="5" t="inlineStr">
        <is>
          <t>Independent vape shop on Streatham High Road. Address from Yell tobacconists directory.</t>
        </is>
      </c>
      <c r="AP556" s="5" t="inlineStr">
        <is>
          <t>Medium</t>
        </is>
      </c>
      <c r="AQ556" s="5" t="inlineStr">
        <is>
          <t>Independent retailer; Core relevant category</t>
        </is>
      </c>
      <c r="AR556" s="5" t="inlineStr">
        <is>
          <t>https://www.yell.com/s/tobacconists-streatham-south+west+london.html</t>
        </is>
      </c>
      <c r="AS556" s="5" t="inlineStr"/>
      <c r="AT556" s="5" t="inlineStr">
        <is>
          <t>1</t>
        </is>
      </c>
      <c r="AU556" s="5" t="inlineStr">
        <is>
          <t>No</t>
        </is>
      </c>
      <c r="AV556" s="5" t="inlineStr">
        <is>
          <t>No</t>
        </is>
      </c>
      <c r="AW556" s="5" t="inlineStr">
        <is>
          <t>No</t>
        </is>
      </c>
      <c r="AX556" s="5" t="inlineStr">
        <is>
          <t>No</t>
        </is>
      </c>
      <c r="AY556" s="5" t="inlineStr">
        <is>
          <t>Not Found</t>
        </is>
      </c>
      <c r="AZ556" s="5" t="inlineStr">
        <is>
          <t>Not Found</t>
        </is>
      </c>
      <c r="BA556" s="5" t="inlineStr">
        <is>
          <t>2026-09-17</t>
        </is>
      </c>
      <c r="BB556" s="5" t="inlineStr">
        <is>
          <t>Requires Verification</t>
        </is>
      </c>
      <c r="BC556" s="5" t="inlineStr">
        <is>
          <t>Low</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UK-000806</t>
        </is>
      </c>
      <c r="B557" s="10" t="inlineStr">
        <is>
          <t>UK-000806-01</t>
        </is>
      </c>
      <c r="C557" s="10" t="inlineStr"/>
      <c r="D557" s="10" t="inlineStr">
        <is>
          <t>Muirhead Convenience</t>
        </is>
      </c>
      <c r="E557" s="10" t="inlineStr">
        <is>
          <t>Muirhead Convenience</t>
        </is>
      </c>
      <c r="F557" s="10" t="inlineStr"/>
      <c r="G557" s="10" t="inlineStr">
        <is>
          <t>Convenience Store</t>
        </is>
      </c>
      <c r="H557" s="10" t="inlineStr">
        <is>
          <t>Convenience &amp; off-licence</t>
        </is>
      </c>
      <c r="I557" s="10" t="inlineStr">
        <is>
          <t>Independent</t>
        </is>
      </c>
      <c r="J557" s="10" t="inlineStr">
        <is>
          <t>1</t>
        </is>
      </c>
      <c r="K557" s="10" t="inlineStr"/>
      <c r="L557" s="10" t="inlineStr"/>
      <c r="M557" s="10" t="inlineStr"/>
      <c r="N557" s="10" t="inlineStr"/>
      <c r="O557" s="10" t="inlineStr">
        <is>
          <t>Merryhill Farm Steading</t>
        </is>
      </c>
      <c r="P557" s="10" t="inlineStr"/>
      <c r="Q557" s="10" t="inlineStr">
        <is>
          <t>Dunfermline</t>
        </is>
      </c>
      <c r="R557" s="10" t="inlineStr">
        <is>
          <t>Fife</t>
        </is>
      </c>
      <c r="S557" s="10" t="inlineStr">
        <is>
          <t>KY11 3DR</t>
        </is>
      </c>
      <c r="T557" s="10" t="inlineStr">
        <is>
          <t>Scotland</t>
        </is>
      </c>
      <c r="U557" s="10" t="inlineStr">
        <is>
          <t>Scotland</t>
        </is>
      </c>
      <c r="V557" s="10" t="inlineStr">
        <is>
          <t>01383 873510</t>
        </is>
      </c>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groceries; alcohol; tobacco</t>
        </is>
      </c>
      <c r="AL557" s="10" t="inlineStr"/>
      <c r="AM557" s="10" t="inlineStr">
        <is>
          <t>Convenience Store</t>
        </is>
      </c>
      <c r="AN557" s="10" t="inlineStr"/>
      <c r="AO557" s="10" t="inlineStr">
        <is>
          <t>Independent convenience store / off-licence near Dunfermline (Merryhill / Muirhead). Details from Cylex/Yell off-licence snippet.</t>
        </is>
      </c>
      <c r="AP557" s="10" t="inlineStr">
        <is>
          <t>Low</t>
        </is>
      </c>
      <c r="AQ557" s="10" t="inlineStr">
        <is>
          <t>Independent retailer; Relevant category</t>
        </is>
      </c>
      <c r="AR557" s="10" t="inlineStr">
        <is>
          <t>https://dunfermline.cylex-uk.co.uk/off-licence.html</t>
        </is>
      </c>
      <c r="AS557" s="10" t="inlineStr"/>
      <c r="AT557" s="10" t="inlineStr">
        <is>
          <t>1</t>
        </is>
      </c>
      <c r="AU557" s="10" t="inlineStr">
        <is>
          <t>No</t>
        </is>
      </c>
      <c r="AV557" s="10" t="inlineStr">
        <is>
          <t>No</t>
        </is>
      </c>
      <c r="AW557" s="10" t="inlineStr">
        <is>
          <t>No</t>
        </is>
      </c>
      <c r="AX557" s="10" t="inlineStr">
        <is>
          <t>No</t>
        </is>
      </c>
      <c r="AY557" s="10" t="inlineStr">
        <is>
          <t>Verified directory</t>
        </is>
      </c>
      <c r="AZ557" s="10" t="inlineStr">
        <is>
          <t>Not Found</t>
        </is>
      </c>
      <c r="BA557" s="10" t="inlineStr">
        <is>
          <t>2026-09-17</t>
        </is>
      </c>
      <c r="BB557" s="10" t="inlineStr">
        <is>
          <t>Requires Verification</t>
        </is>
      </c>
      <c r="BC557" s="10" t="inlineStr">
        <is>
          <t>Medium</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WY-0124</t>
        </is>
      </c>
      <c r="B558" s="5" t="inlineStr">
        <is>
          <t>WY-0124-01</t>
        </is>
      </c>
      <c r="C558" s="5" t="inlineStr"/>
      <c r="D558" s="5" t="inlineStr">
        <is>
          <t>Mytholmroyd Post Office</t>
        </is>
      </c>
      <c r="E558" s="5" t="inlineStr">
        <is>
          <t>Mytholmroyd Post Office</t>
        </is>
      </c>
      <c r="F558" s="5" t="inlineStr"/>
      <c r="G558" s="5" t="inlineStr">
        <is>
          <t>Convenience Store</t>
        </is>
      </c>
      <c r="H558" s="5" t="inlineStr">
        <is>
          <t>Post office and newsagent counter</t>
        </is>
      </c>
      <c r="I558" s="5" t="inlineStr">
        <is>
          <t>Independent</t>
        </is>
      </c>
      <c r="J558" s="5" t="inlineStr">
        <is>
          <t>1</t>
        </is>
      </c>
      <c r="K558" s="5" t="inlineStr"/>
      <c r="L558" s="5" t="inlineStr"/>
      <c r="M558" s="5" t="inlineStr"/>
      <c r="N558" s="5" t="inlineStr"/>
      <c r="O558" s="5" t="inlineStr">
        <is>
          <t>Grange Dene, Burnley Road</t>
        </is>
      </c>
      <c r="P558" s="5" t="inlineStr">
        <is>
          <t>Mytholmroyd</t>
        </is>
      </c>
      <c r="Q558" s="5" t="inlineStr">
        <is>
          <t>Mytholmroyd</t>
        </is>
      </c>
      <c r="R558" s="5" t="inlineStr">
        <is>
          <t>West Yorkshire</t>
        </is>
      </c>
      <c r="S558" s="5" t="inlineStr">
        <is>
          <t>HX7 5LF</t>
        </is>
      </c>
      <c r="T558" s="5" t="inlineStr">
        <is>
          <t>Yorkshire &amp; Humber</t>
        </is>
      </c>
      <c r="U558" s="5" t="inlineStr">
        <is>
          <t>England</t>
        </is>
      </c>
      <c r="V558" s="5" t="inlineStr"/>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convenience; news; post office services</t>
        </is>
      </c>
      <c r="AL558" s="5" t="inlineStr"/>
      <c r="AM558" s="5" t="inlineStr">
        <is>
          <t>Convenience Store</t>
        </is>
      </c>
      <c r="AN558" s="5" t="inlineStr"/>
      <c r="AO558" s="5" t="inlineStr">
        <is>
          <t>Early-opening village post office/shop (06:30 weekdays). Post office counter is franchised; retail side independently run.</t>
        </is>
      </c>
      <c r="AP558" s="5" t="inlineStr">
        <is>
          <t>Low</t>
        </is>
      </c>
      <c r="AQ558" s="5" t="inlineStr">
        <is>
          <t>Independent retailer; Relevant category</t>
        </is>
      </c>
      <c r="AR558" s="5" t="inlineStr">
        <is>
          <t>https://www.postoffice.co.uk/branch-finder/6314589/mytholmroyd</t>
        </is>
      </c>
      <c r="AS558" s="5" t="inlineStr">
        <is>
          <t>https://findit.halifaxcourier.co.uk/company/1235285678424065</t>
        </is>
      </c>
      <c r="AT558" s="5" t="inlineStr">
        <is>
          <t>2</t>
        </is>
      </c>
      <c r="AU558" s="5" t="inlineStr">
        <is>
          <t>No</t>
        </is>
      </c>
      <c r="AV558" s="5" t="inlineStr">
        <is>
          <t>No</t>
        </is>
      </c>
      <c r="AW558" s="5" t="inlineStr">
        <is>
          <t>No</t>
        </is>
      </c>
      <c r="AX558" s="5" t="inlineStr">
        <is>
          <t>No</t>
        </is>
      </c>
      <c r="AY558" s="5" t="inlineStr">
        <is>
          <t>Not Found</t>
        </is>
      </c>
      <c r="AZ558" s="5" t="inlineStr">
        <is>
          <t>Not Found</t>
        </is>
      </c>
      <c r="BA558" s="5" t="inlineStr">
        <is>
          <t>2026-09-17</t>
        </is>
      </c>
      <c r="BB558" s="5" t="inlineStr">
        <is>
          <t>Requires Verification</t>
        </is>
      </c>
      <c r="BC558" s="5" t="inlineStr">
        <is>
          <t>Medium</t>
        </is>
      </c>
      <c r="BD558" s="5" t="inlineStr"/>
      <c r="BE558" s="5" t="inlineStr">
        <is>
          <t>Business (B2B)</t>
        </is>
      </c>
      <c r="BF558" s="5" t="inlineStr">
        <is>
          <t>Legitimate interest (B2B) - assess per campaign; PECR: corporate subscribers</t>
        </is>
      </c>
      <c r="BG558" s="5" t="inlineStr"/>
      <c r="BH558" s="5" t="inlineStr">
        <is>
          <t>No</t>
        </is>
      </c>
      <c r="BI558" s="5" t="inlineStr">
        <is>
          <t>2026-09-16</t>
        </is>
      </c>
      <c r="BJ558" s="5" t="inlineStr">
        <is>
          <t>New</t>
        </is>
      </c>
      <c r="BK558" s="5" t="inlineStr">
        <is>
          <t>2026-09-17</t>
        </is>
      </c>
      <c r="BL558" s="5" t="inlineStr"/>
      <c r="BM558" s="5" t="inlineStr"/>
      <c r="BN558" s="5" t="inlineStr"/>
      <c r="BO558" s="5" t="inlineStr"/>
      <c r="BP558" s="5" t="inlineStr"/>
      <c r="BQ558" s="5" t="inlineStr"/>
    </row>
    <row r="559">
      <c r="A559" s="10" t="inlineStr">
        <is>
          <t>UK-000375</t>
        </is>
      </c>
      <c r="B559" s="10" t="inlineStr">
        <is>
          <t>UK-000375-01</t>
        </is>
      </c>
      <c r="C559" s="10" t="inlineStr"/>
      <c r="D559" s="10" t="inlineStr">
        <is>
          <t>NJ Vapes (Urmston, Trafford)</t>
        </is>
      </c>
      <c r="E559" s="10" t="inlineStr">
        <is>
          <t>NJ Vapes</t>
        </is>
      </c>
      <c r="F559" s="10" t="inlineStr"/>
      <c r="G559" s="10" t="inlineStr">
        <is>
          <t>Vape Shop</t>
        </is>
      </c>
      <c r="H559" s="10" t="inlineStr">
        <is>
          <t>Vape hardware, e-liquids &amp; disposables</t>
        </is>
      </c>
      <c r="I559" s="10" t="inlineStr">
        <is>
          <t>Independent</t>
        </is>
      </c>
      <c r="J559" s="10" t="inlineStr">
        <is>
          <t>1</t>
        </is>
      </c>
      <c r="K559" s="10" t="inlineStr"/>
      <c r="L559" s="10" t="inlineStr"/>
      <c r="M559" s="10" t="inlineStr"/>
      <c r="N559" s="10" t="inlineStr"/>
      <c r="O559" s="10" t="inlineStr">
        <is>
          <t>64 Flixton Road</t>
        </is>
      </c>
      <c r="P559" s="10" t="inlineStr">
        <is>
          <t>Urmston</t>
        </is>
      </c>
      <c r="Q559" s="10" t="inlineStr">
        <is>
          <t>Urmston</t>
        </is>
      </c>
      <c r="R559" s="10" t="inlineStr">
        <is>
          <t>Greater Manchester</t>
        </is>
      </c>
      <c r="S559" s="10" t="inlineStr">
        <is>
          <t>M41 5AB</t>
        </is>
      </c>
      <c r="T559" s="10" t="inlineStr">
        <is>
          <t>North West</t>
        </is>
      </c>
      <c r="U559" s="10" t="inlineStr">
        <is>
          <t>England</t>
        </is>
      </c>
      <c r="V559" s="10" t="inlineStr">
        <is>
          <t>0161 376 4170</t>
        </is>
      </c>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vape hardware; e-liquids; disposables</t>
        </is>
      </c>
      <c r="AL559" s="10" t="inlineStr"/>
      <c r="AM559" s="10" t="inlineStr">
        <is>
          <t>Vape Shop</t>
        </is>
      </c>
      <c r="AN559" s="10" t="inlineStr"/>
      <c r="AO559" s="10" t="inlineStr">
        <is>
          <t>Urmston independent vape shop; address/phone from Waze/local listings via search extraction.</t>
        </is>
      </c>
      <c r="AP559" s="10" t="inlineStr">
        <is>
          <t>Medium</t>
        </is>
      </c>
      <c r="AQ559" s="10" t="inlineStr">
        <is>
          <t>Independent retailer; Core relevant category</t>
        </is>
      </c>
      <c r="AR559" s="10" t="inlineStr">
        <is>
          <t>https://www.waze.com/live-map/directions?from=place.ChIJTwimv2Cte0gR0NgFFiLEShA</t>
        </is>
      </c>
      <c r="AS559" s="10" t="inlineStr"/>
      <c r="AT559" s="10" t="inlineStr">
        <is>
          <t>1</t>
        </is>
      </c>
      <c r="AU559" s="10" t="inlineStr">
        <is>
          <t>No</t>
        </is>
      </c>
      <c r="AV559" s="10" t="inlineStr">
        <is>
          <t>No</t>
        </is>
      </c>
      <c r="AW559" s="10" t="inlineStr">
        <is>
          <t>No</t>
        </is>
      </c>
      <c r="AX559" s="10" t="inlineStr">
        <is>
          <t>No</t>
        </is>
      </c>
      <c r="AY559" s="10" t="inlineStr">
        <is>
          <t>Verified directory</t>
        </is>
      </c>
      <c r="AZ559" s="10" t="inlineStr">
        <is>
          <t>Not Found</t>
        </is>
      </c>
      <c r="BA559" s="10" t="inlineStr">
        <is>
          <t>2026-09-17</t>
        </is>
      </c>
      <c r="BB559" s="10" t="inlineStr">
        <is>
          <t>Requires Verification</t>
        </is>
      </c>
      <c r="BC559" s="10" t="inlineStr">
        <is>
          <t>Low</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UK-000495</t>
        </is>
      </c>
      <c r="B560" s="5" t="inlineStr">
        <is>
          <t>UK-000495-01</t>
        </is>
      </c>
      <c r="C560" s="5" t="inlineStr"/>
      <c r="D560" s="5" t="inlineStr">
        <is>
          <t>Nanostix Birmingham</t>
        </is>
      </c>
      <c r="E560" s="5" t="inlineStr">
        <is>
          <t>Nanostix Birmingham</t>
        </is>
      </c>
      <c r="F560" s="5" t="inlineStr"/>
      <c r="G560" s="5" t="inlineStr">
        <is>
          <t>Vape Shop</t>
        </is>
      </c>
      <c r="H560" s="5" t="inlineStr">
        <is>
          <t>Vape hardware and e-liquid retailer</t>
        </is>
      </c>
      <c r="I560" s="5" t="inlineStr">
        <is>
          <t>Independent</t>
        </is>
      </c>
      <c r="J560" s="5" t="inlineStr">
        <is>
          <t>1</t>
        </is>
      </c>
      <c r="K560" s="5" t="inlineStr"/>
      <c r="L560" s="5" t="inlineStr"/>
      <c r="M560" s="5" t="inlineStr"/>
      <c r="N560" s="5" t="inlineStr"/>
      <c r="O560" s="5" t="inlineStr">
        <is>
          <t>144 Alcester Road</t>
        </is>
      </c>
      <c r="P560" s="5" t="inlineStr">
        <is>
          <t>Moseley</t>
        </is>
      </c>
      <c r="Q560" s="5" t="inlineStr">
        <is>
          <t>Birmingham</t>
        </is>
      </c>
      <c r="R560" s="5" t="inlineStr">
        <is>
          <t>West Midlands</t>
        </is>
      </c>
      <c r="S560" s="5" t="inlineStr">
        <is>
          <t>B13 8HS</t>
        </is>
      </c>
      <c r="T560" s="5" t="inlineStr">
        <is>
          <t>West Midlands</t>
        </is>
      </c>
      <c r="U560" s="5" t="inlineStr">
        <is>
          <t>England</t>
        </is>
      </c>
      <c r="V560" s="5" t="inlineStr"/>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is>
          <t>Nanostix</t>
        </is>
      </c>
      <c r="AK560" s="5" t="inlineStr">
        <is>
          <t>vape hardware; e-liquids</t>
        </is>
      </c>
      <c r="AL560" s="5" t="inlineStr"/>
      <c r="AM560" s="5" t="inlineStr">
        <is>
          <t>Vape Shop</t>
        </is>
      </c>
      <c r="AN560" s="5" t="inlineStr"/>
      <c r="AO560" s="5" t="inlineStr">
        <is>
          <t>Vape shop on Alcester Road, Moseley.</t>
        </is>
      </c>
      <c r="AP560" s="5" t="inlineStr">
        <is>
          <t>Medium</t>
        </is>
      </c>
      <c r="AQ560" s="5" t="inlineStr">
        <is>
          <t>Independent retailer; Core relevant category</t>
        </is>
      </c>
      <c r="AR560" s="5" t="inlineStr">
        <is>
          <t>https://m.yelp.com/search?cflt=vapeshops&amp;find_loc=361-365+Moseley+Rd%2C+Birmingham+B12+9DE</t>
        </is>
      </c>
      <c r="AS560" s="5" t="inlineStr"/>
      <c r="AT560" s="5" t="inlineStr">
        <is>
          <t>1</t>
        </is>
      </c>
      <c r="AU560" s="5" t="inlineStr">
        <is>
          <t>No</t>
        </is>
      </c>
      <c r="AV560" s="5" t="inlineStr">
        <is>
          <t>No</t>
        </is>
      </c>
      <c r="AW560" s="5" t="inlineStr">
        <is>
          <t>No</t>
        </is>
      </c>
      <c r="AX560" s="5" t="inlineStr">
        <is>
          <t>No</t>
        </is>
      </c>
      <c r="AY560" s="5" t="inlineStr">
        <is>
          <t>Not Found</t>
        </is>
      </c>
      <c r="AZ560" s="5" t="inlineStr">
        <is>
          <t>Not Found</t>
        </is>
      </c>
      <c r="BA560" s="5" t="inlineStr">
        <is>
          <t>2026-09-17</t>
        </is>
      </c>
      <c r="BB560" s="5" t="inlineStr">
        <is>
          <t>Requires Verification</t>
        </is>
      </c>
      <c r="BC560" s="5" t="inlineStr">
        <is>
          <t>Low</t>
        </is>
      </c>
      <c r="BD560" s="5" t="inlineStr"/>
      <c r="BE560" s="5" t="inlineStr">
        <is>
          <t>Business (B2B)</t>
        </is>
      </c>
      <c r="BF560" s="5" t="inlineStr">
        <is>
          <t>Legitimate interest (B2B) - assess per campaign; PECR: corporate subscribers</t>
        </is>
      </c>
      <c r="BG560" s="5" t="inlineStr"/>
      <c r="BH560" s="5" t="inlineStr">
        <is>
          <t>No</t>
        </is>
      </c>
      <c r="BI560" s="5" t="inlineStr">
        <is>
          <t>2026-09-17</t>
        </is>
      </c>
      <c r="BJ560" s="5" t="inlineStr">
        <is>
          <t>New</t>
        </is>
      </c>
      <c r="BK560" s="5" t="inlineStr">
        <is>
          <t>2026-09-17</t>
        </is>
      </c>
      <c r="BL560" s="5" t="inlineStr"/>
      <c r="BM560" s="5" t="inlineStr"/>
      <c r="BN560" s="5" t="inlineStr"/>
      <c r="BO560" s="5" t="inlineStr"/>
      <c r="BP560" s="5" t="inlineStr"/>
      <c r="BQ560" s="5" t="inlineStr"/>
    </row>
    <row r="561">
      <c r="A561" s="10" t="inlineStr">
        <is>
          <t>UK-000376</t>
        </is>
      </c>
      <c r="B561" s="10" t="inlineStr">
        <is>
          <t>UK-000376-01</t>
        </is>
      </c>
      <c r="C561" s="10" t="inlineStr"/>
      <c r="D561" s="10" t="inlineStr">
        <is>
          <t>Neon Vaperz CBD (Salford)</t>
        </is>
      </c>
      <c r="E561" s="10" t="inlineStr">
        <is>
          <t>Neon Vaperz</t>
        </is>
      </c>
      <c r="F561" s="10" t="inlineStr"/>
      <c r="G561" s="10" t="inlineStr">
        <is>
          <t>Vape Shop</t>
        </is>
      </c>
      <c r="H561" s="10" t="inlineStr">
        <is>
          <t>Vape &amp; CBD store</t>
        </is>
      </c>
      <c r="I561" s="10" t="inlineStr">
        <is>
          <t>Independent</t>
        </is>
      </c>
      <c r="J561" s="10" t="inlineStr">
        <is>
          <t>1</t>
        </is>
      </c>
      <c r="K561" s="10" t="inlineStr"/>
      <c r="L561" s="10" t="inlineStr"/>
      <c r="M561" s="10" t="inlineStr"/>
      <c r="N561" s="10" t="inlineStr"/>
      <c r="O561" s="10" t="inlineStr">
        <is>
          <t>201 Eccles Old Road</t>
        </is>
      </c>
      <c r="P561" s="10" t="inlineStr"/>
      <c r="Q561" s="10" t="inlineStr">
        <is>
          <t>Salford</t>
        </is>
      </c>
      <c r="R561" s="10" t="inlineStr">
        <is>
          <t>Greater Manchester</t>
        </is>
      </c>
      <c r="S561" s="10" t="inlineStr">
        <is>
          <t>M6 8HA</t>
        </is>
      </c>
      <c r="T561" s="10" t="inlineStr">
        <is>
          <t>North West</t>
        </is>
      </c>
      <c r="U561" s="10" t="inlineStr">
        <is>
          <t>England</t>
        </is>
      </c>
      <c r="V561" s="10" t="inlineStr">
        <is>
          <t>0161 707 2228</t>
        </is>
      </c>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vape hardware; e-liquids; disposables; CBD</t>
        </is>
      </c>
      <c r="AL561" s="10" t="inlineStr"/>
      <c r="AM561" s="10" t="inlineStr">
        <is>
          <t>Vape Shop</t>
        </is>
      </c>
      <c r="AN561" s="10" t="inlineStr"/>
      <c r="AO561" s="10" t="inlineStr">
        <is>
          <t>Salford independent vape &amp; CBD shop listed on Cylex Salford.</t>
        </is>
      </c>
      <c r="AP561" s="10" t="inlineStr">
        <is>
          <t>Medium</t>
        </is>
      </c>
      <c r="AQ561" s="10" t="inlineStr">
        <is>
          <t>Independent retailer; Core relevant category</t>
        </is>
      </c>
      <c r="AR561" s="10" t="inlineStr">
        <is>
          <t>https://salford-city-of-salford.cylex-uk.co.uk/vape-shops/</t>
        </is>
      </c>
      <c r="AS561" s="10" t="inlineStr"/>
      <c r="AT561" s="10" t="inlineStr">
        <is>
          <t>1</t>
        </is>
      </c>
      <c r="AU561" s="10" t="inlineStr">
        <is>
          <t>No</t>
        </is>
      </c>
      <c r="AV561" s="10" t="inlineStr">
        <is>
          <t>No</t>
        </is>
      </c>
      <c r="AW561" s="10" t="inlineStr">
        <is>
          <t>No</t>
        </is>
      </c>
      <c r="AX561" s="10" t="inlineStr">
        <is>
          <t>No</t>
        </is>
      </c>
      <c r="AY561" s="10" t="inlineStr">
        <is>
          <t>Verified directory</t>
        </is>
      </c>
      <c r="AZ561" s="10" t="inlineStr">
        <is>
          <t>Not Found</t>
        </is>
      </c>
      <c r="BA561" s="10" t="inlineStr">
        <is>
          <t>2026-09-17</t>
        </is>
      </c>
      <c r="BB561" s="10" t="inlineStr">
        <is>
          <t>Requires Verification</t>
        </is>
      </c>
      <c r="BC561" s="10" t="inlineStr">
        <is>
          <t>Low</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UK-000377</t>
        </is>
      </c>
      <c r="B562" s="5" t="inlineStr">
        <is>
          <t>UK-000377-01</t>
        </is>
      </c>
      <c r="C562" s="5" t="inlineStr"/>
      <c r="D562" s="5" t="inlineStr">
        <is>
          <t>News And Booze Off Licence And Convenience Store</t>
        </is>
      </c>
      <c r="E562" s="5" t="inlineStr">
        <is>
          <t>News And Booze</t>
        </is>
      </c>
      <c r="F562" s="5" t="inlineStr"/>
      <c r="G562" s="5" t="inlineStr">
        <is>
          <t>Off-Licence</t>
        </is>
      </c>
      <c r="H562" s="5" t="inlineStr">
        <is>
          <t>Newsagent &amp; off-licence</t>
        </is>
      </c>
      <c r="I562" s="5" t="inlineStr">
        <is>
          <t>Independent</t>
        </is>
      </c>
      <c r="J562" s="5" t="inlineStr">
        <is>
          <t>1</t>
        </is>
      </c>
      <c r="K562" s="5" t="inlineStr"/>
      <c r="L562" s="5" t="inlineStr"/>
      <c r="M562" s="5" t="inlineStr"/>
      <c r="N562" s="5" t="inlineStr"/>
      <c r="O562" s="5" t="inlineStr">
        <is>
          <t>2 Hazelwood Road</t>
        </is>
      </c>
      <c r="P562" s="5" t="inlineStr"/>
      <c r="Q562" s="5" t="inlineStr">
        <is>
          <t>Hazel Grove</t>
        </is>
      </c>
      <c r="R562" s="5" t="inlineStr">
        <is>
          <t>Greater Manchester</t>
        </is>
      </c>
      <c r="S562" s="5" t="inlineStr">
        <is>
          <t>SK7 4LZ</t>
        </is>
      </c>
      <c r="T562" s="5" t="inlineStr">
        <is>
          <t>North West</t>
        </is>
      </c>
      <c r="U562" s="5" t="inlineStr">
        <is>
          <t>England</t>
        </is>
      </c>
      <c r="V562" s="5" t="inlineStr"/>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news; alcohol; convenience; tobacco</t>
        </is>
      </c>
      <c r="AL562" s="5" t="inlineStr"/>
      <c r="AM562" s="5" t="inlineStr">
        <is>
          <t>Off-Licence</t>
        </is>
      </c>
      <c r="AN562" s="5" t="inlineStr"/>
      <c r="AO562" s="5" t="inlineStr">
        <is>
          <t>Independent off-licence, newsagent and convenience store in Hazel Grove.</t>
        </is>
      </c>
      <c r="AP562" s="5" t="inlineStr">
        <is>
          <t>Low</t>
        </is>
      </c>
      <c r="AQ562" s="5" t="inlineStr">
        <is>
          <t>Independent retailer; Relevant category</t>
        </is>
      </c>
      <c r="AR562" s="5" t="inlineStr">
        <is>
          <t>https://directory.dailypost.co.uk/company/1252107804860416</t>
        </is>
      </c>
      <c r="AS562" s="5" t="inlineStr"/>
      <c r="AT562" s="5" t="inlineStr">
        <is>
          <t>1</t>
        </is>
      </c>
      <c r="AU562" s="5" t="inlineStr">
        <is>
          <t>No</t>
        </is>
      </c>
      <c r="AV562" s="5" t="inlineStr">
        <is>
          <t>No</t>
        </is>
      </c>
      <c r="AW562" s="5" t="inlineStr">
        <is>
          <t>No</t>
        </is>
      </c>
      <c r="AX562" s="5" t="inlineStr">
        <is>
          <t>No</t>
        </is>
      </c>
      <c r="AY562" s="5" t="inlineStr">
        <is>
          <t>Not Found</t>
        </is>
      </c>
      <c r="AZ562" s="5" t="inlineStr">
        <is>
          <t>Not Found</t>
        </is>
      </c>
      <c r="BA562" s="5" t="inlineStr">
        <is>
          <t>2026-09-17</t>
        </is>
      </c>
      <c r="BB562" s="5" t="inlineStr">
        <is>
          <t>Requires Verification</t>
        </is>
      </c>
      <c r="BC562" s="5" t="inlineStr">
        <is>
          <t>Low</t>
        </is>
      </c>
      <c r="BD562" s="5" t="inlineStr"/>
      <c r="BE562" s="5" t="inlineStr">
        <is>
          <t>Business (B2B)</t>
        </is>
      </c>
      <c r="BF562" s="5" t="inlineStr">
        <is>
          <t>Legitimate interest (B2B) - assess per campaign; PECR: corporate subscribers</t>
        </is>
      </c>
      <c r="BG562" s="5" t="inlineStr"/>
      <c r="BH562" s="5" t="inlineStr">
        <is>
          <t>No</t>
        </is>
      </c>
      <c r="BI562" s="5" t="inlineStr">
        <is>
          <t>2026-09-17</t>
        </is>
      </c>
      <c r="BJ562" s="5" t="inlineStr">
        <is>
          <t>New</t>
        </is>
      </c>
      <c r="BK562" s="5" t="inlineStr">
        <is>
          <t>2026-09-17</t>
        </is>
      </c>
      <c r="BL562" s="5" t="inlineStr"/>
      <c r="BM562" s="5" t="inlineStr"/>
      <c r="BN562" s="5" t="inlineStr"/>
      <c r="BO562" s="5" t="inlineStr"/>
      <c r="BP562" s="5" t="inlineStr"/>
      <c r="BQ562" s="5" t="inlineStr"/>
    </row>
    <row r="563">
      <c r="A563" s="10" t="inlineStr">
        <is>
          <t>UK-000807</t>
        </is>
      </c>
      <c r="B563" s="10" t="inlineStr">
        <is>
          <t>UK-000807-01</t>
        </is>
      </c>
      <c r="C563" s="10" t="inlineStr"/>
      <c r="D563" s="10" t="inlineStr">
        <is>
          <t>News and Booze Convenience Store</t>
        </is>
      </c>
      <c r="E563" s="10" t="inlineStr">
        <is>
          <t>News and Booze</t>
        </is>
      </c>
      <c r="F563" s="10" t="inlineStr"/>
      <c r="G563" s="10" t="inlineStr">
        <is>
          <t>Convenience Store</t>
        </is>
      </c>
      <c r="H563" s="10" t="inlineStr">
        <is>
          <t>Convenience store / off-licence / newsagent</t>
        </is>
      </c>
      <c r="I563" s="10" t="inlineStr">
        <is>
          <t>Independent</t>
        </is>
      </c>
      <c r="J563" s="10" t="inlineStr">
        <is>
          <t>1</t>
        </is>
      </c>
      <c r="K563" s="10" t="inlineStr"/>
      <c r="L563" s="10" t="inlineStr"/>
      <c r="M563" s="10" t="inlineStr"/>
      <c r="N563" s="10" t="inlineStr"/>
      <c r="O563" s="10" t="inlineStr">
        <is>
          <t>54-56 Grange Road West</t>
        </is>
      </c>
      <c r="P563" s="10" t="inlineStr"/>
      <c r="Q563" s="10" t="inlineStr">
        <is>
          <t>Birkenhead</t>
        </is>
      </c>
      <c r="R563" s="10" t="inlineStr">
        <is>
          <t>Merseyside</t>
        </is>
      </c>
      <c r="S563" s="10" t="inlineStr">
        <is>
          <t>CH41 4DA</t>
        </is>
      </c>
      <c r="T563" s="10" t="inlineStr">
        <is>
          <t>North West</t>
        </is>
      </c>
      <c r="U563" s="10" t="inlineStr">
        <is>
          <t>England</t>
        </is>
      </c>
      <c r="V563" s="10" t="inlineStr"/>
      <c r="W563" s="10" t="inlineStr"/>
      <c r="X563" s="10" t="inlineStr"/>
      <c r="Y563" s="10" t="inlineStr"/>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newspapers; groceries; alcohol; tobacco</t>
        </is>
      </c>
      <c r="AL563" s="10" t="inlineStr"/>
      <c r="AM563" s="10" t="inlineStr">
        <is>
          <t>Convenience Store</t>
        </is>
      </c>
      <c r="AN563" s="10" t="inlineStr"/>
      <c r="AO563" s="10" t="inlineStr">
        <is>
          <t>Independent convenience store / newsagent on Grange Road West, Birkenhead, listed as an InPost parcel shop. Address and postcode from the InPost shop listing.</t>
        </is>
      </c>
      <c r="AP563" s="10" t="inlineStr">
        <is>
          <t>Low</t>
        </is>
      </c>
      <c r="AQ563" s="10" t="inlineStr">
        <is>
          <t>Independent retailer; Relevant category</t>
        </is>
      </c>
      <c r="AR563" s="10" t="inlineStr">
        <is>
          <t>https://inpost.co.uk/shops/uk00253480-birkenhead-news-and-booze-convenience-store-ch41-4da</t>
        </is>
      </c>
      <c r="AS563" s="10" t="inlineStr"/>
      <c r="AT563" s="10" t="inlineStr">
        <is>
          <t>1</t>
        </is>
      </c>
      <c r="AU563" s="10" t="inlineStr">
        <is>
          <t>No</t>
        </is>
      </c>
      <c r="AV563" s="10" t="inlineStr">
        <is>
          <t>No</t>
        </is>
      </c>
      <c r="AW563" s="10" t="inlineStr">
        <is>
          <t>No</t>
        </is>
      </c>
      <c r="AX563" s="10" t="inlineStr">
        <is>
          <t>No</t>
        </is>
      </c>
      <c r="AY563" s="10" t="inlineStr">
        <is>
          <t>Not Found</t>
        </is>
      </c>
      <c r="AZ563" s="10" t="inlineStr">
        <is>
          <t>Not Found</t>
        </is>
      </c>
      <c r="BA563" s="10" t="inlineStr">
        <is>
          <t>2026-09-17</t>
        </is>
      </c>
      <c r="BB563" s="10" t="inlineStr">
        <is>
          <t>Requires Verification</t>
        </is>
      </c>
      <c r="BC563" s="10" t="inlineStr">
        <is>
          <t>Medium</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UK-000266</t>
        </is>
      </c>
      <c r="B564" s="5" t="inlineStr">
        <is>
          <t>UK-000266-01</t>
        </is>
      </c>
      <c r="C564" s="5" t="inlineStr"/>
      <c r="D564" s="5" t="inlineStr">
        <is>
          <t>Ninnsi</t>
        </is>
      </c>
      <c r="E564" s="5" t="inlineStr">
        <is>
          <t>Ninnsi</t>
        </is>
      </c>
      <c r="F564" s="5" t="inlineStr"/>
      <c r="G564" s="5" t="inlineStr">
        <is>
          <t>Independent Supermarket</t>
        </is>
      </c>
      <c r="H564" s="5" t="inlineStr">
        <is>
          <t>Oriental / Asian store</t>
        </is>
      </c>
      <c r="I564" s="5" t="inlineStr">
        <is>
          <t>Independent</t>
        </is>
      </c>
      <c r="J564" s="5" t="inlineStr">
        <is>
          <t>1</t>
        </is>
      </c>
      <c r="K564" s="5" t="inlineStr">
        <is>
          <t>https://ninnsi.co.uk</t>
        </is>
      </c>
      <c r="L564" s="5" t="inlineStr"/>
      <c r="M564" s="5" t="inlineStr"/>
      <c r="N564" s="5" t="inlineStr"/>
      <c r="O564" s="5" t="inlineStr"/>
      <c r="P564" s="5" t="inlineStr"/>
      <c r="Q564" s="5" t="inlineStr">
        <is>
          <t>Kingston upon Hull</t>
        </is>
      </c>
      <c r="R564" s="5" t="inlineStr">
        <is>
          <t>East Riding of Yorkshire</t>
        </is>
      </c>
      <c r="S564" s="5" t="inlineStr"/>
      <c r="T564" s="5" t="inlineStr">
        <is>
          <t>Yorkshire &amp; Humber</t>
        </is>
      </c>
      <c r="U564" s="5" t="inlineStr">
        <is>
          <t>England</t>
        </is>
      </c>
      <c r="V564" s="5" t="inlineStr"/>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Asian ingredients; snacks; bubble tea supplies</t>
        </is>
      </c>
      <c r="AL564" s="5" t="inlineStr"/>
      <c r="AM564" s="5" t="inlineStr">
        <is>
          <t>Independent Supermarket</t>
        </is>
      </c>
      <c r="AN564" s="5" t="inlineStr"/>
      <c r="AO564" s="5" t="inlineStr">
        <is>
          <t>Hull-based oriental store (own website ninnsi.co.uk). No street address/phone in search results.</t>
        </is>
      </c>
      <c r="AP564" s="5" t="inlineStr">
        <is>
          <t>Medium</t>
        </is>
      </c>
      <c r="AQ564" s="5" t="inlineStr">
        <is>
          <t>Independent retailer; Relevant category; Active website</t>
        </is>
      </c>
      <c r="AR564" s="5" t="inlineStr">
        <is>
          <t>https://ninnsi.co.uk/</t>
        </is>
      </c>
      <c r="AS564" s="5" t="inlineStr"/>
      <c r="AT564" s="5" t="inlineStr">
        <is>
          <t>1</t>
        </is>
      </c>
      <c r="AU564" s="5" t="inlineStr">
        <is>
          <t>Yes</t>
        </is>
      </c>
      <c r="AV564" s="5" t="inlineStr">
        <is>
          <t>No</t>
        </is>
      </c>
      <c r="AW564" s="5" t="inlineStr">
        <is>
          <t>No</t>
        </is>
      </c>
      <c r="AX564" s="5" t="inlineStr">
        <is>
          <t>No</t>
        </is>
      </c>
      <c r="AY564" s="5" t="inlineStr">
        <is>
          <t>Not Found</t>
        </is>
      </c>
      <c r="AZ564" s="5" t="inlineStr">
        <is>
          <t>Not Found</t>
        </is>
      </c>
      <c r="BA564" s="5" t="inlineStr">
        <is>
          <t>2026-09-17</t>
        </is>
      </c>
      <c r="BB564" s="5" t="inlineStr">
        <is>
          <t>Partially Verified</t>
        </is>
      </c>
      <c r="BC564" s="5" t="inlineStr">
        <is>
          <t>Low</t>
        </is>
      </c>
      <c r="BD564" s="5" t="inlineStr"/>
      <c r="BE564" s="5" t="inlineStr">
        <is>
          <t>Business (B2B)</t>
        </is>
      </c>
      <c r="BF564" s="5" t="inlineStr">
        <is>
          <t>Legitimate interest (B2B) - assess per campaign; PECR: corporate subscribers</t>
        </is>
      </c>
      <c r="BG564" s="5" t="inlineStr"/>
      <c r="BH564" s="5" t="inlineStr">
        <is>
          <t>No</t>
        </is>
      </c>
      <c r="BI564" s="5" t="inlineStr">
        <is>
          <t>2026-09-16</t>
        </is>
      </c>
      <c r="BJ564" s="5" t="inlineStr">
        <is>
          <t>New</t>
        </is>
      </c>
      <c r="BK564" s="5" t="inlineStr">
        <is>
          <t>2026-09-17</t>
        </is>
      </c>
      <c r="BL564" s="5" t="inlineStr"/>
      <c r="BM564" s="5" t="inlineStr"/>
      <c r="BN564" s="5" t="inlineStr"/>
      <c r="BO564" s="5" t="inlineStr"/>
      <c r="BP564" s="5" t="inlineStr"/>
      <c r="BQ564" s="5" t="inlineStr"/>
    </row>
    <row r="565">
      <c r="A565" s="10" t="inlineStr">
        <is>
          <t>WY-0125</t>
        </is>
      </c>
      <c r="B565" s="10" t="inlineStr">
        <is>
          <t>WY-0125-01</t>
        </is>
      </c>
      <c r="C565" s="10" t="inlineStr"/>
      <c r="D565" s="10" t="inlineStr">
        <is>
          <t>Nisa Local Knottingley</t>
        </is>
      </c>
      <c r="E565" s="10" t="inlineStr">
        <is>
          <t>Nisa Local</t>
        </is>
      </c>
      <c r="F565" s="10" t="inlineStr"/>
      <c r="G565" s="10" t="inlineStr">
        <is>
          <t>Convenience Store</t>
        </is>
      </c>
      <c r="H565" s="10" t="inlineStr">
        <is>
          <t>Symbol group convenience store</t>
        </is>
      </c>
      <c r="I565" s="10" t="inlineStr">
        <is>
          <t>Franchise / Symbol Group</t>
        </is>
      </c>
      <c r="J565" s="10" t="inlineStr">
        <is>
          <t>1</t>
        </is>
      </c>
      <c r="K565" s="10" t="inlineStr">
        <is>
          <t>https://www.nisalocally.co.uk/stores/west-yorkshire/knottingley</t>
        </is>
      </c>
      <c r="L565" s="10" t="inlineStr">
        <is>
          <t>https://www.facebook.com/NisaLocalPinewoodPlaceKnottingley/</t>
        </is>
      </c>
      <c r="M565" s="10" t="inlineStr"/>
      <c r="N565" s="10" t="inlineStr"/>
      <c r="O565" s="10" t="inlineStr">
        <is>
          <t>12-14 Pinewood Place</t>
        </is>
      </c>
      <c r="P565" s="10" t="inlineStr"/>
      <c r="Q565" s="10" t="inlineStr">
        <is>
          <t>Knottingley</t>
        </is>
      </c>
      <c r="R565" s="10" t="inlineStr">
        <is>
          <t>West Yorkshire</t>
        </is>
      </c>
      <c r="S565" s="10" t="inlineStr">
        <is>
          <t>WF11 0QH</t>
        </is>
      </c>
      <c r="T565" s="10" t="inlineStr">
        <is>
          <t>Yorkshire &amp; Humber</t>
        </is>
      </c>
      <c r="U565" s="10" t="inlineStr">
        <is>
          <t>England</t>
        </is>
      </c>
      <c r="V565" s="10" t="inlineStr">
        <is>
          <t>01977 607202</t>
        </is>
      </c>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grocery; alcohol; convenience</t>
        </is>
      </c>
      <c r="AL565" s="10" t="inlineStr"/>
      <c r="AM565" s="10" t="inlineStr">
        <is>
          <t>Convenience Store</t>
        </is>
      </c>
      <c r="AN565" s="10" t="inlineStr">
        <is>
          <t>Nisa symbol group (Co-op wholesale supply)</t>
        </is>
      </c>
      <c r="AO565" s="10" t="inlineStr">
        <is>
          <t>Independently owned Nisa symbol store; also appears on the official Nisa Locally store finder for Knottingley.</t>
        </is>
      </c>
      <c r="AP565" s="10" t="inlineStr">
        <is>
          <t>Medium</t>
        </is>
      </c>
      <c r="AQ565" s="10" t="inlineStr">
        <is>
          <t>Independent retailer; Relevant category; Active website; Social presence</t>
        </is>
      </c>
      <c r="AR565" s="10" t="inlineStr">
        <is>
          <t>https://www.nisalocally.co.uk/stores/west-yorkshire/knottingley</t>
        </is>
      </c>
      <c r="AS565" s="10" t="inlineStr">
        <is>
          <t>https://www.facebook.com/NisaLocalPinewoodPlaceKnottingley/</t>
        </is>
      </c>
      <c r="AT565" s="10" t="inlineStr">
        <is>
          <t>4</t>
        </is>
      </c>
      <c r="AU565" s="10" t="inlineStr">
        <is>
          <t>No</t>
        </is>
      </c>
      <c r="AV565" s="10" t="inlineStr">
        <is>
          <t>No</t>
        </is>
      </c>
      <c r="AW565" s="10" t="inlineStr">
        <is>
          <t>No</t>
        </is>
      </c>
      <c r="AX565" s="10" t="inlineStr">
        <is>
          <t>No</t>
        </is>
      </c>
      <c r="AY565" s="10" t="inlineStr">
        <is>
          <t>Verified directory</t>
        </is>
      </c>
      <c r="AZ565" s="10" t="inlineStr">
        <is>
          <t>Not Found</t>
        </is>
      </c>
      <c r="BA565" s="10" t="inlineStr">
        <is>
          <t>2026-09-17</t>
        </is>
      </c>
      <c r="BB565" s="10" t="inlineStr">
        <is>
          <t>Requires Verification</t>
        </is>
      </c>
      <c r="BC565" s="10" t="inlineStr">
        <is>
          <t>Medium</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2026-09-16</t>
        </is>
      </c>
      <c r="BJ565" s="10" t="inlineStr">
        <is>
          <t>New</t>
        </is>
      </c>
      <c r="BK565" s="10" t="inlineStr">
        <is>
          <t>2026-09-17</t>
        </is>
      </c>
      <c r="BL565" s="10" t="inlineStr"/>
      <c r="BM565" s="10" t="inlineStr"/>
      <c r="BN565" s="10" t="inlineStr"/>
      <c r="BO565" s="10" t="inlineStr"/>
      <c r="BP565" s="10" t="inlineStr"/>
      <c r="BQ565" s="10" t="inlineStr"/>
    </row>
    <row r="566">
      <c r="A566" s="5" t="inlineStr">
        <is>
          <t>UK-000639</t>
        </is>
      </c>
      <c r="B566" s="5" t="inlineStr">
        <is>
          <t>UK-000639-01</t>
        </is>
      </c>
      <c r="C566" s="5" t="inlineStr"/>
      <c r="D566" s="5" t="inlineStr">
        <is>
          <t>Nita Cash and Carry</t>
        </is>
      </c>
      <c r="E566" s="5" t="inlineStr">
        <is>
          <t>Nita Cash and Carry</t>
        </is>
      </c>
      <c r="F566" s="5" t="inlineStr"/>
      <c r="G566" s="5" t="inlineStr">
        <is>
          <t>Cash &amp; Carry</t>
        </is>
      </c>
      <c r="H566" s="5" t="inlineStr"/>
      <c r="I566" s="5" t="inlineStr">
        <is>
          <t>Independent</t>
        </is>
      </c>
      <c r="J566" s="5" t="inlineStr">
        <is>
          <t>1</t>
        </is>
      </c>
      <c r="K566" s="5" t="inlineStr"/>
      <c r="L566" s="5" t="inlineStr"/>
      <c r="M566" s="5" t="inlineStr"/>
      <c r="N566" s="5" t="inlineStr"/>
      <c r="O566" s="5" t="inlineStr">
        <is>
          <t>137-139 Ealing Road</t>
        </is>
      </c>
      <c r="P566" s="5" t="inlineStr"/>
      <c r="Q566" s="5" t="inlineStr">
        <is>
          <t>Wembley</t>
        </is>
      </c>
      <c r="R566" s="5" t="inlineStr">
        <is>
          <t>Greater London</t>
        </is>
      </c>
      <c r="S566" s="5" t="inlineStr">
        <is>
          <t>HA0 4BP</t>
        </is>
      </c>
      <c r="T566" s="5" t="inlineStr">
        <is>
          <t>London</t>
        </is>
      </c>
      <c r="U566" s="5" t="inlineStr">
        <is>
          <t>England</t>
        </is>
      </c>
      <c r="V566" s="5" t="inlineStr"/>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grocery wholesale; Indian/South Asian foods</t>
        </is>
      </c>
      <c r="AL566" s="5" t="inlineStr"/>
      <c r="AM566" s="5" t="inlineStr">
        <is>
          <t>Cash &amp; Carry</t>
        </is>
      </c>
      <c r="AN566" s="5" t="inlineStr"/>
      <c r="AO566" s="5" t="inlineStr">
        <is>
          <t>Independent cash &amp; carry on Ealing Road, Wembley. Address from Yell listing.</t>
        </is>
      </c>
      <c r="AP566" s="5" t="inlineStr">
        <is>
          <t>Medium</t>
        </is>
      </c>
      <c r="AQ566" s="5" t="inlineStr">
        <is>
          <t>Independent retailer; Core relevant category</t>
        </is>
      </c>
      <c r="AR566" s="5" t="inlineStr">
        <is>
          <t>https://www.yell.com/biz/nita-cash-and-carry-wembley-518432/</t>
        </is>
      </c>
      <c r="AS566" s="5" t="inlineStr"/>
      <c r="AT566" s="5" t="inlineStr">
        <is>
          <t>1</t>
        </is>
      </c>
      <c r="AU566" s="5" t="inlineStr">
        <is>
          <t>No</t>
        </is>
      </c>
      <c r="AV566" s="5" t="inlineStr">
        <is>
          <t>No</t>
        </is>
      </c>
      <c r="AW566" s="5" t="inlineStr">
        <is>
          <t>No</t>
        </is>
      </c>
      <c r="AX566" s="5" t="inlineStr">
        <is>
          <t>No</t>
        </is>
      </c>
      <c r="AY566" s="5" t="inlineStr">
        <is>
          <t>Not Found</t>
        </is>
      </c>
      <c r="AZ566" s="5" t="inlineStr">
        <is>
          <t>Not Found</t>
        </is>
      </c>
      <c r="BA566" s="5" t="inlineStr">
        <is>
          <t>2026-09-17</t>
        </is>
      </c>
      <c r="BB566" s="5" t="inlineStr">
        <is>
          <t>Requires Verification</t>
        </is>
      </c>
      <c r="BC566" s="5" t="inlineStr">
        <is>
          <t>Low</t>
        </is>
      </c>
      <c r="BD566" s="5" t="inlineStr"/>
      <c r="BE566" s="5" t="inlineStr">
        <is>
          <t>Business (B2B)</t>
        </is>
      </c>
      <c r="BF566" s="5" t="inlineStr">
        <is>
          <t>Legitimate interest (B2B) - assess per campaign; PECR: corporate subscribers</t>
        </is>
      </c>
      <c r="BG566" s="5" t="inlineStr"/>
      <c r="BH566" s="5" t="inlineStr">
        <is>
          <t>No</t>
        </is>
      </c>
      <c r="BI566" s="5" t="inlineStr">
        <is>
          <t>2026-09-17</t>
        </is>
      </c>
      <c r="BJ566" s="5" t="inlineStr">
        <is>
          <t>New</t>
        </is>
      </c>
      <c r="BK566" s="5" t="inlineStr">
        <is>
          <t>2026-09-17</t>
        </is>
      </c>
      <c r="BL566" s="5" t="inlineStr"/>
      <c r="BM566" s="5" t="inlineStr"/>
      <c r="BN566" s="5" t="inlineStr"/>
      <c r="BO566" s="5" t="inlineStr"/>
      <c r="BP566" s="5" t="inlineStr"/>
      <c r="BQ566" s="5" t="inlineStr"/>
    </row>
    <row r="567">
      <c r="A567" s="10" t="inlineStr">
        <is>
          <t>UK-000640</t>
        </is>
      </c>
      <c r="B567" s="10" t="inlineStr">
        <is>
          <t>UK-000640-01</t>
        </is>
      </c>
      <c r="C567" s="10" t="inlineStr"/>
      <c r="D567" s="10" t="inlineStr">
        <is>
          <t>No 5 Dining &amp; Lounge</t>
        </is>
      </c>
      <c r="E567" s="10" t="inlineStr">
        <is>
          <t>No 5 Dining &amp; Lounge</t>
        </is>
      </c>
      <c r="F567" s="10" t="inlineStr"/>
      <c r="G567" s="10" t="inlineStr">
        <is>
          <t>Smoke / Shisha Shop</t>
        </is>
      </c>
      <c r="H567" s="10" t="inlineStr">
        <is>
          <t>Shisha lounge</t>
        </is>
      </c>
      <c r="I567" s="10" t="inlineStr">
        <is>
          <t>Independent</t>
        </is>
      </c>
      <c r="J567" s="10" t="inlineStr">
        <is>
          <t>1</t>
        </is>
      </c>
      <c r="K567" s="10" t="inlineStr"/>
      <c r="L567" s="10" t="inlineStr"/>
      <c r="M567" s="10" t="inlineStr"/>
      <c r="N567" s="10" t="inlineStr"/>
      <c r="O567" s="10" t="inlineStr">
        <is>
          <t>5 Tottenham Lane</t>
        </is>
      </c>
      <c r="P567" s="10" t="inlineStr"/>
      <c r="Q567" s="10" t="inlineStr">
        <is>
          <t>Hornsey</t>
        </is>
      </c>
      <c r="R567" s="10" t="inlineStr">
        <is>
          <t>Greater London</t>
        </is>
      </c>
      <c r="S567" s="10" t="inlineStr">
        <is>
          <t>N8 9DJ</t>
        </is>
      </c>
      <c r="T567" s="10" t="inlineStr">
        <is>
          <t>London</t>
        </is>
      </c>
      <c r="U567" s="10" t="inlineStr">
        <is>
          <t>England</t>
        </is>
      </c>
      <c r="V567" s="10" t="inlineStr"/>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shisha; hookah</t>
        </is>
      </c>
      <c r="AL567" s="10" t="inlineStr"/>
      <c r="AM567" s="10" t="inlineStr">
        <is>
          <t>Smoke / Shisha Shop</t>
        </is>
      </c>
      <c r="AN567" s="10" t="inlineStr"/>
      <c r="AO567" s="10" t="inlineStr">
        <is>
          <t>Shisha lounge / dining on Tottenham Lane, Hornsey (Haringey). Address/postcode from Yell business listing.</t>
        </is>
      </c>
      <c r="AP567" s="10" t="inlineStr">
        <is>
          <t>Medium</t>
        </is>
      </c>
      <c r="AQ567" s="10" t="inlineStr">
        <is>
          <t>Independent retailer; Core relevant category</t>
        </is>
      </c>
      <c r="AR567" s="10" t="inlineStr">
        <is>
          <t>https://www.yell.com/biz/no-5-dining-and-lounge-london-10473466/</t>
        </is>
      </c>
      <c r="AS567" s="10" t="inlineStr"/>
      <c r="AT567" s="10" t="inlineStr">
        <is>
          <t>1</t>
        </is>
      </c>
      <c r="AU567" s="10" t="inlineStr">
        <is>
          <t>No</t>
        </is>
      </c>
      <c r="AV567" s="10" t="inlineStr">
        <is>
          <t>No</t>
        </is>
      </c>
      <c r="AW567" s="10" t="inlineStr">
        <is>
          <t>No</t>
        </is>
      </c>
      <c r="AX567" s="10" t="inlineStr">
        <is>
          <t>No</t>
        </is>
      </c>
      <c r="AY567" s="10" t="inlineStr">
        <is>
          <t>Not Found</t>
        </is>
      </c>
      <c r="AZ567" s="10" t="inlineStr">
        <is>
          <t>Not Found</t>
        </is>
      </c>
      <c r="BA567" s="10" t="inlineStr">
        <is>
          <t>2026-09-17</t>
        </is>
      </c>
      <c r="BB567" s="10" t="inlineStr">
        <is>
          <t>Requires Verification</t>
        </is>
      </c>
      <c r="BC567" s="10" t="inlineStr">
        <is>
          <t>Medium</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2026-09-17</t>
        </is>
      </c>
      <c r="BJ567" s="10" t="inlineStr">
        <is>
          <t>New</t>
        </is>
      </c>
      <c r="BK567" s="10" t="inlineStr">
        <is>
          <t>2026-09-17</t>
        </is>
      </c>
      <c r="BL567" s="10" t="inlineStr"/>
      <c r="BM567" s="10" t="inlineStr"/>
      <c r="BN567" s="10" t="inlineStr"/>
      <c r="BO567" s="10" t="inlineStr"/>
      <c r="BP567" s="10" t="inlineStr"/>
      <c r="BQ567" s="10" t="inlineStr"/>
    </row>
    <row r="568">
      <c r="A568" s="5" t="inlineStr">
        <is>
          <t>UK-000808</t>
        </is>
      </c>
      <c r="B568" s="5" t="inlineStr">
        <is>
          <t>UK-000808-01</t>
        </is>
      </c>
      <c r="C568" s="5" t="inlineStr"/>
      <c r="D568" s="5" t="inlineStr">
        <is>
          <t>North Hill Food &amp; Wines</t>
        </is>
      </c>
      <c r="E568" s="5" t="inlineStr">
        <is>
          <t>North Hill Food &amp; Wines</t>
        </is>
      </c>
      <c r="F568" s="5" t="inlineStr"/>
      <c r="G568" s="5" t="inlineStr">
        <is>
          <t>Off-Licence</t>
        </is>
      </c>
      <c r="H568" s="5" t="inlineStr">
        <is>
          <t>Off-licence / convenience</t>
        </is>
      </c>
      <c r="I568" s="5" t="inlineStr">
        <is>
          <t>Independent</t>
        </is>
      </c>
      <c r="J568" s="5" t="inlineStr">
        <is>
          <t>1</t>
        </is>
      </c>
      <c r="K568" s="5" t="inlineStr"/>
      <c r="L568" s="5" t="inlineStr"/>
      <c r="M568" s="5" t="inlineStr"/>
      <c r="N568" s="5" t="inlineStr"/>
      <c r="O568" s="5" t="inlineStr">
        <is>
          <t>102 North Hill Street</t>
        </is>
      </c>
      <c r="P568" s="5" t="inlineStr">
        <is>
          <t>Toxteth</t>
        </is>
      </c>
      <c r="Q568" s="5" t="inlineStr">
        <is>
          <t>Liverpool</t>
        </is>
      </c>
      <c r="R568" s="5" t="inlineStr">
        <is>
          <t>Merseyside</t>
        </is>
      </c>
      <c r="S568" s="5" t="inlineStr">
        <is>
          <t>L8 8AG</t>
        </is>
      </c>
      <c r="T568" s="5" t="inlineStr">
        <is>
          <t>North West</t>
        </is>
      </c>
      <c r="U568" s="5" t="inlineStr">
        <is>
          <t>England</t>
        </is>
      </c>
      <c r="V568" s="5" t="inlineStr">
        <is>
          <t>0151 727 4254</t>
        </is>
      </c>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wines; beers; spirits; convenience groceries</t>
        </is>
      </c>
      <c r="AL568" s="5" t="inlineStr"/>
      <c r="AM568" s="5" t="inlineStr">
        <is>
          <t>Off-Licence</t>
        </is>
      </c>
      <c r="AN568" s="5" t="inlineStr"/>
      <c r="AO568" s="5" t="inlineStr">
        <is>
          <t>Independent food &amp; wines / off-licence on North Hill Street, Toxteth (L8).</t>
        </is>
      </c>
      <c r="AP568" s="5" t="inlineStr">
        <is>
          <t>Low</t>
        </is>
      </c>
      <c r="AQ568" s="5" t="inlineStr">
        <is>
          <t>Independent retailer; Relevant category</t>
        </is>
      </c>
      <c r="AR568" s="5" t="inlineStr">
        <is>
          <t>https://liverpool.cylex-uk.co.uk/off-licence-4.html</t>
        </is>
      </c>
      <c r="AS568" s="5" t="inlineStr"/>
      <c r="AT568" s="5" t="inlineStr">
        <is>
          <t>1</t>
        </is>
      </c>
      <c r="AU568" s="5" t="inlineStr">
        <is>
          <t>No</t>
        </is>
      </c>
      <c r="AV568" s="5" t="inlineStr">
        <is>
          <t>No</t>
        </is>
      </c>
      <c r="AW568" s="5" t="inlineStr">
        <is>
          <t>No</t>
        </is>
      </c>
      <c r="AX568" s="5" t="inlineStr">
        <is>
          <t>No</t>
        </is>
      </c>
      <c r="AY568" s="5" t="inlineStr">
        <is>
          <t>Verified directory</t>
        </is>
      </c>
      <c r="AZ568" s="5" t="inlineStr">
        <is>
          <t>Not Found</t>
        </is>
      </c>
      <c r="BA568" s="5" t="inlineStr">
        <is>
          <t>2026-09-17</t>
        </is>
      </c>
      <c r="BB568" s="5" t="inlineStr">
        <is>
          <t>Requires Verification</t>
        </is>
      </c>
      <c r="BC568" s="5" t="inlineStr">
        <is>
          <t>Low</t>
        </is>
      </c>
      <c r="BD568" s="5" t="inlineStr"/>
      <c r="BE568" s="5" t="inlineStr">
        <is>
          <t>Business (B2B)</t>
        </is>
      </c>
      <c r="BF568" s="5" t="inlineStr">
        <is>
          <t>Legitimate interest (B2B) - assess per campaign; PECR: corporate subscribers</t>
        </is>
      </c>
      <c r="BG568" s="5" t="inlineStr"/>
      <c r="BH568" s="5" t="inlineStr">
        <is>
          <t>No</t>
        </is>
      </c>
      <c r="BI568" s="5" t="inlineStr">
        <is>
          <t>2026-09-17</t>
        </is>
      </c>
      <c r="BJ568" s="5" t="inlineStr">
        <is>
          <t>New</t>
        </is>
      </c>
      <c r="BK568" s="5" t="inlineStr">
        <is>
          <t>2026-09-17</t>
        </is>
      </c>
      <c r="BL568" s="5" t="inlineStr"/>
      <c r="BM568" s="5" t="inlineStr"/>
      <c r="BN568" s="5" t="inlineStr"/>
      <c r="BO568" s="5" t="inlineStr"/>
      <c r="BP568" s="5" t="inlineStr"/>
      <c r="BQ568" s="5" t="inlineStr"/>
    </row>
    <row r="569">
      <c r="A569" s="10" t="inlineStr">
        <is>
          <t>WY-0126</t>
        </is>
      </c>
      <c r="B569" s="10" t="inlineStr">
        <is>
          <t>WY-0126-01</t>
        </is>
      </c>
      <c r="C569" s="10" t="inlineStr"/>
      <c r="D569" s="10" t="inlineStr">
        <is>
          <t>Northowram Post Office</t>
        </is>
      </c>
      <c r="E569" s="10" t="inlineStr">
        <is>
          <t>Northowram Post Office</t>
        </is>
      </c>
      <c r="F569" s="10" t="inlineStr"/>
      <c r="G569" s="10" t="inlineStr">
        <is>
          <t>Convenience Store</t>
        </is>
      </c>
      <c r="H569" s="10" t="inlineStr">
        <is>
          <t>Family-run convenience store with post office</t>
        </is>
      </c>
      <c r="I569" s="10" t="inlineStr">
        <is>
          <t>Independent</t>
        </is>
      </c>
      <c r="J569" s="10" t="inlineStr">
        <is>
          <t>1</t>
        </is>
      </c>
      <c r="K569" s="10" t="inlineStr"/>
      <c r="L569" s="10" t="inlineStr"/>
      <c r="M569" s="10" t="inlineStr"/>
      <c r="N569" s="10" t="inlineStr"/>
      <c r="O569" s="10" t="inlineStr">
        <is>
          <t>62 Towngate</t>
        </is>
      </c>
      <c r="P569" s="10" t="inlineStr">
        <is>
          <t>Northowram</t>
        </is>
      </c>
      <c r="Q569" s="10" t="inlineStr">
        <is>
          <t>Halifax</t>
        </is>
      </c>
      <c r="R569" s="10" t="inlineStr">
        <is>
          <t>West Yorkshire</t>
        </is>
      </c>
      <c r="S569" s="10" t="inlineStr">
        <is>
          <t>HX3 7DX</t>
        </is>
      </c>
      <c r="T569" s="10" t="inlineStr">
        <is>
          <t>Yorkshire &amp; Humber</t>
        </is>
      </c>
      <c r="U569" s="10" t="inlineStr">
        <is>
          <t>England</t>
        </is>
      </c>
      <c r="V569" s="10" t="inlineStr"/>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convenience; post office services</t>
        </is>
      </c>
      <c r="AL569" s="10" t="inlineStr"/>
      <c r="AM569" s="10" t="inlineStr">
        <is>
          <t>Convenience Store</t>
        </is>
      </c>
      <c r="AN569" s="10" t="inlineStr"/>
      <c r="AO569" s="10" t="inlineStr">
        <is>
          <t>Described as a family-run convenience store; long opening hours (to 9pm daily). Post office counter is a franchise of Post Office Ltd but the shop is independently owned.</t>
        </is>
      </c>
      <c r="AP569" s="10" t="inlineStr">
        <is>
          <t>Low</t>
        </is>
      </c>
      <c r="AQ569" s="10" t="inlineStr">
        <is>
          <t>Independent retailer; Relevant category</t>
        </is>
      </c>
      <c r="AR569" s="10" t="inlineStr">
        <is>
          <t>https://www.postoffice.co.uk/branch-finder/6204589/northowram</t>
        </is>
      </c>
      <c r="AS569" s="10" t="inlineStr">
        <is>
          <t>https://www.royalmail.com/services-near-you/post-office/northowram-hx3-7dx</t>
        </is>
      </c>
      <c r="AT569" s="10" t="inlineStr">
        <is>
          <t>2</t>
        </is>
      </c>
      <c r="AU569" s="10" t="inlineStr">
        <is>
          <t>No</t>
        </is>
      </c>
      <c r="AV569" s="10" t="inlineStr">
        <is>
          <t>No</t>
        </is>
      </c>
      <c r="AW569" s="10" t="inlineStr">
        <is>
          <t>No</t>
        </is>
      </c>
      <c r="AX569" s="10" t="inlineStr">
        <is>
          <t>No</t>
        </is>
      </c>
      <c r="AY569" s="10" t="inlineStr">
        <is>
          <t>Not Found</t>
        </is>
      </c>
      <c r="AZ569" s="10" t="inlineStr">
        <is>
          <t>Not Found</t>
        </is>
      </c>
      <c r="BA569" s="10" t="inlineStr">
        <is>
          <t>2026-09-17</t>
        </is>
      </c>
      <c r="BB569" s="10" t="inlineStr">
        <is>
          <t>Requires Verification</t>
        </is>
      </c>
      <c r="BC569" s="10" t="inlineStr">
        <is>
          <t>Medium</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2026-09-16</t>
        </is>
      </c>
      <c r="BJ569" s="10" t="inlineStr">
        <is>
          <t>New</t>
        </is>
      </c>
      <c r="BK569" s="10" t="inlineStr">
        <is>
          <t>2026-09-17</t>
        </is>
      </c>
      <c r="BL569" s="10" t="inlineStr"/>
      <c r="BM569" s="10" t="inlineStr"/>
      <c r="BN569" s="10" t="inlineStr"/>
      <c r="BO569" s="10" t="inlineStr"/>
      <c r="BP569" s="10" t="inlineStr"/>
      <c r="BQ569" s="10" t="inlineStr"/>
    </row>
    <row r="570">
      <c r="A570" s="5" t="inlineStr">
        <is>
          <t>WY-0127</t>
        </is>
      </c>
      <c r="B570" s="5" t="inlineStr">
        <is>
          <t>WY-0127-01</t>
        </is>
      </c>
      <c r="C570" s="5" t="inlineStr"/>
      <c r="D570" s="5" t="inlineStr">
        <is>
          <t>Notay Convenience Store (Premier)</t>
        </is>
      </c>
      <c r="E570" s="5" t="inlineStr">
        <is>
          <t>Notay Convenience Store</t>
        </is>
      </c>
      <c r="F570" s="5" t="inlineStr"/>
      <c r="G570" s="5" t="inlineStr">
        <is>
          <t>Convenience Store</t>
        </is>
      </c>
      <c r="H570" s="5" t="inlineStr">
        <is>
          <t>Premier symbol group convenience store</t>
        </is>
      </c>
      <c r="I570" s="5" t="inlineStr">
        <is>
          <t>Franchise / Symbol Group</t>
        </is>
      </c>
      <c r="J570" s="5" t="inlineStr">
        <is>
          <t>1</t>
        </is>
      </c>
      <c r="K570" s="5" t="inlineStr">
        <is>
          <t>https://www.premier-stores.co.uk/our-stores/notay-convenience-store</t>
        </is>
      </c>
      <c r="L570" s="5" t="inlineStr"/>
      <c r="M570" s="5" t="inlineStr"/>
      <c r="N570" s="5" t="inlineStr"/>
      <c r="O570" s="5" t="inlineStr">
        <is>
          <t>Oakhill Road</t>
        </is>
      </c>
      <c r="P570" s="5" t="inlineStr"/>
      <c r="Q570" s="5" t="inlineStr">
        <is>
          <t>Batley</t>
        </is>
      </c>
      <c r="R570" s="5" t="inlineStr">
        <is>
          <t>West Yorkshire</t>
        </is>
      </c>
      <c r="S570" s="5" t="inlineStr">
        <is>
          <t>WF17 8JD</t>
        </is>
      </c>
      <c r="T570" s="5" t="inlineStr">
        <is>
          <t>Yorkshire &amp; Humber</t>
        </is>
      </c>
      <c r="U570" s="5" t="inlineStr">
        <is>
          <t>England</t>
        </is>
      </c>
      <c r="V570" s="5" t="inlineStr">
        <is>
          <t>01924 471483</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convenience goods; alcohol; tobacco; groceries</t>
        </is>
      </c>
      <c r="AL570" s="5" t="inlineStr"/>
      <c r="AM570" s="5" t="inlineStr">
        <is>
          <t>Convenience Store</t>
        </is>
      </c>
      <c r="AN570" s="5" t="inlineStr">
        <is>
          <t>Premier (Booker) symbol group</t>
        </is>
      </c>
      <c r="AO570" s="5" t="inlineStr">
        <is>
          <t>Independently owned store trading under the Premier fascia; listed on the official Premier Stores locator.</t>
        </is>
      </c>
      <c r="AP570" s="5" t="inlineStr">
        <is>
          <t>Medium</t>
        </is>
      </c>
      <c r="AQ570" s="5" t="inlineStr">
        <is>
          <t>Independent retailer; Relevant category; Active website</t>
        </is>
      </c>
      <c r="AR570" s="5" t="inlineStr">
        <is>
          <t>https://www.premier-stores.co.uk/our-stores/notay-convenience-store</t>
        </is>
      </c>
      <c r="AS570" s="5" t="inlineStr"/>
      <c r="AT570" s="5" t="inlineStr">
        <is>
          <t>1</t>
        </is>
      </c>
      <c r="AU570" s="5" t="inlineStr">
        <is>
          <t>No</t>
        </is>
      </c>
      <c r="AV570" s="5" t="inlineStr">
        <is>
          <t>No</t>
        </is>
      </c>
      <c r="AW570" s="5" t="inlineStr">
        <is>
          <t>No</t>
        </is>
      </c>
      <c r="AX570" s="5" t="inlineStr">
        <is>
          <t>No</t>
        </is>
      </c>
      <c r="AY570" s="5" t="inlineStr">
        <is>
          <t>Verified directory</t>
        </is>
      </c>
      <c r="AZ570" s="5" t="inlineStr">
        <is>
          <t>Not Found</t>
        </is>
      </c>
      <c r="BA570" s="5" t="inlineStr">
        <is>
          <t>2026-09-17</t>
        </is>
      </c>
      <c r="BB570" s="5" t="inlineStr">
        <is>
          <t>Requires Verification</t>
        </is>
      </c>
      <c r="BC570" s="5" t="inlineStr">
        <is>
          <t>Medium</t>
        </is>
      </c>
      <c r="BD570" s="5" t="inlineStr"/>
      <c r="BE570" s="5" t="inlineStr">
        <is>
          <t>Business (B2B)</t>
        </is>
      </c>
      <c r="BF570" s="5" t="inlineStr">
        <is>
          <t>Legitimate interest (B2B) - assess per campaign; PECR: corporate subscribers</t>
        </is>
      </c>
      <c r="BG570" s="5" t="inlineStr"/>
      <c r="BH570" s="5" t="inlineStr">
        <is>
          <t>No</t>
        </is>
      </c>
      <c r="BI570" s="5" t="inlineStr">
        <is>
          <t>2026-09-16</t>
        </is>
      </c>
      <c r="BJ570" s="5" t="inlineStr">
        <is>
          <t>New</t>
        </is>
      </c>
      <c r="BK570" s="5" t="inlineStr">
        <is>
          <t>2026-09-17</t>
        </is>
      </c>
      <c r="BL570" s="5" t="inlineStr"/>
      <c r="BM570" s="5" t="inlineStr"/>
      <c r="BN570" s="5" t="inlineStr"/>
      <c r="BO570" s="5" t="inlineStr"/>
      <c r="BP570" s="5" t="inlineStr"/>
      <c r="BQ570" s="5" t="inlineStr"/>
    </row>
    <row r="571">
      <c r="A571" s="10" t="inlineStr">
        <is>
          <t>WY-0128</t>
        </is>
      </c>
      <c r="B571" s="10" t="inlineStr">
        <is>
          <t>WY-0128-01</t>
        </is>
      </c>
      <c r="C571" s="10" t="inlineStr"/>
      <c r="D571" s="10" t="inlineStr">
        <is>
          <t>Off Licence and Convenience Store (Cutsyke)</t>
        </is>
      </c>
      <c r="E571" s="10" t="inlineStr">
        <is>
          <t>Off Licence and Convenience Store</t>
        </is>
      </c>
      <c r="F571" s="10" t="inlineStr"/>
      <c r="G571" s="10" t="inlineStr">
        <is>
          <t>Off-Licence</t>
        </is>
      </c>
      <c r="H571" s="10" t="inlineStr">
        <is>
          <t>Off-licence and convenience store</t>
        </is>
      </c>
      <c r="I571" s="10" t="inlineStr">
        <is>
          <t>Independent</t>
        </is>
      </c>
      <c r="J571" s="10" t="inlineStr">
        <is>
          <t>1</t>
        </is>
      </c>
      <c r="K571" s="10" t="inlineStr"/>
      <c r="L571" s="10" t="inlineStr"/>
      <c r="M571" s="10" t="inlineStr"/>
      <c r="N571" s="10" t="inlineStr"/>
      <c r="O571" s="10" t="inlineStr">
        <is>
          <t>2 Leeds Road</t>
        </is>
      </c>
      <c r="P571" s="10" t="inlineStr">
        <is>
          <t>Cutsyke</t>
        </is>
      </c>
      <c r="Q571" s="10" t="inlineStr">
        <is>
          <t>Castleford</t>
        </is>
      </c>
      <c r="R571" s="10" t="inlineStr">
        <is>
          <t>West Yorkshire</t>
        </is>
      </c>
      <c r="S571" s="10" t="inlineStr">
        <is>
          <t>WF10 5HA</t>
        </is>
      </c>
      <c r="T571" s="10" t="inlineStr">
        <is>
          <t>Yorkshire &amp; Humber</t>
        </is>
      </c>
      <c r="U571" s="10" t="inlineStr">
        <is>
          <t>England</t>
        </is>
      </c>
      <c r="V571" s="10" t="inlineStr"/>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alcohol; convenience grocery</t>
        </is>
      </c>
      <c r="AL571" s="10" t="inlineStr"/>
      <c r="AM571" s="10" t="inlineStr">
        <is>
          <t>Off-Licence</t>
        </is>
      </c>
      <c r="AN571" s="10" t="inlineStr"/>
      <c r="AO571" s="10" t="inlineStr">
        <is>
          <t>Registered on the FSA food hygiene register under the generic name 'Off Licence and Convenience Store'; actual fascia/trading name needs on-the-ground or Google Business verification.</t>
        </is>
      </c>
      <c r="AP571" s="10" t="inlineStr">
        <is>
          <t>Low</t>
        </is>
      </c>
      <c r="AQ571" s="10" t="inlineStr">
        <is>
          <t>Independent retailer; Relevant category</t>
        </is>
      </c>
      <c r="AR571" s="10" t="inlineStr">
        <is>
          <t>https://ratings.food.gov.uk/business/1268724/off-licence-and-convenience-store-castleford</t>
        </is>
      </c>
      <c r="AS571" s="10" t="inlineStr"/>
      <c r="AT571" s="10" t="inlineStr">
        <is>
          <t>1</t>
        </is>
      </c>
      <c r="AU571" s="10" t="inlineStr">
        <is>
          <t>No</t>
        </is>
      </c>
      <c r="AV571" s="10" t="inlineStr">
        <is>
          <t>No</t>
        </is>
      </c>
      <c r="AW571" s="10" t="inlineStr">
        <is>
          <t>No</t>
        </is>
      </c>
      <c r="AX571" s="10" t="inlineStr">
        <is>
          <t>No</t>
        </is>
      </c>
      <c r="AY571" s="10" t="inlineStr">
        <is>
          <t>Not Found</t>
        </is>
      </c>
      <c r="AZ571" s="10" t="inlineStr">
        <is>
          <t>Not Found</t>
        </is>
      </c>
      <c r="BA571" s="10" t="inlineStr">
        <is>
          <t>2026-09-17</t>
        </is>
      </c>
      <c r="BB571" s="10" t="inlineStr">
        <is>
          <t>Requires Verification</t>
        </is>
      </c>
      <c r="BC571" s="10" t="inlineStr">
        <is>
          <t>Low</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2026-09-16</t>
        </is>
      </c>
      <c r="BJ571" s="10" t="inlineStr">
        <is>
          <t>New</t>
        </is>
      </c>
      <c r="BK571" s="10" t="inlineStr">
        <is>
          <t>2026-09-17</t>
        </is>
      </c>
      <c r="BL571" s="10" t="inlineStr"/>
      <c r="BM571" s="10" t="inlineStr"/>
      <c r="BN571" s="10" t="inlineStr"/>
      <c r="BO571" s="10" t="inlineStr"/>
      <c r="BP571" s="10" t="inlineStr"/>
      <c r="BQ571" s="10" t="inlineStr"/>
    </row>
    <row r="572">
      <c r="A572" s="5" t="inlineStr">
        <is>
          <t>UK-000378</t>
        </is>
      </c>
      <c r="B572" s="5" t="inlineStr">
        <is>
          <t>UK-000378-01</t>
        </is>
      </c>
      <c r="C572" s="5" t="inlineStr"/>
      <c r="D572" s="5" t="inlineStr">
        <is>
          <t>Oldham Cash and Carry</t>
        </is>
      </c>
      <c r="E572" s="5" t="inlineStr">
        <is>
          <t>Oldham Cash and Carry</t>
        </is>
      </c>
      <c r="F572" s="5" t="inlineStr">
        <is>
          <t>OLDHAM CASH AND CARRY LIMITED</t>
        </is>
      </c>
      <c r="G572" s="5" t="inlineStr">
        <is>
          <t>Cash &amp; Carry</t>
        </is>
      </c>
      <c r="H572" s="5" t="inlineStr"/>
      <c r="I572" s="5" t="inlineStr">
        <is>
          <t>Independent</t>
        </is>
      </c>
      <c r="J572" s="5" t="inlineStr">
        <is>
          <t>1</t>
        </is>
      </c>
      <c r="K572" s="5" t="inlineStr"/>
      <c r="L572" s="5" t="inlineStr"/>
      <c r="M572" s="5" t="inlineStr"/>
      <c r="N572" s="5" t="inlineStr"/>
      <c r="O572" s="5" t="inlineStr">
        <is>
          <t>304 Lees Road</t>
        </is>
      </c>
      <c r="P572" s="5" t="inlineStr"/>
      <c r="Q572" s="5" t="inlineStr">
        <is>
          <t>Oldham</t>
        </is>
      </c>
      <c r="R572" s="5" t="inlineStr">
        <is>
          <t>Greater Manchester</t>
        </is>
      </c>
      <c r="S572" s="5" t="inlineStr">
        <is>
          <t>OL4 1NZ</t>
        </is>
      </c>
      <c r="T572" s="5" t="inlineStr">
        <is>
          <t>North West</t>
        </is>
      </c>
      <c r="U572" s="5" t="inlineStr">
        <is>
          <t>England</t>
        </is>
      </c>
      <c r="V572" s="5" t="inlineStr"/>
      <c r="W572" s="5" t="inlineStr"/>
      <c r="X572" s="5" t="inlineStr"/>
      <c r="Y572" s="5" t="inlineStr"/>
      <c r="Z572" s="5" t="inlineStr"/>
      <c r="AA572" s="5" t="inlineStr"/>
      <c r="AB572" s="5" t="inlineStr"/>
      <c r="AC572" s="5" t="inlineStr"/>
      <c r="AD572" s="5" t="inlineStr"/>
      <c r="AE572" s="5" t="inlineStr">
        <is>
          <t>17379179</t>
        </is>
      </c>
      <c r="AF572" s="5" t="inlineStr"/>
      <c r="AG572" s="5" t="inlineStr">
        <is>
          <t>OLDHAM CASH AND CARRY LIMITED</t>
        </is>
      </c>
      <c r="AH572" s="5" t="inlineStr">
        <is>
          <t>304 Lees Road, Oldham, England, OL4 1NZ</t>
        </is>
      </c>
      <c r="AI572" s="5" t="inlineStr"/>
      <c r="AJ572" s="5" t="inlineStr"/>
      <c r="AK572" s="5" t="inlineStr">
        <is>
          <t>wholesale; cash and carry</t>
        </is>
      </c>
      <c r="AL572" s="5" t="inlineStr"/>
      <c r="AM572" s="5" t="inlineStr">
        <is>
          <t>Cash &amp; Carry</t>
        </is>
      </c>
      <c r="AN572" s="5" t="inlineStr"/>
      <c r="AO572" s="5" t="inlineStr">
        <is>
          <t>Registered at 304 Lees Road, Oldham. Companies House number 17379179 (registered office = trading premises).</t>
        </is>
      </c>
      <c r="AP572" s="5" t="inlineStr">
        <is>
          <t>Medium</t>
        </is>
      </c>
      <c r="AQ572" s="5" t="inlineStr">
        <is>
          <t>Independent retailer; Core relevant category</t>
        </is>
      </c>
      <c r="AR572" s="5" t="inlineStr">
        <is>
          <t>https://find-and-update.company-information.service.gov.uk/company/17379179</t>
        </is>
      </c>
      <c r="AS572" s="5" t="inlineStr"/>
      <c r="AT572" s="5" t="inlineStr">
        <is>
          <t>1</t>
        </is>
      </c>
      <c r="AU572" s="5" t="inlineStr">
        <is>
          <t>No</t>
        </is>
      </c>
      <c r="AV572" s="5" t="inlineStr">
        <is>
          <t>No</t>
        </is>
      </c>
      <c r="AW572" s="5" t="inlineStr">
        <is>
          <t>No</t>
        </is>
      </c>
      <c r="AX572" s="5" t="inlineStr">
        <is>
          <t>Yes</t>
        </is>
      </c>
      <c r="AY572" s="5" t="inlineStr">
        <is>
          <t>Not Found</t>
        </is>
      </c>
      <c r="AZ572" s="5" t="inlineStr">
        <is>
          <t>Not Found</t>
        </is>
      </c>
      <c r="BA572" s="5" t="inlineStr">
        <is>
          <t>2026-09-17</t>
        </is>
      </c>
      <c r="BB572" s="5" t="inlineStr">
        <is>
          <t>Partially Verified</t>
        </is>
      </c>
      <c r="BC572" s="5" t="inlineStr">
        <is>
          <t>Low</t>
        </is>
      </c>
      <c r="BD572" s="5" t="inlineStr"/>
      <c r="BE572" s="5" t="inlineStr">
        <is>
          <t>Business (B2B)</t>
        </is>
      </c>
      <c r="BF572" s="5" t="inlineStr">
        <is>
          <t>Legitimate interest (B2B) - assess per campaign; PECR: corporate subscribers</t>
        </is>
      </c>
      <c r="BG572" s="5" t="inlineStr"/>
      <c r="BH572" s="5" t="inlineStr">
        <is>
          <t>No</t>
        </is>
      </c>
      <c r="BI572" s="5" t="inlineStr">
        <is>
          <t>2026-09-17</t>
        </is>
      </c>
      <c r="BJ572" s="5" t="inlineStr">
        <is>
          <t>New</t>
        </is>
      </c>
      <c r="BK572" s="5" t="inlineStr">
        <is>
          <t>2026-09-17</t>
        </is>
      </c>
      <c r="BL572" s="5" t="inlineStr"/>
      <c r="BM572" s="5" t="inlineStr"/>
      <c r="BN572" s="5" t="inlineStr"/>
      <c r="BO572" s="5" t="inlineStr"/>
      <c r="BP572" s="5" t="inlineStr"/>
      <c r="BQ572" s="5" t="inlineStr"/>
    </row>
    <row r="573">
      <c r="A573" s="10" t="inlineStr">
        <is>
          <t>UK-000641</t>
        </is>
      </c>
      <c r="B573" s="10" t="inlineStr">
        <is>
          <t>UK-000641-01</t>
        </is>
      </c>
      <c r="C573" s="10" t="inlineStr"/>
      <c r="D573" s="10" t="inlineStr">
        <is>
          <t>Onur Supermarket</t>
        </is>
      </c>
      <c r="E573" s="10" t="inlineStr">
        <is>
          <t>Onur Supermarket</t>
        </is>
      </c>
      <c r="F573" s="10" t="inlineStr"/>
      <c r="G573" s="10" t="inlineStr">
        <is>
          <t>Independent Supermarket</t>
        </is>
      </c>
      <c r="H573" s="10" t="inlineStr">
        <is>
          <t>Turkish / world-food supermarket</t>
        </is>
      </c>
      <c r="I573" s="10" t="inlineStr">
        <is>
          <t>Independent</t>
        </is>
      </c>
      <c r="J573" s="10" t="inlineStr">
        <is>
          <t>1</t>
        </is>
      </c>
      <c r="K573" s="10" t="inlineStr"/>
      <c r="L573" s="10" t="inlineStr"/>
      <c r="M573" s="10" t="inlineStr"/>
      <c r="N573" s="10" t="inlineStr"/>
      <c r="O573" s="10" t="inlineStr">
        <is>
          <t>90 Leytonstone Road</t>
        </is>
      </c>
      <c r="P573" s="10" t="inlineStr"/>
      <c r="Q573" s="10" t="inlineStr">
        <is>
          <t>Stratford</t>
        </is>
      </c>
      <c r="R573" s="10" t="inlineStr">
        <is>
          <t>Greater London</t>
        </is>
      </c>
      <c r="S573" s="10" t="inlineStr">
        <is>
          <t>E15 1TQ</t>
        </is>
      </c>
      <c r="T573" s="10" t="inlineStr">
        <is>
          <t>London</t>
        </is>
      </c>
      <c r="U573" s="10" t="inlineStr">
        <is>
          <t>England</t>
        </is>
      </c>
      <c r="V573" s="10" t="inlineStr"/>
      <c r="W573" s="10" t="inlineStr"/>
      <c r="X573" s="10" t="inlineStr"/>
      <c r="Y573" s="10" t="inlineStr"/>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world foods; groceries; vaporizers; tobacco</t>
        </is>
      </c>
      <c r="AL573" s="10" t="inlineStr"/>
      <c r="AM573" s="10" t="inlineStr">
        <is>
          <t>Independent Supermarket</t>
        </is>
      </c>
      <c r="AN573" s="10" t="inlineStr"/>
      <c r="AO573" s="10" t="inlineStr">
        <is>
          <t>Turkish/world-food supermarket on Leytonstone Road, Stratford; also stocks vaporizers per directory. Address/postcode from Cylex.</t>
        </is>
      </c>
      <c r="AP573" s="10" t="inlineStr">
        <is>
          <t>Low</t>
        </is>
      </c>
      <c r="AQ573" s="10" t="inlineStr">
        <is>
          <t>Independent retailer; Relevant category</t>
        </is>
      </c>
      <c r="AR573" s="10" t="inlineStr">
        <is>
          <t>https://london.cylex-uk.co.uk/stratford/retail%20shops.html</t>
        </is>
      </c>
      <c r="AS573" s="10" t="inlineStr"/>
      <c r="AT573" s="10" t="inlineStr">
        <is>
          <t>1</t>
        </is>
      </c>
      <c r="AU573" s="10" t="inlineStr">
        <is>
          <t>No</t>
        </is>
      </c>
      <c r="AV573" s="10" t="inlineStr">
        <is>
          <t>No</t>
        </is>
      </c>
      <c r="AW573" s="10" t="inlineStr">
        <is>
          <t>No</t>
        </is>
      </c>
      <c r="AX573" s="10" t="inlineStr">
        <is>
          <t>No</t>
        </is>
      </c>
      <c r="AY573" s="10" t="inlineStr">
        <is>
          <t>Not Found</t>
        </is>
      </c>
      <c r="AZ573" s="10" t="inlineStr">
        <is>
          <t>Not Found</t>
        </is>
      </c>
      <c r="BA573" s="10" t="inlineStr">
        <is>
          <t>2026-09-17</t>
        </is>
      </c>
      <c r="BB573" s="10" t="inlineStr">
        <is>
          <t>Requires Verification</t>
        </is>
      </c>
      <c r="BC573" s="10" t="inlineStr">
        <is>
          <t>Low</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2026-09-17</t>
        </is>
      </c>
      <c r="BJ573" s="10" t="inlineStr">
        <is>
          <t>New</t>
        </is>
      </c>
      <c r="BK573" s="10" t="inlineStr">
        <is>
          <t>2026-09-17</t>
        </is>
      </c>
      <c r="BL573" s="10" t="inlineStr"/>
      <c r="BM573" s="10" t="inlineStr"/>
      <c r="BN573" s="10" t="inlineStr"/>
      <c r="BO573" s="10" t="inlineStr"/>
      <c r="BP573" s="10" t="inlineStr"/>
      <c r="BQ573" s="10" t="inlineStr"/>
    </row>
    <row r="574">
      <c r="A574" s="5" t="inlineStr">
        <is>
          <t>UK-000496</t>
        </is>
      </c>
      <c r="B574" s="5" t="inlineStr">
        <is>
          <t>UK-000496-01</t>
        </is>
      </c>
      <c r="C574" s="5" t="inlineStr"/>
      <c r="D574" s="5" t="inlineStr">
        <is>
          <t>Oscars Newsagents (Select Xpress)</t>
        </is>
      </c>
      <c r="E574" s="5" t="inlineStr">
        <is>
          <t>Oscars Newsagents</t>
        </is>
      </c>
      <c r="F574" s="5" t="inlineStr">
        <is>
          <t>Oscars News Limited</t>
        </is>
      </c>
      <c r="G574" s="5" t="inlineStr">
        <is>
          <t>Newsagent</t>
        </is>
      </c>
      <c r="H574" s="5" t="inlineStr">
        <is>
          <t>Newsagent &amp; off-licence</t>
        </is>
      </c>
      <c r="I574" s="5" t="inlineStr">
        <is>
          <t>Independent</t>
        </is>
      </c>
      <c r="J574" s="5" t="inlineStr">
        <is>
          <t>1</t>
        </is>
      </c>
      <c r="K574" s="5" t="inlineStr"/>
      <c r="L574" s="5" t="inlineStr"/>
      <c r="M574" s="5" t="inlineStr"/>
      <c r="N574" s="5" t="inlineStr"/>
      <c r="O574" s="5" t="inlineStr">
        <is>
          <t>133 High Street</t>
        </is>
      </c>
      <c r="P574" s="5" t="inlineStr">
        <is>
          <t>Bloxwich</t>
        </is>
      </c>
      <c r="Q574" s="5" t="inlineStr">
        <is>
          <t>Walsall</t>
        </is>
      </c>
      <c r="R574" s="5" t="inlineStr">
        <is>
          <t>West Midlands</t>
        </is>
      </c>
      <c r="S574" s="5" t="inlineStr">
        <is>
          <t>WS3 3LE</t>
        </is>
      </c>
      <c r="T574" s="5" t="inlineStr">
        <is>
          <t>West Midlands</t>
        </is>
      </c>
      <c r="U574" s="5" t="inlineStr">
        <is>
          <t>England</t>
        </is>
      </c>
      <c r="V574" s="5" t="inlineStr"/>
      <c r="W574" s="5" t="inlineStr"/>
      <c r="X574" s="5" t="inlineStr"/>
      <c r="Y574" s="5" t="inlineStr"/>
      <c r="Z574" s="5" t="inlineStr"/>
      <c r="AA574" s="5" t="inlineStr"/>
      <c r="AB574" s="5" t="inlineStr"/>
      <c r="AC574" s="5" t="inlineStr"/>
      <c r="AD574" s="5" t="inlineStr"/>
      <c r="AE574" s="5" t="inlineStr"/>
      <c r="AF574" s="5" t="inlineStr"/>
      <c r="AG574" s="5" t="inlineStr">
        <is>
          <t>OSCARS NEWS LIMITED</t>
        </is>
      </c>
      <c r="AH574" s="5" t="inlineStr"/>
      <c r="AI574" s="5" t="inlineStr"/>
      <c r="AJ574" s="5" t="inlineStr"/>
      <c r="AK574" s="5" t="inlineStr">
        <is>
          <t>newspapers; magazines; off-licence; convenience</t>
        </is>
      </c>
      <c r="AL574" s="5" t="inlineStr"/>
      <c r="AM574" s="5" t="inlineStr">
        <is>
          <t>Newsagent</t>
        </is>
      </c>
      <c r="AN574" s="5" t="inlineStr">
        <is>
          <t>Also operates as a Select Xpress fascia.</t>
        </is>
      </c>
      <c r="AO574" s="5" t="inlineStr">
        <is>
          <t>Independent newsagent / news &amp; booze store on Bloxwich High Street; trades under Oscars News and Select Xpress. No verified direct phone (directory listed a 0871 service number only).</t>
        </is>
      </c>
      <c r="AP574" s="5" t="inlineStr">
        <is>
          <t>Low</t>
        </is>
      </c>
      <c r="AQ574" s="5" t="inlineStr">
        <is>
          <t>Independent retailer; Relevant category</t>
        </is>
      </c>
      <c r="AR574" s="5" t="inlineStr">
        <is>
          <t>https://addressesandpostcodes.co.uk/address/EzQAh1vR/oscars-newsagents-133-high-street-bloxwich-walsall-ws3-3le.html</t>
        </is>
      </c>
      <c r="AS574" s="5" t="inlineStr">
        <is>
          <t>https://www.192.com/atoz/business/walsall-ws3/newsagents/oscars-news-limited/5a1a194560784220ccadea129ae332941c7a96f7/comp/</t>
        </is>
      </c>
      <c r="AT574" s="5" t="inlineStr">
        <is>
          <t>2</t>
        </is>
      </c>
      <c r="AU574" s="5" t="inlineStr">
        <is>
          <t>No</t>
        </is>
      </c>
      <c r="AV574" s="5" t="inlineStr">
        <is>
          <t>No</t>
        </is>
      </c>
      <c r="AW574" s="5" t="inlineStr">
        <is>
          <t>No</t>
        </is>
      </c>
      <c r="AX574" s="5" t="inlineStr">
        <is>
          <t>No</t>
        </is>
      </c>
      <c r="AY574" s="5" t="inlineStr">
        <is>
          <t>Not Found</t>
        </is>
      </c>
      <c r="AZ574" s="5" t="inlineStr">
        <is>
          <t>Not Found</t>
        </is>
      </c>
      <c r="BA574" s="5" t="inlineStr">
        <is>
          <t>2026-09-17</t>
        </is>
      </c>
      <c r="BB574" s="5" t="inlineStr">
        <is>
          <t>Requires Verification</t>
        </is>
      </c>
      <c r="BC574" s="5" t="inlineStr">
        <is>
          <t>Low</t>
        </is>
      </c>
      <c r="BD574" s="5" t="inlineStr"/>
      <c r="BE574" s="5" t="inlineStr">
        <is>
          <t>Business (B2B)</t>
        </is>
      </c>
      <c r="BF574" s="5" t="inlineStr">
        <is>
          <t>Legitimate interest (B2B) - assess per campaign; PECR: corporate subscribers</t>
        </is>
      </c>
      <c r="BG574" s="5" t="inlineStr"/>
      <c r="BH574" s="5" t="inlineStr">
        <is>
          <t>No</t>
        </is>
      </c>
      <c r="BI574" s="5" t="inlineStr">
        <is>
          <t>2026-09-17</t>
        </is>
      </c>
      <c r="BJ574" s="5" t="inlineStr">
        <is>
          <t>New</t>
        </is>
      </c>
      <c r="BK574" s="5" t="inlineStr">
        <is>
          <t>2026-09-17</t>
        </is>
      </c>
      <c r="BL574" s="5" t="inlineStr"/>
      <c r="BM574" s="5" t="inlineStr"/>
      <c r="BN574" s="5" t="inlineStr"/>
      <c r="BO574" s="5" t="inlineStr"/>
      <c r="BP574" s="5" t="inlineStr"/>
      <c r="BQ574" s="5" t="inlineStr"/>
    </row>
    <row r="575">
      <c r="A575" s="10" t="inlineStr">
        <is>
          <t>WY-0129</t>
        </is>
      </c>
      <c r="B575" s="10" t="inlineStr">
        <is>
          <t>WY-0129-01</t>
        </is>
      </c>
      <c r="C575" s="10" t="inlineStr"/>
      <c r="D575" s="10" t="inlineStr">
        <is>
          <t>Outwood Express</t>
        </is>
      </c>
      <c r="E575" s="10" t="inlineStr">
        <is>
          <t>Outwood Express</t>
        </is>
      </c>
      <c r="F575" s="10" t="inlineStr"/>
      <c r="G575" s="10" t="inlineStr">
        <is>
          <t>Convenience Store</t>
        </is>
      </c>
      <c r="H575" s="10" t="inlineStr">
        <is>
          <t>Convenience store / grocer</t>
        </is>
      </c>
      <c r="I575" s="10" t="inlineStr">
        <is>
          <t>Independent</t>
        </is>
      </c>
      <c r="J575" s="10" t="inlineStr">
        <is>
          <t>1</t>
        </is>
      </c>
      <c r="K575" s="10" t="inlineStr"/>
      <c r="L575" s="10" t="inlineStr"/>
      <c r="M575" s="10" t="inlineStr"/>
      <c r="N575" s="10" t="inlineStr"/>
      <c r="O575" s="10" t="inlineStr"/>
      <c r="P575" s="10" t="inlineStr">
        <is>
          <t>Outwood</t>
        </is>
      </c>
      <c r="Q575" s="10" t="inlineStr">
        <is>
          <t>Wakefield</t>
        </is>
      </c>
      <c r="R575" s="10" t="inlineStr">
        <is>
          <t>West Yorkshire</t>
        </is>
      </c>
      <c r="S575" s="10" t="inlineStr"/>
      <c r="T575" s="10" t="inlineStr">
        <is>
          <t>Yorkshire &amp; Humber</t>
        </is>
      </c>
      <c r="U575" s="10" t="inlineStr">
        <is>
          <t>England</t>
        </is>
      </c>
      <c r="V575" s="10" t="inlineStr"/>
      <c r="W575" s="10" t="inlineStr"/>
      <c r="X575" s="10" t="inlineStr"/>
      <c r="Y575" s="10" t="inlineStr"/>
      <c r="Z575" s="10" t="inlineStr"/>
      <c r="AA575" s="10" t="inlineStr"/>
      <c r="AB575" s="10" t="inlineStr"/>
      <c r="AC575" s="10" t="inlineStr"/>
      <c r="AD575" s="10" t="inlineStr"/>
      <c r="AE575" s="10" t="inlineStr"/>
      <c r="AF575" s="10" t="inlineStr"/>
      <c r="AG575" s="10" t="inlineStr"/>
      <c r="AH575" s="10" t="inlineStr"/>
      <c r="AI575" s="10" t="inlineStr"/>
      <c r="AJ575" s="10" t="inlineStr"/>
      <c r="AK575" s="10" t="inlineStr">
        <is>
          <t>grocery; convenience</t>
        </is>
      </c>
      <c r="AL575" s="10" t="inlineStr"/>
      <c r="AM575" s="10" t="inlineStr">
        <is>
          <t>Convenience Store</t>
        </is>
      </c>
      <c r="AN575" s="10" t="inlineStr"/>
      <c r="AO575" s="10" t="inlineStr">
        <is>
          <t>Listed on Yell under Grocers &amp; Convenience Stores, Wakefield WF1 (Outwood). Full address/phone behind Yell listing which could not be fetched - needs follow-up.</t>
        </is>
      </c>
      <c r="AP575" s="10" t="inlineStr">
        <is>
          <t>Low</t>
        </is>
      </c>
      <c r="AQ575" s="10" t="inlineStr">
        <is>
          <t>Independent retailer; Relevant category</t>
        </is>
      </c>
      <c r="AR575" s="10" t="inlineStr">
        <is>
          <t>https://www.yell.com/biz/outwood-express-wakefield-10165328/</t>
        </is>
      </c>
      <c r="AS575" s="10" t="inlineStr"/>
      <c r="AT575" s="10" t="inlineStr">
        <is>
          <t>1</t>
        </is>
      </c>
      <c r="AU575" s="10" t="inlineStr">
        <is>
          <t>No</t>
        </is>
      </c>
      <c r="AV575" s="10" t="inlineStr">
        <is>
          <t>No</t>
        </is>
      </c>
      <c r="AW575" s="10" t="inlineStr">
        <is>
          <t>No</t>
        </is>
      </c>
      <c r="AX575" s="10" t="inlineStr">
        <is>
          <t>No</t>
        </is>
      </c>
      <c r="AY575" s="10" t="inlineStr">
        <is>
          <t>Not Found</t>
        </is>
      </c>
      <c r="AZ575" s="10" t="inlineStr">
        <is>
          <t>Not Found</t>
        </is>
      </c>
      <c r="BA575" s="10" t="inlineStr">
        <is>
          <t>2026-09-17</t>
        </is>
      </c>
      <c r="BB575" s="10" t="inlineStr">
        <is>
          <t>Requires Verification</t>
        </is>
      </c>
      <c r="BC575" s="10" t="inlineStr">
        <is>
          <t>Low</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2026-09-16</t>
        </is>
      </c>
      <c r="BJ575" s="10" t="inlineStr">
        <is>
          <t>New</t>
        </is>
      </c>
      <c r="BK575" s="10" t="inlineStr">
        <is>
          <t>2026-09-17</t>
        </is>
      </c>
      <c r="BL575" s="10" t="inlineStr"/>
      <c r="BM575" s="10" t="inlineStr"/>
      <c r="BN575" s="10" t="inlineStr"/>
      <c r="BO575" s="10" t="inlineStr"/>
      <c r="BP575" s="10" t="inlineStr"/>
      <c r="BQ575" s="10" t="inlineStr"/>
    </row>
    <row r="576">
      <c r="A576" s="5" t="inlineStr">
        <is>
          <t>UK-000809</t>
        </is>
      </c>
      <c r="B576" s="5" t="inlineStr">
        <is>
          <t>UK-000809-01</t>
        </is>
      </c>
      <c r="C576" s="5" t="inlineStr"/>
      <c r="D576" s="5" t="inlineStr">
        <is>
          <t>PCY Oriental</t>
        </is>
      </c>
      <c r="E576" s="5" t="inlineStr">
        <is>
          <t>PCY Oriental</t>
        </is>
      </c>
      <c r="F576" s="5" t="inlineStr"/>
      <c r="G576" s="5" t="inlineStr">
        <is>
          <t>Independent Supermarket</t>
        </is>
      </c>
      <c r="H576" s="5" t="inlineStr">
        <is>
          <t>Pan-Asian world-food supermarket</t>
        </is>
      </c>
      <c r="I576" s="5" t="inlineStr">
        <is>
          <t>Independent</t>
        </is>
      </c>
      <c r="J576" s="5" t="inlineStr">
        <is>
          <t>1</t>
        </is>
      </c>
      <c r="K576" s="5" t="inlineStr"/>
      <c r="L576" s="5" t="inlineStr"/>
      <c r="M576" s="5" t="inlineStr"/>
      <c r="N576" s="5" t="inlineStr"/>
      <c r="O576" s="5" t="inlineStr"/>
      <c r="P576" s="5" t="inlineStr">
        <is>
          <t>Leith Walk</t>
        </is>
      </c>
      <c r="Q576" s="5" t="inlineStr">
        <is>
          <t>Edinburgh</t>
        </is>
      </c>
      <c r="R576" s="5" t="inlineStr">
        <is>
          <t>City of Edinburgh</t>
        </is>
      </c>
      <c r="S576" s="5" t="inlineStr"/>
      <c r="T576" s="5" t="inlineStr">
        <is>
          <t>Scotland</t>
        </is>
      </c>
      <c r="U576" s="5" t="inlineStr">
        <is>
          <t>Scotland</t>
        </is>
      </c>
      <c r="V576" s="5" t="inlineStr"/>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Chinese; Filipino; Thai; Korean; Japanese groceries; fresh veg; butcher; frozen</t>
        </is>
      </c>
      <c r="AL576" s="5" t="inlineStr"/>
      <c r="AM576" s="5" t="inlineStr">
        <is>
          <t>Independent Supermarket</t>
        </is>
      </c>
      <c r="AN576" s="5" t="inlineStr"/>
      <c r="AO576" s="5" t="inlineStr">
        <is>
          <t>Pan-Asian world-food supermarket on Leith Walk (fresh veg, butcher, frozen, dry goods, utensils). Only area/street confirmed in Cylex snippet; exact street number, postcode and phone not published in snippet, so left blank rather than guessed.</t>
        </is>
      </c>
      <c r="AP576" s="5" t="inlineStr">
        <is>
          <t>Low</t>
        </is>
      </c>
      <c r="AQ576" s="5" t="inlineStr">
        <is>
          <t>Independent retailer; Relevant category</t>
        </is>
      </c>
      <c r="AR576" s="5" t="inlineStr">
        <is>
          <t>https://edinburgh.cylex-uk.co.uk/company/pcy-oriental-27594347.html</t>
        </is>
      </c>
      <c r="AS576" s="5" t="inlineStr"/>
      <c r="AT576" s="5" t="inlineStr">
        <is>
          <t>1</t>
        </is>
      </c>
      <c r="AU576" s="5" t="inlineStr">
        <is>
          <t>No</t>
        </is>
      </c>
      <c r="AV576" s="5" t="inlineStr">
        <is>
          <t>No</t>
        </is>
      </c>
      <c r="AW576" s="5" t="inlineStr">
        <is>
          <t>No</t>
        </is>
      </c>
      <c r="AX576" s="5" t="inlineStr">
        <is>
          <t>No</t>
        </is>
      </c>
      <c r="AY576" s="5" t="inlineStr">
        <is>
          <t>Not Found</t>
        </is>
      </c>
      <c r="AZ576" s="5" t="inlineStr">
        <is>
          <t>Not Found</t>
        </is>
      </c>
      <c r="BA576" s="5" t="inlineStr">
        <is>
          <t>2026-09-17</t>
        </is>
      </c>
      <c r="BB576" s="5" t="inlineStr">
        <is>
          <t>Requires Verification</t>
        </is>
      </c>
      <c r="BC576" s="5" t="inlineStr">
        <is>
          <t>Low</t>
        </is>
      </c>
      <c r="BD576" s="5" t="inlineStr"/>
      <c r="BE576" s="5" t="inlineStr">
        <is>
          <t>Business (B2B)</t>
        </is>
      </c>
      <c r="BF576" s="5" t="inlineStr">
        <is>
          <t>Legitimate interest (B2B) - assess per campaign; PECR: corporate subscribers</t>
        </is>
      </c>
      <c r="BG576" s="5" t="inlineStr"/>
      <c r="BH576" s="5" t="inlineStr">
        <is>
          <t>No</t>
        </is>
      </c>
      <c r="BI576" s="5" t="inlineStr">
        <is>
          <t>2026-09-17</t>
        </is>
      </c>
      <c r="BJ576" s="5" t="inlineStr">
        <is>
          <t>New</t>
        </is>
      </c>
      <c r="BK576" s="5" t="inlineStr">
        <is>
          <t>2026-09-17</t>
        </is>
      </c>
      <c r="BL576" s="5" t="inlineStr"/>
      <c r="BM576" s="5" t="inlineStr"/>
      <c r="BN576" s="5" t="inlineStr"/>
      <c r="BO576" s="5" t="inlineStr"/>
      <c r="BP576" s="5" t="inlineStr"/>
      <c r="BQ576" s="5" t="inlineStr"/>
    </row>
    <row r="577">
      <c r="A577" s="10" t="inlineStr">
        <is>
          <t>UK-000497</t>
        </is>
      </c>
      <c r="B577" s="10" t="inlineStr">
        <is>
          <t>UK-000497-01</t>
        </is>
      </c>
      <c r="C577" s="10" t="inlineStr"/>
      <c r="D577" s="10" t="inlineStr">
        <is>
          <t>Padda Store</t>
        </is>
      </c>
      <c r="E577" s="10" t="inlineStr">
        <is>
          <t>Padda Store</t>
        </is>
      </c>
      <c r="F577" s="10" t="inlineStr"/>
      <c r="G577" s="10" t="inlineStr">
        <is>
          <t>Off-Licence</t>
        </is>
      </c>
      <c r="H577" s="10" t="inlineStr">
        <is>
          <t>Off-licence &amp; grocery</t>
        </is>
      </c>
      <c r="I577" s="10" t="inlineStr">
        <is>
          <t>Independent</t>
        </is>
      </c>
      <c r="J577" s="10" t="inlineStr">
        <is>
          <t>1</t>
        </is>
      </c>
      <c r="K577" s="10" t="inlineStr"/>
      <c r="L577" s="10" t="inlineStr"/>
      <c r="M577" s="10" t="inlineStr"/>
      <c r="N577" s="10" t="inlineStr"/>
      <c r="O577" s="10" t="inlineStr">
        <is>
          <t>2-4 Stanley Road</t>
        </is>
      </c>
      <c r="P577" s="10" t="inlineStr"/>
      <c r="Q577" s="10" t="inlineStr">
        <is>
          <t>Oldbury</t>
        </is>
      </c>
      <c r="R577" s="10" t="inlineStr">
        <is>
          <t>West Midlands</t>
        </is>
      </c>
      <c r="S577" s="10" t="inlineStr">
        <is>
          <t>B68 0DY</t>
        </is>
      </c>
      <c r="T577" s="10" t="inlineStr">
        <is>
          <t>West Midlands</t>
        </is>
      </c>
      <c r="U577" s="10" t="inlineStr">
        <is>
          <t>England</t>
        </is>
      </c>
      <c r="V577" s="10" t="inlineStr">
        <is>
          <t>0121 439 4384</t>
        </is>
      </c>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beers; wines; spirits; groceries; convenience</t>
        </is>
      </c>
      <c r="AL577" s="10" t="inlineStr"/>
      <c r="AM577" s="10" t="inlineStr">
        <is>
          <t>Off-Licence</t>
        </is>
      </c>
      <c r="AN577" s="10" t="inlineStr"/>
      <c r="AO577" s="10" t="inlineStr">
        <is>
          <t>Independent off-licence/grocery, 2-4 Stanley Road, Oldbury. Address and phone from Yell Oldbury off-licences listing snippet.</t>
        </is>
      </c>
      <c r="AP577" s="10" t="inlineStr">
        <is>
          <t>Low</t>
        </is>
      </c>
      <c r="AQ577" s="10" t="inlineStr">
        <is>
          <t>Independent retailer; Relevant category</t>
        </is>
      </c>
      <c r="AR577" s="10" t="inlineStr">
        <is>
          <t>https://www.yell.com/s/off+licences+and+wine+merchants-oldbury-west+midlands.html</t>
        </is>
      </c>
      <c r="AS577" s="10" t="inlineStr"/>
      <c r="AT577" s="10" t="inlineStr">
        <is>
          <t>1</t>
        </is>
      </c>
      <c r="AU577" s="10" t="inlineStr">
        <is>
          <t>No</t>
        </is>
      </c>
      <c r="AV577" s="10" t="inlineStr">
        <is>
          <t>No</t>
        </is>
      </c>
      <c r="AW577" s="10" t="inlineStr">
        <is>
          <t>No</t>
        </is>
      </c>
      <c r="AX577" s="10" t="inlineStr">
        <is>
          <t>No</t>
        </is>
      </c>
      <c r="AY577" s="10" t="inlineStr">
        <is>
          <t>Verified directory</t>
        </is>
      </c>
      <c r="AZ577" s="10" t="inlineStr">
        <is>
          <t>Not Found</t>
        </is>
      </c>
      <c r="BA577" s="10" t="inlineStr">
        <is>
          <t>2026-09-17</t>
        </is>
      </c>
      <c r="BB577" s="10" t="inlineStr">
        <is>
          <t>Requires Verification</t>
        </is>
      </c>
      <c r="BC577" s="10" t="inlineStr">
        <is>
          <t>Medium</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WY-0130</t>
        </is>
      </c>
      <c r="B578" s="5" t="inlineStr">
        <is>
          <t>WY-0130-01</t>
        </is>
      </c>
      <c r="C578" s="5" t="inlineStr"/>
      <c r="D578" s="5" t="inlineStr">
        <is>
          <t>Pakeezah Superstore</t>
        </is>
      </c>
      <c r="E578" s="5" t="inlineStr">
        <is>
          <t>Pakeezah</t>
        </is>
      </c>
      <c r="F578" s="5" t="inlineStr"/>
      <c r="G578" s="5" t="inlineStr">
        <is>
          <t>Independent Supermarket</t>
        </is>
      </c>
      <c r="H578" s="5" t="inlineStr">
        <is>
          <t>Asian / halal superstore with curry counter</t>
        </is>
      </c>
      <c r="I578" s="5" t="inlineStr">
        <is>
          <t>Independent</t>
        </is>
      </c>
      <c r="J578" s="5" t="inlineStr">
        <is>
          <t>1</t>
        </is>
      </c>
      <c r="K578" s="5" t="inlineStr">
        <is>
          <t>https://www.pakeezah.com/</t>
        </is>
      </c>
      <c r="L578" s="5" t="inlineStr">
        <is>
          <t>https://www.facebook.com/PakeezahGourmet/</t>
        </is>
      </c>
      <c r="M578" s="5" t="inlineStr"/>
      <c r="N578" s="5" t="inlineStr"/>
      <c r="O578" s="5" t="inlineStr">
        <is>
          <t>91 Edderthorpe Street</t>
        </is>
      </c>
      <c r="P578" s="5" t="inlineStr"/>
      <c r="Q578" s="5" t="inlineStr">
        <is>
          <t>Bradford</t>
        </is>
      </c>
      <c r="R578" s="5" t="inlineStr">
        <is>
          <t>West Yorkshire</t>
        </is>
      </c>
      <c r="S578" s="5" t="inlineStr">
        <is>
          <t>BD3 9UD</t>
        </is>
      </c>
      <c r="T578" s="5" t="inlineStr">
        <is>
          <t>Yorkshire &amp; Humber</t>
        </is>
      </c>
      <c r="U578" s="5" t="inlineStr">
        <is>
          <t>England</t>
        </is>
      </c>
      <c r="V578" s="5" t="inlineStr">
        <is>
          <t>01274 739500</t>
        </is>
      </c>
      <c r="W578" s="5" t="inlineStr"/>
      <c r="X578" s="5" t="inlineStr"/>
      <c r="Y578" s="5" t="inlineStr">
        <is>
          <t>info@pakeezah.com</t>
        </is>
      </c>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halal meat; Asian groceries; fresh produce; prepared foods</t>
        </is>
      </c>
      <c r="AL578" s="5" t="inlineStr"/>
      <c r="AM578" s="5" t="inlineStr">
        <is>
          <t>Independent Supermarket</t>
        </is>
      </c>
      <c r="AN578" s="5" t="inlineStr"/>
      <c r="AO578" s="5" t="inlineStr">
        <is>
          <t>Well-known Bradford Asian superstore, open daily 9am-9pm. Address and phone consistent across Thomson Local, Yelp and Hotfrog.</t>
        </is>
      </c>
      <c r="AP578" s="5" t="inlineStr">
        <is>
          <t>Medium</t>
        </is>
      </c>
      <c r="AQ578" s="5" t="inlineStr">
        <is>
          <t>Independent retailer; Relevant category; Public email available; Active website; Social presence</t>
        </is>
      </c>
      <c r="AR578" s="5" t="inlineStr">
        <is>
          <t>https://www.thomsonlocal.com/search/supermarkets/bradford-keighley-skipton/pakeezah/1241547/01274739500</t>
        </is>
      </c>
      <c r="AS578" s="5" t="inlineStr">
        <is>
          <t>https://www.yelp.com/biz/pakeezah-superstore-bradford</t>
        </is>
      </c>
      <c r="AT578" s="5" t="inlineStr">
        <is>
          <t>3</t>
        </is>
      </c>
      <c r="AU578" s="5" t="inlineStr">
        <is>
          <t>No</t>
        </is>
      </c>
      <c r="AV578" s="5" t="inlineStr">
        <is>
          <t>No</t>
        </is>
      </c>
      <c r="AW578" s="5" t="inlineStr">
        <is>
          <t>Yes</t>
        </is>
      </c>
      <c r="AX578" s="5" t="inlineStr">
        <is>
          <t>No</t>
        </is>
      </c>
      <c r="AY578" s="5" t="inlineStr">
        <is>
          <t>Verified directory</t>
        </is>
      </c>
      <c r="AZ578" s="5" t="inlineStr">
        <is>
          <t>Website Found</t>
        </is>
      </c>
      <c r="BA578" s="5" t="inlineStr">
        <is>
          <t>2026-09-17</t>
        </is>
      </c>
      <c r="BB578" s="5" t="inlineStr">
        <is>
          <t>Partially Verified</t>
        </is>
      </c>
      <c r="BC578" s="5" t="inlineStr">
        <is>
          <t>Medium</t>
        </is>
      </c>
      <c r="BD578" s="5" t="inlineStr"/>
      <c r="BE578" s="5" t="inlineStr">
        <is>
          <t>Business (B2B)</t>
        </is>
      </c>
      <c r="BF578" s="5" t="inlineStr">
        <is>
          <t>Legitimate interest (B2B) - assess per campaign; PECR: corporate subscribers</t>
        </is>
      </c>
      <c r="BG578" s="5" t="inlineStr"/>
      <c r="BH578" s="5" t="inlineStr">
        <is>
          <t>No</t>
        </is>
      </c>
      <c r="BI578" s="5" t="inlineStr">
        <is>
          <t>2026-09-16</t>
        </is>
      </c>
      <c r="BJ578" s="5" t="inlineStr">
        <is>
          <t>New</t>
        </is>
      </c>
      <c r="BK578" s="5" t="inlineStr">
        <is>
          <t>2026-09-17</t>
        </is>
      </c>
      <c r="BL578" s="5" t="inlineStr"/>
      <c r="BM578" s="5" t="inlineStr"/>
      <c r="BN578" s="5" t="inlineStr"/>
      <c r="BO578" s="5" t="inlineStr"/>
      <c r="BP578" s="5" t="inlineStr"/>
      <c r="BQ578" s="5" t="inlineStr"/>
    </row>
    <row r="579">
      <c r="A579" s="10" t="inlineStr">
        <is>
          <t>UK-000642</t>
        </is>
      </c>
      <c r="B579" s="10" t="inlineStr">
        <is>
          <t>UK-000642-01</t>
        </is>
      </c>
      <c r="C579" s="10" t="inlineStr"/>
      <c r="D579" s="10" t="inlineStr">
        <is>
          <t>Park Vintners</t>
        </is>
      </c>
      <c r="E579" s="10" t="inlineStr">
        <is>
          <t>Park Vintners</t>
        </is>
      </c>
      <c r="F579" s="10" t="inlineStr"/>
      <c r="G579" s="10" t="inlineStr">
        <is>
          <t>Off-Licence</t>
        </is>
      </c>
      <c r="H579" s="10" t="inlineStr">
        <is>
          <t>Wine merchant</t>
        </is>
      </c>
      <c r="I579" s="10" t="inlineStr">
        <is>
          <t>Independent</t>
        </is>
      </c>
      <c r="J579" s="10" t="inlineStr">
        <is>
          <t>1</t>
        </is>
      </c>
      <c r="K579" s="10" t="inlineStr"/>
      <c r="L579" s="10" t="inlineStr"/>
      <c r="M579" s="10" t="inlineStr"/>
      <c r="N579" s="10" t="inlineStr"/>
      <c r="O579" s="10" t="inlineStr">
        <is>
          <t>126 Arthur Road</t>
        </is>
      </c>
      <c r="P579" s="10" t="inlineStr">
        <is>
          <t>Wimbledon Park</t>
        </is>
      </c>
      <c r="Q579" s="10" t="inlineStr">
        <is>
          <t>London</t>
        </is>
      </c>
      <c r="R579" s="10" t="inlineStr">
        <is>
          <t>Greater London</t>
        </is>
      </c>
      <c r="S579" s="10" t="inlineStr">
        <is>
          <t>SW19 8AA</t>
        </is>
      </c>
      <c r="T579" s="10" t="inlineStr">
        <is>
          <t>London</t>
        </is>
      </c>
      <c r="U579" s="10" t="inlineStr">
        <is>
          <t>England</t>
        </is>
      </c>
      <c r="V579" s="10" t="inlineStr"/>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wines; spirits; craft beers</t>
        </is>
      </c>
      <c r="AL579" s="10" t="inlineStr"/>
      <c r="AM579" s="10" t="inlineStr">
        <is>
          <t>Off-Licence</t>
        </is>
      </c>
      <c r="AN579" s="10" t="inlineStr"/>
      <c r="AO579" s="10" t="inlineStr">
        <is>
          <t>Independent wine merchant / off-licence in Wimbledon Park. Address from Yell listing.</t>
        </is>
      </c>
      <c r="AP579" s="10" t="inlineStr">
        <is>
          <t>Low</t>
        </is>
      </c>
      <c r="AQ579" s="10" t="inlineStr">
        <is>
          <t>Independent retailer; Relevant category</t>
        </is>
      </c>
      <c r="AR579" s="10" t="inlineStr">
        <is>
          <t>https://www.yell.com/biz/park-vintners-london-6513692/</t>
        </is>
      </c>
      <c r="AS579" s="10" t="inlineStr"/>
      <c r="AT579" s="10" t="inlineStr">
        <is>
          <t>1</t>
        </is>
      </c>
      <c r="AU579" s="10" t="inlineStr">
        <is>
          <t>No</t>
        </is>
      </c>
      <c r="AV579" s="10" t="inlineStr">
        <is>
          <t>No</t>
        </is>
      </c>
      <c r="AW579" s="10" t="inlineStr">
        <is>
          <t>No</t>
        </is>
      </c>
      <c r="AX579" s="10" t="inlineStr">
        <is>
          <t>No</t>
        </is>
      </c>
      <c r="AY579" s="10" t="inlineStr">
        <is>
          <t>Not Found</t>
        </is>
      </c>
      <c r="AZ579" s="10" t="inlineStr">
        <is>
          <t>Not Found</t>
        </is>
      </c>
      <c r="BA579" s="10" t="inlineStr">
        <is>
          <t>2026-09-17</t>
        </is>
      </c>
      <c r="BB579" s="10" t="inlineStr">
        <is>
          <t>Requires Verification</t>
        </is>
      </c>
      <c r="BC579" s="10" t="inlineStr">
        <is>
          <t>Low</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UK-000498</t>
        </is>
      </c>
      <c r="B580" s="5" t="inlineStr">
        <is>
          <t>UK-000498-01</t>
        </is>
      </c>
      <c r="C580" s="5" t="inlineStr"/>
      <c r="D580" s="5" t="inlineStr">
        <is>
          <t>Paul's Convenience &amp; Off Licence Store</t>
        </is>
      </c>
      <c r="E580" s="5" t="inlineStr">
        <is>
          <t>Paul's Convenience &amp; Off Licence Store</t>
        </is>
      </c>
      <c r="F580" s="5" t="inlineStr"/>
      <c r="G580" s="5" t="inlineStr">
        <is>
          <t>Off-Licence</t>
        </is>
      </c>
      <c r="H580" s="5" t="inlineStr">
        <is>
          <t>Convenience store &amp; off-licence</t>
        </is>
      </c>
      <c r="I580" s="5" t="inlineStr">
        <is>
          <t>Independent</t>
        </is>
      </c>
      <c r="J580" s="5" t="inlineStr">
        <is>
          <t>1</t>
        </is>
      </c>
      <c r="K580" s="5" t="inlineStr"/>
      <c r="L580" s="5" t="inlineStr"/>
      <c r="M580" s="5" t="inlineStr"/>
      <c r="N580" s="5" t="inlineStr"/>
      <c r="O580" s="5" t="inlineStr">
        <is>
          <t>55 High Street</t>
        </is>
      </c>
      <c r="P580" s="5" t="inlineStr"/>
      <c r="Q580" s="5" t="inlineStr">
        <is>
          <t>Rowley Regis</t>
        </is>
      </c>
      <c r="R580" s="5" t="inlineStr">
        <is>
          <t>West Midlands</t>
        </is>
      </c>
      <c r="S580" s="5" t="inlineStr">
        <is>
          <t>B65 0EH</t>
        </is>
      </c>
      <c r="T580" s="5" t="inlineStr">
        <is>
          <t>West Midlands</t>
        </is>
      </c>
      <c r="U580" s="5" t="inlineStr">
        <is>
          <t>England</t>
        </is>
      </c>
      <c r="V580" s="5" t="inlineStr">
        <is>
          <t>0121 559 4902</t>
        </is>
      </c>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groceries; beers; wines; spirits; convenience</t>
        </is>
      </c>
      <c r="AL580" s="5" t="inlineStr"/>
      <c r="AM580" s="5" t="inlineStr">
        <is>
          <t>Off-Licence</t>
        </is>
      </c>
      <c r="AN580" s="5" t="inlineStr"/>
      <c r="AO580" s="5" t="inlineStr">
        <is>
          <t>Independent convenience store and off-licence, 55 High Street, Rowley Regis. Address and phone from directory listing (192.com Rowley Regis convenience stores / Yell).</t>
        </is>
      </c>
      <c r="AP580" s="5" t="inlineStr">
        <is>
          <t>Low</t>
        </is>
      </c>
      <c r="AQ580" s="5" t="inlineStr">
        <is>
          <t>Independent retailer; Relevant category</t>
        </is>
      </c>
      <c r="AR580" s="5" t="inlineStr">
        <is>
          <t>https://www.192.com/atoz/business/rowley--regis/convenience--stores/</t>
        </is>
      </c>
      <c r="AS580" s="5" t="inlineStr"/>
      <c r="AT580" s="5" t="inlineStr">
        <is>
          <t>1</t>
        </is>
      </c>
      <c r="AU580" s="5" t="inlineStr">
        <is>
          <t>No</t>
        </is>
      </c>
      <c r="AV580" s="5" t="inlineStr">
        <is>
          <t>No</t>
        </is>
      </c>
      <c r="AW580" s="5" t="inlineStr">
        <is>
          <t>No</t>
        </is>
      </c>
      <c r="AX580" s="5" t="inlineStr">
        <is>
          <t>No</t>
        </is>
      </c>
      <c r="AY580" s="5" t="inlineStr">
        <is>
          <t>Verified directory</t>
        </is>
      </c>
      <c r="AZ580" s="5" t="inlineStr">
        <is>
          <t>Not Found</t>
        </is>
      </c>
      <c r="BA580" s="5" t="inlineStr">
        <is>
          <t>2026-09-17</t>
        </is>
      </c>
      <c r="BB580" s="5" t="inlineStr">
        <is>
          <t>Requires Verification</t>
        </is>
      </c>
      <c r="BC580" s="5" t="inlineStr">
        <is>
          <t>Medium</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UK-000643</t>
        </is>
      </c>
      <c r="B581" s="10" t="inlineStr">
        <is>
          <t>UK-000643-01</t>
        </is>
      </c>
      <c r="C581" s="10" t="inlineStr"/>
      <c r="D581" s="10" t="inlineStr">
        <is>
          <t>Pearl Supermarket</t>
        </is>
      </c>
      <c r="E581" s="10" t="inlineStr">
        <is>
          <t>Pearl Supermarket</t>
        </is>
      </c>
      <c r="F581" s="10" t="inlineStr"/>
      <c r="G581" s="10" t="inlineStr">
        <is>
          <t>Independent Supermarket</t>
        </is>
      </c>
      <c r="H581" s="10" t="inlineStr">
        <is>
          <t>World food supermarket</t>
        </is>
      </c>
      <c r="I581" s="10" t="inlineStr">
        <is>
          <t>Independent</t>
        </is>
      </c>
      <c r="J581" s="10" t="inlineStr">
        <is>
          <t>1</t>
        </is>
      </c>
      <c r="K581" s="10" t="inlineStr"/>
      <c r="L581" s="10" t="inlineStr"/>
      <c r="M581" s="10" t="inlineStr"/>
      <c r="N581" s="10" t="inlineStr"/>
      <c r="O581" s="10" t="inlineStr"/>
      <c r="P581" s="10" t="inlineStr"/>
      <c r="Q581" s="10" t="inlineStr">
        <is>
          <t>Wembley</t>
        </is>
      </c>
      <c r="R581" s="10" t="inlineStr">
        <is>
          <t>Greater London</t>
        </is>
      </c>
      <c r="S581" s="10" t="inlineStr"/>
      <c r="T581" s="10" t="inlineStr">
        <is>
          <t>London</t>
        </is>
      </c>
      <c r="U581" s="10" t="inlineStr">
        <is>
          <t>England</t>
        </is>
      </c>
      <c r="V581" s="10" t="inlineStr"/>
      <c r="W581" s="10" t="inlineStr"/>
      <c r="X581" s="10" t="inlineStr"/>
      <c r="Y581" s="10" t="inlineStr"/>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world groceries; fresh produce</t>
        </is>
      </c>
      <c r="AL581" s="10" t="inlineStr"/>
      <c r="AM581" s="10" t="inlineStr">
        <is>
          <t>Independent Supermarket</t>
        </is>
      </c>
      <c r="AN581" s="10" t="inlineStr"/>
      <c r="AO581" s="10" t="inlineStr">
        <is>
          <t>Independent supermarket in Wembley (grocers &amp; convenience). Full address/postcode not confirmed in snippet.</t>
        </is>
      </c>
      <c r="AP581" s="10" t="inlineStr">
        <is>
          <t>Low</t>
        </is>
      </c>
      <c r="AQ581" s="10" t="inlineStr">
        <is>
          <t>Independent retailer; Relevant category</t>
        </is>
      </c>
      <c r="AR581" s="10" t="inlineStr">
        <is>
          <t>https://www.yell.com/biz/pearl-supermarket-wembley-5970807/</t>
        </is>
      </c>
      <c r="AS581" s="10" t="inlineStr"/>
      <c r="AT581" s="10" t="inlineStr">
        <is>
          <t>1</t>
        </is>
      </c>
      <c r="AU581" s="10" t="inlineStr">
        <is>
          <t>No</t>
        </is>
      </c>
      <c r="AV581" s="10" t="inlineStr">
        <is>
          <t>No</t>
        </is>
      </c>
      <c r="AW581" s="10" t="inlineStr">
        <is>
          <t>No</t>
        </is>
      </c>
      <c r="AX581" s="10" t="inlineStr">
        <is>
          <t>No</t>
        </is>
      </c>
      <c r="AY581" s="10" t="inlineStr">
        <is>
          <t>Not Found</t>
        </is>
      </c>
      <c r="AZ581" s="10" t="inlineStr">
        <is>
          <t>Not Found</t>
        </is>
      </c>
      <c r="BA581" s="10" t="inlineStr">
        <is>
          <t>2026-09-17</t>
        </is>
      </c>
      <c r="BB581" s="10" t="inlineStr">
        <is>
          <t>Requires Verification</t>
        </is>
      </c>
      <c r="BC581" s="10" t="inlineStr">
        <is>
          <t>Low</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2026-09-17</t>
        </is>
      </c>
      <c r="BJ581" s="10" t="inlineStr">
        <is>
          <t>New</t>
        </is>
      </c>
      <c r="BK581" s="10" t="inlineStr">
        <is>
          <t>2026-09-17</t>
        </is>
      </c>
      <c r="BL581" s="10" t="inlineStr"/>
      <c r="BM581" s="10" t="inlineStr"/>
      <c r="BN581" s="10" t="inlineStr"/>
      <c r="BO581" s="10" t="inlineStr"/>
      <c r="BP581" s="10" t="inlineStr"/>
      <c r="BQ581" s="10" t="inlineStr"/>
    </row>
    <row r="582">
      <c r="A582" s="5" t="inlineStr">
        <is>
          <t>UK-000644</t>
        </is>
      </c>
      <c r="B582" s="5" t="inlineStr">
        <is>
          <t>UK-000644-01</t>
        </is>
      </c>
      <c r="C582" s="5" t="inlineStr"/>
      <c r="D582" s="5" t="inlineStr">
        <is>
          <t>Peckham Afro Foods Ltd</t>
        </is>
      </c>
      <c r="E582" s="5" t="inlineStr">
        <is>
          <t>Peckham Afro Foods</t>
        </is>
      </c>
      <c r="F582" s="5" t="inlineStr"/>
      <c r="G582" s="5" t="inlineStr">
        <is>
          <t>Independent Supermarket</t>
        </is>
      </c>
      <c r="H582" s="5" t="inlineStr">
        <is>
          <t>African food store / butcher</t>
        </is>
      </c>
      <c r="I582" s="5" t="inlineStr">
        <is>
          <t>Independent</t>
        </is>
      </c>
      <c r="J582" s="5" t="inlineStr">
        <is>
          <t>1</t>
        </is>
      </c>
      <c r="K582" s="5" t="inlineStr"/>
      <c r="L582" s="5" t="inlineStr"/>
      <c r="M582" s="5" t="inlineStr"/>
      <c r="N582" s="5" t="inlineStr"/>
      <c r="O582" s="5" t="inlineStr">
        <is>
          <t>71 Rye Lane</t>
        </is>
      </c>
      <c r="P582" s="5" t="inlineStr"/>
      <c r="Q582" s="5" t="inlineStr">
        <is>
          <t>London</t>
        </is>
      </c>
      <c r="R582" s="5" t="inlineStr">
        <is>
          <t>Greater London</t>
        </is>
      </c>
      <c r="S582" s="5" t="inlineStr">
        <is>
          <t>SE15 5EX</t>
        </is>
      </c>
      <c r="T582" s="5" t="inlineStr">
        <is>
          <t>London</t>
        </is>
      </c>
      <c r="U582" s="5" t="inlineStr">
        <is>
          <t>England</t>
        </is>
      </c>
      <c r="V582" s="5" t="inlineStr"/>
      <c r="W582" s="5" t="inlineStr"/>
      <c r="X582" s="5" t="inlineStr"/>
      <c r="Y582" s="5" t="inlineStr"/>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African groceries; halal meat; fresh produce</t>
        </is>
      </c>
      <c r="AL582" s="5" t="inlineStr"/>
      <c r="AM582" s="5" t="inlineStr">
        <is>
          <t>Independent Supermarket</t>
        </is>
      </c>
      <c r="AN582" s="5" t="inlineStr"/>
      <c r="AO582" s="5" t="inlineStr">
        <is>
          <t>Independent African food store and butcher on Rye Lane, Peckham. Address from Yell listing.</t>
        </is>
      </c>
      <c r="AP582" s="5" t="inlineStr">
        <is>
          <t>Low</t>
        </is>
      </c>
      <c r="AQ582" s="5" t="inlineStr">
        <is>
          <t>Independent retailer; Relevant category</t>
        </is>
      </c>
      <c r="AR582" s="5" t="inlineStr">
        <is>
          <t>https://www.yell.com/biz/peckham-afro-foods-ltd-london-10823812/</t>
        </is>
      </c>
      <c r="AS582" s="5" t="inlineStr"/>
      <c r="AT582" s="5" t="inlineStr">
        <is>
          <t>1</t>
        </is>
      </c>
      <c r="AU582" s="5" t="inlineStr">
        <is>
          <t>No</t>
        </is>
      </c>
      <c r="AV582" s="5" t="inlineStr">
        <is>
          <t>No</t>
        </is>
      </c>
      <c r="AW582" s="5" t="inlineStr">
        <is>
          <t>No</t>
        </is>
      </c>
      <c r="AX582" s="5" t="inlineStr">
        <is>
          <t>No</t>
        </is>
      </c>
      <c r="AY582" s="5" t="inlineStr">
        <is>
          <t>Not Found</t>
        </is>
      </c>
      <c r="AZ582" s="5" t="inlineStr">
        <is>
          <t>Not Found</t>
        </is>
      </c>
      <c r="BA582" s="5" t="inlineStr">
        <is>
          <t>2026-09-17</t>
        </is>
      </c>
      <c r="BB582" s="5" t="inlineStr">
        <is>
          <t>Requires Verification</t>
        </is>
      </c>
      <c r="BC582" s="5" t="inlineStr">
        <is>
          <t>Low</t>
        </is>
      </c>
      <c r="BD582" s="5" t="inlineStr"/>
      <c r="BE582" s="5" t="inlineStr">
        <is>
          <t>Business (B2B)</t>
        </is>
      </c>
      <c r="BF582" s="5" t="inlineStr">
        <is>
          <t>Legitimate interest (B2B) - assess per campaign; PECR: corporate subscribers</t>
        </is>
      </c>
      <c r="BG582" s="5" t="inlineStr"/>
      <c r="BH582" s="5" t="inlineStr">
        <is>
          <t>No</t>
        </is>
      </c>
      <c r="BI582" s="5" t="inlineStr">
        <is>
          <t>2026-09-17</t>
        </is>
      </c>
      <c r="BJ582" s="5" t="inlineStr">
        <is>
          <t>New</t>
        </is>
      </c>
      <c r="BK582" s="5" t="inlineStr">
        <is>
          <t>2026-09-17</t>
        </is>
      </c>
      <c r="BL582" s="5" t="inlineStr"/>
      <c r="BM582" s="5" t="inlineStr"/>
      <c r="BN582" s="5" t="inlineStr"/>
      <c r="BO582" s="5" t="inlineStr"/>
      <c r="BP582" s="5" t="inlineStr"/>
      <c r="BQ582" s="5" t="inlineStr"/>
    </row>
    <row r="583">
      <c r="A583" s="10" t="inlineStr">
        <is>
          <t>UK-000379</t>
        </is>
      </c>
      <c r="B583" s="10" t="inlineStr">
        <is>
          <t>UK-000379-01</t>
        </is>
      </c>
      <c r="C583" s="10" t="inlineStr"/>
      <c r="D583" s="10" t="inlineStr">
        <is>
          <t>Peerless Stores Limited</t>
        </is>
      </c>
      <c r="E583" s="10" t="inlineStr">
        <is>
          <t>Peerless Stores</t>
        </is>
      </c>
      <c r="F583" s="10" t="inlineStr">
        <is>
          <t>Peerless Stores Limited</t>
        </is>
      </c>
      <c r="G583" s="10" t="inlineStr">
        <is>
          <t>Independent Supermarket</t>
        </is>
      </c>
      <c r="H583" s="10" t="inlineStr">
        <is>
          <t>African, Caribbean and Asian grocery</t>
        </is>
      </c>
      <c r="I583" s="10" t="inlineStr">
        <is>
          <t>Independent</t>
        </is>
      </c>
      <c r="J583" s="10" t="inlineStr">
        <is>
          <t>1</t>
        </is>
      </c>
      <c r="K583" s="10" t="inlineStr"/>
      <c r="L583" s="10" t="inlineStr"/>
      <c r="M583" s="10" t="inlineStr"/>
      <c r="N583" s="10" t="inlineStr"/>
      <c r="O583" s="10" t="inlineStr">
        <is>
          <t>6 Jaxons Court</t>
        </is>
      </c>
      <c r="P583" s="10" t="inlineStr">
        <is>
          <t>Hallgate</t>
        </is>
      </c>
      <c r="Q583" s="10" t="inlineStr">
        <is>
          <t>Wigan</t>
        </is>
      </c>
      <c r="R583" s="10" t="inlineStr">
        <is>
          <t>Greater Manchester</t>
        </is>
      </c>
      <c r="S583" s="10" t="inlineStr">
        <is>
          <t>WN1 1LR</t>
        </is>
      </c>
      <c r="T583" s="10" t="inlineStr">
        <is>
          <t>North West</t>
        </is>
      </c>
      <c r="U583" s="10" t="inlineStr">
        <is>
          <t>England</t>
        </is>
      </c>
      <c r="V583" s="10" t="inlineStr">
        <is>
          <t>07951 816502</t>
        </is>
      </c>
      <c r="W583" s="10" t="inlineStr"/>
      <c r="X583" s="10" t="inlineStr"/>
      <c r="Y583" s="10" t="inlineStr"/>
      <c r="Z583" s="10" t="inlineStr"/>
      <c r="AA583" s="10" t="inlineStr"/>
      <c r="AB583" s="10" t="inlineStr"/>
      <c r="AC583" s="10" t="inlineStr"/>
      <c r="AD583" s="10" t="inlineStr"/>
      <c r="AE583" s="10" t="inlineStr"/>
      <c r="AF583" s="10" t="inlineStr"/>
      <c r="AG583" s="10" t="inlineStr">
        <is>
          <t>PEERLESS STORES LIMITED</t>
        </is>
      </c>
      <c r="AH583" s="10" t="inlineStr"/>
      <c r="AI583" s="10" t="inlineStr"/>
      <c r="AJ583" s="10" t="inlineStr"/>
      <c r="AK583" s="10" t="inlineStr">
        <is>
          <t>African, Caribbean and Asian groceries; grains; fresh produce; frozen meat and fish</t>
        </is>
      </c>
      <c r="AL583" s="10" t="inlineStr"/>
      <c r="AM583" s="10" t="inlineStr">
        <is>
          <t>Independent Supermarket</t>
        </is>
      </c>
      <c r="AN583" s="10" t="inlineStr"/>
      <c r="AO583" s="10" t="inlineStr">
        <is>
          <t>Independent international grocery / supermarket (African, Caribbean, Asian foods), Jaxons Court, Hallgate, Wigan (WN1 1LR). Listed on Wigan Council business directory.</t>
        </is>
      </c>
      <c r="AP583" s="10" t="inlineStr">
        <is>
          <t>Low</t>
        </is>
      </c>
      <c r="AQ583" s="10" t="inlineStr">
        <is>
          <t>Independent retailer; Relevant category</t>
        </is>
      </c>
      <c r="AR583" s="10" t="inlineStr">
        <is>
          <t>https://businessdirectory.wigan.gov.uk/business/peerless-stores-limited</t>
        </is>
      </c>
      <c r="AS583" s="10" t="inlineStr"/>
      <c r="AT583" s="10" t="inlineStr">
        <is>
          <t>1</t>
        </is>
      </c>
      <c r="AU583" s="10" t="inlineStr">
        <is>
          <t>No</t>
        </is>
      </c>
      <c r="AV583" s="10" t="inlineStr">
        <is>
          <t>No</t>
        </is>
      </c>
      <c r="AW583" s="10" t="inlineStr">
        <is>
          <t>No</t>
        </is>
      </c>
      <c r="AX583" s="10" t="inlineStr">
        <is>
          <t>No</t>
        </is>
      </c>
      <c r="AY583" s="10" t="inlineStr">
        <is>
          <t>Verified directory</t>
        </is>
      </c>
      <c r="AZ583" s="10" t="inlineStr">
        <is>
          <t>Not Found</t>
        </is>
      </c>
      <c r="BA583" s="10" t="inlineStr">
        <is>
          <t>2026-09-17</t>
        </is>
      </c>
      <c r="BB583" s="10" t="inlineStr">
        <is>
          <t>Requires Verification</t>
        </is>
      </c>
      <c r="BC583" s="10" t="inlineStr">
        <is>
          <t>Medium</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2026-09-17</t>
        </is>
      </c>
      <c r="BJ583" s="10" t="inlineStr">
        <is>
          <t>New</t>
        </is>
      </c>
      <c r="BK583" s="10" t="inlineStr">
        <is>
          <t>2026-09-17</t>
        </is>
      </c>
      <c r="BL583" s="10" t="inlineStr"/>
      <c r="BM583" s="10" t="inlineStr"/>
      <c r="BN583" s="10" t="inlineStr"/>
      <c r="BO583" s="10" t="inlineStr"/>
      <c r="BP583" s="10" t="inlineStr"/>
      <c r="BQ583" s="10" t="inlineStr"/>
    </row>
    <row r="584">
      <c r="A584" s="5" t="inlineStr">
        <is>
          <t>UK-000645</t>
        </is>
      </c>
      <c r="B584" s="5" t="inlineStr">
        <is>
          <t>UK-000645-01</t>
        </is>
      </c>
      <c r="C584" s="5" t="inlineStr"/>
      <c r="D584" s="5" t="inlineStr">
        <is>
          <t>Pembridge Food and Wine</t>
        </is>
      </c>
      <c r="E584" s="5" t="inlineStr">
        <is>
          <t>Pembridge Food and Wine</t>
        </is>
      </c>
      <c r="F584" s="5" t="inlineStr">
        <is>
          <t>Pembridge Food and Wine Ltd</t>
        </is>
      </c>
      <c r="G584" s="5" t="inlineStr">
        <is>
          <t>Off-Licence</t>
        </is>
      </c>
      <c r="H584" s="5" t="inlineStr">
        <is>
          <t>Convenience &amp; off-licence</t>
        </is>
      </c>
      <c r="I584" s="5" t="inlineStr">
        <is>
          <t>Independent</t>
        </is>
      </c>
      <c r="J584" s="5" t="inlineStr">
        <is>
          <t>1</t>
        </is>
      </c>
      <c r="K584" s="5" t="inlineStr"/>
      <c r="L584" s="5" t="inlineStr">
        <is>
          <t>https://www.facebook.com/PembridgeFoodAndWine/</t>
        </is>
      </c>
      <c r="M584" s="5" t="inlineStr"/>
      <c r="N584" s="5" t="inlineStr"/>
      <c r="O584" s="5" t="inlineStr">
        <is>
          <t>11A Pembridge Road</t>
        </is>
      </c>
      <c r="P584" s="5" t="inlineStr">
        <is>
          <t>Notting Hill</t>
        </is>
      </c>
      <c r="Q584" s="5" t="inlineStr">
        <is>
          <t>London</t>
        </is>
      </c>
      <c r="R584" s="5" t="inlineStr">
        <is>
          <t>Greater London</t>
        </is>
      </c>
      <c r="S584" s="5" t="inlineStr">
        <is>
          <t>W11 3HQ</t>
        </is>
      </c>
      <c r="T584" s="5" t="inlineStr">
        <is>
          <t>London</t>
        </is>
      </c>
      <c r="U584" s="5" t="inlineStr">
        <is>
          <t>England</t>
        </is>
      </c>
      <c r="V584" s="5" t="inlineStr">
        <is>
          <t>020 3092 8444</t>
        </is>
      </c>
      <c r="W584" s="5" t="inlineStr"/>
      <c r="X584" s="5" t="inlineStr"/>
      <c r="Y584" s="5" t="inlineStr"/>
      <c r="Z584" s="5" t="inlineStr"/>
      <c r="AA584" s="5" t="inlineStr"/>
      <c r="AB584" s="5" t="inlineStr"/>
      <c r="AC584" s="5" t="inlineStr"/>
      <c r="AD584" s="5" t="inlineStr"/>
      <c r="AE584" s="5" t="inlineStr">
        <is>
          <t>12479860</t>
        </is>
      </c>
      <c r="AF584" s="5" t="inlineStr"/>
      <c r="AG584" s="5" t="inlineStr">
        <is>
          <t>PEMBRIDGE FOOD AND WINE LTD</t>
        </is>
      </c>
      <c r="AH584" s="5" t="inlineStr"/>
      <c r="AI584" s="5" t="inlineStr"/>
      <c r="AJ584" s="5" t="inlineStr"/>
      <c r="AK584" s="5" t="inlineStr">
        <is>
          <t>convenience groceries; fresh produce; wine; beer; spirits</t>
        </is>
      </c>
      <c r="AL584" s="5" t="inlineStr"/>
      <c r="AM584" s="5" t="inlineStr">
        <is>
          <t>Off-Licence</t>
        </is>
      </c>
      <c r="AN584" s="5" t="inlineStr"/>
      <c r="AO584" s="5" t="inlineStr">
        <is>
          <t>Independent late-night convenience/off-licence on Pembridge Road, Notting Hill (open to ~2am). Address/postcode/phone from Yell/192.com/AllInLondon snippets; Companies House number for 'Pembridge Food and Wine Ltd' from search snippet.</t>
        </is>
      </c>
      <c r="AP584" s="5" t="inlineStr">
        <is>
          <t>Medium</t>
        </is>
      </c>
      <c r="AQ584" s="5" t="inlineStr">
        <is>
          <t>Independent retailer; Relevant category; Social presence</t>
        </is>
      </c>
      <c r="AR584" s="5" t="inlineStr">
        <is>
          <t>https://find-and-update.company-information.service.gov.uk/company/12479860</t>
        </is>
      </c>
      <c r="AS584" s="5" t="inlineStr">
        <is>
          <t>https://www.yell.com/biz/pembridge-food-and-wine-london-10600754/</t>
        </is>
      </c>
      <c r="AT584" s="5" t="inlineStr">
        <is>
          <t>2</t>
        </is>
      </c>
      <c r="AU584" s="5" t="inlineStr">
        <is>
          <t>No</t>
        </is>
      </c>
      <c r="AV584" s="5" t="inlineStr">
        <is>
          <t>No</t>
        </is>
      </c>
      <c r="AW584" s="5" t="inlineStr">
        <is>
          <t>No</t>
        </is>
      </c>
      <c r="AX584" s="5" t="inlineStr">
        <is>
          <t>No</t>
        </is>
      </c>
      <c r="AY584" s="5" t="inlineStr">
        <is>
          <t>Verified directory</t>
        </is>
      </c>
      <c r="AZ584" s="5" t="inlineStr">
        <is>
          <t>Not Found</t>
        </is>
      </c>
      <c r="BA584" s="5" t="inlineStr">
        <is>
          <t>2026-09-17</t>
        </is>
      </c>
      <c r="BB584" s="5" t="inlineStr">
        <is>
          <t>Requires Verification</t>
        </is>
      </c>
      <c r="BC584" s="5" t="inlineStr">
        <is>
          <t>Medium</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WY-0131</t>
        </is>
      </c>
      <c r="B585" s="10" t="inlineStr">
        <is>
          <t>WY-0131-01</t>
        </is>
      </c>
      <c r="C585" s="10" t="inlineStr"/>
      <c r="D585" s="10" t="inlineStr">
        <is>
          <t>Phantom Vape Store</t>
        </is>
      </c>
      <c r="E585" s="10" t="inlineStr">
        <is>
          <t>Phantom Vapes</t>
        </is>
      </c>
      <c r="F585" s="10" t="inlineStr"/>
      <c r="G585" s="10" t="inlineStr">
        <is>
          <t>Vape Shop</t>
        </is>
      </c>
      <c r="H585" s="10" t="inlineStr">
        <is>
          <t>Pods, kits, e-liquids and accessories</t>
        </is>
      </c>
      <c r="I585" s="10" t="inlineStr">
        <is>
          <t>Independent</t>
        </is>
      </c>
      <c r="J585" s="10" t="inlineStr">
        <is>
          <t>1</t>
        </is>
      </c>
      <c r="K585" s="10" t="inlineStr">
        <is>
          <t>https://www.phantomvapes.co.uk/</t>
        </is>
      </c>
      <c r="L585" s="10" t="inlineStr">
        <is>
          <t>https://www.facebook.com/61578393599194/</t>
        </is>
      </c>
      <c r="M585" s="10" t="inlineStr"/>
      <c r="N585" s="10" t="inlineStr"/>
      <c r="O585" s="10" t="inlineStr">
        <is>
          <t>17 Slaithwaite Road</t>
        </is>
      </c>
      <c r="P585" s="10" t="inlineStr">
        <is>
          <t>Thornhill Lees</t>
        </is>
      </c>
      <c r="Q585" s="10" t="inlineStr">
        <is>
          <t>Dewsbury</t>
        </is>
      </c>
      <c r="R585" s="10" t="inlineStr">
        <is>
          <t>West Yorkshire</t>
        </is>
      </c>
      <c r="S585" s="10" t="inlineStr">
        <is>
          <t>WF12 9DJ</t>
        </is>
      </c>
      <c r="T585" s="10" t="inlineStr">
        <is>
          <t>Yorkshire &amp; Humber</t>
        </is>
      </c>
      <c r="U585" s="10" t="inlineStr">
        <is>
          <t>England</t>
        </is>
      </c>
      <c r="V585" s="10" t="inlineStr"/>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vape hardware; pod systems; e-liquids; accessories</t>
        </is>
      </c>
      <c r="AL585" s="10" t="inlineStr"/>
      <c r="AM585" s="10" t="inlineStr">
        <is>
          <t>Vape Shop</t>
        </is>
      </c>
      <c r="AN585" s="10" t="inlineStr"/>
      <c r="AO585" s="10" t="inlineStr">
        <is>
          <t>Address published on the business's own website (seen in search results); site fetch blocked by proxy so phone/email not captured.</t>
        </is>
      </c>
      <c r="AP585" s="10" t="inlineStr">
        <is>
          <t>Medium</t>
        </is>
      </c>
      <c r="AQ585" s="10" t="inlineStr">
        <is>
          <t>Independent retailer; Core relevant category; Active website; Social presence</t>
        </is>
      </c>
      <c r="AR585" s="10" t="inlineStr">
        <is>
          <t>https://www.phantomvapes.co.uk/vape-shop-dewsbury</t>
        </is>
      </c>
      <c r="AS585" s="10" t="inlineStr">
        <is>
          <t>https://www.facebook.com/61578393599194/</t>
        </is>
      </c>
      <c r="AT585" s="10" t="inlineStr">
        <is>
          <t>2</t>
        </is>
      </c>
      <c r="AU585" s="10" t="inlineStr">
        <is>
          <t>No</t>
        </is>
      </c>
      <c r="AV585" s="10" t="inlineStr">
        <is>
          <t>No</t>
        </is>
      </c>
      <c r="AW585" s="10" t="inlineStr">
        <is>
          <t>No</t>
        </is>
      </c>
      <c r="AX585" s="10" t="inlineStr">
        <is>
          <t>No</t>
        </is>
      </c>
      <c r="AY585" s="10" t="inlineStr">
        <is>
          <t>Not Found</t>
        </is>
      </c>
      <c r="AZ585" s="10" t="inlineStr">
        <is>
          <t>Website Found</t>
        </is>
      </c>
      <c r="BA585" s="10" t="inlineStr">
        <is>
          <t>2026-09-17</t>
        </is>
      </c>
      <c r="BB585" s="10" t="inlineStr">
        <is>
          <t>Requires Verification</t>
        </is>
      </c>
      <c r="BC585" s="10" t="inlineStr">
        <is>
          <t>Medium</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2026-09-16</t>
        </is>
      </c>
      <c r="BJ585" s="10" t="inlineStr">
        <is>
          <t>New</t>
        </is>
      </c>
      <c r="BK585" s="10" t="inlineStr">
        <is>
          <t>2026-09-17</t>
        </is>
      </c>
      <c r="BL585" s="10" t="inlineStr"/>
      <c r="BM585" s="10" t="inlineStr"/>
      <c r="BN585" s="10" t="inlineStr"/>
      <c r="BO585" s="10" t="inlineStr"/>
      <c r="BP585" s="10" t="inlineStr"/>
      <c r="BQ585" s="10" t="inlineStr"/>
    </row>
    <row r="586">
      <c r="A586" s="5" t="inlineStr">
        <is>
          <t>WY-0132</t>
        </is>
      </c>
      <c r="B586" s="5" t="inlineStr">
        <is>
          <t>WY-0132-01</t>
        </is>
      </c>
      <c r="C586" s="5" t="inlineStr"/>
      <c r="D586" s="5" t="inlineStr">
        <is>
          <t>Phoenix Filling Station</t>
        </is>
      </c>
      <c r="E586" s="5" t="inlineStr">
        <is>
          <t>Phoenix Filling Station (BP)</t>
        </is>
      </c>
      <c r="F586" s="5" t="inlineStr">
        <is>
          <t>Phoenix Filling Station Ltd</t>
        </is>
      </c>
      <c r="G586" s="5" t="inlineStr">
        <is>
          <t>Petrol Station / Forecourt</t>
        </is>
      </c>
      <c r="H586" s="5" t="inlineStr">
        <is>
          <t>Independent BP-branded 24-hour forecourt with shop</t>
        </is>
      </c>
      <c r="I586" s="5" t="inlineStr">
        <is>
          <t>Independent</t>
        </is>
      </c>
      <c r="J586" s="5" t="inlineStr">
        <is>
          <t>1</t>
        </is>
      </c>
      <c r="K586" s="5" t="inlineStr"/>
      <c r="L586" s="5" t="inlineStr">
        <is>
          <t>https://www.facebook.com/phoenixFST/</t>
        </is>
      </c>
      <c r="M586" s="5" t="inlineStr"/>
      <c r="N586" s="5" t="inlineStr"/>
      <c r="O586" s="5" t="inlineStr">
        <is>
          <t>93 Listerhills Road</t>
        </is>
      </c>
      <c r="P586" s="5" t="inlineStr"/>
      <c r="Q586" s="5" t="inlineStr">
        <is>
          <t>Bradford</t>
        </is>
      </c>
      <c r="R586" s="5" t="inlineStr">
        <is>
          <t>West Yorkshire</t>
        </is>
      </c>
      <c r="S586" s="5" t="inlineStr">
        <is>
          <t>BD7 1JT</t>
        </is>
      </c>
      <c r="T586" s="5" t="inlineStr">
        <is>
          <t>Yorkshire &amp; Humber</t>
        </is>
      </c>
      <c r="U586" s="5" t="inlineStr">
        <is>
          <t>England</t>
        </is>
      </c>
      <c r="V586" s="5" t="inlineStr">
        <is>
          <t>01274 721896</t>
        </is>
      </c>
      <c r="W586" s="5" t="inlineStr"/>
      <c r="X586" s="5" t="inlineStr"/>
      <c r="Y586" s="5" t="inlineStr"/>
      <c r="Z586" s="5" t="inlineStr"/>
      <c r="AA586" s="5" t="inlineStr"/>
      <c r="AB586" s="5" t="inlineStr"/>
      <c r="AC586" s="5" t="inlineStr"/>
      <c r="AD586" s="5" t="inlineStr"/>
      <c r="AE586" s="5" t="inlineStr">
        <is>
          <t>11511613</t>
        </is>
      </c>
      <c r="AF586" s="5" t="inlineStr"/>
      <c r="AG586" s="5" t="inlineStr">
        <is>
          <t>PHOENIX FILLING STATION LTD</t>
        </is>
      </c>
      <c r="AH586" s="5" t="inlineStr"/>
      <c r="AI586" s="5" t="inlineStr"/>
      <c r="AJ586" s="5" t="inlineStr"/>
      <c r="AK586" s="5" t="inlineStr">
        <is>
          <t>fuel; convenience shop lines</t>
        </is>
      </c>
      <c r="AL586" s="5" t="inlineStr"/>
      <c r="AM586" s="5" t="inlineStr">
        <is>
          <t>Petrol Station / Forecourt</t>
        </is>
      </c>
      <c r="AN586" s="5" t="inlineStr"/>
      <c r="AO586" s="5" t="inlineStr">
        <is>
          <t>Independently owned limited company operating a BP-branded 24/7 forecourt with well-stocked shop near the university quarter.</t>
        </is>
      </c>
      <c r="AP586" s="5" t="inlineStr">
        <is>
          <t>Medium</t>
        </is>
      </c>
      <c r="AQ586" s="5" t="inlineStr">
        <is>
          <t>Independent retailer; Relevant category; Social presence</t>
        </is>
      </c>
      <c r="AR586" s="5" t="inlineStr">
        <is>
          <t>https://find-and-update.company-information.service.gov.uk/company/11511613</t>
        </is>
      </c>
      <c r="AS586" s="5" t="inlineStr">
        <is>
          <t>https://www.mylocalservices.co.uk/Phoenix+Filling+Station-Bradford-2646217.html</t>
        </is>
      </c>
      <c r="AT586" s="5" t="inlineStr">
        <is>
          <t>3</t>
        </is>
      </c>
      <c r="AU586" s="5" t="inlineStr">
        <is>
          <t>No</t>
        </is>
      </c>
      <c r="AV586" s="5" t="inlineStr">
        <is>
          <t>No</t>
        </is>
      </c>
      <c r="AW586" s="5" t="inlineStr">
        <is>
          <t>No</t>
        </is>
      </c>
      <c r="AX586" s="5" t="inlineStr">
        <is>
          <t>Yes</t>
        </is>
      </c>
      <c r="AY586" s="5" t="inlineStr">
        <is>
          <t>Verified directory</t>
        </is>
      </c>
      <c r="AZ586" s="5" t="inlineStr">
        <is>
          <t>Not Found</t>
        </is>
      </c>
      <c r="BA586" s="5" t="inlineStr">
        <is>
          <t>2026-09-17</t>
        </is>
      </c>
      <c r="BB586" s="5" t="inlineStr">
        <is>
          <t>Partially Verified</t>
        </is>
      </c>
      <c r="BC586" s="5" t="inlineStr">
        <is>
          <t>Medium</t>
        </is>
      </c>
      <c r="BD586" s="5" t="inlineStr"/>
      <c r="BE586" s="5" t="inlineStr">
        <is>
          <t>Business (B2B)</t>
        </is>
      </c>
      <c r="BF586" s="5" t="inlineStr">
        <is>
          <t>Legitimate interest (B2B) - assess per campaign; PECR: corporate subscribers</t>
        </is>
      </c>
      <c r="BG586" s="5" t="inlineStr"/>
      <c r="BH586" s="5" t="inlineStr">
        <is>
          <t>No</t>
        </is>
      </c>
      <c r="BI586" s="5" t="inlineStr">
        <is>
          <t>2026-09-16</t>
        </is>
      </c>
      <c r="BJ586" s="5" t="inlineStr">
        <is>
          <t>New</t>
        </is>
      </c>
      <c r="BK586" s="5" t="inlineStr">
        <is>
          <t>2026-09-17</t>
        </is>
      </c>
      <c r="BL586" s="5" t="inlineStr"/>
      <c r="BM586" s="5" t="inlineStr"/>
      <c r="BN586" s="5" t="inlineStr"/>
      <c r="BO586" s="5" t="inlineStr"/>
      <c r="BP586" s="5" t="inlineStr"/>
      <c r="BQ586" s="5" t="inlineStr"/>
    </row>
    <row r="587">
      <c r="A587" s="10" t="inlineStr">
        <is>
          <t>UK-000499</t>
        </is>
      </c>
      <c r="B587" s="10" t="inlineStr">
        <is>
          <t>UK-000499-01</t>
        </is>
      </c>
      <c r="C587" s="10" t="inlineStr"/>
      <c r="D587" s="10" t="inlineStr">
        <is>
          <t>Phone Care &amp; Vape</t>
        </is>
      </c>
      <c r="E587" s="10" t="inlineStr">
        <is>
          <t>Phone Care &amp; Vape</t>
        </is>
      </c>
      <c r="F587" s="10" t="inlineStr"/>
      <c r="G587" s="10" t="inlineStr">
        <is>
          <t>Vape Shop</t>
        </is>
      </c>
      <c r="H587" s="10" t="inlineStr">
        <is>
          <t>Vape &amp; phone repair (DHL point)</t>
        </is>
      </c>
      <c r="I587" s="10" t="inlineStr">
        <is>
          <t>Independent</t>
        </is>
      </c>
      <c r="J587" s="10" t="inlineStr">
        <is>
          <t>1</t>
        </is>
      </c>
      <c r="K587" s="10" t="inlineStr"/>
      <c r="L587" s="10" t="inlineStr"/>
      <c r="M587" s="10" t="inlineStr"/>
      <c r="N587" s="10" t="inlineStr"/>
      <c r="O587" s="10" t="inlineStr">
        <is>
          <t>606 Bloxwich Road</t>
        </is>
      </c>
      <c r="P587" s="10" t="inlineStr">
        <is>
          <t>Leamore</t>
        </is>
      </c>
      <c r="Q587" s="10" t="inlineStr">
        <is>
          <t>Walsall</t>
        </is>
      </c>
      <c r="R587" s="10" t="inlineStr">
        <is>
          <t>West Midlands</t>
        </is>
      </c>
      <c r="S587" s="10" t="inlineStr">
        <is>
          <t>WS3 2XE</t>
        </is>
      </c>
      <c r="T587" s="10" t="inlineStr">
        <is>
          <t>West Midlands</t>
        </is>
      </c>
      <c r="U587" s="10" t="inlineStr">
        <is>
          <t>England</t>
        </is>
      </c>
      <c r="V587" s="10" t="inlineStr">
        <is>
          <t>01922 320998</t>
        </is>
      </c>
      <c r="W587" s="10" t="inlineStr"/>
      <c r="X587" s="10" t="inlineStr"/>
      <c r="Y587" s="10" t="inlineStr"/>
      <c r="Z587" s="10" t="inlineStr"/>
      <c r="AA587" s="10" t="inlineStr"/>
      <c r="AB587" s="10" t="inlineStr"/>
      <c r="AC587" s="10" t="inlineStr"/>
      <c r="AD587" s="10" t="inlineStr"/>
      <c r="AE587" s="10" t="inlineStr"/>
      <c r="AF587" s="10" t="inlineStr"/>
      <c r="AG587" s="10" t="inlineStr"/>
      <c r="AH587" s="10" t="inlineStr"/>
      <c r="AI587" s="10" t="inlineStr"/>
      <c r="AJ587" s="10" t="inlineStr"/>
      <c r="AK587" s="10" t="inlineStr">
        <is>
          <t>vapes; phone accessories; phone repair; DHL parcel point</t>
        </is>
      </c>
      <c r="AL587" s="10" t="inlineStr"/>
      <c r="AM587" s="10" t="inlineStr">
        <is>
          <t>Vape Shop</t>
        </is>
      </c>
      <c r="AN587" s="10" t="inlineStr"/>
      <c r="AO587" s="10" t="inlineStr">
        <is>
          <t>Leamore (Bloxwich Road) vape shop combined with phone repair and DHL service point.</t>
        </is>
      </c>
      <c r="AP587" s="10" t="inlineStr">
        <is>
          <t>Medium</t>
        </is>
      </c>
      <c r="AQ587" s="10" t="inlineStr">
        <is>
          <t>Independent retailer; Core relevant category</t>
        </is>
      </c>
      <c r="AR587" s="10" t="inlineStr">
        <is>
          <t>https://find-open.co.uk/walsall/phone-care-vape-2811202</t>
        </is>
      </c>
      <c r="AS587" s="10" t="inlineStr">
        <is>
          <t>https://locations.uk.express.dhl.com/west-midlands/staffordshire/606-bloxwich-road</t>
        </is>
      </c>
      <c r="AT587" s="10" t="inlineStr">
        <is>
          <t>2</t>
        </is>
      </c>
      <c r="AU587" s="10" t="inlineStr">
        <is>
          <t>No</t>
        </is>
      </c>
      <c r="AV587" s="10" t="inlineStr">
        <is>
          <t>No</t>
        </is>
      </c>
      <c r="AW587" s="10" t="inlineStr">
        <is>
          <t>No</t>
        </is>
      </c>
      <c r="AX587" s="10" t="inlineStr">
        <is>
          <t>No</t>
        </is>
      </c>
      <c r="AY587" s="10" t="inlineStr">
        <is>
          <t>Verified directory</t>
        </is>
      </c>
      <c r="AZ587" s="10" t="inlineStr">
        <is>
          <t>Not Found</t>
        </is>
      </c>
      <c r="BA587" s="10" t="inlineStr">
        <is>
          <t>2026-09-17</t>
        </is>
      </c>
      <c r="BB587" s="10" t="inlineStr">
        <is>
          <t>Requires Verification</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2026-09-17</t>
        </is>
      </c>
      <c r="BJ587" s="10" t="inlineStr">
        <is>
          <t>New</t>
        </is>
      </c>
      <c r="BK587" s="10" t="inlineStr">
        <is>
          <t>2026-09-17</t>
        </is>
      </c>
      <c r="BL587" s="10" t="inlineStr"/>
      <c r="BM587" s="10" t="inlineStr"/>
      <c r="BN587" s="10" t="inlineStr"/>
      <c r="BO587" s="10" t="inlineStr"/>
      <c r="BP587" s="10" t="inlineStr"/>
      <c r="BQ587" s="10" t="inlineStr"/>
    </row>
    <row r="588">
      <c r="A588" s="5" t="inlineStr">
        <is>
          <t>UK-000500</t>
        </is>
      </c>
      <c r="B588" s="5" t="inlineStr">
        <is>
          <t>UK-000500-01</t>
        </is>
      </c>
      <c r="C588" s="5" t="inlineStr"/>
      <c r="D588" s="5" t="inlineStr">
        <is>
          <t>Phone Fix &amp; Vape Ltd</t>
        </is>
      </c>
      <c r="E588" s="5" t="inlineStr">
        <is>
          <t>Phone Fix &amp; Vape</t>
        </is>
      </c>
      <c r="F588" s="5" t="inlineStr">
        <is>
          <t>Phone Fix &amp; Vape Ltd</t>
        </is>
      </c>
      <c r="G588" s="5" t="inlineStr">
        <is>
          <t>Vape Shop</t>
        </is>
      </c>
      <c r="H588" s="5" t="inlineStr">
        <is>
          <t>Vape and phone repair shop</t>
        </is>
      </c>
      <c r="I588" s="5" t="inlineStr">
        <is>
          <t>Independent</t>
        </is>
      </c>
      <c r="J588" s="5" t="inlineStr">
        <is>
          <t>1</t>
        </is>
      </c>
      <c r="K588" s="5" t="inlineStr"/>
      <c r="L588" s="5" t="inlineStr"/>
      <c r="M588" s="5" t="inlineStr"/>
      <c r="N588" s="5" t="inlineStr"/>
      <c r="O588" s="5" t="inlineStr">
        <is>
          <t>806 Stratford Road</t>
        </is>
      </c>
      <c r="P588" s="5" t="inlineStr">
        <is>
          <t>Sparkhill</t>
        </is>
      </c>
      <c r="Q588" s="5" t="inlineStr">
        <is>
          <t>Birmingham</t>
        </is>
      </c>
      <c r="R588" s="5" t="inlineStr">
        <is>
          <t>West Midlands</t>
        </is>
      </c>
      <c r="S588" s="5" t="inlineStr">
        <is>
          <t>B11 4BS</t>
        </is>
      </c>
      <c r="T588" s="5" t="inlineStr">
        <is>
          <t>West Midlands</t>
        </is>
      </c>
      <c r="U588" s="5" t="inlineStr">
        <is>
          <t>England</t>
        </is>
      </c>
      <c r="V588" s="5" t="inlineStr"/>
      <c r="W588" s="5" t="inlineStr"/>
      <c r="X588" s="5" t="inlineStr"/>
      <c r="Y588" s="5" t="inlineStr"/>
      <c r="Z588" s="5" t="inlineStr"/>
      <c r="AA588" s="5" t="inlineStr"/>
      <c r="AB588" s="5" t="inlineStr"/>
      <c r="AC588" s="5" t="inlineStr"/>
      <c r="AD588" s="5" t="inlineStr"/>
      <c r="AE588" s="5" t="inlineStr"/>
      <c r="AF588" s="5" t="inlineStr"/>
      <c r="AG588" s="5" t="inlineStr"/>
      <c r="AH588" s="5" t="inlineStr"/>
      <c r="AI588" s="5" t="inlineStr"/>
      <c r="AJ588" s="5" t="inlineStr"/>
      <c r="AK588" s="5" t="inlineStr">
        <is>
          <t>vape hardware; e-liquids; phone repair</t>
        </is>
      </c>
      <c r="AL588" s="5" t="inlineStr"/>
      <c r="AM588" s="5" t="inlineStr">
        <is>
          <t>Vape Shop</t>
        </is>
      </c>
      <c r="AN588" s="5" t="inlineStr"/>
      <c r="AO588" s="5" t="inlineStr">
        <is>
          <t>Vape/phone shop on Stratford Road, Sparkhill. Directory listing showed a partial phone (0121 77...) not fully captured, so left blank.</t>
        </is>
      </c>
      <c r="AP588" s="5" t="inlineStr">
        <is>
          <t>Medium</t>
        </is>
      </c>
      <c r="AQ588" s="5" t="inlineStr">
        <is>
          <t>Independent retailer; Core relevant category</t>
        </is>
      </c>
      <c r="AR588" s="5" t="inlineStr">
        <is>
          <t>https://directory.shropshirestar.co.uk/company/1231398485651457</t>
        </is>
      </c>
      <c r="AS588" s="5" t="inlineStr"/>
      <c r="AT588" s="5" t="inlineStr">
        <is>
          <t>1</t>
        </is>
      </c>
      <c r="AU588" s="5" t="inlineStr">
        <is>
          <t>No</t>
        </is>
      </c>
      <c r="AV588" s="5" t="inlineStr">
        <is>
          <t>No</t>
        </is>
      </c>
      <c r="AW588" s="5" t="inlineStr">
        <is>
          <t>No</t>
        </is>
      </c>
      <c r="AX588" s="5" t="inlineStr">
        <is>
          <t>No</t>
        </is>
      </c>
      <c r="AY588" s="5" t="inlineStr">
        <is>
          <t>Not Found</t>
        </is>
      </c>
      <c r="AZ588" s="5" t="inlineStr">
        <is>
          <t>Not Found</t>
        </is>
      </c>
      <c r="BA588" s="5" t="inlineStr">
        <is>
          <t>2026-09-17</t>
        </is>
      </c>
      <c r="BB588" s="5" t="inlineStr">
        <is>
          <t>Requires Verification</t>
        </is>
      </c>
      <c r="BC588" s="5" t="inlineStr">
        <is>
          <t>Low</t>
        </is>
      </c>
      <c r="BD588" s="5" t="inlineStr"/>
      <c r="BE588" s="5" t="inlineStr">
        <is>
          <t>Business (B2B)</t>
        </is>
      </c>
      <c r="BF588" s="5" t="inlineStr">
        <is>
          <t>Legitimate interest (B2B) - assess per campaign; PECR: corporate subscribers</t>
        </is>
      </c>
      <c r="BG588" s="5" t="inlineStr"/>
      <c r="BH588" s="5" t="inlineStr">
        <is>
          <t>No</t>
        </is>
      </c>
      <c r="BI588" s="5" t="inlineStr">
        <is>
          <t>2026-09-17</t>
        </is>
      </c>
      <c r="BJ588" s="5" t="inlineStr">
        <is>
          <t>New</t>
        </is>
      </c>
      <c r="BK588" s="5" t="inlineStr">
        <is>
          <t>2026-09-17</t>
        </is>
      </c>
      <c r="BL588" s="5" t="inlineStr"/>
      <c r="BM588" s="5" t="inlineStr"/>
      <c r="BN588" s="5" t="inlineStr"/>
      <c r="BO588" s="5" t="inlineStr"/>
      <c r="BP588" s="5" t="inlineStr"/>
      <c r="BQ588" s="5" t="inlineStr"/>
    </row>
    <row r="589">
      <c r="A589" s="10" t="inlineStr">
        <is>
          <t>UK-000501</t>
        </is>
      </c>
      <c r="B589" s="10" t="inlineStr">
        <is>
          <t>UK-000501-01</t>
        </is>
      </c>
      <c r="C589" s="10" t="inlineStr"/>
      <c r="D589" s="10" t="inlineStr">
        <is>
          <t>Phones &amp; Vapes Kings Heath</t>
        </is>
      </c>
      <c r="E589" s="10" t="inlineStr">
        <is>
          <t>Phones &amp; Vapes Kings Heath</t>
        </is>
      </c>
      <c r="F589" s="10" t="inlineStr"/>
      <c r="G589" s="10" t="inlineStr">
        <is>
          <t>Vape Shop</t>
        </is>
      </c>
      <c r="H589" s="10" t="inlineStr">
        <is>
          <t>Vape and mobile phone accessories</t>
        </is>
      </c>
      <c r="I589" s="10" t="inlineStr">
        <is>
          <t>Independent</t>
        </is>
      </c>
      <c r="J589" s="10" t="inlineStr">
        <is>
          <t>1</t>
        </is>
      </c>
      <c r="K589" s="10" t="inlineStr"/>
      <c r="L589" s="10" t="inlineStr"/>
      <c r="M589" s="10" t="inlineStr"/>
      <c r="N589" s="10" t="inlineStr"/>
      <c r="O589" s="10" t="inlineStr">
        <is>
          <t>58a High Street</t>
        </is>
      </c>
      <c r="P589" s="10" t="inlineStr">
        <is>
          <t>Kings Heath</t>
        </is>
      </c>
      <c r="Q589" s="10" t="inlineStr">
        <is>
          <t>Birmingham</t>
        </is>
      </c>
      <c r="R589" s="10" t="inlineStr">
        <is>
          <t>West Midlands</t>
        </is>
      </c>
      <c r="S589" s="10" t="inlineStr">
        <is>
          <t>B14 7JZ</t>
        </is>
      </c>
      <c r="T589" s="10" t="inlineStr">
        <is>
          <t>West Midlands</t>
        </is>
      </c>
      <c r="U589" s="10" t="inlineStr">
        <is>
          <t>England</t>
        </is>
      </c>
      <c r="V589" s="10" t="inlineStr">
        <is>
          <t>07516 034606</t>
        </is>
      </c>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vape hardware; e-liquids; phone accessories</t>
        </is>
      </c>
      <c r="AL589" s="10" t="inlineStr"/>
      <c r="AM589" s="10" t="inlineStr">
        <is>
          <t>Vape Shop</t>
        </is>
      </c>
      <c r="AN589" s="10" t="inlineStr"/>
      <c r="AO589" s="10" t="inlineStr">
        <is>
          <t>Independent vape/phone-accessory shop on Kings Heath High Street.</t>
        </is>
      </c>
      <c r="AP589" s="10" t="inlineStr">
        <is>
          <t>Medium</t>
        </is>
      </c>
      <c r="AQ589" s="10" t="inlineStr">
        <is>
          <t>Independent retailer; Core relevant category</t>
        </is>
      </c>
      <c r="AR589" s="10" t="inlineStr">
        <is>
          <t>https://firmania.co.uk/birmingham/phones-vapes-kings-heath-4615006</t>
        </is>
      </c>
      <c r="AS589" s="10" t="inlineStr"/>
      <c r="AT589" s="10" t="inlineStr">
        <is>
          <t>1</t>
        </is>
      </c>
      <c r="AU589" s="10" t="inlineStr">
        <is>
          <t>No</t>
        </is>
      </c>
      <c r="AV589" s="10" t="inlineStr">
        <is>
          <t>No</t>
        </is>
      </c>
      <c r="AW589" s="10" t="inlineStr">
        <is>
          <t>No</t>
        </is>
      </c>
      <c r="AX589" s="10" t="inlineStr">
        <is>
          <t>No</t>
        </is>
      </c>
      <c r="AY589" s="10" t="inlineStr">
        <is>
          <t>Verified directory</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UK-000267</t>
        </is>
      </c>
      <c r="B590" s="5" t="inlineStr">
        <is>
          <t>UK-000267-01</t>
        </is>
      </c>
      <c r="C590" s="5" t="inlineStr"/>
      <c r="D590" s="5" t="inlineStr">
        <is>
          <t>Platinum Vape Hull</t>
        </is>
      </c>
      <c r="E590" s="5" t="inlineStr">
        <is>
          <t>Platinum Vape</t>
        </is>
      </c>
      <c r="F590" s="5" t="inlineStr"/>
      <c r="G590" s="5" t="inlineStr">
        <is>
          <t>Vape Shop</t>
        </is>
      </c>
      <c r="H590" s="5" t="inlineStr">
        <is>
          <t>Disposables and e-liquid shop</t>
        </is>
      </c>
      <c r="I590" s="5" t="inlineStr">
        <is>
          <t>Independent</t>
        </is>
      </c>
      <c r="J590" s="5" t="inlineStr">
        <is>
          <t>1</t>
        </is>
      </c>
      <c r="K590" s="5" t="inlineStr"/>
      <c r="L590" s="5" t="inlineStr">
        <is>
          <t>https://www.facebook.com/PlatinumVapehull/</t>
        </is>
      </c>
      <c r="M590" s="5" t="inlineStr"/>
      <c r="N590" s="5" t="inlineStr"/>
      <c r="O590" s="5" t="inlineStr"/>
      <c r="P590" s="5" t="inlineStr"/>
      <c r="Q590" s="5" t="inlineStr">
        <is>
          <t>Kingston upon Hull</t>
        </is>
      </c>
      <c r="R590" s="5" t="inlineStr">
        <is>
          <t>East Riding of Yorkshire</t>
        </is>
      </c>
      <c r="S590" s="5" t="inlineStr"/>
      <c r="T590" s="5" t="inlineStr">
        <is>
          <t>Yorkshire &amp; Humber</t>
        </is>
      </c>
      <c r="U590" s="5" t="inlineStr">
        <is>
          <t>England</t>
        </is>
      </c>
      <c r="V590" s="5" t="inlineStr"/>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disposables; e-liquids; nicotine salts; hardware</t>
        </is>
      </c>
      <c r="AL590" s="5" t="inlineStr"/>
      <c r="AM590" s="5" t="inlineStr">
        <is>
          <t>Vape Shop</t>
        </is>
      </c>
      <c r="AN590" s="5" t="inlineStr"/>
      <c r="AO590" s="5" t="inlineStr">
        <is>
          <t>Independent vape shop; describes itself as most-stocked in Hull for disposables, e-liquid, hardware and nic salt. No address/phone in search results.</t>
        </is>
      </c>
      <c r="AP590" s="5" t="inlineStr">
        <is>
          <t>Medium</t>
        </is>
      </c>
      <c r="AQ590" s="5" t="inlineStr">
        <is>
          <t>Independent retailer; Core relevant category; Social presence</t>
        </is>
      </c>
      <c r="AR590" s="5" t="inlineStr">
        <is>
          <t>https://www.facebook.com/PlatinumVapehull/</t>
        </is>
      </c>
      <c r="AS590" s="5" t="inlineStr"/>
      <c r="AT590" s="5" t="inlineStr">
        <is>
          <t>1</t>
        </is>
      </c>
      <c r="AU590" s="5" t="inlineStr">
        <is>
          <t>No</t>
        </is>
      </c>
      <c r="AV590" s="5" t="inlineStr">
        <is>
          <t>No</t>
        </is>
      </c>
      <c r="AW590" s="5" t="inlineStr">
        <is>
          <t>No</t>
        </is>
      </c>
      <c r="AX590" s="5" t="inlineStr">
        <is>
          <t>No</t>
        </is>
      </c>
      <c r="AY590" s="5" t="inlineStr">
        <is>
          <t>Not Found</t>
        </is>
      </c>
      <c r="AZ590" s="5" t="inlineStr">
        <is>
          <t>Not Found</t>
        </is>
      </c>
      <c r="BA590" s="5" t="inlineStr">
        <is>
          <t>2026-09-17</t>
        </is>
      </c>
      <c r="BB590" s="5" t="inlineStr">
        <is>
          <t>Requires Verification</t>
        </is>
      </c>
      <c r="BC590" s="5" t="inlineStr">
        <is>
          <t>Low</t>
        </is>
      </c>
      <c r="BD590" s="5" t="inlineStr"/>
      <c r="BE590" s="5" t="inlineStr">
        <is>
          <t>Business (B2B)</t>
        </is>
      </c>
      <c r="BF590" s="5" t="inlineStr">
        <is>
          <t>Legitimate interest (B2B) - assess per campaign; PECR: corporate subscribers</t>
        </is>
      </c>
      <c r="BG590" s="5" t="inlineStr"/>
      <c r="BH590" s="5" t="inlineStr">
        <is>
          <t>No</t>
        </is>
      </c>
      <c r="BI590" s="5" t="inlineStr">
        <is>
          <t>2026-09-16</t>
        </is>
      </c>
      <c r="BJ590" s="5" t="inlineStr">
        <is>
          <t>New</t>
        </is>
      </c>
      <c r="BK590" s="5" t="inlineStr">
        <is>
          <t>2026-09-17</t>
        </is>
      </c>
      <c r="BL590" s="5" t="inlineStr"/>
      <c r="BM590" s="5" t="inlineStr"/>
      <c r="BN590" s="5" t="inlineStr"/>
      <c r="BO590" s="5" t="inlineStr"/>
      <c r="BP590" s="5" t="inlineStr"/>
      <c r="BQ590" s="5" t="inlineStr"/>
    </row>
    <row r="591">
      <c r="A591" s="10" t="inlineStr">
        <is>
          <t>WY-0133</t>
        </is>
      </c>
      <c r="B591" s="10" t="inlineStr">
        <is>
          <t>WY-0133-01</t>
        </is>
      </c>
      <c r="C591" s="10" t="inlineStr"/>
      <c r="D591" s="10" t="inlineStr">
        <is>
          <t>Premier (Bingley Convenience Store)</t>
        </is>
      </c>
      <c r="E591" s="10" t="inlineStr">
        <is>
          <t>Premier Bingley Convenience Store</t>
        </is>
      </c>
      <c r="F591" s="10" t="inlineStr"/>
      <c r="G591" s="10" t="inlineStr">
        <is>
          <t>Convenience Store</t>
        </is>
      </c>
      <c r="H591" s="10" t="inlineStr">
        <is>
          <t>Symbol-group convenience store</t>
        </is>
      </c>
      <c r="I591" s="10" t="inlineStr">
        <is>
          <t>Franchise / Symbol Group</t>
        </is>
      </c>
      <c r="J591" s="10" t="inlineStr">
        <is>
          <t>1</t>
        </is>
      </c>
      <c r="K591" s="10" t="inlineStr"/>
      <c r="L591" s="10" t="inlineStr"/>
      <c r="M591" s="10" t="inlineStr"/>
      <c r="N591" s="10" t="inlineStr"/>
      <c r="O591" s="10" t="inlineStr"/>
      <c r="P591" s="10" t="inlineStr"/>
      <c r="Q591" s="10" t="inlineStr">
        <is>
          <t>Bingley</t>
        </is>
      </c>
      <c r="R591" s="10" t="inlineStr">
        <is>
          <t>West Yorkshire</t>
        </is>
      </c>
      <c r="S591" s="10" t="inlineStr"/>
      <c r="T591" s="10" t="inlineStr">
        <is>
          <t>Yorkshire &amp; Humber</t>
        </is>
      </c>
      <c r="U591" s="10" t="inlineStr">
        <is>
          <t>England</t>
        </is>
      </c>
      <c r="V591" s="10" t="inlineStr"/>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convenience lines; groceries; alcohol</t>
        </is>
      </c>
      <c r="AL591" s="10" t="inlineStr"/>
      <c r="AM591" s="10" t="inlineStr">
        <is>
          <t>Convenience Store</t>
        </is>
      </c>
      <c r="AN591" s="10" t="inlineStr"/>
      <c r="AO591" s="10" t="inlineStr">
        <is>
          <t>Independently owned Premier (Booker) symbol store in Bingley. Street address not captured - needs enrichment.</t>
        </is>
      </c>
      <c r="AP591" s="10" t="inlineStr">
        <is>
          <t>Low</t>
        </is>
      </c>
      <c r="AQ591" s="10" t="inlineStr">
        <is>
          <t>Independent retailer; Relevant category</t>
        </is>
      </c>
      <c r="AR591" s="10" t="inlineStr">
        <is>
          <t>https://www.yorkshire.com/bingley/shopping/corner-shops/premier-bingley-convenience-store</t>
        </is>
      </c>
      <c r="AS591" s="10" t="inlineStr"/>
      <c r="AT591" s="10" t="inlineStr">
        <is>
          <t>1</t>
        </is>
      </c>
      <c r="AU591" s="10" t="inlineStr">
        <is>
          <t>No</t>
        </is>
      </c>
      <c r="AV591" s="10" t="inlineStr">
        <is>
          <t>No</t>
        </is>
      </c>
      <c r="AW591" s="10" t="inlineStr">
        <is>
          <t>No</t>
        </is>
      </c>
      <c r="AX591" s="10" t="inlineStr">
        <is>
          <t>No</t>
        </is>
      </c>
      <c r="AY591" s="10" t="inlineStr">
        <is>
          <t>Not Found</t>
        </is>
      </c>
      <c r="AZ591" s="10" t="inlineStr">
        <is>
          <t>Not Found</t>
        </is>
      </c>
      <c r="BA591" s="10" t="inlineStr">
        <is>
          <t>2026-09-17</t>
        </is>
      </c>
      <c r="BB591" s="10" t="inlineStr">
        <is>
          <t>Requires Verification</t>
        </is>
      </c>
      <c r="BC591" s="10" t="inlineStr">
        <is>
          <t>Low</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2026-09-16</t>
        </is>
      </c>
      <c r="BJ591" s="10" t="inlineStr">
        <is>
          <t>New</t>
        </is>
      </c>
      <c r="BK591" s="10" t="inlineStr">
        <is>
          <t>2026-09-17</t>
        </is>
      </c>
      <c r="BL591" s="10" t="inlineStr"/>
      <c r="BM591" s="10" t="inlineStr"/>
      <c r="BN591" s="10" t="inlineStr"/>
      <c r="BO591" s="10" t="inlineStr"/>
      <c r="BP591" s="10" t="inlineStr"/>
      <c r="BQ591" s="10" t="inlineStr"/>
    </row>
    <row r="592">
      <c r="A592" s="5" t="inlineStr">
        <is>
          <t>WY-0134</t>
        </is>
      </c>
      <c r="B592" s="5" t="inlineStr">
        <is>
          <t>WY-0134-01</t>
        </is>
      </c>
      <c r="C592" s="5" t="inlineStr"/>
      <c r="D592" s="5" t="inlineStr">
        <is>
          <t>Premier Hemsworth</t>
        </is>
      </c>
      <c r="E592" s="5" t="inlineStr">
        <is>
          <t>Premier</t>
        </is>
      </c>
      <c r="F592" s="5" t="inlineStr"/>
      <c r="G592" s="5" t="inlineStr">
        <is>
          <t>Convenience Store</t>
        </is>
      </c>
      <c r="H592" s="5" t="inlineStr">
        <is>
          <t>Symbol group convenience store</t>
        </is>
      </c>
      <c r="I592" s="5" t="inlineStr">
        <is>
          <t>Franchise / Symbol Group</t>
        </is>
      </c>
      <c r="J592" s="5" t="inlineStr">
        <is>
          <t>1</t>
        </is>
      </c>
      <c r="K592" s="5" t="inlineStr"/>
      <c r="L592" s="5" t="inlineStr"/>
      <c r="M592" s="5" t="inlineStr"/>
      <c r="N592" s="5" t="inlineStr"/>
      <c r="O592" s="5" t="inlineStr">
        <is>
          <t>51-55 Barnsley Road</t>
        </is>
      </c>
      <c r="P592" s="5" t="inlineStr"/>
      <c r="Q592" s="5" t="inlineStr">
        <is>
          <t>Hemsworth</t>
        </is>
      </c>
      <c r="R592" s="5" t="inlineStr">
        <is>
          <t>West Yorkshire</t>
        </is>
      </c>
      <c r="S592" s="5" t="inlineStr">
        <is>
          <t>WF9 4QZ</t>
        </is>
      </c>
      <c r="T592" s="5" t="inlineStr">
        <is>
          <t>Yorkshire &amp; Humber</t>
        </is>
      </c>
      <c r="U592" s="5" t="inlineStr">
        <is>
          <t>England</t>
        </is>
      </c>
      <c r="V592" s="5" t="inlineStr"/>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grocery; alcohol; tobacco; convenience</t>
        </is>
      </c>
      <c r="AL592" s="5" t="inlineStr"/>
      <c r="AM592" s="5" t="inlineStr">
        <is>
          <t>Convenience Store</t>
        </is>
      </c>
      <c r="AN592" s="5" t="inlineStr">
        <is>
          <t>Premier symbol group (Booker supply)</t>
        </is>
      </c>
      <c r="AO592" s="5" t="inlineStr">
        <is>
          <t>Independently owned Premier (Booker) symbol store.</t>
        </is>
      </c>
      <c r="AP592" s="5" t="inlineStr">
        <is>
          <t>Low</t>
        </is>
      </c>
      <c r="AQ592" s="5" t="inlineStr">
        <is>
          <t>Independent retailer; Relevant category</t>
        </is>
      </c>
      <c r="AR592" s="5" t="inlineStr">
        <is>
          <t>https://hemsworth.ukintouch.com/convenience-store/premier-hemsworth/</t>
        </is>
      </c>
      <c r="AS592" s="5" t="inlineStr"/>
      <c r="AT592" s="5" t="inlineStr">
        <is>
          <t>1</t>
        </is>
      </c>
      <c r="AU592" s="5" t="inlineStr">
        <is>
          <t>No</t>
        </is>
      </c>
      <c r="AV592" s="5" t="inlineStr">
        <is>
          <t>No</t>
        </is>
      </c>
      <c r="AW592" s="5" t="inlineStr">
        <is>
          <t>No</t>
        </is>
      </c>
      <c r="AX592" s="5" t="inlineStr">
        <is>
          <t>No</t>
        </is>
      </c>
      <c r="AY592" s="5" t="inlineStr">
        <is>
          <t>Not Found</t>
        </is>
      </c>
      <c r="AZ592" s="5" t="inlineStr">
        <is>
          <t>Not Found</t>
        </is>
      </c>
      <c r="BA592" s="5" t="inlineStr">
        <is>
          <t>2026-09-17</t>
        </is>
      </c>
      <c r="BB592" s="5" t="inlineStr">
        <is>
          <t>Requires Verification</t>
        </is>
      </c>
      <c r="BC592" s="5" t="inlineStr">
        <is>
          <t>Medium</t>
        </is>
      </c>
      <c r="BD592" s="5" t="inlineStr"/>
      <c r="BE592" s="5" t="inlineStr">
        <is>
          <t>Business (B2B)</t>
        </is>
      </c>
      <c r="BF592" s="5" t="inlineStr">
        <is>
          <t>Legitimate interest (B2B) - assess per campaign; PECR: corporate subscribers</t>
        </is>
      </c>
      <c r="BG592" s="5" t="inlineStr"/>
      <c r="BH592" s="5" t="inlineStr">
        <is>
          <t>No</t>
        </is>
      </c>
      <c r="BI592" s="5" t="inlineStr">
        <is>
          <t>2026-09-16</t>
        </is>
      </c>
      <c r="BJ592" s="5" t="inlineStr">
        <is>
          <t>New</t>
        </is>
      </c>
      <c r="BK592" s="5" t="inlineStr">
        <is>
          <t>2026-09-17</t>
        </is>
      </c>
      <c r="BL592" s="5" t="inlineStr"/>
      <c r="BM592" s="5" t="inlineStr"/>
      <c r="BN592" s="5" t="inlineStr"/>
      <c r="BO592" s="5" t="inlineStr"/>
      <c r="BP592" s="5" t="inlineStr"/>
      <c r="BQ592" s="5" t="inlineStr"/>
    </row>
    <row r="593">
      <c r="A593" s="10" t="inlineStr">
        <is>
          <t>WY-0135</t>
        </is>
      </c>
      <c r="B593" s="10" t="inlineStr">
        <is>
          <t>WY-0135-01</t>
        </is>
      </c>
      <c r="C593" s="10" t="inlineStr"/>
      <c r="D593" s="10" t="inlineStr">
        <is>
          <t>Premier Wholesale Cash &amp; Carry</t>
        </is>
      </c>
      <c r="E593" s="10" t="inlineStr">
        <is>
          <t>Premier Wholesale Cash &amp; Carry</t>
        </is>
      </c>
      <c r="F593" s="10" t="inlineStr"/>
      <c r="G593" s="10" t="inlineStr">
        <is>
          <t>Cash &amp; Carry</t>
        </is>
      </c>
      <c r="H593" s="10" t="inlineStr">
        <is>
          <t>General cash and carry wholesaler</t>
        </is>
      </c>
      <c r="I593" s="10" t="inlineStr">
        <is>
          <t>Independent</t>
        </is>
      </c>
      <c r="J593" s="10" t="inlineStr">
        <is>
          <t>1</t>
        </is>
      </c>
      <c r="K593" s="10" t="inlineStr"/>
      <c r="L593" s="10" t="inlineStr"/>
      <c r="M593" s="10" t="inlineStr"/>
      <c r="N593" s="10" t="inlineStr"/>
      <c r="O593" s="10" t="inlineStr">
        <is>
          <t>Clough Lane</t>
        </is>
      </c>
      <c r="P593" s="10" t="inlineStr">
        <is>
          <t>Paddock</t>
        </is>
      </c>
      <c r="Q593" s="10" t="inlineStr">
        <is>
          <t>Huddersfield</t>
        </is>
      </c>
      <c r="R593" s="10" t="inlineStr">
        <is>
          <t>West Yorkshire</t>
        </is>
      </c>
      <c r="S593" s="10" t="inlineStr">
        <is>
          <t>HD1 4UW</t>
        </is>
      </c>
      <c r="T593" s="10" t="inlineStr">
        <is>
          <t>Yorkshire &amp; Humber</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wholesale groceries; discount goods</t>
        </is>
      </c>
      <c r="AL593" s="10" t="inlineStr"/>
      <c r="AM593" s="10" t="inlineStr">
        <is>
          <t>Cash &amp; Carry</t>
        </is>
      </c>
      <c r="AN593" s="10" t="inlineStr"/>
      <c r="AO593" s="10" t="inlineStr">
        <is>
          <t>Listed on Yell under Discount Stores / cash and carry at Clough Lane, Paddock; no relation to the Premier symbol group confirmed.</t>
        </is>
      </c>
      <c r="AP593" s="10" t="inlineStr">
        <is>
          <t>Medium</t>
        </is>
      </c>
      <c r="AQ593" s="10" t="inlineStr">
        <is>
          <t>Independent retailer; Core relevant category</t>
        </is>
      </c>
      <c r="AR593" s="10" t="inlineStr">
        <is>
          <t>https://www.yell.com/biz/premier-wholesale-cash-and-carry-huddersfield-943025/</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2026-09-16</t>
        </is>
      </c>
      <c r="BJ593" s="10" t="inlineStr">
        <is>
          <t>New</t>
        </is>
      </c>
      <c r="BK593" s="10" t="inlineStr">
        <is>
          <t>2026-09-17</t>
        </is>
      </c>
      <c r="BL593" s="10" t="inlineStr"/>
      <c r="BM593" s="10" t="inlineStr"/>
      <c r="BN593" s="10" t="inlineStr"/>
      <c r="BO593" s="10" t="inlineStr"/>
      <c r="BP593" s="10" t="inlineStr"/>
      <c r="BQ593" s="10" t="inlineStr"/>
    </row>
    <row r="594">
      <c r="A594" s="5" t="inlineStr">
        <is>
          <t>UK-000810</t>
        </is>
      </c>
      <c r="B594" s="5" t="inlineStr">
        <is>
          <t>UK-000810-01</t>
        </is>
      </c>
      <c r="C594" s="5" t="inlineStr"/>
      <c r="D594" s="5" t="inlineStr">
        <is>
          <t>Prime Convenience Store St Helens</t>
        </is>
      </c>
      <c r="E594" s="5" t="inlineStr">
        <is>
          <t>Prime Convenience Store</t>
        </is>
      </c>
      <c r="F594" s="5" t="inlineStr">
        <is>
          <t>PRIME CONVENIENCE STORE ST.HELENS LTD</t>
        </is>
      </c>
      <c r="G594" s="5" t="inlineStr">
        <is>
          <t>Convenience Store</t>
        </is>
      </c>
      <c r="H594" s="5" t="inlineStr">
        <is>
          <t>Convenience store</t>
        </is>
      </c>
      <c r="I594" s="5" t="inlineStr">
        <is>
          <t>Independent</t>
        </is>
      </c>
      <c r="J594" s="5" t="inlineStr">
        <is>
          <t>1</t>
        </is>
      </c>
      <c r="K594" s="5" t="inlineStr"/>
      <c r="L594" s="5" t="inlineStr"/>
      <c r="M594" s="5" t="inlineStr"/>
      <c r="N594" s="5" t="inlineStr"/>
      <c r="O594" s="5" t="inlineStr">
        <is>
          <t>99 Church Street</t>
        </is>
      </c>
      <c r="P594" s="5" t="inlineStr"/>
      <c r="Q594" s="5" t="inlineStr">
        <is>
          <t>St Helens</t>
        </is>
      </c>
      <c r="R594" s="5" t="inlineStr">
        <is>
          <t>Merseyside</t>
        </is>
      </c>
      <c r="S594" s="5" t="inlineStr">
        <is>
          <t>WA10 1AD</t>
        </is>
      </c>
      <c r="T594" s="5" t="inlineStr">
        <is>
          <t>North West</t>
        </is>
      </c>
      <c r="U594" s="5" t="inlineStr">
        <is>
          <t>England</t>
        </is>
      </c>
      <c r="V594" s="5" t="inlineStr"/>
      <c r="W594" s="5" t="inlineStr"/>
      <c r="X594" s="5" t="inlineStr"/>
      <c r="Y594" s="5" t="inlineStr"/>
      <c r="Z594" s="5" t="inlineStr"/>
      <c r="AA594" s="5" t="inlineStr"/>
      <c r="AB594" s="5" t="inlineStr"/>
      <c r="AC594" s="5" t="inlineStr"/>
      <c r="AD594" s="5" t="inlineStr"/>
      <c r="AE594" s="5" t="inlineStr">
        <is>
          <t>15581396</t>
        </is>
      </c>
      <c r="AF594" s="5" t="inlineStr"/>
      <c r="AG594" s="5" t="inlineStr">
        <is>
          <t>PRIME CONVENIENCE STORE ST.HELENS LTD</t>
        </is>
      </c>
      <c r="AH594" s="5" t="inlineStr"/>
      <c r="AI594" s="5" t="inlineStr"/>
      <c r="AJ594" s="5" t="inlineStr"/>
      <c r="AK594" s="5" t="inlineStr">
        <is>
          <t>groceries; alcohol; tobacco</t>
        </is>
      </c>
      <c r="AL594" s="5" t="inlineStr"/>
      <c r="AM594" s="5" t="inlineStr">
        <is>
          <t>Convenience Store</t>
        </is>
      </c>
      <c r="AN594" s="5" t="inlineStr"/>
      <c r="AO594" s="5" t="inlineStr">
        <is>
          <t>Independent convenience store, 99 Church Street, St Helens. Companies House lists PRIME CONVENIENCE STORE ST.HELENS LTD (15581396). Address/postcode from the Companies House registered office as shown in search snippet.</t>
        </is>
      </c>
      <c r="AP594" s="5" t="inlineStr">
        <is>
          <t>Low</t>
        </is>
      </c>
      <c r="AQ594" s="5" t="inlineStr">
        <is>
          <t>Independent retailer; Relevant category</t>
        </is>
      </c>
      <c r="AR594" s="5" t="inlineStr">
        <is>
          <t>https://find-and-update.company-information.service.gov.uk/company/15581396</t>
        </is>
      </c>
      <c r="AS594" s="5" t="inlineStr"/>
      <c r="AT594" s="5" t="inlineStr">
        <is>
          <t>1</t>
        </is>
      </c>
      <c r="AU594" s="5" t="inlineStr">
        <is>
          <t>No</t>
        </is>
      </c>
      <c r="AV594" s="5" t="inlineStr">
        <is>
          <t>No</t>
        </is>
      </c>
      <c r="AW594" s="5" t="inlineStr">
        <is>
          <t>No</t>
        </is>
      </c>
      <c r="AX594" s="5" t="inlineStr">
        <is>
          <t>No</t>
        </is>
      </c>
      <c r="AY594" s="5" t="inlineStr">
        <is>
          <t>Not Found</t>
        </is>
      </c>
      <c r="AZ594" s="5" t="inlineStr">
        <is>
          <t>Not Found</t>
        </is>
      </c>
      <c r="BA594" s="5" t="inlineStr">
        <is>
          <t>2026-09-17</t>
        </is>
      </c>
      <c r="BB594" s="5" t="inlineStr">
        <is>
          <t>Requires Verification</t>
        </is>
      </c>
      <c r="BC594" s="5" t="inlineStr">
        <is>
          <t>Medium</t>
        </is>
      </c>
      <c r="BD594" s="5" t="inlineStr"/>
      <c r="BE594" s="5" t="inlineStr">
        <is>
          <t>Business (B2B)</t>
        </is>
      </c>
      <c r="BF594" s="5" t="inlineStr">
        <is>
          <t>Legitimate interest (B2B) - assess per campaign; PECR: corporate subscribers</t>
        </is>
      </c>
      <c r="BG594" s="5" t="inlineStr"/>
      <c r="BH594" s="5" t="inlineStr">
        <is>
          <t>No</t>
        </is>
      </c>
      <c r="BI594" s="5" t="inlineStr">
        <is>
          <t>2026-09-17</t>
        </is>
      </c>
      <c r="BJ594" s="5" t="inlineStr">
        <is>
          <t>New</t>
        </is>
      </c>
      <c r="BK594" s="5" t="inlineStr">
        <is>
          <t>2026-09-17</t>
        </is>
      </c>
      <c r="BL594" s="5" t="inlineStr"/>
      <c r="BM594" s="5" t="inlineStr"/>
      <c r="BN594" s="5" t="inlineStr"/>
      <c r="BO594" s="5" t="inlineStr"/>
      <c r="BP594" s="5" t="inlineStr"/>
      <c r="BQ594" s="5" t="inlineStr"/>
    </row>
    <row r="595">
      <c r="A595" s="10" t="inlineStr">
        <is>
          <t>UK-000646</t>
        </is>
      </c>
      <c r="B595" s="10" t="inlineStr">
        <is>
          <t>UK-000646-01</t>
        </is>
      </c>
      <c r="C595" s="10" t="inlineStr"/>
      <c r="D595" s="10" t="inlineStr">
        <is>
          <t>Prince Cash &amp; Carry Ltd</t>
        </is>
      </c>
      <c r="E595" s="10" t="inlineStr">
        <is>
          <t>Prince Cash &amp; Carry</t>
        </is>
      </c>
      <c r="F595" s="10" t="inlineStr">
        <is>
          <t>PRINCE CASH &amp; CARRY LIMITED</t>
        </is>
      </c>
      <c r="G595" s="10" t="inlineStr">
        <is>
          <t>Cash &amp; Carry</t>
        </is>
      </c>
      <c r="H595" s="10" t="inlineStr"/>
      <c r="I595" s="10" t="inlineStr">
        <is>
          <t>Independent</t>
        </is>
      </c>
      <c r="J595" s="10" t="inlineStr">
        <is>
          <t>1</t>
        </is>
      </c>
      <c r="K595" s="10" t="inlineStr">
        <is>
          <t>https://www.princecashandcarry.com</t>
        </is>
      </c>
      <c r="L595" s="10" t="inlineStr"/>
      <c r="M595" s="10" t="inlineStr"/>
      <c r="N595" s="10" t="inlineStr"/>
      <c r="O595" s="10" t="inlineStr">
        <is>
          <t>Unit 4 Grand Union Enterprise Park</t>
        </is>
      </c>
      <c r="P595" s="10" t="inlineStr">
        <is>
          <t>Grand Union Way, Bridge Road</t>
        </is>
      </c>
      <c r="Q595" s="10" t="inlineStr">
        <is>
          <t>Southall</t>
        </is>
      </c>
      <c r="R595" s="10" t="inlineStr">
        <is>
          <t>Greater London</t>
        </is>
      </c>
      <c r="S595" s="10" t="inlineStr">
        <is>
          <t>UB2 4EX</t>
        </is>
      </c>
      <c r="T595" s="10" t="inlineStr">
        <is>
          <t>London</t>
        </is>
      </c>
      <c r="U595" s="10" t="inlineStr">
        <is>
          <t>England</t>
        </is>
      </c>
      <c r="V595" s="10" t="inlineStr">
        <is>
          <t>020 8574 0892</t>
        </is>
      </c>
      <c r="W595" s="10" t="inlineStr"/>
      <c r="X595" s="10" t="inlineStr"/>
      <c r="Y595" s="10" t="inlineStr"/>
      <c r="Z595" s="10" t="inlineStr"/>
      <c r="AA595" s="10" t="inlineStr"/>
      <c r="AB595" s="10" t="inlineStr"/>
      <c r="AC595" s="10" t="inlineStr"/>
      <c r="AD595" s="10" t="inlineStr"/>
      <c r="AE595" s="10" t="inlineStr">
        <is>
          <t>06811397</t>
        </is>
      </c>
      <c r="AF595" s="10" t="inlineStr"/>
      <c r="AG595" s="10" t="inlineStr">
        <is>
          <t>PRINCE CASH &amp; CARRY LIMITED</t>
        </is>
      </c>
      <c r="AH595" s="10" t="inlineStr"/>
      <c r="AI595" s="10" t="inlineStr"/>
      <c r="AJ595" s="10" t="inlineStr"/>
      <c r="AK595" s="10" t="inlineStr">
        <is>
          <t>grocery wholesale; drinks; confectionery; household</t>
        </is>
      </c>
      <c r="AL595" s="10" t="inlineStr"/>
      <c r="AM595" s="10" t="inlineStr">
        <is>
          <t>Cash &amp; Carry</t>
        </is>
      </c>
      <c r="AN595" s="10" t="inlineStr">
        <is>
          <t>Wholesale cash &amp; carry supplying independent retailers.</t>
        </is>
      </c>
      <c r="AO595" s="10" t="inlineStr">
        <is>
          <t>Independent cash &amp; carry at Grand Union Enterprise Park, Southall, with own website. Companies House 06811397.</t>
        </is>
      </c>
      <c r="AP595" s="10" t="inlineStr">
        <is>
          <t>Medium</t>
        </is>
      </c>
      <c r="AQ595" s="10" t="inlineStr">
        <is>
          <t>Independent retailer; Core relevant category; Active website</t>
        </is>
      </c>
      <c r="AR595" s="10" t="inlineStr">
        <is>
          <t>https://www.princecashandcarry.com/</t>
        </is>
      </c>
      <c r="AS595" s="10" t="inlineStr">
        <is>
          <t>https://find-and-update.company-information.service.gov.uk/company/06811397</t>
        </is>
      </c>
      <c r="AT595" s="10" t="inlineStr">
        <is>
          <t>3</t>
        </is>
      </c>
      <c r="AU595" s="10" t="inlineStr">
        <is>
          <t>Yes</t>
        </is>
      </c>
      <c r="AV595" s="10" t="inlineStr">
        <is>
          <t>No</t>
        </is>
      </c>
      <c r="AW595" s="10" t="inlineStr">
        <is>
          <t>No</t>
        </is>
      </c>
      <c r="AX595" s="10" t="inlineStr">
        <is>
          <t>Yes</t>
        </is>
      </c>
      <c r="AY595" s="10" t="inlineStr">
        <is>
          <t>Verified directory</t>
        </is>
      </c>
      <c r="AZ595" s="10" t="inlineStr">
        <is>
          <t>Not Found</t>
        </is>
      </c>
      <c r="BA595" s="10" t="inlineStr">
        <is>
          <t>2026-09-17</t>
        </is>
      </c>
      <c r="BB595" s="10" t="inlineStr">
        <is>
          <t>Verified (website + Companies House)</t>
        </is>
      </c>
      <c r="BC595" s="10" t="inlineStr">
        <is>
          <t>Medium</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UK-000502</t>
        </is>
      </c>
      <c r="B596" s="5" t="inlineStr">
        <is>
          <t>UK-000502-01</t>
        </is>
      </c>
      <c r="C596" s="5" t="inlineStr"/>
      <c r="D596" s="5" t="inlineStr">
        <is>
          <t>Princes End Convenience Store</t>
        </is>
      </c>
      <c r="E596" s="5" t="inlineStr">
        <is>
          <t>Princes End Convenience Store</t>
        </is>
      </c>
      <c r="F596" s="5" t="inlineStr"/>
      <c r="G596" s="5" t="inlineStr">
        <is>
          <t>Convenience Store</t>
        </is>
      </c>
      <c r="H596" s="5" t="inlineStr">
        <is>
          <t>Convenience store &amp; off-licence</t>
        </is>
      </c>
      <c r="I596" s="5" t="inlineStr">
        <is>
          <t>Independent</t>
        </is>
      </c>
      <c r="J596" s="5" t="inlineStr">
        <is>
          <t>1</t>
        </is>
      </c>
      <c r="K596" s="5" t="inlineStr"/>
      <c r="L596" s="5" t="inlineStr"/>
      <c r="M596" s="5" t="inlineStr"/>
      <c r="N596" s="5" t="inlineStr"/>
      <c r="O596" s="5" t="inlineStr"/>
      <c r="P596" s="5" t="inlineStr">
        <is>
          <t>Princes End</t>
        </is>
      </c>
      <c r="Q596" s="5" t="inlineStr">
        <is>
          <t>Tipton</t>
        </is>
      </c>
      <c r="R596" s="5" t="inlineStr">
        <is>
          <t>West Midlands</t>
        </is>
      </c>
      <c r="S596" s="5" t="inlineStr"/>
      <c r="T596" s="5" t="inlineStr">
        <is>
          <t>West Midlands</t>
        </is>
      </c>
      <c r="U596" s="5" t="inlineStr">
        <is>
          <t>England</t>
        </is>
      </c>
      <c r="V596" s="5" t="inlineStr"/>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groceries; convenience; beers; wines; spirits</t>
        </is>
      </c>
      <c r="AL596" s="5" t="inlineStr"/>
      <c r="AM596" s="5" t="inlineStr">
        <is>
          <t>Convenience Store</t>
        </is>
      </c>
      <c r="AN596" s="5" t="inlineStr"/>
      <c r="AO596" s="5" t="inlineStr">
        <is>
          <t>Independent convenience store in Princes End, Tipton. Listed on Yell; exact street address not in snippet.</t>
        </is>
      </c>
      <c r="AP596" s="5" t="inlineStr">
        <is>
          <t>Low</t>
        </is>
      </c>
      <c r="AQ596" s="5" t="inlineStr">
        <is>
          <t>Independent retailer; Relevant category</t>
        </is>
      </c>
      <c r="AR596" s="5" t="inlineStr">
        <is>
          <t>https://www.yell.com/biz/princes-end-convenience-store-tipton-9797719/</t>
        </is>
      </c>
      <c r="AS596" s="5" t="inlineStr"/>
      <c r="AT596" s="5" t="inlineStr">
        <is>
          <t>1</t>
        </is>
      </c>
      <c r="AU596" s="5" t="inlineStr">
        <is>
          <t>No</t>
        </is>
      </c>
      <c r="AV596" s="5" t="inlineStr">
        <is>
          <t>No</t>
        </is>
      </c>
      <c r="AW596" s="5" t="inlineStr">
        <is>
          <t>No</t>
        </is>
      </c>
      <c r="AX596" s="5" t="inlineStr">
        <is>
          <t>No</t>
        </is>
      </c>
      <c r="AY596" s="5" t="inlineStr">
        <is>
          <t>Not Found</t>
        </is>
      </c>
      <c r="AZ596" s="5" t="inlineStr">
        <is>
          <t>Not Found</t>
        </is>
      </c>
      <c r="BA596" s="5" t="inlineStr">
        <is>
          <t>2026-09-17</t>
        </is>
      </c>
      <c r="BB596" s="5" t="inlineStr">
        <is>
          <t>Requires Verification</t>
        </is>
      </c>
      <c r="BC596" s="5" t="inlineStr">
        <is>
          <t>Low</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WY-0136</t>
        </is>
      </c>
      <c r="B597" s="10" t="inlineStr">
        <is>
          <t>WY-0136-01</t>
        </is>
      </c>
      <c r="C597" s="10" t="inlineStr"/>
      <c r="D597" s="10" t="inlineStr">
        <is>
          <t>Quix Newsagents, Off Licence &amp; Convenience Store</t>
        </is>
      </c>
      <c r="E597" s="10" t="inlineStr">
        <is>
          <t>Quix</t>
        </is>
      </c>
      <c r="F597" s="10" t="inlineStr"/>
      <c r="G597" s="10" t="inlineStr">
        <is>
          <t>Convenience Store</t>
        </is>
      </c>
      <c r="H597" s="10" t="inlineStr">
        <is>
          <t>Newsagent, off-licence &amp; convenience store</t>
        </is>
      </c>
      <c r="I597" s="10" t="inlineStr">
        <is>
          <t>Independent</t>
        </is>
      </c>
      <c r="J597" s="10" t="inlineStr">
        <is>
          <t>1</t>
        </is>
      </c>
      <c r="K597" s="10" t="inlineStr"/>
      <c r="L597" s="10" t="inlineStr"/>
      <c r="M597" s="10" t="inlineStr"/>
      <c r="N597" s="10" t="inlineStr"/>
      <c r="O597" s="10" t="inlineStr"/>
      <c r="P597" s="10" t="inlineStr"/>
      <c r="Q597" s="10" t="inlineStr">
        <is>
          <t>Shipley</t>
        </is>
      </c>
      <c r="R597" s="10" t="inlineStr">
        <is>
          <t>West Yorkshire</t>
        </is>
      </c>
      <c r="S597" s="10" t="inlineStr"/>
      <c r="T597" s="10" t="inlineStr">
        <is>
          <t>Yorkshire &amp; Humber</t>
        </is>
      </c>
      <c r="U597" s="10" t="inlineStr">
        <is>
          <t>England</t>
        </is>
      </c>
      <c r="V597" s="10" t="inlineStr"/>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c r="AK597" s="10" t="inlineStr">
        <is>
          <t>news; alcohol; convenience lines</t>
        </is>
      </c>
      <c r="AL597" s="10" t="inlineStr"/>
      <c r="AM597" s="10" t="inlineStr">
        <is>
          <t>Convenience Store</t>
        </is>
      </c>
      <c r="AN597" s="10" t="inlineStr"/>
      <c r="AO597" s="10" t="inlineStr">
        <is>
          <t>Combined newsagent/off-licence/convenience store listed under Shipley corner shops. Street address not captured - needs enrichment.</t>
        </is>
      </c>
      <c r="AP597" s="10" t="inlineStr">
        <is>
          <t>Low</t>
        </is>
      </c>
      <c r="AQ597" s="10" t="inlineStr">
        <is>
          <t>Independent retailer; Relevant category</t>
        </is>
      </c>
      <c r="AR597" s="10" t="inlineStr">
        <is>
          <t>https://www.yorkshire.com/shipley/shopping/corner-shops/quix-newsagents-off-licence-convenience-store</t>
        </is>
      </c>
      <c r="AS597" s="10" t="inlineStr"/>
      <c r="AT597" s="10" t="inlineStr">
        <is>
          <t>1</t>
        </is>
      </c>
      <c r="AU597" s="10" t="inlineStr">
        <is>
          <t>No</t>
        </is>
      </c>
      <c r="AV597" s="10" t="inlineStr">
        <is>
          <t>No</t>
        </is>
      </c>
      <c r="AW597" s="10" t="inlineStr">
        <is>
          <t>No</t>
        </is>
      </c>
      <c r="AX597" s="10" t="inlineStr">
        <is>
          <t>No</t>
        </is>
      </c>
      <c r="AY597" s="10" t="inlineStr">
        <is>
          <t>Not Found</t>
        </is>
      </c>
      <c r="AZ597" s="10" t="inlineStr">
        <is>
          <t>Not Found</t>
        </is>
      </c>
      <c r="BA597" s="10" t="inlineStr">
        <is>
          <t>2026-09-17</t>
        </is>
      </c>
      <c r="BB597" s="10" t="inlineStr">
        <is>
          <t>Requires Verification</t>
        </is>
      </c>
      <c r="BC597" s="10" t="inlineStr">
        <is>
          <t>Low</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2026-09-16</t>
        </is>
      </c>
      <c r="BJ597" s="10" t="inlineStr">
        <is>
          <t>New</t>
        </is>
      </c>
      <c r="BK597" s="10" t="inlineStr">
        <is>
          <t>2026-09-17</t>
        </is>
      </c>
      <c r="BL597" s="10" t="inlineStr"/>
      <c r="BM597" s="10" t="inlineStr"/>
      <c r="BN597" s="10" t="inlineStr"/>
      <c r="BO597" s="10" t="inlineStr"/>
      <c r="BP597" s="10" t="inlineStr"/>
      <c r="BQ597" s="10" t="inlineStr"/>
    </row>
    <row r="598">
      <c r="A598" s="5" t="inlineStr">
        <is>
          <t>WY-0137</t>
        </is>
      </c>
      <c r="B598" s="5" t="inlineStr">
        <is>
          <t>WY-0137-01</t>
        </is>
      </c>
      <c r="C598" s="5" t="inlineStr"/>
      <c r="D598" s="5" t="inlineStr">
        <is>
          <t>Rahien Mini Market</t>
        </is>
      </c>
      <c r="E598" s="5" t="inlineStr">
        <is>
          <t>Rahien Mini Market</t>
        </is>
      </c>
      <c r="F598" s="5" t="inlineStr"/>
      <c r="G598" s="5" t="inlineStr">
        <is>
          <t>Convenience Store</t>
        </is>
      </c>
      <c r="H598" s="5" t="inlineStr">
        <is>
          <t>Mini market</t>
        </is>
      </c>
      <c r="I598" s="5" t="inlineStr">
        <is>
          <t>Independent</t>
        </is>
      </c>
      <c r="J598" s="5" t="inlineStr">
        <is>
          <t>1</t>
        </is>
      </c>
      <c r="K598" s="5" t="inlineStr"/>
      <c r="L598" s="5" t="inlineStr"/>
      <c r="M598" s="5" t="inlineStr"/>
      <c r="N598" s="5" t="inlineStr"/>
      <c r="O598" s="5" t="inlineStr">
        <is>
          <t>Queen's Road</t>
        </is>
      </c>
      <c r="P598" s="5" t="inlineStr">
        <is>
          <t>Headingley / Hyde Park</t>
        </is>
      </c>
      <c r="Q598" s="5" t="inlineStr">
        <is>
          <t>Leeds</t>
        </is>
      </c>
      <c r="R598" s="5" t="inlineStr">
        <is>
          <t>West Yorkshire</t>
        </is>
      </c>
      <c r="S598" s="5" t="inlineStr"/>
      <c r="T598" s="5" t="inlineStr">
        <is>
          <t>Yorkshire &amp; Humber</t>
        </is>
      </c>
      <c r="U598" s="5" t="inlineStr">
        <is>
          <t>England</t>
        </is>
      </c>
      <c r="V598" s="5" t="inlineStr"/>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groceries; everyday essentials</t>
        </is>
      </c>
      <c r="AL598" s="5" t="inlineStr"/>
      <c r="AM598" s="5" t="inlineStr">
        <is>
          <t>Convenience Store</t>
        </is>
      </c>
      <c r="AN598" s="5" t="inlineStr"/>
      <c r="AO598" s="5" t="inlineStr">
        <is>
          <t>Highly rated local mini market serving the Headingley student area; street number not published in sources found.</t>
        </is>
      </c>
      <c r="AP598" s="5" t="inlineStr">
        <is>
          <t>Low</t>
        </is>
      </c>
      <c r="AQ598" s="5" t="inlineStr">
        <is>
          <t>Independent retailer; Relevant category</t>
        </is>
      </c>
      <c r="AR598" s="5" t="inlineStr">
        <is>
          <t>https://www.yorkshire.com/headingley/shopping/markets/rahien-mini-market</t>
        </is>
      </c>
      <c r="AS598" s="5" t="inlineStr"/>
      <c r="AT598" s="5" t="inlineStr">
        <is>
          <t>1</t>
        </is>
      </c>
      <c r="AU598" s="5" t="inlineStr">
        <is>
          <t>No</t>
        </is>
      </c>
      <c r="AV598" s="5" t="inlineStr">
        <is>
          <t>No</t>
        </is>
      </c>
      <c r="AW598" s="5" t="inlineStr">
        <is>
          <t>No</t>
        </is>
      </c>
      <c r="AX598" s="5" t="inlineStr">
        <is>
          <t>No</t>
        </is>
      </c>
      <c r="AY598" s="5" t="inlineStr">
        <is>
          <t>Not Found</t>
        </is>
      </c>
      <c r="AZ598" s="5" t="inlineStr">
        <is>
          <t>Not Found</t>
        </is>
      </c>
      <c r="BA598" s="5" t="inlineStr">
        <is>
          <t>2026-09-17</t>
        </is>
      </c>
      <c r="BB598" s="5" t="inlineStr">
        <is>
          <t>Requires Verification</t>
        </is>
      </c>
      <c r="BC598" s="5" t="inlineStr">
        <is>
          <t>Low</t>
        </is>
      </c>
      <c r="BD598" s="5" t="inlineStr"/>
      <c r="BE598" s="5" t="inlineStr">
        <is>
          <t>Business (B2B)</t>
        </is>
      </c>
      <c r="BF598" s="5" t="inlineStr">
        <is>
          <t>Legitimate interest (B2B) - assess per campaign; PECR: corporate subscribers</t>
        </is>
      </c>
      <c r="BG598" s="5" t="inlineStr"/>
      <c r="BH598" s="5" t="inlineStr">
        <is>
          <t>No</t>
        </is>
      </c>
      <c r="BI598" s="5" t="inlineStr">
        <is>
          <t>2026-09-16</t>
        </is>
      </c>
      <c r="BJ598" s="5" t="inlineStr">
        <is>
          <t>New</t>
        </is>
      </c>
      <c r="BK598" s="5" t="inlineStr">
        <is>
          <t>2026-09-17</t>
        </is>
      </c>
      <c r="BL598" s="5" t="inlineStr"/>
      <c r="BM598" s="5" t="inlineStr"/>
      <c r="BN598" s="5" t="inlineStr"/>
      <c r="BO598" s="5" t="inlineStr"/>
      <c r="BP598" s="5" t="inlineStr"/>
      <c r="BQ598" s="5" t="inlineStr"/>
    </row>
    <row r="599">
      <c r="A599" s="10" t="inlineStr">
        <is>
          <t>UK-000647</t>
        </is>
      </c>
      <c r="B599" s="10" t="inlineStr">
        <is>
          <t>UK-000647-01</t>
        </is>
      </c>
      <c r="C599" s="10" t="inlineStr"/>
      <c r="D599" s="10" t="inlineStr">
        <is>
          <t>Rakkas</t>
        </is>
      </c>
      <c r="E599" s="10" t="inlineStr">
        <is>
          <t>Rakkas</t>
        </is>
      </c>
      <c r="F599" s="10" t="inlineStr"/>
      <c r="G599" s="10" t="inlineStr">
        <is>
          <t>Smoke / Shisha Shop</t>
        </is>
      </c>
      <c r="H599" s="10" t="inlineStr">
        <is>
          <t>Shisha lounge / Turkish restaurant</t>
        </is>
      </c>
      <c r="I599" s="10" t="inlineStr">
        <is>
          <t>Independent</t>
        </is>
      </c>
      <c r="J599" s="10" t="inlineStr">
        <is>
          <t>1</t>
        </is>
      </c>
      <c r="K599" s="10" t="inlineStr"/>
      <c r="L599" s="10" t="inlineStr"/>
      <c r="M599" s="10" t="inlineStr"/>
      <c r="N599" s="10" t="inlineStr"/>
      <c r="O599" s="10" t="inlineStr">
        <is>
          <t>369 Green Lanes</t>
        </is>
      </c>
      <c r="P599" s="10" t="inlineStr"/>
      <c r="Q599" s="10" t="inlineStr">
        <is>
          <t>Harringay</t>
        </is>
      </c>
      <c r="R599" s="10" t="inlineStr">
        <is>
          <t>Greater London</t>
        </is>
      </c>
      <c r="S599" s="10" t="inlineStr">
        <is>
          <t>N4 1DY</t>
        </is>
      </c>
      <c r="T599" s="10" t="inlineStr">
        <is>
          <t>London</t>
        </is>
      </c>
      <c r="U599" s="10" t="inlineStr">
        <is>
          <t>England</t>
        </is>
      </c>
      <c r="V599" s="10" t="inlineStr"/>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shisha; hookah</t>
        </is>
      </c>
      <c r="AL599" s="10" t="inlineStr"/>
      <c r="AM599" s="10" t="inlineStr">
        <is>
          <t>Smoke / Shisha Shop</t>
        </is>
      </c>
      <c r="AN599" s="10" t="inlineStr"/>
      <c r="AO599" s="10" t="inlineStr">
        <is>
          <t>Turkish restaurant and shisha lounge on Green Lanes, Harringay. Address/postcode from Yelp business listing.</t>
        </is>
      </c>
      <c r="AP599" s="10" t="inlineStr">
        <is>
          <t>Medium</t>
        </is>
      </c>
      <c r="AQ599" s="10" t="inlineStr">
        <is>
          <t>Independent retailer; Core relevant category</t>
        </is>
      </c>
      <c r="AR599" s="10" t="inlineStr">
        <is>
          <t>https://www.yelp.co.uk/biz/rakkas-london</t>
        </is>
      </c>
      <c r="AS599" s="10" t="inlineStr"/>
      <c r="AT599" s="10" t="inlineStr">
        <is>
          <t>1</t>
        </is>
      </c>
      <c r="AU599" s="10" t="inlineStr">
        <is>
          <t>No</t>
        </is>
      </c>
      <c r="AV599" s="10" t="inlineStr">
        <is>
          <t>No</t>
        </is>
      </c>
      <c r="AW599" s="10" t="inlineStr">
        <is>
          <t>No</t>
        </is>
      </c>
      <c r="AX599" s="10" t="inlineStr">
        <is>
          <t>No</t>
        </is>
      </c>
      <c r="AY599" s="10" t="inlineStr">
        <is>
          <t>Not Found</t>
        </is>
      </c>
      <c r="AZ599" s="10" t="inlineStr">
        <is>
          <t>Not Found</t>
        </is>
      </c>
      <c r="BA599" s="10" t="inlineStr">
        <is>
          <t>2026-09-17</t>
        </is>
      </c>
      <c r="BB599" s="10" t="inlineStr">
        <is>
          <t>Requires Verification</t>
        </is>
      </c>
      <c r="BC599" s="10" t="inlineStr">
        <is>
          <t>Medium</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2026-09-17</t>
        </is>
      </c>
      <c r="BJ599" s="10" t="inlineStr">
        <is>
          <t>New</t>
        </is>
      </c>
      <c r="BK599" s="10" t="inlineStr">
        <is>
          <t>2026-09-17</t>
        </is>
      </c>
      <c r="BL599" s="10" t="inlineStr"/>
      <c r="BM599" s="10" t="inlineStr"/>
      <c r="BN599" s="10" t="inlineStr"/>
      <c r="BO599" s="10" t="inlineStr"/>
      <c r="BP599" s="10" t="inlineStr"/>
      <c r="BQ599" s="10" t="inlineStr"/>
    </row>
    <row r="600">
      <c r="A600" s="5" t="inlineStr">
        <is>
          <t>UK-000268</t>
        </is>
      </c>
      <c r="B600" s="5" t="inlineStr">
        <is>
          <t>UK-000268-01</t>
        </is>
      </c>
      <c r="C600" s="5" t="inlineStr"/>
      <c r="D600" s="5" t="inlineStr">
        <is>
          <t>Rawal Lounge Sheffield</t>
        </is>
      </c>
      <c r="E600" s="5" t="inlineStr">
        <is>
          <t>Rawal Lounge</t>
        </is>
      </c>
      <c r="F600" s="5" t="inlineStr"/>
      <c r="G600" s="5" t="inlineStr">
        <is>
          <t>Smoke / Shisha Shop</t>
        </is>
      </c>
      <c r="H600" s="5" t="inlineStr">
        <is>
          <t>Rooftop shisha lounge</t>
        </is>
      </c>
      <c r="I600" s="5" t="inlineStr">
        <is>
          <t>Independent</t>
        </is>
      </c>
      <c r="J600" s="5" t="inlineStr">
        <is>
          <t>1</t>
        </is>
      </c>
      <c r="K600" s="5" t="inlineStr"/>
      <c r="L600" s="5" t="inlineStr"/>
      <c r="M600" s="5" t="inlineStr">
        <is>
          <t>https://www.instagram.com/rawallounge_sheffield/</t>
        </is>
      </c>
      <c r="N600" s="5" t="inlineStr"/>
      <c r="O600" s="5" t="inlineStr">
        <is>
          <t>110 John Street</t>
        </is>
      </c>
      <c r="P600" s="5" t="inlineStr">
        <is>
          <t>Highfield</t>
        </is>
      </c>
      <c r="Q600" s="5" t="inlineStr">
        <is>
          <t>Sheffield</t>
        </is>
      </c>
      <c r="R600" s="5" t="inlineStr">
        <is>
          <t>South Yorkshire</t>
        </is>
      </c>
      <c r="S600" s="5" t="inlineStr">
        <is>
          <t>S2 4QU</t>
        </is>
      </c>
      <c r="T600" s="5" t="inlineStr">
        <is>
          <t>Yorkshire &amp; Humber</t>
        </is>
      </c>
      <c r="U600" s="5" t="inlineStr">
        <is>
          <t>England</t>
        </is>
      </c>
      <c r="V600" s="5" t="inlineStr"/>
      <c r="W600" s="5" t="inlineStr"/>
      <c r="X600" s="5" t="inlineStr"/>
      <c r="Y600" s="5" t="inlineStr">
        <is>
          <t>rawalloungesheffield@hotmail.com</t>
        </is>
      </c>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shisha; soft drinks; food</t>
        </is>
      </c>
      <c r="AL600" s="5" t="inlineStr"/>
      <c r="AM600" s="5" t="inlineStr">
        <is>
          <t>Smoke / Shisha Shop</t>
        </is>
      </c>
      <c r="AN600" s="5" t="inlineStr"/>
      <c r="AO600" s="5" t="inlineStr">
        <is>
          <t>Independent rooftop shisha bar/lounge in Highfield, Sheffield. Email publicly listed alongside Instagram.</t>
        </is>
      </c>
      <c r="AP600" s="5" t="inlineStr">
        <is>
          <t>Medium</t>
        </is>
      </c>
      <c r="AQ600" s="5" t="inlineStr">
        <is>
          <t>Independent retailer; Core relevant category; Public email available; Social presence</t>
        </is>
      </c>
      <c r="AR600" s="5" t="inlineStr">
        <is>
          <t>https://www.instagram.com/rawallounge_sheffield/</t>
        </is>
      </c>
      <c r="AS600" s="5" t="inlineStr"/>
      <c r="AT600" s="5" t="inlineStr">
        <is>
          <t>1</t>
        </is>
      </c>
      <c r="AU600" s="5" t="inlineStr">
        <is>
          <t>No</t>
        </is>
      </c>
      <c r="AV600" s="5" t="inlineStr">
        <is>
          <t>No</t>
        </is>
      </c>
      <c r="AW600" s="5" t="inlineStr">
        <is>
          <t>No</t>
        </is>
      </c>
      <c r="AX600" s="5" t="inlineStr">
        <is>
          <t>No</t>
        </is>
      </c>
      <c r="AY600" s="5" t="inlineStr">
        <is>
          <t>Not Found</t>
        </is>
      </c>
      <c r="AZ600" s="5" t="inlineStr">
        <is>
          <t>Publicly Listed</t>
        </is>
      </c>
      <c r="BA600" s="5" t="inlineStr">
        <is>
          <t>2026-09-17</t>
        </is>
      </c>
      <c r="BB600" s="5" t="inlineStr">
        <is>
          <t>Requires Verification</t>
        </is>
      </c>
      <c r="BC600" s="5" t="inlineStr">
        <is>
          <t>Low</t>
        </is>
      </c>
      <c r="BD600" s="5" t="inlineStr"/>
      <c r="BE600" s="5" t="inlineStr">
        <is>
          <t>Business (B2B)</t>
        </is>
      </c>
      <c r="BF600" s="5" t="inlineStr">
        <is>
          <t>Legitimate interest (B2B) - assess per campaign; PECR: corporate subscribers</t>
        </is>
      </c>
      <c r="BG600" s="5" t="inlineStr"/>
      <c r="BH600" s="5" t="inlineStr">
        <is>
          <t>No</t>
        </is>
      </c>
      <c r="BI600" s="5" t="inlineStr">
        <is>
          <t>2026-09-16</t>
        </is>
      </c>
      <c r="BJ600" s="5" t="inlineStr">
        <is>
          <t>New</t>
        </is>
      </c>
      <c r="BK600" s="5" t="inlineStr">
        <is>
          <t>2026-09-17</t>
        </is>
      </c>
      <c r="BL600" s="5" t="inlineStr"/>
      <c r="BM600" s="5" t="inlineStr"/>
      <c r="BN600" s="5" t="inlineStr"/>
      <c r="BO600" s="5" t="inlineStr"/>
      <c r="BP600" s="5" t="inlineStr"/>
      <c r="BQ600" s="5" t="inlineStr"/>
    </row>
    <row r="601">
      <c r="A601" s="10" t="inlineStr">
        <is>
          <t>UK-000503</t>
        </is>
      </c>
      <c r="B601" s="10" t="inlineStr">
        <is>
          <t>UK-000503-01</t>
        </is>
      </c>
      <c r="C601" s="10" t="inlineStr"/>
      <c r="D601" s="10" t="inlineStr">
        <is>
          <t>Red Hot Vaping</t>
        </is>
      </c>
      <c r="E601" s="10" t="inlineStr">
        <is>
          <t>Red Hot Vaping</t>
        </is>
      </c>
      <c r="F601" s="10" t="inlineStr"/>
      <c r="G601" s="10" t="inlineStr">
        <is>
          <t>Vape Shop</t>
        </is>
      </c>
      <c r="H601" s="10" t="inlineStr">
        <is>
          <t>Vape kits, e-liquids &amp; accessories</t>
        </is>
      </c>
      <c r="I601" s="10" t="inlineStr">
        <is>
          <t>Independent</t>
        </is>
      </c>
      <c r="J601" s="10" t="inlineStr">
        <is>
          <t>1</t>
        </is>
      </c>
      <c r="K601" s="10" t="inlineStr"/>
      <c r="L601" s="10" t="inlineStr"/>
      <c r="M601" s="10" t="inlineStr"/>
      <c r="N601" s="10" t="inlineStr"/>
      <c r="O601" s="10" t="inlineStr"/>
      <c r="P601" s="10" t="inlineStr"/>
      <c r="Q601" s="10" t="inlineStr">
        <is>
          <t>Wednesbury</t>
        </is>
      </c>
      <c r="R601" s="10" t="inlineStr">
        <is>
          <t>West Midlands</t>
        </is>
      </c>
      <c r="S601" s="10" t="inlineStr"/>
      <c r="T601" s="10" t="inlineStr">
        <is>
          <t>West Midlands</t>
        </is>
      </c>
      <c r="U601" s="10" t="inlineStr">
        <is>
          <t>England</t>
        </is>
      </c>
      <c r="V601" s="10" t="inlineStr"/>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vape hardware; e-liquids; disposables</t>
        </is>
      </c>
      <c r="AL601" s="10" t="inlineStr"/>
      <c r="AM601" s="10" t="inlineStr">
        <is>
          <t>Vape Shop</t>
        </is>
      </c>
      <c r="AN601" s="10" t="inlineStr"/>
      <c r="AO601" s="10" t="inlineStr">
        <is>
          <t>Independent vape shop in Wednesbury with a wide range of flavours and devices. Listed on Puffing Bird; exact address not in snippet.</t>
        </is>
      </c>
      <c r="AP601" s="10" t="inlineStr">
        <is>
          <t>Medium</t>
        </is>
      </c>
      <c r="AQ601" s="10" t="inlineStr">
        <is>
          <t>Independent retailer; Core relevant category</t>
        </is>
      </c>
      <c r="AR601" s="10" t="inlineStr">
        <is>
          <t>https://vapeshops.puffingbird.com/england/wednesbury</t>
        </is>
      </c>
      <c r="AS601" s="10" t="inlineStr"/>
      <c r="AT601" s="10" t="inlineStr">
        <is>
          <t>1</t>
        </is>
      </c>
      <c r="AU601" s="10" t="inlineStr">
        <is>
          <t>No</t>
        </is>
      </c>
      <c r="AV601" s="10" t="inlineStr">
        <is>
          <t>No</t>
        </is>
      </c>
      <c r="AW601" s="10" t="inlineStr">
        <is>
          <t>No</t>
        </is>
      </c>
      <c r="AX601" s="10" t="inlineStr">
        <is>
          <t>No</t>
        </is>
      </c>
      <c r="AY601" s="10" t="inlineStr">
        <is>
          <t>Not Found</t>
        </is>
      </c>
      <c r="AZ601" s="10" t="inlineStr">
        <is>
          <t>Not Found</t>
        </is>
      </c>
      <c r="BA601" s="10" t="inlineStr">
        <is>
          <t>2026-09-17</t>
        </is>
      </c>
      <c r="BB601" s="10" t="inlineStr">
        <is>
          <t>Requires Verification</t>
        </is>
      </c>
      <c r="BC601" s="10" t="inlineStr">
        <is>
          <t>Low</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2026-09-17</t>
        </is>
      </c>
      <c r="BJ601" s="10" t="inlineStr">
        <is>
          <t>New</t>
        </is>
      </c>
      <c r="BK601" s="10" t="inlineStr">
        <is>
          <t>2026-09-17</t>
        </is>
      </c>
      <c r="BL601" s="10" t="inlineStr"/>
      <c r="BM601" s="10" t="inlineStr"/>
      <c r="BN601" s="10" t="inlineStr"/>
      <c r="BO601" s="10" t="inlineStr"/>
      <c r="BP601" s="10" t="inlineStr"/>
      <c r="BQ601" s="10" t="inlineStr"/>
    </row>
    <row r="602">
      <c r="A602" s="5" t="inlineStr">
        <is>
          <t>UK-000648</t>
        </is>
      </c>
      <c r="B602" s="5" t="inlineStr">
        <is>
          <t>UK-000648-01</t>
        </is>
      </c>
      <c r="C602" s="5" t="inlineStr"/>
      <c r="D602" s="5" t="inlineStr">
        <is>
          <t>Red Lion Wine</t>
        </is>
      </c>
      <c r="E602" s="5" t="inlineStr">
        <is>
          <t>Red Lion Wine</t>
        </is>
      </c>
      <c r="F602" s="5" t="inlineStr"/>
      <c r="G602" s="5" t="inlineStr">
        <is>
          <t>Off-Licence</t>
        </is>
      </c>
      <c r="H602" s="5" t="inlineStr"/>
      <c r="I602" s="5" t="inlineStr">
        <is>
          <t>Independent</t>
        </is>
      </c>
      <c r="J602" s="5" t="inlineStr">
        <is>
          <t>1</t>
        </is>
      </c>
      <c r="K602" s="5" t="inlineStr"/>
      <c r="L602" s="5" t="inlineStr"/>
      <c r="M602" s="5" t="inlineStr"/>
      <c r="N602" s="5" t="inlineStr"/>
      <c r="O602" s="5" t="inlineStr">
        <is>
          <t>184 Hither Green Lane</t>
        </is>
      </c>
      <c r="P602" s="5" t="inlineStr"/>
      <c r="Q602" s="5" t="inlineStr">
        <is>
          <t>London</t>
        </is>
      </c>
      <c r="R602" s="5" t="inlineStr">
        <is>
          <t>Greater London</t>
        </is>
      </c>
      <c r="S602" s="5" t="inlineStr">
        <is>
          <t>SE13 6QB</t>
        </is>
      </c>
      <c r="T602" s="5" t="inlineStr">
        <is>
          <t>London</t>
        </is>
      </c>
      <c r="U602" s="5" t="inlineStr">
        <is>
          <t>England</t>
        </is>
      </c>
      <c r="V602" s="5" t="inlineStr">
        <is>
          <t>020 8852 5801</t>
        </is>
      </c>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wines; beers; spirits; convenience</t>
        </is>
      </c>
      <c r="AL602" s="5" t="inlineStr"/>
      <c r="AM602" s="5" t="inlineStr">
        <is>
          <t>Off-Licence</t>
        </is>
      </c>
      <c r="AN602" s="5" t="inlineStr"/>
      <c r="AO602" s="5" t="inlineStr">
        <is>
          <t>Independent off-licence on Hither Green Lane, Lewisham. Address and phone from Yell directory.</t>
        </is>
      </c>
      <c r="AP602" s="5" t="inlineStr">
        <is>
          <t>Low</t>
        </is>
      </c>
      <c r="AQ602" s="5" t="inlineStr">
        <is>
          <t>Independent retailer; Relevant category</t>
        </is>
      </c>
      <c r="AR602" s="5" t="inlineStr">
        <is>
          <t>https://www.yell.com/s/off+licences+and+wine+merchants-lewisham-south+east+london.html</t>
        </is>
      </c>
      <c r="AS602" s="5" t="inlineStr"/>
      <c r="AT602" s="5" t="inlineStr">
        <is>
          <t>1</t>
        </is>
      </c>
      <c r="AU602" s="5" t="inlineStr">
        <is>
          <t>No</t>
        </is>
      </c>
      <c r="AV602" s="5" t="inlineStr">
        <is>
          <t>No</t>
        </is>
      </c>
      <c r="AW602" s="5" t="inlineStr">
        <is>
          <t>No</t>
        </is>
      </c>
      <c r="AX602" s="5" t="inlineStr">
        <is>
          <t>No</t>
        </is>
      </c>
      <c r="AY602" s="5" t="inlineStr">
        <is>
          <t>Verified directory</t>
        </is>
      </c>
      <c r="AZ602" s="5" t="inlineStr">
        <is>
          <t>Not Found</t>
        </is>
      </c>
      <c r="BA602" s="5" t="inlineStr">
        <is>
          <t>2026-09-17</t>
        </is>
      </c>
      <c r="BB602" s="5" t="inlineStr">
        <is>
          <t>Requires Verification</t>
        </is>
      </c>
      <c r="BC602" s="5" t="inlineStr">
        <is>
          <t>Medium</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UK-000504</t>
        </is>
      </c>
      <c r="B603" s="10" t="inlineStr">
        <is>
          <t>UK-000504-01</t>
        </is>
      </c>
      <c r="C603" s="10" t="inlineStr"/>
      <c r="D603" s="10" t="inlineStr">
        <is>
          <t>Regimental Vape</t>
        </is>
      </c>
      <c r="E603" s="10" t="inlineStr">
        <is>
          <t>Regimental Vape</t>
        </is>
      </c>
      <c r="F603" s="10" t="inlineStr">
        <is>
          <t>Regimental Vape Lounge Limited</t>
        </is>
      </c>
      <c r="G603" s="10" t="inlineStr">
        <is>
          <t>Vape Shop</t>
        </is>
      </c>
      <c r="H603" s="10" t="inlineStr">
        <is>
          <t>E-cigarette &amp; e-liquid retailer</t>
        </is>
      </c>
      <c r="I603" s="10" t="inlineStr">
        <is>
          <t>Independent</t>
        </is>
      </c>
      <c r="J603" s="10" t="inlineStr">
        <is>
          <t>1</t>
        </is>
      </c>
      <c r="K603" s="10" t="inlineStr">
        <is>
          <t>https://www.regimentalvape.co.uk/</t>
        </is>
      </c>
      <c r="L603" s="10" t="inlineStr">
        <is>
          <t>https://www.facebook.com/regimentalvapeltd/</t>
        </is>
      </c>
      <c r="M603" s="10" t="inlineStr"/>
      <c r="N603" s="10" t="inlineStr"/>
      <c r="O603" s="10" t="inlineStr">
        <is>
          <t>288-290 Linthouse Lane</t>
        </is>
      </c>
      <c r="P603" s="10" t="inlineStr">
        <is>
          <t>Wednesfield</t>
        </is>
      </c>
      <c r="Q603" s="10" t="inlineStr">
        <is>
          <t>Wolverhampton</t>
        </is>
      </c>
      <c r="R603" s="10" t="inlineStr">
        <is>
          <t>West Midlands</t>
        </is>
      </c>
      <c r="S603" s="10" t="inlineStr">
        <is>
          <t>WV11 3TT</t>
        </is>
      </c>
      <c r="T603" s="10" t="inlineStr">
        <is>
          <t>West Midlands</t>
        </is>
      </c>
      <c r="U603" s="10" t="inlineStr">
        <is>
          <t>England</t>
        </is>
      </c>
      <c r="V603" s="10" t="inlineStr">
        <is>
          <t>01902 903456</t>
        </is>
      </c>
      <c r="W603" s="10" t="inlineStr"/>
      <c r="X603" s="10" t="inlineStr"/>
      <c r="Y603" s="10" t="inlineStr"/>
      <c r="Z603" s="10" t="inlineStr"/>
      <c r="AA603" s="10" t="inlineStr"/>
      <c r="AB603" s="10" t="inlineStr"/>
      <c r="AC603" s="10" t="inlineStr"/>
      <c r="AD603" s="10" t="inlineStr"/>
      <c r="AE603" s="10" t="inlineStr">
        <is>
          <t>12283647</t>
        </is>
      </c>
      <c r="AF603" s="10" t="inlineStr"/>
      <c r="AG603" s="10" t="inlineStr">
        <is>
          <t>REGIMENTAL VAPE LOUNGE LIMITED</t>
        </is>
      </c>
      <c r="AH603" s="10" t="inlineStr"/>
      <c r="AI603" s="10" t="inlineStr"/>
      <c r="AJ603" s="10" t="inlineStr"/>
      <c r="AK603" s="10" t="inlineStr">
        <is>
          <t>vape hardware; e-liquids; kits; batteries; accessories</t>
        </is>
      </c>
      <c r="AL603" s="10" t="inlineStr"/>
      <c r="AM603" s="10" t="inlineStr">
        <is>
          <t>Vape Shop</t>
        </is>
      </c>
      <c r="AN603" s="10" t="inlineStr"/>
      <c r="AO603" s="10" t="inlineStr">
        <is>
          <t>Independent vape shop in Wednesfield (Linthouse Lane).</t>
        </is>
      </c>
      <c r="AP603" s="10" t="inlineStr">
        <is>
          <t>High</t>
        </is>
      </c>
      <c r="AQ603" s="10" t="inlineStr">
        <is>
          <t>Independent retailer; Core relevant category; Active website; Social presence; Phone verified on official website</t>
        </is>
      </c>
      <c r="AR603" s="10" t="inlineStr">
        <is>
          <t>https://www.regimentalvape.co.uk/contact</t>
        </is>
      </c>
      <c r="AS603" s="10" t="inlineStr">
        <is>
          <t>https://find-and-update.company-information.service.gov.uk/company/12283647</t>
        </is>
      </c>
      <c r="AT603" s="10" t="inlineStr">
        <is>
          <t>3</t>
        </is>
      </c>
      <c r="AU603" s="10" t="inlineStr">
        <is>
          <t>Yes</t>
        </is>
      </c>
      <c r="AV603" s="10" t="inlineStr">
        <is>
          <t>No</t>
        </is>
      </c>
      <c r="AW603" s="10" t="inlineStr">
        <is>
          <t>No</t>
        </is>
      </c>
      <c r="AX603" s="10" t="inlineStr">
        <is>
          <t>Yes</t>
        </is>
      </c>
      <c r="AY603" s="10" t="inlineStr">
        <is>
          <t>Verified on official website</t>
        </is>
      </c>
      <c r="AZ603" s="10" t="inlineStr">
        <is>
          <t>Website Found</t>
        </is>
      </c>
      <c r="BA603" s="10" t="inlineStr">
        <is>
          <t>2026-09-17</t>
        </is>
      </c>
      <c r="BB603" s="10" t="inlineStr">
        <is>
          <t>Verified (website + Companies House)</t>
        </is>
      </c>
      <c r="BC603" s="10" t="inlineStr">
        <is>
          <t>High</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2026-09-17</t>
        </is>
      </c>
      <c r="BJ603" s="10" t="inlineStr">
        <is>
          <t>New</t>
        </is>
      </c>
      <c r="BK603" s="10" t="inlineStr">
        <is>
          <t>2026-09-17</t>
        </is>
      </c>
      <c r="BL603" s="10" t="inlineStr"/>
      <c r="BM603" s="10" t="inlineStr"/>
      <c r="BN603" s="10" t="inlineStr"/>
      <c r="BO603" s="10" t="inlineStr"/>
      <c r="BP603" s="10" t="inlineStr"/>
      <c r="BQ603" s="10" t="inlineStr"/>
    </row>
    <row r="604">
      <c r="A604" s="5" t="inlineStr">
        <is>
          <t>UK-000269</t>
        </is>
      </c>
      <c r="B604" s="5" t="inlineStr">
        <is>
          <t>UK-000269-01</t>
        </is>
      </c>
      <c r="C604" s="5" t="inlineStr"/>
      <c r="D604" s="5" t="inlineStr">
        <is>
          <t>Retreat Sheesha Lounge</t>
        </is>
      </c>
      <c r="E604" s="5" t="inlineStr">
        <is>
          <t>Retreat Sheesha Lounge</t>
        </is>
      </c>
      <c r="F604" s="5" t="inlineStr"/>
      <c r="G604" s="5" t="inlineStr">
        <is>
          <t>Smoke / Shisha Shop</t>
        </is>
      </c>
      <c r="H604" s="5" t="inlineStr">
        <is>
          <t>Shisha cafe / lounge</t>
        </is>
      </c>
      <c r="I604" s="5" t="inlineStr">
        <is>
          <t>Independent</t>
        </is>
      </c>
      <c r="J604" s="5" t="inlineStr">
        <is>
          <t>1</t>
        </is>
      </c>
      <c r="K604" s="5" t="inlineStr"/>
      <c r="L604" s="5" t="inlineStr"/>
      <c r="M604" s="5" t="inlineStr"/>
      <c r="N604" s="5" t="inlineStr"/>
      <c r="O604" s="5" t="inlineStr"/>
      <c r="P604" s="5" t="inlineStr"/>
      <c r="Q604" s="5" t="inlineStr">
        <is>
          <t>Kingston upon Hull</t>
        </is>
      </c>
      <c r="R604" s="5" t="inlineStr">
        <is>
          <t>East Riding of Yorkshire</t>
        </is>
      </c>
      <c r="S604" s="5" t="inlineStr"/>
      <c r="T604" s="5" t="inlineStr">
        <is>
          <t>Yorkshire &amp; Humber</t>
        </is>
      </c>
      <c r="U604" s="5" t="inlineStr">
        <is>
          <t>England</t>
        </is>
      </c>
      <c r="V604" s="5" t="inlineStr"/>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shisha; hookah; cafe</t>
        </is>
      </c>
      <c r="AL604" s="5" t="inlineStr"/>
      <c r="AM604" s="5" t="inlineStr">
        <is>
          <t>Smoke / Shisha Shop</t>
        </is>
      </c>
      <c r="AN604" s="5" t="inlineStr"/>
      <c r="AO604" s="5" t="inlineStr">
        <is>
          <t>Independent shisha cafe/lounge in Hull, positively reviewed on TripAdvisor. No street address/phone in search results.</t>
        </is>
      </c>
      <c r="AP604" s="5" t="inlineStr">
        <is>
          <t>Medium</t>
        </is>
      </c>
      <c r="AQ604" s="5" t="inlineStr">
        <is>
          <t>Independent retailer; Core relevant category</t>
        </is>
      </c>
      <c r="AR604" s="5" t="inlineStr">
        <is>
          <t>https://www.tripadvisor.co.uk/Restaurant_Review-g186317-d4522051-Reviews-Retreat_Sheesha_Lounge-Kingston_upon_Hull_East_Riding_of_Yorkshire_England.html</t>
        </is>
      </c>
      <c r="AS604" s="5" t="inlineStr"/>
      <c r="AT604" s="5" t="inlineStr">
        <is>
          <t>1</t>
        </is>
      </c>
      <c r="AU604" s="5" t="inlineStr">
        <is>
          <t>No</t>
        </is>
      </c>
      <c r="AV604" s="5" t="inlineStr">
        <is>
          <t>No</t>
        </is>
      </c>
      <c r="AW604" s="5" t="inlineStr">
        <is>
          <t>No</t>
        </is>
      </c>
      <c r="AX604" s="5" t="inlineStr">
        <is>
          <t>No</t>
        </is>
      </c>
      <c r="AY604" s="5" t="inlineStr">
        <is>
          <t>Not Found</t>
        </is>
      </c>
      <c r="AZ604" s="5" t="inlineStr">
        <is>
          <t>Not Found</t>
        </is>
      </c>
      <c r="BA604" s="5" t="inlineStr">
        <is>
          <t>2026-09-17</t>
        </is>
      </c>
      <c r="BB604" s="5" t="inlineStr">
        <is>
          <t>Requires Verification</t>
        </is>
      </c>
      <c r="BC604" s="5" t="inlineStr">
        <is>
          <t>Low</t>
        </is>
      </c>
      <c r="BD604" s="5" t="inlineStr"/>
      <c r="BE604" s="5" t="inlineStr">
        <is>
          <t>Business (B2B)</t>
        </is>
      </c>
      <c r="BF604" s="5" t="inlineStr">
        <is>
          <t>Legitimate interest (B2B) - assess per campaign; PECR: corporate subscribers</t>
        </is>
      </c>
      <c r="BG604" s="5" t="inlineStr"/>
      <c r="BH604" s="5" t="inlineStr">
        <is>
          <t>No</t>
        </is>
      </c>
      <c r="BI604" s="5" t="inlineStr">
        <is>
          <t>2026-09-16</t>
        </is>
      </c>
      <c r="BJ604" s="5" t="inlineStr">
        <is>
          <t>New</t>
        </is>
      </c>
      <c r="BK604" s="5" t="inlineStr">
        <is>
          <t>2026-09-17</t>
        </is>
      </c>
      <c r="BL604" s="5" t="inlineStr"/>
      <c r="BM604" s="5" t="inlineStr"/>
      <c r="BN604" s="5" t="inlineStr"/>
      <c r="BO604" s="5" t="inlineStr"/>
      <c r="BP604" s="5" t="inlineStr"/>
      <c r="BQ604" s="5" t="inlineStr"/>
    </row>
    <row r="605">
      <c r="A605" s="10" t="inlineStr">
        <is>
          <t>WY-0138</t>
        </is>
      </c>
      <c r="B605" s="10" t="inlineStr">
        <is>
          <t>WY-0138-01</t>
        </is>
      </c>
      <c r="C605" s="10" t="inlineStr"/>
      <c r="D605" s="10" t="inlineStr">
        <is>
          <t>Revo Vapes</t>
        </is>
      </c>
      <c r="E605" s="10" t="inlineStr">
        <is>
          <t>Revo Vapes</t>
        </is>
      </c>
      <c r="F605" s="10" t="inlineStr"/>
      <c r="G605" s="10" t="inlineStr">
        <is>
          <t>Vape Shop</t>
        </is>
      </c>
      <c r="H605" s="10" t="inlineStr"/>
      <c r="I605" s="10" t="inlineStr">
        <is>
          <t>Independent</t>
        </is>
      </c>
      <c r="J605" s="10" t="inlineStr">
        <is>
          <t>1</t>
        </is>
      </c>
      <c r="K605" s="10" t="inlineStr"/>
      <c r="L605" s="10" t="inlineStr"/>
      <c r="M605" s="10" t="inlineStr"/>
      <c r="N605" s="10" t="inlineStr"/>
      <c r="O605" s="10" t="inlineStr">
        <is>
          <t>Unit 1a, 91 Queen Street</t>
        </is>
      </c>
      <c r="P605" s="10" t="inlineStr"/>
      <c r="Q605" s="10" t="inlineStr">
        <is>
          <t>Morley</t>
        </is>
      </c>
      <c r="R605" s="10" t="inlineStr">
        <is>
          <t>West Yorkshire</t>
        </is>
      </c>
      <c r="S605" s="10" t="inlineStr">
        <is>
          <t>LS27 8DW</t>
        </is>
      </c>
      <c r="T605" s="10" t="inlineStr">
        <is>
          <t>Yorkshire &amp; Humber</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vape hardware; e-liquids</t>
        </is>
      </c>
      <c r="AL605" s="10" t="inlineStr"/>
      <c r="AM605" s="10" t="inlineStr">
        <is>
          <t>Vape Shop</t>
        </is>
      </c>
      <c r="AN605" s="10" t="inlineStr"/>
      <c r="AO605" s="10" t="inlineStr">
        <is>
          <t>Vape shop in Morley town centre (Morley South ward).</t>
        </is>
      </c>
      <c r="AP605" s="10" t="inlineStr">
        <is>
          <t>Medium</t>
        </is>
      </c>
      <c r="AQ605" s="10" t="inlineStr">
        <is>
          <t>Independent retailer; Core relevant category</t>
        </is>
      </c>
      <c r="AR605" s="10" t="inlineStr">
        <is>
          <t>https://revo-vapes.wheree.com/</t>
        </is>
      </c>
      <c r="AS605" s="10" t="inlineStr"/>
      <c r="AT605" s="10" t="inlineStr">
        <is>
          <t>1</t>
        </is>
      </c>
      <c r="AU605" s="10" t="inlineStr">
        <is>
          <t>No</t>
        </is>
      </c>
      <c r="AV605" s="10" t="inlineStr">
        <is>
          <t>No</t>
        </is>
      </c>
      <c r="AW605" s="10" t="inlineStr">
        <is>
          <t>No</t>
        </is>
      </c>
      <c r="AX605" s="10" t="inlineStr">
        <is>
          <t>No</t>
        </is>
      </c>
      <c r="AY605" s="10" t="inlineStr">
        <is>
          <t>Not Found</t>
        </is>
      </c>
      <c r="AZ605" s="10" t="inlineStr">
        <is>
          <t>Not Found</t>
        </is>
      </c>
      <c r="BA605" s="10" t="inlineStr">
        <is>
          <t>2026-09-17</t>
        </is>
      </c>
      <c r="BB605" s="10" t="inlineStr">
        <is>
          <t>Requires Verification</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2026-09-16</t>
        </is>
      </c>
      <c r="BJ605" s="10" t="inlineStr">
        <is>
          <t>New</t>
        </is>
      </c>
      <c r="BK605" s="10" t="inlineStr">
        <is>
          <t>2026-09-17</t>
        </is>
      </c>
      <c r="BL605" s="10" t="inlineStr"/>
      <c r="BM605" s="10" t="inlineStr"/>
      <c r="BN605" s="10" t="inlineStr"/>
      <c r="BO605" s="10" t="inlineStr"/>
      <c r="BP605" s="10" t="inlineStr"/>
      <c r="BQ605" s="10" t="inlineStr"/>
    </row>
    <row r="606">
      <c r="A606" s="5" t="inlineStr">
        <is>
          <t>UK-000270</t>
        </is>
      </c>
      <c r="B606" s="5" t="inlineStr">
        <is>
          <t>UK-000270-01</t>
        </is>
      </c>
      <c r="C606" s="5" t="inlineStr"/>
      <c r="D606" s="5" t="inlineStr">
        <is>
          <t>Revolution Vape</t>
        </is>
      </c>
      <c r="E606" s="5" t="inlineStr">
        <is>
          <t>Revolution Vape</t>
        </is>
      </c>
      <c r="F606" s="5" t="inlineStr"/>
      <c r="G606" s="5" t="inlineStr">
        <is>
          <t>Vape Shop</t>
        </is>
      </c>
      <c r="H606" s="5" t="inlineStr">
        <is>
          <t>Vape shop</t>
        </is>
      </c>
      <c r="I606" s="5" t="inlineStr">
        <is>
          <t>Independent</t>
        </is>
      </c>
      <c r="J606" s="5" t="inlineStr">
        <is>
          <t>1</t>
        </is>
      </c>
      <c r="K606" s="5" t="inlineStr"/>
      <c r="L606" s="5" t="inlineStr"/>
      <c r="M606" s="5" t="inlineStr"/>
      <c r="N606" s="5" t="inlineStr"/>
      <c r="O606" s="5" t="inlineStr">
        <is>
          <t>75 High Street</t>
        </is>
      </c>
      <c r="P606" s="5" t="inlineStr">
        <is>
          <t>Wath upon Dearne</t>
        </is>
      </c>
      <c r="Q606" s="5" t="inlineStr">
        <is>
          <t>Rotherham</t>
        </is>
      </c>
      <c r="R606" s="5" t="inlineStr">
        <is>
          <t>South Yorkshire</t>
        </is>
      </c>
      <c r="S606" s="5" t="inlineStr">
        <is>
          <t>S63 7QB</t>
        </is>
      </c>
      <c r="T606" s="5" t="inlineStr">
        <is>
          <t>Yorkshire &amp; Humber</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vape hardware; e-liquids; disposables</t>
        </is>
      </c>
      <c r="AL606" s="5" t="inlineStr"/>
      <c r="AM606" s="5" t="inlineStr">
        <is>
          <t>Vape Shop</t>
        </is>
      </c>
      <c r="AN606" s="5" t="inlineStr"/>
      <c r="AO606" s="5" t="inlineStr">
        <is>
          <t>Independent vape shop on the High Street in Wath upon Dearne. Address/postcode from Cylex listing.</t>
        </is>
      </c>
      <c r="AP606" s="5" t="inlineStr">
        <is>
          <t>Medium</t>
        </is>
      </c>
      <c r="AQ606" s="5" t="inlineStr">
        <is>
          <t>Independent retailer; Core relevant category</t>
        </is>
      </c>
      <c r="AR606" s="5" t="inlineStr">
        <is>
          <t>https://wath-upon-dearne.cylex-uk.co.uk/company/revolution-vape-19882113.html</t>
        </is>
      </c>
      <c r="AS606" s="5" t="inlineStr"/>
      <c r="AT606" s="5" t="inlineStr">
        <is>
          <t>1</t>
        </is>
      </c>
      <c r="AU606" s="5" t="inlineStr">
        <is>
          <t>No</t>
        </is>
      </c>
      <c r="AV606" s="5" t="inlineStr">
        <is>
          <t>No</t>
        </is>
      </c>
      <c r="AW606" s="5" t="inlineStr">
        <is>
          <t>No</t>
        </is>
      </c>
      <c r="AX606" s="5" t="inlineStr">
        <is>
          <t>No</t>
        </is>
      </c>
      <c r="AY606" s="5" t="inlineStr">
        <is>
          <t>Not Found</t>
        </is>
      </c>
      <c r="AZ606" s="5" t="inlineStr">
        <is>
          <t>Not Found</t>
        </is>
      </c>
      <c r="BA606" s="5" t="inlineStr">
        <is>
          <t>2026-09-17</t>
        </is>
      </c>
      <c r="BB606" s="5" t="inlineStr">
        <is>
          <t>Requires Verification</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2026-09-16</t>
        </is>
      </c>
      <c r="BJ606" s="5" t="inlineStr">
        <is>
          <t>New</t>
        </is>
      </c>
      <c r="BK606" s="5" t="inlineStr">
        <is>
          <t>2026-09-17</t>
        </is>
      </c>
      <c r="BL606" s="5" t="inlineStr"/>
      <c r="BM606" s="5" t="inlineStr"/>
      <c r="BN606" s="5" t="inlineStr"/>
      <c r="BO606" s="5" t="inlineStr"/>
      <c r="BP606" s="5" t="inlineStr"/>
      <c r="BQ606" s="5" t="inlineStr"/>
    </row>
    <row r="607">
      <c r="A607" s="10" t="inlineStr">
        <is>
          <t>UK-000505</t>
        </is>
      </c>
      <c r="B607" s="10" t="inlineStr">
        <is>
          <t>UK-000505-01</t>
        </is>
      </c>
      <c r="C607" s="10" t="inlineStr"/>
      <c r="D607" s="10" t="inlineStr">
        <is>
          <t>Rhythm 'N' Vape Sedgley</t>
        </is>
      </c>
      <c r="E607" s="10" t="inlineStr">
        <is>
          <t>Rhythm 'N' Vape</t>
        </is>
      </c>
      <c r="F607" s="10" t="inlineStr"/>
      <c r="G607" s="10" t="inlineStr">
        <is>
          <t>Vape Shop</t>
        </is>
      </c>
      <c r="H607" s="10" t="inlineStr">
        <is>
          <t>Vape kits, e-liquids &amp; accessories</t>
        </is>
      </c>
      <c r="I607" s="10" t="inlineStr">
        <is>
          <t>Independent</t>
        </is>
      </c>
      <c r="J607" s="10" t="inlineStr">
        <is>
          <t>1</t>
        </is>
      </c>
      <c r="K607" s="10" t="inlineStr"/>
      <c r="L607" s="10" t="inlineStr"/>
      <c r="M607" s="10" t="inlineStr"/>
      <c r="N607" s="10" t="inlineStr"/>
      <c r="O607" s="10" t="inlineStr">
        <is>
          <t>2 Bull Ring</t>
        </is>
      </c>
      <c r="P607" s="10" t="inlineStr">
        <is>
          <t>Sedgley</t>
        </is>
      </c>
      <c r="Q607" s="10" t="inlineStr">
        <is>
          <t>Dudley</t>
        </is>
      </c>
      <c r="R607" s="10" t="inlineStr">
        <is>
          <t>West Midlands</t>
        </is>
      </c>
      <c r="S607" s="10" t="inlineStr">
        <is>
          <t>DY3 1SG</t>
        </is>
      </c>
      <c r="T607" s="10" t="inlineStr">
        <is>
          <t>West Midlands</t>
        </is>
      </c>
      <c r="U607" s="10" t="inlineStr">
        <is>
          <t>England</t>
        </is>
      </c>
      <c r="V607" s="10" t="inlineStr"/>
      <c r="W607" s="10" t="inlineStr"/>
      <c r="X607" s="10" t="inlineStr"/>
      <c r="Y607" s="10" t="inlineStr"/>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vape hardware; e-liquids; accessories</t>
        </is>
      </c>
      <c r="AL607" s="10" t="inlineStr"/>
      <c r="AM607" s="10" t="inlineStr">
        <is>
          <t>Vape Shop</t>
        </is>
      </c>
      <c r="AN607" s="10" t="inlineStr"/>
      <c r="AO607" s="10" t="inlineStr">
        <is>
          <t>Independent vape shop in Sedgley, Dudley. Address from Yelp Dudley vape shops listing snippet; WebFetch blocked so no site visited.</t>
        </is>
      </c>
      <c r="AP607" s="10" t="inlineStr">
        <is>
          <t>Medium</t>
        </is>
      </c>
      <c r="AQ607" s="10" t="inlineStr">
        <is>
          <t>Independent retailer; Core relevant category</t>
        </is>
      </c>
      <c r="AR607" s="10" t="inlineStr">
        <is>
          <t>https://www.yelp.com/search?cflt=vapeshops&amp;find_loc=Dudley%2C+West+Midlands</t>
        </is>
      </c>
      <c r="AS607" s="10" t="inlineStr"/>
      <c r="AT607" s="10" t="inlineStr">
        <is>
          <t>1</t>
        </is>
      </c>
      <c r="AU607" s="10" t="inlineStr">
        <is>
          <t>No</t>
        </is>
      </c>
      <c r="AV607" s="10" t="inlineStr">
        <is>
          <t>No</t>
        </is>
      </c>
      <c r="AW607" s="10" t="inlineStr">
        <is>
          <t>No</t>
        </is>
      </c>
      <c r="AX607" s="10" t="inlineStr">
        <is>
          <t>No</t>
        </is>
      </c>
      <c r="AY607" s="10" t="inlineStr">
        <is>
          <t>Not Found</t>
        </is>
      </c>
      <c r="AZ607" s="10" t="inlineStr">
        <is>
          <t>Not Found</t>
        </is>
      </c>
      <c r="BA607" s="10" t="inlineStr">
        <is>
          <t>2026-09-17</t>
        </is>
      </c>
      <c r="BB607" s="10" t="inlineStr">
        <is>
          <t>Requires Verification</t>
        </is>
      </c>
      <c r="BC607" s="10" t="inlineStr">
        <is>
          <t>Low</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2026-09-17</t>
        </is>
      </c>
      <c r="BJ607" s="10" t="inlineStr">
        <is>
          <t>New</t>
        </is>
      </c>
      <c r="BK607" s="10" t="inlineStr">
        <is>
          <t>2026-09-17</t>
        </is>
      </c>
      <c r="BL607" s="10" t="inlineStr"/>
      <c r="BM607" s="10" t="inlineStr"/>
      <c r="BN607" s="10" t="inlineStr"/>
      <c r="BO607" s="10" t="inlineStr"/>
      <c r="BP607" s="10" t="inlineStr"/>
      <c r="BQ607" s="10" t="inlineStr"/>
    </row>
    <row r="608">
      <c r="A608" s="5" t="inlineStr">
        <is>
          <t>UK-000271</t>
        </is>
      </c>
      <c r="B608" s="5" t="inlineStr">
        <is>
          <t>UK-000271-01</t>
        </is>
      </c>
      <c r="C608" s="5" t="inlineStr"/>
      <c r="D608" s="5" t="inlineStr">
        <is>
          <t>RicherVapes</t>
        </is>
      </c>
      <c r="E608" s="5" t="inlineStr">
        <is>
          <t>RicherVapes</t>
        </is>
      </c>
      <c r="F608" s="5" t="inlineStr"/>
      <c r="G608" s="5" t="inlineStr">
        <is>
          <t>Vape Shop</t>
        </is>
      </c>
      <c r="H608" s="5" t="inlineStr">
        <is>
          <t>E-cigarette, e-liquid &amp; hardware specialist</t>
        </is>
      </c>
      <c r="I608" s="5" t="inlineStr">
        <is>
          <t>Independent</t>
        </is>
      </c>
      <c r="J608" s="5" t="inlineStr">
        <is>
          <t>1</t>
        </is>
      </c>
      <c r="K608" s="5" t="inlineStr">
        <is>
          <t>https://richervapes.com/</t>
        </is>
      </c>
      <c r="L608" s="5" t="inlineStr">
        <is>
          <t>https://www.facebook.com/richervapes/</t>
        </is>
      </c>
      <c r="M608" s="5" t="inlineStr"/>
      <c r="N608" s="5" t="inlineStr"/>
      <c r="O608" s="5" t="inlineStr">
        <is>
          <t>2 Skeldergate</t>
        </is>
      </c>
      <c r="P608" s="5" t="inlineStr"/>
      <c r="Q608" s="5" t="inlineStr">
        <is>
          <t>York</t>
        </is>
      </c>
      <c r="R608" s="5" t="inlineStr">
        <is>
          <t>North Yorkshire</t>
        </is>
      </c>
      <c r="S608" s="5" t="inlineStr">
        <is>
          <t>YO1 6DG</t>
        </is>
      </c>
      <c r="T608" s="5" t="inlineStr">
        <is>
          <t>Yorkshire &amp; Humber</t>
        </is>
      </c>
      <c r="U608" s="5" t="inlineStr">
        <is>
          <t>England</t>
        </is>
      </c>
      <c r="V608" s="5" t="inlineStr">
        <is>
          <t>07879 654682</t>
        </is>
      </c>
      <c r="W608" s="5" t="inlineStr"/>
      <c r="X608" s="5" t="inlineStr"/>
      <c r="Y608" s="5" t="inlineStr">
        <is>
          <t>richervapes@gmail.com</t>
        </is>
      </c>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vape kits; e-liquids; replacement coils; tanks; accessories</t>
        </is>
      </c>
      <c r="AL608" s="5" t="inlineStr"/>
      <c r="AM608" s="5" t="inlineStr">
        <is>
          <t>Vape Shop</t>
        </is>
      </c>
      <c r="AN608" s="5" t="inlineStr"/>
      <c r="AO608" s="5" t="inlineStr">
        <is>
          <t>Independent York city-centre vape shop. Own website richervapes.com; shop-info page gives address 2 Skeldergate, phone and gmail contact, all surfaced via search snippets (direct fetch blocked by egress policy). Open Mon-Sat 10:00-17:00.</t>
        </is>
      </c>
      <c r="AP608" s="5" t="inlineStr">
        <is>
          <t>High</t>
        </is>
      </c>
      <c r="AQ608" s="5" t="inlineStr">
        <is>
          <t>Independent retailer; Core relevant category; Public email available; Active website; Social presence</t>
        </is>
      </c>
      <c r="AR608" s="5" t="inlineStr">
        <is>
          <t>https://richervapes.com/pages/come-and-visit-us</t>
        </is>
      </c>
      <c r="AS608" s="5" t="inlineStr">
        <is>
          <t>https://www.yell.com/biz/richer-vapes-york-8974674/</t>
        </is>
      </c>
      <c r="AT608" s="5" t="inlineStr">
        <is>
          <t>3</t>
        </is>
      </c>
      <c r="AU608" s="5" t="inlineStr">
        <is>
          <t>No</t>
        </is>
      </c>
      <c r="AV608" s="5" t="inlineStr">
        <is>
          <t>No</t>
        </is>
      </c>
      <c r="AW608" s="5" t="inlineStr">
        <is>
          <t>No</t>
        </is>
      </c>
      <c r="AX608" s="5" t="inlineStr">
        <is>
          <t>No</t>
        </is>
      </c>
      <c r="AY608" s="5" t="inlineStr">
        <is>
          <t>Verified directory</t>
        </is>
      </c>
      <c r="AZ608" s="5" t="inlineStr">
        <is>
          <t>Publicly Listed</t>
        </is>
      </c>
      <c r="BA608" s="5" t="inlineStr">
        <is>
          <t>2026-09-17</t>
        </is>
      </c>
      <c r="BB608" s="5" t="inlineStr">
        <is>
          <t>Requires Verification</t>
        </is>
      </c>
      <c r="BC608" s="5" t="inlineStr">
        <is>
          <t>Medium</t>
        </is>
      </c>
      <c r="BD608" s="5" t="inlineStr"/>
      <c r="BE608" s="5" t="inlineStr">
        <is>
          <t>Business (B2B)</t>
        </is>
      </c>
      <c r="BF608" s="5" t="inlineStr">
        <is>
          <t>Legitimate interest (B2B) - assess per campaign; PECR: corporate subscribers</t>
        </is>
      </c>
      <c r="BG608" s="5" t="inlineStr"/>
      <c r="BH608" s="5" t="inlineStr">
        <is>
          <t>No</t>
        </is>
      </c>
      <c r="BI608" s="5" t="inlineStr">
        <is>
          <t>2026-09-16</t>
        </is>
      </c>
      <c r="BJ608" s="5" t="inlineStr">
        <is>
          <t>New</t>
        </is>
      </c>
      <c r="BK608" s="5" t="inlineStr">
        <is>
          <t>2026-09-17</t>
        </is>
      </c>
      <c r="BL608" s="5" t="inlineStr"/>
      <c r="BM608" s="5" t="inlineStr"/>
      <c r="BN608" s="5" t="inlineStr"/>
      <c r="BO608" s="5" t="inlineStr"/>
      <c r="BP608" s="5" t="inlineStr"/>
      <c r="BQ608" s="5" t="inlineStr"/>
    </row>
    <row r="609">
      <c r="A609" s="10" t="inlineStr">
        <is>
          <t>UK-000272</t>
        </is>
      </c>
      <c r="B609" s="10" t="inlineStr">
        <is>
          <t>UK-000272-01</t>
        </is>
      </c>
      <c r="C609" s="10" t="inlineStr"/>
      <c r="D609" s="10" t="inlineStr">
        <is>
          <t>Ripon News</t>
        </is>
      </c>
      <c r="E609" s="10" t="inlineStr">
        <is>
          <t>Ripon News</t>
        </is>
      </c>
      <c r="F609" s="10" t="inlineStr"/>
      <c r="G609" s="10" t="inlineStr">
        <is>
          <t>Newsagent</t>
        </is>
      </c>
      <c r="H609" s="10" t="inlineStr">
        <is>
          <t>Newsagent &amp; convenience</t>
        </is>
      </c>
      <c r="I609" s="10" t="inlineStr">
        <is>
          <t>Independent</t>
        </is>
      </c>
      <c r="J609" s="10" t="inlineStr">
        <is>
          <t>1</t>
        </is>
      </c>
      <c r="K609" s="10" t="inlineStr"/>
      <c r="L609" s="10" t="inlineStr"/>
      <c r="M609" s="10" t="inlineStr"/>
      <c r="N609" s="10" t="inlineStr"/>
      <c r="O609" s="10" t="inlineStr">
        <is>
          <t>54 North Street</t>
        </is>
      </c>
      <c r="P609" s="10" t="inlineStr"/>
      <c r="Q609" s="10" t="inlineStr">
        <is>
          <t>Ripon</t>
        </is>
      </c>
      <c r="R609" s="10" t="inlineStr">
        <is>
          <t>North Yorkshire</t>
        </is>
      </c>
      <c r="S609" s="10" t="inlineStr">
        <is>
          <t>HG4 1EN</t>
        </is>
      </c>
      <c r="T609" s="10" t="inlineStr">
        <is>
          <t>Yorkshire &amp; Humber</t>
        </is>
      </c>
      <c r="U609" s="10" t="inlineStr">
        <is>
          <t>England</t>
        </is>
      </c>
      <c r="V609" s="10" t="inlineStr">
        <is>
          <t>01765 604337</t>
        </is>
      </c>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newspapers; magazines; convenience groceries; confectionery</t>
        </is>
      </c>
      <c r="AL609" s="10" t="inlineStr"/>
      <c r="AM609" s="10" t="inlineStr">
        <is>
          <t>Newsagent</t>
        </is>
      </c>
      <c r="AN609" s="10" t="inlineStr"/>
      <c r="AO609" s="10" t="inlineStr">
        <is>
          <t>Independent Ripon newsagent at 54 North Street (HG4 1EN). Address/phone from Scoot / Touch Local directory listings via search snippets.</t>
        </is>
      </c>
      <c r="AP609" s="10" t="inlineStr">
        <is>
          <t>Low</t>
        </is>
      </c>
      <c r="AQ609" s="10" t="inlineStr">
        <is>
          <t>Independent retailer; Relevant category</t>
        </is>
      </c>
      <c r="AR609" s="10" t="inlineStr">
        <is>
          <t>https://www.scoot.co.uk/England/North-Yorkshire/Ripon/Ripon-News-CFRK298.html</t>
        </is>
      </c>
      <c r="AS609" s="10" t="inlineStr"/>
      <c r="AT609" s="10" t="inlineStr">
        <is>
          <t>1</t>
        </is>
      </c>
      <c r="AU609" s="10" t="inlineStr">
        <is>
          <t>No</t>
        </is>
      </c>
      <c r="AV609" s="10" t="inlineStr">
        <is>
          <t>No</t>
        </is>
      </c>
      <c r="AW609" s="10" t="inlineStr">
        <is>
          <t>No</t>
        </is>
      </c>
      <c r="AX609" s="10" t="inlineStr">
        <is>
          <t>No</t>
        </is>
      </c>
      <c r="AY609" s="10" t="inlineStr">
        <is>
          <t>Verified directory</t>
        </is>
      </c>
      <c r="AZ609" s="10" t="inlineStr">
        <is>
          <t>Not Found</t>
        </is>
      </c>
      <c r="BA609" s="10" t="inlineStr">
        <is>
          <t>2026-09-17</t>
        </is>
      </c>
      <c r="BB609" s="10" t="inlineStr">
        <is>
          <t>Requires Verification</t>
        </is>
      </c>
      <c r="BC609" s="10" t="inlineStr">
        <is>
          <t>Low</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2026-09-16</t>
        </is>
      </c>
      <c r="BJ609" s="10" t="inlineStr">
        <is>
          <t>New</t>
        </is>
      </c>
      <c r="BK609" s="10" t="inlineStr">
        <is>
          <t>2026-09-17</t>
        </is>
      </c>
      <c r="BL609" s="10" t="inlineStr"/>
      <c r="BM609" s="10" t="inlineStr"/>
      <c r="BN609" s="10" t="inlineStr"/>
      <c r="BO609" s="10" t="inlineStr"/>
      <c r="BP609" s="10" t="inlineStr"/>
      <c r="BQ609" s="10" t="inlineStr"/>
    </row>
    <row r="610">
      <c r="A610" s="5" t="inlineStr">
        <is>
          <t>UK-000811</t>
        </is>
      </c>
      <c r="B610" s="5" t="inlineStr">
        <is>
          <t>UK-000811-01</t>
        </is>
      </c>
      <c r="C610" s="5" t="inlineStr"/>
      <c r="D610" s="5" t="inlineStr">
        <is>
          <t>Roots, Fruits &amp; Flowers</t>
        </is>
      </c>
      <c r="E610" s="5" t="inlineStr">
        <is>
          <t>Roots, Fruits &amp; Flowers</t>
        </is>
      </c>
      <c r="F610" s="5" t="inlineStr">
        <is>
          <t>Roots &amp; Fruits &amp; Flowers (Glasgow) Ltd.</t>
        </is>
      </c>
      <c r="G610" s="5" t="inlineStr">
        <is>
          <t>Independent Supermarket</t>
        </is>
      </c>
      <c r="H610" s="5" t="inlineStr">
        <is>
          <t>Wholefoods / greengrocer / deli</t>
        </is>
      </c>
      <c r="I610" s="5" t="inlineStr">
        <is>
          <t>Independent</t>
        </is>
      </c>
      <c r="J610" s="5" t="inlineStr">
        <is>
          <t>1</t>
        </is>
      </c>
      <c r="K610" s="5" t="inlineStr">
        <is>
          <t>https://www.rootsfruitsandflowers.com/</t>
        </is>
      </c>
      <c r="L610" s="5" t="inlineStr"/>
      <c r="M610" s="5" t="inlineStr"/>
      <c r="N610" s="5" t="inlineStr"/>
      <c r="O610" s="5" t="inlineStr">
        <is>
          <t>455 Great Western Road</t>
        </is>
      </c>
      <c r="P610" s="5" t="inlineStr">
        <is>
          <t>Kelvinbridge (West End)</t>
        </is>
      </c>
      <c r="Q610" s="5" t="inlineStr">
        <is>
          <t>Glasgow</t>
        </is>
      </c>
      <c r="R610" s="5" t="inlineStr">
        <is>
          <t>Glasgow City</t>
        </is>
      </c>
      <c r="S610" s="5" t="inlineStr">
        <is>
          <t>G12 8HH</t>
        </is>
      </c>
      <c r="T610" s="5" t="inlineStr">
        <is>
          <t>Scotland</t>
        </is>
      </c>
      <c r="U610" s="5" t="inlineStr">
        <is>
          <t>Scotland</t>
        </is>
      </c>
      <c r="V610" s="5" t="inlineStr">
        <is>
          <t>0141 334 3530</t>
        </is>
      </c>
      <c r="W610" s="5" t="inlineStr"/>
      <c r="X610" s="5" t="inlineStr"/>
      <c r="Y610" s="5" t="inlineStr"/>
      <c r="Z610" s="5" t="inlineStr"/>
      <c r="AA610" s="5" t="inlineStr"/>
      <c r="AB610" s="5" t="inlineStr"/>
      <c r="AC610" s="5" t="inlineStr"/>
      <c r="AD610" s="5" t="inlineStr"/>
      <c r="AE610" s="5" t="inlineStr">
        <is>
          <t>SC380017</t>
        </is>
      </c>
      <c r="AF610" s="5" t="inlineStr"/>
      <c r="AG610" s="5" t="inlineStr">
        <is>
          <t>ROOTS &amp; FRUITS &amp; FLOWERS (GLASGOW) LTD.</t>
        </is>
      </c>
      <c r="AH610" s="5" t="inlineStr"/>
      <c r="AI610" s="5" t="inlineStr"/>
      <c r="AJ610" s="5" t="inlineStr"/>
      <c r="AK610" s="5" t="inlineStr">
        <is>
          <t>wholefoods; fruit &amp; veg; delicatessen; grocery</t>
        </is>
      </c>
      <c r="AL610" s="5" t="inlineStr"/>
      <c r="AM610" s="5" t="inlineStr">
        <is>
          <t>Independent Supermarket</t>
        </is>
      </c>
      <c r="AN610" s="5" t="inlineStr"/>
      <c r="AO610" s="5" t="inlineStr">
        <is>
          <t>Independent West End wholefoods shop / greengrocer / deli on Great Western Road, Kelvinbridge. Companies House SC380017. Website, phone and postcode confirmed across own site and directories.</t>
        </is>
      </c>
      <c r="AP610" s="5" t="inlineStr">
        <is>
          <t>Medium</t>
        </is>
      </c>
      <c r="AQ610" s="5" t="inlineStr">
        <is>
          <t>Independent retailer; Relevant category; Active website</t>
        </is>
      </c>
      <c r="AR610" s="5" t="inlineStr">
        <is>
          <t>https://www.rootsfruitsandflowers.com/pages/contact-opening-hours</t>
        </is>
      </c>
      <c r="AS610" s="5" t="inlineStr">
        <is>
          <t>https://find-and-update.company-information.service.gov.uk/company/SC380017/officers</t>
        </is>
      </c>
      <c r="AT610" s="5" t="inlineStr">
        <is>
          <t>2</t>
        </is>
      </c>
      <c r="AU610" s="5" t="inlineStr">
        <is>
          <t>No</t>
        </is>
      </c>
      <c r="AV610" s="5" t="inlineStr">
        <is>
          <t>No</t>
        </is>
      </c>
      <c r="AW610" s="5" t="inlineStr">
        <is>
          <t>No</t>
        </is>
      </c>
      <c r="AX610" s="5" t="inlineStr">
        <is>
          <t>No</t>
        </is>
      </c>
      <c r="AY610" s="5" t="inlineStr">
        <is>
          <t>Verified directory</t>
        </is>
      </c>
      <c r="AZ610" s="5" t="inlineStr">
        <is>
          <t>Website Found</t>
        </is>
      </c>
      <c r="BA610" s="5" t="inlineStr">
        <is>
          <t>2026-09-17</t>
        </is>
      </c>
      <c r="BB610" s="5" t="inlineStr">
        <is>
          <t>Requires Verification</t>
        </is>
      </c>
      <c r="BC610" s="5" t="inlineStr">
        <is>
          <t>High</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UK-000506</t>
        </is>
      </c>
      <c r="B611" s="10" t="inlineStr">
        <is>
          <t>UK-000506-01</t>
        </is>
      </c>
      <c r="C611" s="10" t="inlineStr"/>
      <c r="D611" s="10" t="inlineStr">
        <is>
          <t>Rowley News</t>
        </is>
      </c>
      <c r="E611" s="10" t="inlineStr">
        <is>
          <t>Rowley News</t>
        </is>
      </c>
      <c r="F611" s="10" t="inlineStr"/>
      <c r="G611" s="10" t="inlineStr">
        <is>
          <t>Newsagent</t>
        </is>
      </c>
      <c r="H611" s="10" t="inlineStr">
        <is>
          <t>Newsagent &amp; convenience</t>
        </is>
      </c>
      <c r="I611" s="10" t="inlineStr">
        <is>
          <t>Independent</t>
        </is>
      </c>
      <c r="J611" s="10" t="inlineStr">
        <is>
          <t>1</t>
        </is>
      </c>
      <c r="K611" s="10" t="inlineStr"/>
      <c r="L611" s="10" t="inlineStr"/>
      <c r="M611" s="10" t="inlineStr"/>
      <c r="N611" s="10" t="inlineStr"/>
      <c r="O611" s="10" t="inlineStr"/>
      <c r="P611" s="10" t="inlineStr"/>
      <c r="Q611" s="10" t="inlineStr">
        <is>
          <t>Rowley Regis</t>
        </is>
      </c>
      <c r="R611" s="10" t="inlineStr">
        <is>
          <t>West Midlands</t>
        </is>
      </c>
      <c r="S611" s="10" t="inlineStr"/>
      <c r="T611" s="10" t="inlineStr">
        <is>
          <t>West Midlands</t>
        </is>
      </c>
      <c r="U611" s="10" t="inlineStr">
        <is>
          <t>England</t>
        </is>
      </c>
      <c r="V611" s="10" t="inlineStr"/>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newspapers; magazines; convenience; tobacco</t>
        </is>
      </c>
      <c r="AL611" s="10" t="inlineStr"/>
      <c r="AM611" s="10" t="inlineStr">
        <is>
          <t>Newsagent</t>
        </is>
      </c>
      <c r="AN611" s="10" t="inlineStr"/>
      <c r="AO611" s="10" t="inlineStr">
        <is>
          <t>Independent newsagent/convenience store in Rowley Regis. Listed on Cylex Rowley Regis; exact street address not in snippet.</t>
        </is>
      </c>
      <c r="AP611" s="10" t="inlineStr">
        <is>
          <t>Low</t>
        </is>
      </c>
      <c r="AQ611" s="10" t="inlineStr">
        <is>
          <t>Independent retailer; Relevant category</t>
        </is>
      </c>
      <c r="AR611" s="10" t="inlineStr">
        <is>
          <t>https://rowley-regis.cylex-uk.co.uk/company/rowley-news-13010899.html</t>
        </is>
      </c>
      <c r="AS611" s="10" t="inlineStr"/>
      <c r="AT611" s="10" t="inlineStr">
        <is>
          <t>1</t>
        </is>
      </c>
      <c r="AU611" s="10" t="inlineStr">
        <is>
          <t>No</t>
        </is>
      </c>
      <c r="AV611" s="10" t="inlineStr">
        <is>
          <t>No</t>
        </is>
      </c>
      <c r="AW611" s="10" t="inlineStr">
        <is>
          <t>No</t>
        </is>
      </c>
      <c r="AX611" s="10" t="inlineStr">
        <is>
          <t>No</t>
        </is>
      </c>
      <c r="AY611" s="10" t="inlineStr">
        <is>
          <t>Not Found</t>
        </is>
      </c>
      <c r="AZ611" s="10" t="inlineStr">
        <is>
          <t>Not Found</t>
        </is>
      </c>
      <c r="BA611" s="10" t="inlineStr">
        <is>
          <t>2026-09-17</t>
        </is>
      </c>
      <c r="BB611" s="10" t="inlineStr">
        <is>
          <t>Requires Verification</t>
        </is>
      </c>
      <c r="BC611" s="10" t="inlineStr">
        <is>
          <t>Low</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UK-000507</t>
        </is>
      </c>
      <c r="B612" s="5" t="inlineStr">
        <is>
          <t>UK-000507-01</t>
        </is>
      </c>
      <c r="C612" s="5" t="inlineStr"/>
      <c r="D612" s="5" t="inlineStr">
        <is>
          <t>Royal Liquors</t>
        </is>
      </c>
      <c r="E612" s="5" t="inlineStr">
        <is>
          <t>Royal Liquors</t>
        </is>
      </c>
      <c r="F612" s="5" t="inlineStr"/>
      <c r="G612" s="5" t="inlineStr">
        <is>
          <t>Off-Licence</t>
        </is>
      </c>
      <c r="H612" s="5" t="inlineStr">
        <is>
          <t>Off-licence &amp; convenience</t>
        </is>
      </c>
      <c r="I612" s="5" t="inlineStr">
        <is>
          <t>Independent</t>
        </is>
      </c>
      <c r="J612" s="5" t="inlineStr">
        <is>
          <t>1</t>
        </is>
      </c>
      <c r="K612" s="5" t="inlineStr"/>
      <c r="L612" s="5" t="inlineStr"/>
      <c r="M612" s="5" t="inlineStr"/>
      <c r="N612" s="5" t="inlineStr"/>
      <c r="O612" s="5" t="inlineStr">
        <is>
          <t>330 Pound Road</t>
        </is>
      </c>
      <c r="P612" s="5" t="inlineStr"/>
      <c r="Q612" s="5" t="inlineStr">
        <is>
          <t>Oldbury</t>
        </is>
      </c>
      <c r="R612" s="5" t="inlineStr">
        <is>
          <t>West Midlands</t>
        </is>
      </c>
      <c r="S612" s="5" t="inlineStr">
        <is>
          <t>B68 8NQ</t>
        </is>
      </c>
      <c r="T612" s="5" t="inlineStr">
        <is>
          <t>West Midlands</t>
        </is>
      </c>
      <c r="U612" s="5" t="inlineStr">
        <is>
          <t>England</t>
        </is>
      </c>
      <c r="V612" s="5" t="inlineStr">
        <is>
          <t>0121 544 2719</t>
        </is>
      </c>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beers; wines; spirits; tobacco; convenience</t>
        </is>
      </c>
      <c r="AL612" s="5" t="inlineStr"/>
      <c r="AM612" s="5" t="inlineStr">
        <is>
          <t>Off-Licence</t>
        </is>
      </c>
      <c r="AN612" s="5" t="inlineStr"/>
      <c r="AO612" s="5" t="inlineStr">
        <is>
          <t>Independent off-licence, 330 Pound Road, Oldbury. Address and phone from Yell Oldbury off-licences listing snippet.</t>
        </is>
      </c>
      <c r="AP612" s="5" t="inlineStr">
        <is>
          <t>Low</t>
        </is>
      </c>
      <c r="AQ612" s="5" t="inlineStr">
        <is>
          <t>Independent retailer; Relevant category</t>
        </is>
      </c>
      <c r="AR612" s="5" t="inlineStr">
        <is>
          <t>https://www.yell.com/s/off+licences+and+wine+merchants-oldbury-west+midlands.html</t>
        </is>
      </c>
      <c r="AS612" s="5" t="inlineStr"/>
      <c r="AT612" s="5" t="inlineStr">
        <is>
          <t>1</t>
        </is>
      </c>
      <c r="AU612" s="5" t="inlineStr">
        <is>
          <t>No</t>
        </is>
      </c>
      <c r="AV612" s="5" t="inlineStr">
        <is>
          <t>No</t>
        </is>
      </c>
      <c r="AW612" s="5" t="inlineStr">
        <is>
          <t>No</t>
        </is>
      </c>
      <c r="AX612" s="5" t="inlineStr">
        <is>
          <t>No</t>
        </is>
      </c>
      <c r="AY612" s="5" t="inlineStr">
        <is>
          <t>Verified directory</t>
        </is>
      </c>
      <c r="AZ612" s="5" t="inlineStr">
        <is>
          <t>Not Found</t>
        </is>
      </c>
      <c r="BA612" s="5" t="inlineStr">
        <is>
          <t>2026-09-17</t>
        </is>
      </c>
      <c r="BB612" s="5" t="inlineStr">
        <is>
          <t>Requires Verification</t>
        </is>
      </c>
      <c r="BC612" s="5" t="inlineStr">
        <is>
          <t>Medium</t>
        </is>
      </c>
      <c r="BD612" s="5" t="inlineStr"/>
      <c r="BE612" s="5" t="inlineStr">
        <is>
          <t>Business (B2B)</t>
        </is>
      </c>
      <c r="BF612" s="5" t="inlineStr">
        <is>
          <t>Legitimate interest (B2B) - assess per campaign; PECR: corporate subscribers</t>
        </is>
      </c>
      <c r="BG612" s="5" t="inlineStr"/>
      <c r="BH612" s="5" t="inlineStr">
        <is>
          <t>No</t>
        </is>
      </c>
      <c r="BI612" s="5" t="inlineStr">
        <is>
          <t>2026-09-17</t>
        </is>
      </c>
      <c r="BJ612" s="5" t="inlineStr">
        <is>
          <t>New</t>
        </is>
      </c>
      <c r="BK612" s="5" t="inlineStr">
        <is>
          <t>2026-09-17</t>
        </is>
      </c>
      <c r="BL612" s="5" t="inlineStr"/>
      <c r="BM612" s="5" t="inlineStr"/>
      <c r="BN612" s="5" t="inlineStr"/>
      <c r="BO612" s="5" t="inlineStr"/>
      <c r="BP612" s="5" t="inlineStr"/>
      <c r="BQ612" s="5" t="inlineStr"/>
    </row>
    <row r="613">
      <c r="A613" s="10" t="inlineStr">
        <is>
          <t>UK-000649</t>
        </is>
      </c>
      <c r="B613" s="10" t="inlineStr">
        <is>
          <t>UK-000649-01</t>
        </is>
      </c>
      <c r="C613" s="10" t="inlineStr"/>
      <c r="D613" s="10" t="inlineStr">
        <is>
          <t>Rushey Green Food &amp; Wine</t>
        </is>
      </c>
      <c r="E613" s="10" t="inlineStr">
        <is>
          <t>Rushey Green Food &amp; Wine</t>
        </is>
      </c>
      <c r="F613" s="10" t="inlineStr"/>
      <c r="G613" s="10" t="inlineStr">
        <is>
          <t>Off-Licence</t>
        </is>
      </c>
      <c r="H613" s="10" t="inlineStr"/>
      <c r="I613" s="10" t="inlineStr">
        <is>
          <t>Independent</t>
        </is>
      </c>
      <c r="J613" s="10" t="inlineStr">
        <is>
          <t>1</t>
        </is>
      </c>
      <c r="K613" s="10" t="inlineStr"/>
      <c r="L613" s="10" t="inlineStr"/>
      <c r="M613" s="10" t="inlineStr"/>
      <c r="N613" s="10" t="inlineStr"/>
      <c r="O613" s="10" t="inlineStr">
        <is>
          <t>131 Rushey Green</t>
        </is>
      </c>
      <c r="P613" s="10" t="inlineStr">
        <is>
          <t>Catford</t>
        </is>
      </c>
      <c r="Q613" s="10" t="inlineStr">
        <is>
          <t>London</t>
        </is>
      </c>
      <c r="R613" s="10" t="inlineStr">
        <is>
          <t>Greater London</t>
        </is>
      </c>
      <c r="S613" s="10" t="inlineStr">
        <is>
          <t>SE6 4AA</t>
        </is>
      </c>
      <c r="T613" s="10" t="inlineStr">
        <is>
          <t>London</t>
        </is>
      </c>
      <c r="U613" s="10" t="inlineStr">
        <is>
          <t>England</t>
        </is>
      </c>
      <c r="V613" s="10" t="inlineStr">
        <is>
          <t>020 3632 7442</t>
        </is>
      </c>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grocery; off-licence; convenience</t>
        </is>
      </c>
      <c r="AL613" s="10" t="inlineStr"/>
      <c r="AM613" s="10" t="inlineStr">
        <is>
          <t>Off-Licence</t>
        </is>
      </c>
      <c r="AN613" s="10" t="inlineStr"/>
      <c r="AO613" s="10" t="inlineStr">
        <is>
          <t>Independent off-licence / food &amp; wine store, Catford. Address and phone from Yell directory.</t>
        </is>
      </c>
      <c r="AP613" s="10" t="inlineStr">
        <is>
          <t>Low</t>
        </is>
      </c>
      <c r="AQ613" s="10" t="inlineStr">
        <is>
          <t>Independent retailer; Relevant category</t>
        </is>
      </c>
      <c r="AR613" s="10" t="inlineStr">
        <is>
          <t>https://www.yell.com/s/off+licences+and+wine+merchants-lewisham-south+east+london.html</t>
        </is>
      </c>
      <c r="AS613" s="10" t="inlineStr"/>
      <c r="AT613" s="10" t="inlineStr">
        <is>
          <t>1</t>
        </is>
      </c>
      <c r="AU613" s="10" t="inlineStr">
        <is>
          <t>No</t>
        </is>
      </c>
      <c r="AV613" s="10" t="inlineStr">
        <is>
          <t>No</t>
        </is>
      </c>
      <c r="AW613" s="10" t="inlineStr">
        <is>
          <t>No</t>
        </is>
      </c>
      <c r="AX613" s="10" t="inlineStr">
        <is>
          <t>No</t>
        </is>
      </c>
      <c r="AY613" s="10" t="inlineStr">
        <is>
          <t>Verified directory</t>
        </is>
      </c>
      <c r="AZ613" s="10" t="inlineStr">
        <is>
          <t>Not Found</t>
        </is>
      </c>
      <c r="BA613" s="10" t="inlineStr">
        <is>
          <t>2026-09-17</t>
        </is>
      </c>
      <c r="BB613" s="10" t="inlineStr">
        <is>
          <t>Requires Verification</t>
        </is>
      </c>
      <c r="BC613" s="10" t="inlineStr">
        <is>
          <t>Medium</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2026-09-17</t>
        </is>
      </c>
      <c r="BJ613" s="10" t="inlineStr">
        <is>
          <t>New</t>
        </is>
      </c>
      <c r="BK613" s="10" t="inlineStr">
        <is>
          <t>2026-09-17</t>
        </is>
      </c>
      <c r="BL613" s="10" t="inlineStr"/>
      <c r="BM613" s="10" t="inlineStr"/>
      <c r="BN613" s="10" t="inlineStr"/>
      <c r="BO613" s="10" t="inlineStr"/>
      <c r="BP613" s="10" t="inlineStr"/>
      <c r="BQ613" s="10" t="inlineStr"/>
    </row>
    <row r="614">
      <c r="A614" s="5" t="inlineStr">
        <is>
          <t>WY-0139</t>
        </is>
      </c>
      <c r="B614" s="5" t="inlineStr">
        <is>
          <t>WY-0139-01</t>
        </is>
      </c>
      <c r="C614" s="5" t="inlineStr"/>
      <c r="D614" s="5" t="inlineStr">
        <is>
          <t>Ryans The Tobacconist</t>
        </is>
      </c>
      <c r="E614" s="5" t="inlineStr">
        <is>
          <t>Ryans</t>
        </is>
      </c>
      <c r="F614" s="5" t="inlineStr"/>
      <c r="G614" s="5" t="inlineStr">
        <is>
          <t>Tobacco Specialist</t>
        </is>
      </c>
      <c r="H614" s="5" t="inlineStr">
        <is>
          <t>Traditional tobacconist - cigars, pipes, tobacco</t>
        </is>
      </c>
      <c r="I614" s="5" t="inlineStr">
        <is>
          <t>Independent</t>
        </is>
      </c>
      <c r="J614" s="5" t="inlineStr">
        <is>
          <t>1</t>
        </is>
      </c>
      <c r="K614" s="5" t="inlineStr">
        <is>
          <t>https://www.ryanstobacconist.co.uk/</t>
        </is>
      </c>
      <c r="L614" s="5" t="inlineStr">
        <is>
          <t>https://www.facebook.com/ryans.tobacconist/</t>
        </is>
      </c>
      <c r="M614" s="5" t="inlineStr">
        <is>
          <t>https://www.instagram.com/ryansthetobacconist/</t>
        </is>
      </c>
      <c r="N614" s="5" t="inlineStr"/>
      <c r="O614" s="5" t="inlineStr">
        <is>
          <t>5 The Headrow</t>
        </is>
      </c>
      <c r="P614" s="5" t="inlineStr">
        <is>
          <t>City Centre</t>
        </is>
      </c>
      <c r="Q614" s="5" t="inlineStr">
        <is>
          <t>Leeds</t>
        </is>
      </c>
      <c r="R614" s="5" t="inlineStr">
        <is>
          <t>West Yorkshire</t>
        </is>
      </c>
      <c r="S614" s="5" t="inlineStr">
        <is>
          <t>LS1 6PU</t>
        </is>
      </c>
      <c r="T614" s="5" t="inlineStr">
        <is>
          <t>Yorkshire &amp; Humber</t>
        </is>
      </c>
      <c r="U614" s="5" t="inlineStr">
        <is>
          <t>England</t>
        </is>
      </c>
      <c r="V614" s="5" t="inlineStr">
        <is>
          <t>0113 242 2585</t>
        </is>
      </c>
      <c r="W614" s="5" t="inlineStr"/>
      <c r="X614" s="5" t="inlineStr"/>
      <c r="Y614" s="5" t="inlineStr">
        <is>
          <t>Ryans.2000@outlook.com</t>
        </is>
      </c>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cigarettes; cigars; pipe tobacco; smoking accessories</t>
        </is>
      </c>
      <c r="AL614" s="5" t="inlineStr"/>
      <c r="AM614" s="5" t="inlineStr">
        <is>
          <t>Tobacco Specialist</t>
        </is>
      </c>
      <c r="AN614" s="5" t="inlineStr"/>
      <c r="AO614" s="5" t="inlineStr">
        <is>
          <t>Described as the sole traditional and modern tobacconist in Leeds, trading for more than 40 years. Email as published on their contact page (surfaced in search results).</t>
        </is>
      </c>
      <c r="AP614" s="5" t="inlineStr">
        <is>
          <t>High</t>
        </is>
      </c>
      <c r="AQ614" s="5" t="inlineStr">
        <is>
          <t>Independent retailer; Core relevant category; Public email available; Active website; Social presence</t>
        </is>
      </c>
      <c r="AR614" s="5" t="inlineStr">
        <is>
          <t>https://www.ryanstobacconist.co.uk/contact-us</t>
        </is>
      </c>
      <c r="AS614" s="5" t="inlineStr">
        <is>
          <t>https://wegetyoufound.co.uk/listings/ryans/leeds/tobacco-shop</t>
        </is>
      </c>
      <c r="AT614" s="5" t="inlineStr">
        <is>
          <t>2</t>
        </is>
      </c>
      <c r="AU614" s="5" t="inlineStr">
        <is>
          <t>No</t>
        </is>
      </c>
      <c r="AV614" s="5" t="inlineStr">
        <is>
          <t>No</t>
        </is>
      </c>
      <c r="AW614" s="5" t="inlineStr">
        <is>
          <t>No</t>
        </is>
      </c>
      <c r="AX614" s="5" t="inlineStr">
        <is>
          <t>No</t>
        </is>
      </c>
      <c r="AY614" s="5" t="inlineStr">
        <is>
          <t>Verified directory</t>
        </is>
      </c>
      <c r="AZ614" s="5" t="inlineStr">
        <is>
          <t>Publicly Listed</t>
        </is>
      </c>
      <c r="BA614" s="5" t="inlineStr">
        <is>
          <t>2026-09-17</t>
        </is>
      </c>
      <c r="BB614" s="5" t="inlineStr">
        <is>
          <t>Requires Verification</t>
        </is>
      </c>
      <c r="BC614" s="5" t="inlineStr">
        <is>
          <t>Medium</t>
        </is>
      </c>
      <c r="BD614" s="5" t="inlineStr"/>
      <c r="BE614" s="5" t="inlineStr">
        <is>
          <t>Business (B2B)</t>
        </is>
      </c>
      <c r="BF614" s="5" t="inlineStr">
        <is>
          <t>Legitimate interest (B2B) - assess per campaign; PECR: corporate subscribers</t>
        </is>
      </c>
      <c r="BG614" s="5" t="inlineStr"/>
      <c r="BH614" s="5" t="inlineStr">
        <is>
          <t>No</t>
        </is>
      </c>
      <c r="BI614" s="5" t="inlineStr">
        <is>
          <t>2026-09-16</t>
        </is>
      </c>
      <c r="BJ614" s="5" t="inlineStr">
        <is>
          <t>New</t>
        </is>
      </c>
      <c r="BK614" s="5" t="inlineStr">
        <is>
          <t>2026-09-17</t>
        </is>
      </c>
      <c r="BL614" s="5" t="inlineStr"/>
      <c r="BM614" s="5" t="inlineStr"/>
      <c r="BN614" s="5" t="inlineStr"/>
      <c r="BO614" s="5" t="inlineStr"/>
      <c r="BP614" s="5" t="inlineStr"/>
      <c r="BQ614" s="5" t="inlineStr"/>
    </row>
    <row r="615">
      <c r="A615" s="10" t="inlineStr">
        <is>
          <t>UK-000273</t>
        </is>
      </c>
      <c r="B615" s="10" t="inlineStr">
        <is>
          <t>UK-000273-01</t>
        </is>
      </c>
      <c r="C615" s="10" t="inlineStr"/>
      <c r="D615" s="10" t="inlineStr">
        <is>
          <t>Ryedale Vapour</t>
        </is>
      </c>
      <c r="E615" s="10" t="inlineStr">
        <is>
          <t>Ryedale Vapour</t>
        </is>
      </c>
      <c r="F615" s="10" t="inlineStr"/>
      <c r="G615" s="10" t="inlineStr">
        <is>
          <t>Vape Shop</t>
        </is>
      </c>
      <c r="H615" s="10" t="inlineStr">
        <is>
          <t>Premium vape juices, e-liquids &amp; accessories</t>
        </is>
      </c>
      <c r="I615" s="10" t="inlineStr">
        <is>
          <t>Independent</t>
        </is>
      </c>
      <c r="J615" s="10" t="inlineStr">
        <is>
          <t>1</t>
        </is>
      </c>
      <c r="K615" s="10" t="inlineStr"/>
      <c r="L615" s="10" t="inlineStr"/>
      <c r="M615" s="10" t="inlineStr"/>
      <c r="N615" s="10" t="inlineStr"/>
      <c r="O615" s="10" t="inlineStr">
        <is>
          <t>15 Yorkersgate</t>
        </is>
      </c>
      <c r="P615" s="10" t="inlineStr"/>
      <c r="Q615" s="10" t="inlineStr">
        <is>
          <t>Malton</t>
        </is>
      </c>
      <c r="R615" s="10" t="inlineStr">
        <is>
          <t>North Yorkshire</t>
        </is>
      </c>
      <c r="S615" s="10" t="inlineStr">
        <is>
          <t>YO17 7AA</t>
        </is>
      </c>
      <c r="T615" s="10" t="inlineStr">
        <is>
          <t>Yorkshire &amp; Humber</t>
        </is>
      </c>
      <c r="U615" s="10" t="inlineStr">
        <is>
          <t>England</t>
        </is>
      </c>
      <c r="V615" s="10" t="inlineStr">
        <is>
          <t>01653 228160</t>
        </is>
      </c>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vape juices; e-liquids; accessories</t>
        </is>
      </c>
      <c r="AL615" s="10" t="inlineStr"/>
      <c r="AM615" s="10" t="inlineStr">
        <is>
          <t>Vape Shop</t>
        </is>
      </c>
      <c r="AN615" s="10" t="inlineStr"/>
      <c r="AO615" s="10" t="inlineStr">
        <is>
          <t>Independent Malton vape shop at 15 Yorkersgate (YO17 7AA); the same address is also listed under trading name 'The Kings Custard'. Address/phone from Yelp / Cylex Malton listings via search snippets.</t>
        </is>
      </c>
      <c r="AP615" s="10" t="inlineStr">
        <is>
          <t>Medium</t>
        </is>
      </c>
      <c r="AQ615" s="10" t="inlineStr">
        <is>
          <t>Independent retailer; Core relevant category</t>
        </is>
      </c>
      <c r="AR615" s="10" t="inlineStr">
        <is>
          <t>https://www.yelp.com/search?cflt=vapeshops&amp;find_loc=Malton+YO17</t>
        </is>
      </c>
      <c r="AS615" s="10" t="inlineStr"/>
      <c r="AT615" s="10" t="inlineStr">
        <is>
          <t>1</t>
        </is>
      </c>
      <c r="AU615" s="10" t="inlineStr">
        <is>
          <t>No</t>
        </is>
      </c>
      <c r="AV615" s="10" t="inlineStr">
        <is>
          <t>No</t>
        </is>
      </c>
      <c r="AW615" s="10" t="inlineStr">
        <is>
          <t>No</t>
        </is>
      </c>
      <c r="AX615" s="10" t="inlineStr">
        <is>
          <t>No</t>
        </is>
      </c>
      <c r="AY615" s="10" t="inlineStr">
        <is>
          <t>Verified directory</t>
        </is>
      </c>
      <c r="AZ615" s="10" t="inlineStr">
        <is>
          <t>Not Found</t>
        </is>
      </c>
      <c r="BA615" s="10" t="inlineStr">
        <is>
          <t>2026-09-17</t>
        </is>
      </c>
      <c r="BB615" s="10" t="inlineStr">
        <is>
          <t>Requires Verification</t>
        </is>
      </c>
      <c r="BC615" s="10" t="inlineStr">
        <is>
          <t>Low</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2026-09-16</t>
        </is>
      </c>
      <c r="BJ615" s="10" t="inlineStr">
        <is>
          <t>New</t>
        </is>
      </c>
      <c r="BK615" s="10" t="inlineStr">
        <is>
          <t>2026-09-17</t>
        </is>
      </c>
      <c r="BL615" s="10" t="inlineStr"/>
      <c r="BM615" s="10" t="inlineStr"/>
      <c r="BN615" s="10" t="inlineStr"/>
      <c r="BO615" s="10" t="inlineStr"/>
      <c r="BP615" s="10" t="inlineStr"/>
      <c r="BQ615" s="10" t="inlineStr"/>
    </row>
    <row r="616">
      <c r="A616" s="5" t="inlineStr">
        <is>
          <t>UK-000274</t>
        </is>
      </c>
      <c r="B616" s="5" t="inlineStr">
        <is>
          <t>UK-000274-01</t>
        </is>
      </c>
      <c r="C616" s="5" t="inlineStr"/>
      <c r="D616" s="5" t="inlineStr">
        <is>
          <t>S.J. Convenience Store</t>
        </is>
      </c>
      <c r="E616" s="5" t="inlineStr">
        <is>
          <t>S.J. Convenience Store</t>
        </is>
      </c>
      <c r="F616" s="5" t="inlineStr"/>
      <c r="G616" s="5" t="inlineStr">
        <is>
          <t>Convenience Store</t>
        </is>
      </c>
      <c r="H616" s="5" t="inlineStr">
        <is>
          <t>Corner shop</t>
        </is>
      </c>
      <c r="I616" s="5" t="inlineStr">
        <is>
          <t>Independent</t>
        </is>
      </c>
      <c r="J616" s="5" t="inlineStr">
        <is>
          <t>1</t>
        </is>
      </c>
      <c r="K616" s="5" t="inlineStr"/>
      <c r="L616" s="5" t="inlineStr"/>
      <c r="M616" s="5" t="inlineStr"/>
      <c r="N616" s="5" t="inlineStr"/>
      <c r="O616" s="5" t="inlineStr"/>
      <c r="P616" s="5" t="inlineStr"/>
      <c r="Q616" s="5" t="inlineStr">
        <is>
          <t>Kingston upon Hull</t>
        </is>
      </c>
      <c r="R616" s="5" t="inlineStr">
        <is>
          <t>East Riding of Yorkshire</t>
        </is>
      </c>
      <c r="S616" s="5" t="inlineStr"/>
      <c r="T616" s="5" t="inlineStr">
        <is>
          <t>Yorkshire &amp; Humber</t>
        </is>
      </c>
      <c r="U616" s="5" t="inlineStr">
        <is>
          <t>England</t>
        </is>
      </c>
      <c r="V616" s="5" t="inlineStr"/>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groceries; confectionery; newspapers</t>
        </is>
      </c>
      <c r="AL616" s="5" t="inlineStr"/>
      <c r="AM616" s="5" t="inlineStr">
        <is>
          <t>Convenience Store</t>
        </is>
      </c>
      <c r="AN616" s="5" t="inlineStr"/>
      <c r="AO616" s="5" t="inlineStr">
        <is>
          <t>Independent corner shop/convenience store in Hull. No street address/phone in search results.</t>
        </is>
      </c>
      <c r="AP616" s="5" t="inlineStr">
        <is>
          <t>Low</t>
        </is>
      </c>
      <c r="AQ616" s="5" t="inlineStr">
        <is>
          <t>Independent retailer; Relevant category</t>
        </is>
      </c>
      <c r="AR616" s="5" t="inlineStr">
        <is>
          <t>https://www.yorkshire.com/hull/shopping/corner-shops/sj-convenience-store</t>
        </is>
      </c>
      <c r="AS616" s="5" t="inlineStr"/>
      <c r="AT616" s="5" t="inlineStr">
        <is>
          <t>1</t>
        </is>
      </c>
      <c r="AU616" s="5" t="inlineStr">
        <is>
          <t>No</t>
        </is>
      </c>
      <c r="AV616" s="5" t="inlineStr">
        <is>
          <t>No</t>
        </is>
      </c>
      <c r="AW616" s="5" t="inlineStr">
        <is>
          <t>No</t>
        </is>
      </c>
      <c r="AX616" s="5" t="inlineStr">
        <is>
          <t>No</t>
        </is>
      </c>
      <c r="AY616" s="5" t="inlineStr">
        <is>
          <t>Not Found</t>
        </is>
      </c>
      <c r="AZ616" s="5" t="inlineStr">
        <is>
          <t>Not Found</t>
        </is>
      </c>
      <c r="BA616" s="5" t="inlineStr">
        <is>
          <t>2026-09-17</t>
        </is>
      </c>
      <c r="BB616" s="5" t="inlineStr">
        <is>
          <t>Requires Verification</t>
        </is>
      </c>
      <c r="BC616" s="5" t="inlineStr">
        <is>
          <t>Low</t>
        </is>
      </c>
      <c r="BD616" s="5" t="inlineStr"/>
      <c r="BE616" s="5" t="inlineStr">
        <is>
          <t>Business (B2B)</t>
        </is>
      </c>
      <c r="BF616" s="5" t="inlineStr">
        <is>
          <t>Legitimate interest (B2B) - assess per campaign; PECR: corporate subscribers</t>
        </is>
      </c>
      <c r="BG616" s="5" t="inlineStr"/>
      <c r="BH616" s="5" t="inlineStr">
        <is>
          <t>No</t>
        </is>
      </c>
      <c r="BI616" s="5" t="inlineStr">
        <is>
          <t>2026-09-16</t>
        </is>
      </c>
      <c r="BJ616" s="5" t="inlineStr">
        <is>
          <t>New</t>
        </is>
      </c>
      <c r="BK616" s="5" t="inlineStr">
        <is>
          <t>2026-09-17</t>
        </is>
      </c>
      <c r="BL616" s="5" t="inlineStr"/>
      <c r="BM616" s="5" t="inlineStr"/>
      <c r="BN616" s="5" t="inlineStr"/>
      <c r="BO616" s="5" t="inlineStr"/>
      <c r="BP616" s="5" t="inlineStr"/>
      <c r="BQ616" s="5" t="inlineStr"/>
    </row>
    <row r="617">
      <c r="A617" s="10" t="inlineStr">
        <is>
          <t>UK-000650</t>
        </is>
      </c>
      <c r="B617" s="10" t="inlineStr">
        <is>
          <t>UK-000650-01</t>
        </is>
      </c>
      <c r="C617" s="10" t="inlineStr"/>
      <c r="D617" s="10" t="inlineStr">
        <is>
          <t>S.S. Supermarket</t>
        </is>
      </c>
      <c r="E617" s="10" t="inlineStr">
        <is>
          <t>S.S. Supermarket</t>
        </is>
      </c>
      <c r="F617" s="10" t="inlineStr"/>
      <c r="G617" s="10" t="inlineStr">
        <is>
          <t>Independent Supermarket</t>
        </is>
      </c>
      <c r="H617" s="10" t="inlineStr">
        <is>
          <t>World-food supermarket</t>
        </is>
      </c>
      <c r="I617" s="10" t="inlineStr">
        <is>
          <t>Independent</t>
        </is>
      </c>
      <c r="J617" s="10" t="inlineStr">
        <is>
          <t>1</t>
        </is>
      </c>
      <c r="K617" s="10" t="inlineStr"/>
      <c r="L617" s="10" t="inlineStr"/>
      <c r="M617" s="10" t="inlineStr"/>
      <c r="N617" s="10" t="inlineStr"/>
      <c r="O617" s="10" t="inlineStr">
        <is>
          <t>243-245 Ilford Lane</t>
        </is>
      </c>
      <c r="P617" s="10" t="inlineStr"/>
      <c r="Q617" s="10" t="inlineStr">
        <is>
          <t>Ilford</t>
        </is>
      </c>
      <c r="R617" s="10" t="inlineStr">
        <is>
          <t>Greater London</t>
        </is>
      </c>
      <c r="S617" s="10" t="inlineStr">
        <is>
          <t>IG1 2SB</t>
        </is>
      </c>
      <c r="T617" s="10" t="inlineStr">
        <is>
          <t>London</t>
        </is>
      </c>
      <c r="U617" s="10" t="inlineStr">
        <is>
          <t>England</t>
        </is>
      </c>
      <c r="V617" s="10" t="inlineStr"/>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world foods; groceries; fresh produce</t>
        </is>
      </c>
      <c r="AL617" s="10" t="inlineStr"/>
      <c r="AM617" s="10" t="inlineStr">
        <is>
          <t>Independent Supermarket</t>
        </is>
      </c>
      <c r="AN617" s="10" t="inlineStr"/>
      <c r="AO617" s="10" t="inlineStr">
        <is>
          <t>Independent world-food supermarket on Ilford Lane. Address/postcode from Cylex company listing.</t>
        </is>
      </c>
      <c r="AP617" s="10" t="inlineStr">
        <is>
          <t>Low</t>
        </is>
      </c>
      <c r="AQ617" s="10" t="inlineStr">
        <is>
          <t>Independent retailer; Relevant category</t>
        </is>
      </c>
      <c r="AR617" s="10" t="inlineStr">
        <is>
          <t>https://ilford.cylex-uk.co.uk/company/s-s-supermarket-13379555.html</t>
        </is>
      </c>
      <c r="AS617" s="10" t="inlineStr"/>
      <c r="AT617" s="10" t="inlineStr">
        <is>
          <t>1</t>
        </is>
      </c>
      <c r="AU617" s="10" t="inlineStr">
        <is>
          <t>No</t>
        </is>
      </c>
      <c r="AV617" s="10" t="inlineStr">
        <is>
          <t>No</t>
        </is>
      </c>
      <c r="AW617" s="10" t="inlineStr">
        <is>
          <t>No</t>
        </is>
      </c>
      <c r="AX617" s="10" t="inlineStr">
        <is>
          <t>No</t>
        </is>
      </c>
      <c r="AY617" s="10" t="inlineStr">
        <is>
          <t>Not Found</t>
        </is>
      </c>
      <c r="AZ617" s="10" t="inlineStr">
        <is>
          <t>Not Found</t>
        </is>
      </c>
      <c r="BA617" s="10" t="inlineStr">
        <is>
          <t>2026-09-17</t>
        </is>
      </c>
      <c r="BB617" s="10" t="inlineStr">
        <is>
          <t>Requires Verification</t>
        </is>
      </c>
      <c r="BC617" s="10" t="inlineStr">
        <is>
          <t>Medium</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UK-000651</t>
        </is>
      </c>
      <c r="B618" s="5" t="inlineStr">
        <is>
          <t>UK-000651-01</t>
        </is>
      </c>
      <c r="C618" s="5" t="inlineStr"/>
      <c r="D618" s="5" t="inlineStr">
        <is>
          <t>SD Off License</t>
        </is>
      </c>
      <c r="E618" s="5" t="inlineStr">
        <is>
          <t>SD Off License</t>
        </is>
      </c>
      <c r="F618" s="5" t="inlineStr"/>
      <c r="G618" s="5" t="inlineStr">
        <is>
          <t>Off-Licence</t>
        </is>
      </c>
      <c r="H618" s="5" t="inlineStr"/>
      <c r="I618" s="5" t="inlineStr">
        <is>
          <t>Independent</t>
        </is>
      </c>
      <c r="J618" s="5" t="inlineStr">
        <is>
          <t>1</t>
        </is>
      </c>
      <c r="K618" s="5" t="inlineStr"/>
      <c r="L618" s="5" t="inlineStr"/>
      <c r="M618" s="5" t="inlineStr"/>
      <c r="N618" s="5" t="inlineStr"/>
      <c r="O618" s="5" t="inlineStr">
        <is>
          <t>167 Upper Tooting Road</t>
        </is>
      </c>
      <c r="P618" s="5" t="inlineStr"/>
      <c r="Q618" s="5" t="inlineStr">
        <is>
          <t>London</t>
        </is>
      </c>
      <c r="R618" s="5" t="inlineStr">
        <is>
          <t>Greater London</t>
        </is>
      </c>
      <c r="S618" s="5" t="inlineStr">
        <is>
          <t>SW17 7TJ</t>
        </is>
      </c>
      <c r="T618" s="5" t="inlineStr">
        <is>
          <t>London</t>
        </is>
      </c>
      <c r="U618" s="5" t="inlineStr">
        <is>
          <t>England</t>
        </is>
      </c>
      <c r="V618" s="5" t="inlineStr">
        <is>
          <t>020 8672 0151</t>
        </is>
      </c>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beers; wines; spirits; convenience</t>
        </is>
      </c>
      <c r="AL618" s="5" t="inlineStr"/>
      <c r="AM618" s="5" t="inlineStr">
        <is>
          <t>Off-Licence</t>
        </is>
      </c>
      <c r="AN618" s="5" t="inlineStr"/>
      <c r="AO618" s="5" t="inlineStr">
        <is>
          <t>Independent off-licence on Upper Tooting Road. Address and phone from Yell directory.</t>
        </is>
      </c>
      <c r="AP618" s="5" t="inlineStr">
        <is>
          <t>Low</t>
        </is>
      </c>
      <c r="AQ618" s="5" t="inlineStr">
        <is>
          <t>Independent retailer; Relevant category</t>
        </is>
      </c>
      <c r="AR618" s="5" t="inlineStr">
        <is>
          <t>https://www.yell.com/s/off+licences-tooting-south+west+london.html</t>
        </is>
      </c>
      <c r="AS618" s="5" t="inlineStr"/>
      <c r="AT618" s="5" t="inlineStr">
        <is>
          <t>1</t>
        </is>
      </c>
      <c r="AU618" s="5" t="inlineStr">
        <is>
          <t>No</t>
        </is>
      </c>
      <c r="AV618" s="5" t="inlineStr">
        <is>
          <t>No</t>
        </is>
      </c>
      <c r="AW618" s="5" t="inlineStr">
        <is>
          <t>No</t>
        </is>
      </c>
      <c r="AX618" s="5" t="inlineStr">
        <is>
          <t>No</t>
        </is>
      </c>
      <c r="AY618" s="5" t="inlineStr">
        <is>
          <t>Verified directory</t>
        </is>
      </c>
      <c r="AZ618" s="5" t="inlineStr">
        <is>
          <t>Not Found</t>
        </is>
      </c>
      <c r="BA618" s="5" t="inlineStr">
        <is>
          <t>2026-09-17</t>
        </is>
      </c>
      <c r="BB618" s="5" t="inlineStr">
        <is>
          <t>Requires Verification</t>
        </is>
      </c>
      <c r="BC618" s="5" t="inlineStr">
        <is>
          <t>Medium</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WY-0140</t>
        </is>
      </c>
      <c r="B619" s="10" t="inlineStr">
        <is>
          <t>WY-0140-01</t>
        </is>
      </c>
      <c r="C619" s="10" t="inlineStr"/>
      <c r="D619" s="10" t="inlineStr">
        <is>
          <t>SMKD</t>
        </is>
      </c>
      <c r="E619" s="10" t="inlineStr">
        <is>
          <t>SMKD</t>
        </is>
      </c>
      <c r="F619" s="10" t="inlineStr">
        <is>
          <t>SMKD Vape Limited</t>
        </is>
      </c>
      <c r="G619" s="10" t="inlineStr">
        <is>
          <t>Vape Shop</t>
        </is>
      </c>
      <c r="H619" s="10" t="inlineStr">
        <is>
          <t>Online vape retailer with same-day West Yorkshire delivery (former multi-store chain)</t>
        </is>
      </c>
      <c r="I619" s="10" t="inlineStr">
        <is>
          <t>Independent</t>
        </is>
      </c>
      <c r="J619" s="10" t="inlineStr">
        <is>
          <t>1</t>
        </is>
      </c>
      <c r="K619" s="10" t="inlineStr">
        <is>
          <t>https://smkd.com/</t>
        </is>
      </c>
      <c r="L619" s="10" t="inlineStr">
        <is>
          <t>https://www.facebook.com/SmkdVapeShop/</t>
        </is>
      </c>
      <c r="M619" s="10" t="inlineStr"/>
      <c r="N619" s="10" t="inlineStr"/>
      <c r="O619" s="10" t="inlineStr">
        <is>
          <t>Unit 7, Bradford Chamber Business Park</t>
        </is>
      </c>
      <c r="P619" s="10" t="inlineStr">
        <is>
          <t>New Lane</t>
        </is>
      </c>
      <c r="Q619" s="10" t="inlineStr">
        <is>
          <t>Bradford</t>
        </is>
      </c>
      <c r="R619" s="10" t="inlineStr">
        <is>
          <t>West Yorkshire</t>
        </is>
      </c>
      <c r="S619" s="10" t="inlineStr">
        <is>
          <t>BD4 8BX</t>
        </is>
      </c>
      <c r="T619" s="10" t="inlineStr">
        <is>
          <t>Yorkshire &amp; Humber</t>
        </is>
      </c>
      <c r="U619" s="10" t="inlineStr">
        <is>
          <t>England</t>
        </is>
      </c>
      <c r="V619" s="10" t="inlineStr">
        <is>
          <t>01274 270303</t>
        </is>
      </c>
      <c r="W619" s="10" t="inlineStr"/>
      <c r="X619" s="10" t="inlineStr"/>
      <c r="Y619" s="10" t="inlineStr">
        <is>
          <t>info@smkd.com</t>
        </is>
      </c>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vape hardware; e-liquids; disposables</t>
        </is>
      </c>
      <c r="AL619" s="10" t="inlineStr"/>
      <c r="AM619" s="10" t="inlineStr">
        <is>
          <t>Vape Shop</t>
        </is>
      </c>
      <c r="AN619" s="10" t="inlineStr"/>
      <c r="AO619"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619" s="10" t="inlineStr">
        <is>
          <t>High</t>
        </is>
      </c>
      <c r="AQ619" s="10" t="inlineStr">
        <is>
          <t>Independent retailer; Core relevant category; Public email available; Active website; Social presence; Phone verified on official website</t>
        </is>
      </c>
      <c r="AR619" s="10" t="inlineStr">
        <is>
          <t>https://smkd.com/vape-shop-locator/</t>
        </is>
      </c>
      <c r="AS619" s="10" t="inlineStr">
        <is>
          <t>https://smkd.com/vape-shop-locator/huddersfield-vape-shop-high-street/</t>
        </is>
      </c>
      <c r="AT619" s="10" t="inlineStr">
        <is>
          <t>4</t>
        </is>
      </c>
      <c r="AU619" s="10" t="inlineStr">
        <is>
          <t>Yes</t>
        </is>
      </c>
      <c r="AV619" s="10" t="inlineStr">
        <is>
          <t>No</t>
        </is>
      </c>
      <c r="AW619" s="10" t="inlineStr">
        <is>
          <t>No</t>
        </is>
      </c>
      <c r="AX619" s="10" t="inlineStr">
        <is>
          <t>No</t>
        </is>
      </c>
      <c r="AY619" s="10" t="inlineStr">
        <is>
          <t>Verified on official website</t>
        </is>
      </c>
      <c r="AZ619" s="10" t="inlineStr">
        <is>
          <t>Publicly Listed</t>
        </is>
      </c>
      <c r="BA619" s="10" t="inlineStr">
        <is>
          <t>2026-09-17</t>
        </is>
      </c>
      <c r="BB619" s="10" t="inlineStr">
        <is>
          <t>Partially Verified</t>
        </is>
      </c>
      <c r="BC619" s="10" t="inlineStr">
        <is>
          <t>Medium</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2026-09-16</t>
        </is>
      </c>
      <c r="BJ619" s="10" t="inlineStr">
        <is>
          <t>New</t>
        </is>
      </c>
      <c r="BK619" s="10" t="inlineStr">
        <is>
          <t>2026-09-17</t>
        </is>
      </c>
      <c r="BL619" s="10" t="inlineStr"/>
      <c r="BM619" s="10" t="inlineStr"/>
      <c r="BN619" s="10" t="inlineStr"/>
      <c r="BO619" s="10" t="inlineStr"/>
      <c r="BP619" s="10" t="inlineStr"/>
      <c r="BQ619" s="10" t="inlineStr"/>
    </row>
    <row r="620">
      <c r="A620" s="5" t="inlineStr">
        <is>
          <t>WY-0141</t>
        </is>
      </c>
      <c r="B620" s="5" t="inlineStr">
        <is>
          <t>WY-0141-01</t>
        </is>
      </c>
      <c r="C620" s="5" t="inlineStr"/>
      <c r="D620" s="5" t="inlineStr">
        <is>
          <t>SPAR Huddersfield Road</t>
        </is>
      </c>
      <c r="E620" s="5" t="inlineStr">
        <is>
          <t>SPAR Huddersfield Road, Elland</t>
        </is>
      </c>
      <c r="F620" s="5" t="inlineStr"/>
      <c r="G620" s="5" t="inlineStr">
        <is>
          <t>Convenience Store</t>
        </is>
      </c>
      <c r="H620" s="5" t="inlineStr">
        <is>
          <t>SPAR symbol group convenience store with off-licence</t>
        </is>
      </c>
      <c r="I620" s="5" t="inlineStr">
        <is>
          <t>Franchise / Symbol Group</t>
        </is>
      </c>
      <c r="J620" s="5" t="inlineStr">
        <is>
          <t>1</t>
        </is>
      </c>
      <c r="K620" s="5" t="inlineStr">
        <is>
          <t>https://www.spar.co.uk/store-locator/hal32443-spar-huddersfield-road</t>
        </is>
      </c>
      <c r="L620" s="5" t="inlineStr"/>
      <c r="M620" s="5" t="inlineStr"/>
      <c r="N620" s="5" t="inlineStr"/>
      <c r="O620" s="5" t="inlineStr">
        <is>
          <t>Huddersfield Road</t>
        </is>
      </c>
      <c r="P620" s="5" t="inlineStr"/>
      <c r="Q620" s="5" t="inlineStr">
        <is>
          <t>Elland</t>
        </is>
      </c>
      <c r="R620" s="5" t="inlineStr">
        <is>
          <t>West Yorkshire</t>
        </is>
      </c>
      <c r="S620" s="5" t="inlineStr">
        <is>
          <t>HX5 9AA</t>
        </is>
      </c>
      <c r="T620" s="5" t="inlineStr">
        <is>
          <t>Yorkshire &amp; Humber</t>
        </is>
      </c>
      <c r="U620" s="5" t="inlineStr">
        <is>
          <t>England</t>
        </is>
      </c>
      <c r="V620" s="5" t="inlineStr">
        <is>
          <t>01422 648232</t>
        </is>
      </c>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convenience; beers, wines and spirits</t>
        </is>
      </c>
      <c r="AL620" s="5" t="inlineStr"/>
      <c r="AM620" s="5" t="inlineStr">
        <is>
          <t>Convenience Store</t>
        </is>
      </c>
      <c r="AN620" s="5" t="inlineStr">
        <is>
          <t>SPAR UK (James Hall &amp; Co is the SPAR wholesaler for the North of England)</t>
        </is>
      </c>
      <c r="AO620" s="5" t="inlineStr">
        <is>
          <t>Store operator (independent retailer vs company-owned) not established; listed on the official SPAR UK store locator.</t>
        </is>
      </c>
      <c r="AP620" s="5" t="inlineStr">
        <is>
          <t>Medium</t>
        </is>
      </c>
      <c r="AQ620" s="5" t="inlineStr">
        <is>
          <t>Independent retailer; Relevant category; Active website</t>
        </is>
      </c>
      <c r="AR620" s="5" t="inlineStr">
        <is>
          <t>https://www.spar.co.uk/store-locator/hal32443-spar-huddersfield-road</t>
        </is>
      </c>
      <c r="AS620" s="5" t="inlineStr">
        <is>
          <t>https://www.openingtimesin.uk/spar-elland</t>
        </is>
      </c>
      <c r="AT620" s="5" t="inlineStr">
        <is>
          <t>3</t>
        </is>
      </c>
      <c r="AU620" s="5" t="inlineStr">
        <is>
          <t>No</t>
        </is>
      </c>
      <c r="AV620" s="5" t="inlineStr">
        <is>
          <t>No</t>
        </is>
      </c>
      <c r="AW620" s="5" t="inlineStr">
        <is>
          <t>No</t>
        </is>
      </c>
      <c r="AX620" s="5" t="inlineStr">
        <is>
          <t>No</t>
        </is>
      </c>
      <c r="AY620" s="5" t="inlineStr">
        <is>
          <t>Verified directory</t>
        </is>
      </c>
      <c r="AZ620" s="5" t="inlineStr">
        <is>
          <t>Not Found</t>
        </is>
      </c>
      <c r="BA620" s="5" t="inlineStr">
        <is>
          <t>2026-09-17</t>
        </is>
      </c>
      <c r="BB620" s="5" t="inlineStr">
        <is>
          <t>Requires Verification</t>
        </is>
      </c>
      <c r="BC620" s="5" t="inlineStr">
        <is>
          <t>Medium</t>
        </is>
      </c>
      <c r="BD620" s="5" t="inlineStr"/>
      <c r="BE620" s="5" t="inlineStr">
        <is>
          <t>Business (B2B)</t>
        </is>
      </c>
      <c r="BF620" s="5" t="inlineStr">
        <is>
          <t>Legitimate interest (B2B) - assess per campaign; PECR: corporate subscribers</t>
        </is>
      </c>
      <c r="BG620" s="5" t="inlineStr"/>
      <c r="BH620" s="5" t="inlineStr">
        <is>
          <t>No</t>
        </is>
      </c>
      <c r="BI620" s="5" t="inlineStr">
        <is>
          <t>2026-09-16</t>
        </is>
      </c>
      <c r="BJ620" s="5" t="inlineStr">
        <is>
          <t>New</t>
        </is>
      </c>
      <c r="BK620" s="5" t="inlineStr">
        <is>
          <t>2026-09-17</t>
        </is>
      </c>
      <c r="BL620" s="5" t="inlineStr"/>
      <c r="BM620" s="5" t="inlineStr"/>
      <c r="BN620" s="5" t="inlineStr"/>
      <c r="BO620" s="5" t="inlineStr"/>
      <c r="BP620" s="5" t="inlineStr"/>
      <c r="BQ620" s="5" t="inlineStr"/>
    </row>
    <row r="621">
      <c r="A621" s="10" t="inlineStr">
        <is>
          <t>WY-0142</t>
        </is>
      </c>
      <c r="B621" s="10" t="inlineStr">
        <is>
          <t>WY-0142-01</t>
        </is>
      </c>
      <c r="C621" s="10" t="inlineStr"/>
      <c r="D621" s="10" t="inlineStr">
        <is>
          <t>SPAR Outwood</t>
        </is>
      </c>
      <c r="E621" s="10" t="inlineStr">
        <is>
          <t>SPAR Outwood</t>
        </is>
      </c>
      <c r="F621" s="10" t="inlineStr"/>
      <c r="G621" s="10" t="inlineStr">
        <is>
          <t>Convenience Store</t>
        </is>
      </c>
      <c r="H621" s="10" t="inlineStr">
        <is>
          <t>Symbol group convenience store</t>
        </is>
      </c>
      <c r="I621" s="10" t="inlineStr">
        <is>
          <t>Franchise / Symbol Group</t>
        </is>
      </c>
      <c r="J621" s="10" t="inlineStr">
        <is>
          <t>1</t>
        </is>
      </c>
      <c r="K621" s="10" t="inlineStr">
        <is>
          <t>https://www.spar.co.uk/store-locator/afb49926-spar-outwood</t>
        </is>
      </c>
      <c r="L621" s="10" t="inlineStr"/>
      <c r="M621" s="10" t="inlineStr"/>
      <c r="N621" s="10" t="inlineStr"/>
      <c r="O621" s="10" t="inlineStr">
        <is>
          <t>Potovens Lane</t>
        </is>
      </c>
      <c r="P621" s="10" t="inlineStr">
        <is>
          <t>Outwood</t>
        </is>
      </c>
      <c r="Q621" s="10" t="inlineStr">
        <is>
          <t>Wakefield</t>
        </is>
      </c>
      <c r="R621" s="10" t="inlineStr">
        <is>
          <t>West Yorkshire</t>
        </is>
      </c>
      <c r="S621" s="10" t="inlineStr">
        <is>
          <t>WF1 2LE</t>
        </is>
      </c>
      <c r="T621" s="10" t="inlineStr">
        <is>
          <t>Yorkshire &amp; Humber</t>
        </is>
      </c>
      <c r="U621" s="10" t="inlineStr">
        <is>
          <t>England</t>
        </is>
      </c>
      <c r="V621" s="10" t="inlineStr">
        <is>
          <t>01924 822641</t>
        </is>
      </c>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grocery; alcohol; food to go</t>
        </is>
      </c>
      <c r="AL621" s="10" t="inlineStr"/>
      <c r="AM621" s="10" t="inlineStr">
        <is>
          <t>Convenience Store</t>
        </is>
      </c>
      <c r="AN621" s="10" t="inlineStr">
        <is>
          <t>SPAR symbol group (likely James Hall &amp; Co territory for North of England)</t>
        </is>
      </c>
      <c r="AO621" s="10" t="inlineStr">
        <is>
          <t>On the official SPAR UK store locator. Operator (independent retailer vs company-owned) not established; SPAR stores in this area are commonly independently owned.</t>
        </is>
      </c>
      <c r="AP621" s="10" t="inlineStr">
        <is>
          <t>Medium</t>
        </is>
      </c>
      <c r="AQ621" s="10" t="inlineStr">
        <is>
          <t>Independent retailer; Relevant category; Active website</t>
        </is>
      </c>
      <c r="AR621" s="10" t="inlineStr">
        <is>
          <t>https://www.spar.co.uk/store-locator/afb49926-spar-outwood</t>
        </is>
      </c>
      <c r="AS621" s="10" t="inlineStr">
        <is>
          <t>https://www.192.com/atoz/business/wakefield-wf1/convenience-stores/spar-outwood/9bb09a8d82ab0999cf3197b0d056b3add8363126/ugc/</t>
        </is>
      </c>
      <c r="AT621" s="10" t="inlineStr">
        <is>
          <t>3</t>
        </is>
      </c>
      <c r="AU621" s="10" t="inlineStr">
        <is>
          <t>No</t>
        </is>
      </c>
      <c r="AV621" s="10" t="inlineStr">
        <is>
          <t>No</t>
        </is>
      </c>
      <c r="AW621" s="10" t="inlineStr">
        <is>
          <t>No</t>
        </is>
      </c>
      <c r="AX621" s="10" t="inlineStr">
        <is>
          <t>No</t>
        </is>
      </c>
      <c r="AY621" s="10" t="inlineStr">
        <is>
          <t>Verified directory</t>
        </is>
      </c>
      <c r="AZ621" s="10" t="inlineStr">
        <is>
          <t>Not Found</t>
        </is>
      </c>
      <c r="BA621" s="10" t="inlineStr">
        <is>
          <t>2026-09-17</t>
        </is>
      </c>
      <c r="BB621" s="10" t="inlineStr">
        <is>
          <t>Requires Verification</t>
        </is>
      </c>
      <c r="BC621" s="10" t="inlineStr">
        <is>
          <t>Medium</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2026-09-16</t>
        </is>
      </c>
      <c r="BJ621" s="10" t="inlineStr">
        <is>
          <t>New</t>
        </is>
      </c>
      <c r="BK621" s="10" t="inlineStr">
        <is>
          <t>2026-09-17</t>
        </is>
      </c>
      <c r="BL621" s="10" t="inlineStr"/>
      <c r="BM621" s="10" t="inlineStr"/>
      <c r="BN621" s="10" t="inlineStr"/>
      <c r="BO621" s="10" t="inlineStr"/>
      <c r="BP621" s="10" t="inlineStr"/>
      <c r="BQ621" s="10" t="inlineStr"/>
    </row>
    <row r="622">
      <c r="A622" s="5" t="inlineStr">
        <is>
          <t>UK-000508</t>
        </is>
      </c>
      <c r="B622" s="5" t="inlineStr">
        <is>
          <t>UK-000508-01</t>
        </is>
      </c>
      <c r="C622" s="5" t="inlineStr"/>
      <c r="D622" s="5" t="inlineStr">
        <is>
          <t>SR Catering Ltd</t>
        </is>
      </c>
      <c r="E622" s="5" t="inlineStr">
        <is>
          <t>SR Catering</t>
        </is>
      </c>
      <c r="F622" s="5" t="inlineStr">
        <is>
          <t>SR Catering Limited</t>
        </is>
      </c>
      <c r="G622" s="5" t="inlineStr">
        <is>
          <t>Cash &amp; Carry</t>
        </is>
      </c>
      <c r="H622" s="5" t="inlineStr">
        <is>
          <t>Catering &amp; foodservice wholesale</t>
        </is>
      </c>
      <c r="I622" s="5" t="inlineStr">
        <is>
          <t>Independent</t>
        </is>
      </c>
      <c r="J622" s="5" t="inlineStr">
        <is>
          <t>1</t>
        </is>
      </c>
      <c r="K622" s="5" t="inlineStr">
        <is>
          <t>https://srcateringltd.co.uk/</t>
        </is>
      </c>
      <c r="L622" s="5" t="inlineStr"/>
      <c r="M622" s="5" t="inlineStr"/>
      <c r="N622" s="5" t="inlineStr"/>
      <c r="O622" s="5" t="inlineStr">
        <is>
          <t>Rathore House, Culwell Trading Estate</t>
        </is>
      </c>
      <c r="P622" s="5" t="inlineStr">
        <is>
          <t>Hobgate Road</t>
        </is>
      </c>
      <c r="Q622" s="5" t="inlineStr">
        <is>
          <t>Wolverhampton</t>
        </is>
      </c>
      <c r="R622" s="5" t="inlineStr">
        <is>
          <t>West Midlands</t>
        </is>
      </c>
      <c r="S622" s="5" t="inlineStr">
        <is>
          <t>WV10 0PG</t>
        </is>
      </c>
      <c r="T622" s="5" t="inlineStr">
        <is>
          <t>West Midlands</t>
        </is>
      </c>
      <c r="U622" s="5" t="inlineStr">
        <is>
          <t>England</t>
        </is>
      </c>
      <c r="V622" s="5" t="inlineStr">
        <is>
          <t>01902 456430</t>
        </is>
      </c>
      <c r="W622" s="5" t="inlineStr"/>
      <c r="X622" s="5" t="inlineStr"/>
      <c r="Y622" s="5" t="inlineStr"/>
      <c r="Z622" s="5" t="inlineStr"/>
      <c r="AA622" s="5" t="inlineStr"/>
      <c r="AB622" s="5" t="inlineStr"/>
      <c r="AC622" s="5" t="inlineStr"/>
      <c r="AD622" s="5" t="inlineStr"/>
      <c r="AE622" s="5" t="inlineStr">
        <is>
          <t>08536715</t>
        </is>
      </c>
      <c r="AF622" s="5" t="inlineStr"/>
      <c r="AG622" s="5" t="inlineStr">
        <is>
          <t>SR CATERING LIMITED</t>
        </is>
      </c>
      <c r="AH622" s="5" t="inlineStr"/>
      <c r="AI622" s="5" t="inlineStr"/>
      <c r="AJ622" s="5" t="inlineStr"/>
      <c r="AK622" s="5" t="inlineStr">
        <is>
          <t>catering supplies; fast food &amp; restaurant wholesale; cash &amp; carry</t>
        </is>
      </c>
      <c r="AL622" s="5" t="inlineStr"/>
      <c r="AM622" s="5" t="inlineStr">
        <is>
          <t>Cash &amp; Carry</t>
        </is>
      </c>
      <c r="AN622" s="5" t="inlineStr">
        <is>
          <t>Cash &amp; carry serving fast food and restaurant trade.</t>
        </is>
      </c>
      <c r="AO622" s="5" t="inlineStr">
        <is>
          <t>Independent catering cash &amp; carry on Culwell Trading Estate, Wolverhampton.</t>
        </is>
      </c>
      <c r="AP622" s="5" t="inlineStr">
        <is>
          <t>Medium</t>
        </is>
      </c>
      <c r="AQ622" s="5" t="inlineStr">
        <is>
          <t>Independent retailer; Core relevant category; Active website</t>
        </is>
      </c>
      <c r="AR622" s="5" t="inlineStr">
        <is>
          <t>https://find-and-update.company-information.service.gov.uk/company/08536715</t>
        </is>
      </c>
      <c r="AS622" s="5" t="inlineStr">
        <is>
          <t>https://www.yell.com/biz/s-r-catering-ltd-wolverhampton-8307855/</t>
        </is>
      </c>
      <c r="AT622" s="5" t="inlineStr">
        <is>
          <t>2</t>
        </is>
      </c>
      <c r="AU622" s="5" t="inlineStr">
        <is>
          <t>Yes</t>
        </is>
      </c>
      <c r="AV622" s="5" t="inlineStr">
        <is>
          <t>No</t>
        </is>
      </c>
      <c r="AW622" s="5" t="inlineStr">
        <is>
          <t>No</t>
        </is>
      </c>
      <c r="AX622" s="5" t="inlineStr">
        <is>
          <t>Yes</t>
        </is>
      </c>
      <c r="AY622" s="5" t="inlineStr">
        <is>
          <t>Verified directory</t>
        </is>
      </c>
      <c r="AZ622" s="5" t="inlineStr">
        <is>
          <t>Website Found</t>
        </is>
      </c>
      <c r="BA622" s="5" t="inlineStr">
        <is>
          <t>2026-09-17</t>
        </is>
      </c>
      <c r="BB622" s="5" t="inlineStr">
        <is>
          <t>Verified (website + Companies House)</t>
        </is>
      </c>
      <c r="BC622" s="5" t="inlineStr">
        <is>
          <t>High</t>
        </is>
      </c>
      <c r="BD622" s="5" t="inlineStr"/>
      <c r="BE622" s="5" t="inlineStr">
        <is>
          <t>Business (B2B)</t>
        </is>
      </c>
      <c r="BF622" s="5" t="inlineStr">
        <is>
          <t>Legitimate interest (B2B) - assess per campaign; PECR: corporate subscribers</t>
        </is>
      </c>
      <c r="BG622" s="5" t="inlineStr"/>
      <c r="BH622" s="5" t="inlineStr">
        <is>
          <t>No</t>
        </is>
      </c>
      <c r="BI622" s="5" t="inlineStr">
        <is>
          <t>2026-09-17</t>
        </is>
      </c>
      <c r="BJ622" s="5" t="inlineStr">
        <is>
          <t>New</t>
        </is>
      </c>
      <c r="BK622" s="5" t="inlineStr">
        <is>
          <t>2026-09-17</t>
        </is>
      </c>
      <c r="BL622" s="5" t="inlineStr"/>
      <c r="BM622" s="5" t="inlineStr"/>
      <c r="BN622" s="5" t="inlineStr"/>
      <c r="BO622" s="5" t="inlineStr"/>
      <c r="BP622" s="5" t="inlineStr"/>
      <c r="BQ622" s="5" t="inlineStr"/>
    </row>
    <row r="623">
      <c r="A623" s="10" t="inlineStr">
        <is>
          <t>UK-000652</t>
        </is>
      </c>
      <c r="B623" s="10" t="inlineStr">
        <is>
          <t>UK-000652-01</t>
        </is>
      </c>
      <c r="C623" s="10" t="inlineStr"/>
      <c r="D623" s="10" t="inlineStr">
        <is>
          <t>SW9 Vapes</t>
        </is>
      </c>
      <c r="E623" s="10" t="inlineStr">
        <is>
          <t>SW9 Vapes</t>
        </is>
      </c>
      <c r="F623" s="10" t="inlineStr"/>
      <c r="G623" s="10" t="inlineStr">
        <is>
          <t>Vape Shop</t>
        </is>
      </c>
      <c r="H623" s="10" t="inlineStr"/>
      <c r="I623" s="10" t="inlineStr">
        <is>
          <t>Independent</t>
        </is>
      </c>
      <c r="J623" s="10" t="inlineStr">
        <is>
          <t>1</t>
        </is>
      </c>
      <c r="K623" s="10" t="inlineStr"/>
      <c r="L623" s="10" t="inlineStr"/>
      <c r="M623" s="10" t="inlineStr"/>
      <c r="N623" s="10" t="inlineStr"/>
      <c r="O623" s="10" t="inlineStr">
        <is>
          <t>418 Brixton Road</t>
        </is>
      </c>
      <c r="P623" s="10" t="inlineStr"/>
      <c r="Q623" s="10" t="inlineStr">
        <is>
          <t>London</t>
        </is>
      </c>
      <c r="R623" s="10" t="inlineStr">
        <is>
          <t>Greater London</t>
        </is>
      </c>
      <c r="S623" s="10" t="inlineStr">
        <is>
          <t>SW9 7AY</t>
        </is>
      </c>
      <c r="T623" s="10" t="inlineStr">
        <is>
          <t>London</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vape hardware; e-liquids; accessories</t>
        </is>
      </c>
      <c r="AL623" s="10" t="inlineStr"/>
      <c r="AM623" s="10" t="inlineStr">
        <is>
          <t>Vape Shop</t>
        </is>
      </c>
      <c r="AN623" s="10" t="inlineStr"/>
      <c r="AO623" s="10" t="inlineStr">
        <is>
          <t>Independent vape shop on Brixton Road. Address from Yell listing; phone not confirmed.</t>
        </is>
      </c>
      <c r="AP623" s="10" t="inlineStr">
        <is>
          <t>Medium</t>
        </is>
      </c>
      <c r="AQ623" s="10" t="inlineStr">
        <is>
          <t>Independent retailer; Core relevant category</t>
        </is>
      </c>
      <c r="AR623" s="10" t="inlineStr">
        <is>
          <t>https://www.yell.com/biz/sw9-vapes-london-9756375/</t>
        </is>
      </c>
      <c r="AS623" s="10" t="inlineStr"/>
      <c r="AT623" s="10" t="inlineStr">
        <is>
          <t>1</t>
        </is>
      </c>
      <c r="AU623" s="10" t="inlineStr">
        <is>
          <t>No</t>
        </is>
      </c>
      <c r="AV623" s="10" t="inlineStr">
        <is>
          <t>No</t>
        </is>
      </c>
      <c r="AW623" s="10" t="inlineStr">
        <is>
          <t>No</t>
        </is>
      </c>
      <c r="AX623" s="10" t="inlineStr">
        <is>
          <t>No</t>
        </is>
      </c>
      <c r="AY623" s="10" t="inlineStr">
        <is>
          <t>Not Found</t>
        </is>
      </c>
      <c r="AZ623" s="10" t="inlineStr">
        <is>
          <t>Not Found</t>
        </is>
      </c>
      <c r="BA623" s="10" t="inlineStr">
        <is>
          <t>2026-09-17</t>
        </is>
      </c>
      <c r="BB623" s="10" t="inlineStr">
        <is>
          <t>Requires Verification</t>
        </is>
      </c>
      <c r="BC623" s="10" t="inlineStr">
        <is>
          <t>Low</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2026-09-17</t>
        </is>
      </c>
      <c r="BJ623" s="10" t="inlineStr">
        <is>
          <t>New</t>
        </is>
      </c>
      <c r="BK623" s="10" t="inlineStr">
        <is>
          <t>2026-09-17</t>
        </is>
      </c>
      <c r="BL623" s="10" t="inlineStr"/>
      <c r="BM623" s="10" t="inlineStr"/>
      <c r="BN623" s="10" t="inlineStr"/>
      <c r="BO623" s="10" t="inlineStr"/>
      <c r="BP623" s="10" t="inlineStr"/>
      <c r="BQ623" s="10" t="inlineStr"/>
    </row>
    <row r="624">
      <c r="A624" s="5" t="inlineStr">
        <is>
          <t>UK-000275</t>
        </is>
      </c>
      <c r="B624" s="5" t="inlineStr">
        <is>
          <t>UK-000275-01</t>
        </is>
      </c>
      <c r="C624" s="5" t="inlineStr"/>
      <c r="D624" s="5" t="inlineStr">
        <is>
          <t>Sako Polish Shop Doncaster</t>
        </is>
      </c>
      <c r="E624" s="5" t="inlineStr">
        <is>
          <t>Sako Market</t>
        </is>
      </c>
      <c r="F624" s="5" t="inlineStr"/>
      <c r="G624" s="5" t="inlineStr">
        <is>
          <t>Independent Supermarket</t>
        </is>
      </c>
      <c r="H624" s="5" t="inlineStr">
        <is>
          <t>Polish / European grocery store</t>
        </is>
      </c>
      <c r="I624" s="5" t="inlineStr">
        <is>
          <t>Independent</t>
        </is>
      </c>
      <c r="J624" s="5" t="inlineStr">
        <is>
          <t>1</t>
        </is>
      </c>
      <c r="K624" s="5" t="inlineStr">
        <is>
          <t>https://sakomarket.com/</t>
        </is>
      </c>
      <c r="L624" s="5" t="inlineStr"/>
      <c r="M624" s="5" t="inlineStr"/>
      <c r="N624" s="5" t="inlineStr"/>
      <c r="O624" s="5" t="inlineStr">
        <is>
          <t>40 Duke Street</t>
        </is>
      </c>
      <c r="P624" s="5" t="inlineStr"/>
      <c r="Q624" s="5" t="inlineStr">
        <is>
          <t>Doncaster</t>
        </is>
      </c>
      <c r="R624" s="5" t="inlineStr">
        <is>
          <t>South Yorkshire</t>
        </is>
      </c>
      <c r="S624" s="5" t="inlineStr"/>
      <c r="T624" s="5" t="inlineStr">
        <is>
          <t>Yorkshire &amp; Humber</t>
        </is>
      </c>
      <c r="U624" s="5" t="inlineStr">
        <is>
          <t>England</t>
        </is>
      </c>
      <c r="V624" s="5" t="inlineStr"/>
      <c r="W624" s="5" t="inlineStr"/>
      <c r="X624" s="5" t="inlineStr"/>
      <c r="Y624" s="5" t="inlineStr"/>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Polish groceries; deli meats; cheeses; fresh and frozen foods</t>
        </is>
      </c>
      <c r="AL624" s="5" t="inlineStr"/>
      <c r="AM624" s="5" t="inlineStr">
        <is>
          <t>Independent Supermarket</t>
        </is>
      </c>
      <c r="AN624" s="5" t="inlineStr"/>
      <c r="AO624" s="5" t="inlineStr">
        <is>
          <t>Independent Polish/European grocery shop at 40 Duke Street, Doncaster town centre. Website (sakomarket.com) and directory listing found; postcode not captured.</t>
        </is>
      </c>
      <c r="AP624" s="5" t="inlineStr">
        <is>
          <t>Medium</t>
        </is>
      </c>
      <c r="AQ624" s="5" t="inlineStr">
        <is>
          <t>Independent retailer; Relevant category; Active website</t>
        </is>
      </c>
      <c r="AR624" s="5" t="inlineStr">
        <is>
          <t>https://bippermedia.com/uk/st/england/south-yorkshire/doncaster/grocery-store/sako-polish-shop-doncaster-doncaster/</t>
        </is>
      </c>
      <c r="AS624" s="5" t="inlineStr"/>
      <c r="AT624" s="5" t="inlineStr">
        <is>
          <t>1</t>
        </is>
      </c>
      <c r="AU624" s="5" t="inlineStr">
        <is>
          <t>No</t>
        </is>
      </c>
      <c r="AV624" s="5" t="inlineStr">
        <is>
          <t>No</t>
        </is>
      </c>
      <c r="AW624" s="5" t="inlineStr">
        <is>
          <t>No</t>
        </is>
      </c>
      <c r="AX624" s="5" t="inlineStr">
        <is>
          <t>No</t>
        </is>
      </c>
      <c r="AY624" s="5" t="inlineStr">
        <is>
          <t>Not Found</t>
        </is>
      </c>
      <c r="AZ624" s="5" t="inlineStr">
        <is>
          <t>Website Found</t>
        </is>
      </c>
      <c r="BA624" s="5" t="inlineStr">
        <is>
          <t>2026-09-17</t>
        </is>
      </c>
      <c r="BB624" s="5" t="inlineStr">
        <is>
          <t>Requires Verification</t>
        </is>
      </c>
      <c r="BC624" s="5" t="inlineStr">
        <is>
          <t>Low</t>
        </is>
      </c>
      <c r="BD624" s="5" t="inlineStr"/>
      <c r="BE624" s="5" t="inlineStr">
        <is>
          <t>Business (B2B)</t>
        </is>
      </c>
      <c r="BF624" s="5" t="inlineStr">
        <is>
          <t>Legitimate interest (B2B) - assess per campaign; PECR: corporate subscribers</t>
        </is>
      </c>
      <c r="BG624" s="5" t="inlineStr"/>
      <c r="BH624" s="5" t="inlineStr">
        <is>
          <t>No</t>
        </is>
      </c>
      <c r="BI624" s="5" t="inlineStr">
        <is>
          <t>2026-09-16</t>
        </is>
      </c>
      <c r="BJ624" s="5" t="inlineStr">
        <is>
          <t>New</t>
        </is>
      </c>
      <c r="BK624" s="5" t="inlineStr">
        <is>
          <t>2026-09-17</t>
        </is>
      </c>
      <c r="BL624" s="5" t="inlineStr"/>
      <c r="BM624" s="5" t="inlineStr"/>
      <c r="BN624" s="5" t="inlineStr"/>
      <c r="BO624" s="5" t="inlineStr"/>
      <c r="BP624" s="5" t="inlineStr"/>
      <c r="BQ624" s="5" t="inlineStr"/>
    </row>
    <row r="625">
      <c r="A625" s="10" t="inlineStr">
        <is>
          <t>UK-000653</t>
        </is>
      </c>
      <c r="B625" s="10" t="inlineStr">
        <is>
          <t>UK-000653-01</t>
        </is>
      </c>
      <c r="C625" s="10" t="inlineStr"/>
      <c r="D625" s="10" t="inlineStr">
        <is>
          <t>Salon Wine Store</t>
        </is>
      </c>
      <c r="E625" s="10" t="inlineStr">
        <is>
          <t>Salon Wine Store</t>
        </is>
      </c>
      <c r="F625" s="10" t="inlineStr"/>
      <c r="G625" s="10" t="inlineStr">
        <is>
          <t>Off-Licence</t>
        </is>
      </c>
      <c r="H625" s="10" t="inlineStr"/>
      <c r="I625" s="10" t="inlineStr">
        <is>
          <t>Independent</t>
        </is>
      </c>
      <c r="J625" s="10" t="inlineStr">
        <is>
          <t>1</t>
        </is>
      </c>
      <c r="K625" s="10" t="inlineStr"/>
      <c r="L625" s="10" t="inlineStr"/>
      <c r="M625" s="10" t="inlineStr"/>
      <c r="N625" s="10" t="inlineStr"/>
      <c r="O625" s="10" t="inlineStr">
        <is>
          <t>79 Atlantic Road</t>
        </is>
      </c>
      <c r="P625" s="10" t="inlineStr">
        <is>
          <t>Brixton</t>
        </is>
      </c>
      <c r="Q625" s="10" t="inlineStr">
        <is>
          <t>London</t>
        </is>
      </c>
      <c r="R625" s="10" t="inlineStr">
        <is>
          <t>Greater London</t>
        </is>
      </c>
      <c r="S625" s="10" t="inlineStr">
        <is>
          <t>SW9 8PU</t>
        </is>
      </c>
      <c r="T625" s="10" t="inlineStr">
        <is>
          <t>London</t>
        </is>
      </c>
      <c r="U625" s="10" t="inlineStr">
        <is>
          <t>England</t>
        </is>
      </c>
      <c r="V625" s="10" t="inlineStr"/>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wines; beers; spirits</t>
        </is>
      </c>
      <c r="AL625" s="10" t="inlineStr"/>
      <c r="AM625" s="10" t="inlineStr">
        <is>
          <t>Off-Licence</t>
        </is>
      </c>
      <c r="AN625" s="10" t="inlineStr"/>
      <c r="AO625" s="10" t="inlineStr">
        <is>
          <t>Independent off-licence / wine store on Atlantic Road, Brixton. Address from Yell directory; phone not confirmed.</t>
        </is>
      </c>
      <c r="AP625" s="10" t="inlineStr">
        <is>
          <t>Low</t>
        </is>
      </c>
      <c r="AQ625" s="10" t="inlineStr">
        <is>
          <t>Independent retailer; Relevant category</t>
        </is>
      </c>
      <c r="AR625" s="10" t="inlineStr">
        <is>
          <t>https://www.yell.com/s/off+licences-sw9.html</t>
        </is>
      </c>
      <c r="AS625" s="10" t="inlineStr"/>
      <c r="AT625" s="10" t="inlineStr">
        <is>
          <t>1</t>
        </is>
      </c>
      <c r="AU625" s="10" t="inlineStr">
        <is>
          <t>No</t>
        </is>
      </c>
      <c r="AV625" s="10" t="inlineStr">
        <is>
          <t>No</t>
        </is>
      </c>
      <c r="AW625" s="10" t="inlineStr">
        <is>
          <t>No</t>
        </is>
      </c>
      <c r="AX625" s="10" t="inlineStr">
        <is>
          <t>No</t>
        </is>
      </c>
      <c r="AY625" s="10" t="inlineStr">
        <is>
          <t>Not Found</t>
        </is>
      </c>
      <c r="AZ625" s="10" t="inlineStr">
        <is>
          <t>Not Found</t>
        </is>
      </c>
      <c r="BA625" s="10" t="inlineStr">
        <is>
          <t>2026-09-17</t>
        </is>
      </c>
      <c r="BB625" s="10" t="inlineStr">
        <is>
          <t>Requires Verification</t>
        </is>
      </c>
      <c r="BC625" s="10" t="inlineStr">
        <is>
          <t>Low</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UK-000654</t>
        </is>
      </c>
      <c r="B626" s="5" t="inlineStr">
        <is>
          <t>UK-000654-01</t>
        </is>
      </c>
      <c r="C626" s="5" t="inlineStr"/>
      <c r="D626" s="5" t="inlineStr">
        <is>
          <t>Sameer Bazaar Cash &amp; Carry</t>
        </is>
      </c>
      <c r="E626" s="5" t="inlineStr">
        <is>
          <t>Sameer Bazaar Cash &amp; Carry</t>
        </is>
      </c>
      <c r="F626" s="5" t="inlineStr"/>
      <c r="G626" s="5" t="inlineStr">
        <is>
          <t>Cash &amp; Carry</t>
        </is>
      </c>
      <c r="H626" s="5" t="inlineStr">
        <is>
          <t>Wholesale cash &amp; carry / world foods</t>
        </is>
      </c>
      <c r="I626" s="5" t="inlineStr">
        <is>
          <t>Independent</t>
        </is>
      </c>
      <c r="J626" s="5" t="inlineStr">
        <is>
          <t>1</t>
        </is>
      </c>
      <c r="K626" s="5" t="inlineStr"/>
      <c r="L626" s="5" t="inlineStr"/>
      <c r="M626" s="5" t="inlineStr"/>
      <c r="N626" s="5" t="inlineStr"/>
      <c r="O626" s="5" t="inlineStr">
        <is>
          <t>354-356 Green Street</t>
        </is>
      </c>
      <c r="P626" s="5" t="inlineStr"/>
      <c r="Q626" s="5" t="inlineStr">
        <is>
          <t>Upton Park</t>
        </is>
      </c>
      <c r="R626" s="5" t="inlineStr">
        <is>
          <t>Greater London</t>
        </is>
      </c>
      <c r="S626" s="5" t="inlineStr">
        <is>
          <t>E13 9AP</t>
        </is>
      </c>
      <c r="T626" s="5" t="inlineStr">
        <is>
          <t>London</t>
        </is>
      </c>
      <c r="U626" s="5" t="inlineStr">
        <is>
          <t>England</t>
        </is>
      </c>
      <c r="V626" s="5" t="inlineStr"/>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wholesale groceries; world foods; drinks; confectionery</t>
        </is>
      </c>
      <c r="AL626" s="5" t="inlineStr"/>
      <c r="AM626" s="5" t="inlineStr">
        <is>
          <t>Cash &amp; Carry</t>
        </is>
      </c>
      <c r="AN626" s="5" t="inlineStr"/>
      <c r="AO626" s="5" t="inlineStr">
        <is>
          <t>Cash &amp; carry / world-food wholesaler on Green Street, Upton Park (E13). Address/postcode from Cylex/192 Green Street listings. Phone not in snippet.</t>
        </is>
      </c>
      <c r="AP626" s="5" t="inlineStr">
        <is>
          <t>Medium</t>
        </is>
      </c>
      <c r="AQ626" s="5" t="inlineStr">
        <is>
          <t>Independent retailer; Core relevant category</t>
        </is>
      </c>
      <c r="AR626" s="5" t="inlineStr">
        <is>
          <t>https://london.cylex-uk.co.uk/upton-park/grocery%20stores.html</t>
        </is>
      </c>
      <c r="AS626" s="5" t="inlineStr"/>
      <c r="AT626" s="5" t="inlineStr">
        <is>
          <t>1</t>
        </is>
      </c>
      <c r="AU626" s="5" t="inlineStr">
        <is>
          <t>No</t>
        </is>
      </c>
      <c r="AV626" s="5" t="inlineStr">
        <is>
          <t>No</t>
        </is>
      </c>
      <c r="AW626" s="5" t="inlineStr">
        <is>
          <t>No</t>
        </is>
      </c>
      <c r="AX626" s="5" t="inlineStr">
        <is>
          <t>No</t>
        </is>
      </c>
      <c r="AY626" s="5" t="inlineStr">
        <is>
          <t>Not Found</t>
        </is>
      </c>
      <c r="AZ626" s="5" t="inlineStr">
        <is>
          <t>Not Found</t>
        </is>
      </c>
      <c r="BA626" s="5" t="inlineStr">
        <is>
          <t>2026-09-17</t>
        </is>
      </c>
      <c r="BB626" s="5" t="inlineStr">
        <is>
          <t>Requires Verification</t>
        </is>
      </c>
      <c r="BC626" s="5" t="inlineStr">
        <is>
          <t>Low</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UK-000509</t>
        </is>
      </c>
      <c r="B627" s="10" t="inlineStr">
        <is>
          <t>UK-000509-01</t>
        </is>
      </c>
      <c r="C627" s="10" t="inlineStr"/>
      <c r="D627" s="10" t="inlineStr">
        <is>
          <t>Samis Wholesale Cash &amp; Carry</t>
        </is>
      </c>
      <c r="E627" s="10" t="inlineStr">
        <is>
          <t>Samis Wholesale Cash &amp; Carry</t>
        </is>
      </c>
      <c r="F627" s="10" t="inlineStr"/>
      <c r="G627" s="10" t="inlineStr">
        <is>
          <t>Cash &amp; Carry</t>
        </is>
      </c>
      <c r="H627" s="10" t="inlineStr">
        <is>
          <t>Wholesale cash &amp; carry</t>
        </is>
      </c>
      <c r="I627" s="10" t="inlineStr">
        <is>
          <t>Independent</t>
        </is>
      </c>
      <c r="J627" s="10" t="inlineStr">
        <is>
          <t>1</t>
        </is>
      </c>
      <c r="K627" s="10" t="inlineStr"/>
      <c r="L627" s="10" t="inlineStr"/>
      <c r="M627" s="10" t="inlineStr"/>
      <c r="N627" s="10" t="inlineStr"/>
      <c r="O627" s="10" t="inlineStr">
        <is>
          <t>82-89 Cecil Street</t>
        </is>
      </c>
      <c r="P627" s="10" t="inlineStr"/>
      <c r="Q627" s="10" t="inlineStr">
        <is>
          <t>Birmingham</t>
        </is>
      </c>
      <c r="R627" s="10" t="inlineStr">
        <is>
          <t>West Midlands</t>
        </is>
      </c>
      <c r="S627" s="10" t="inlineStr">
        <is>
          <t>B19 3SU</t>
        </is>
      </c>
      <c r="T627" s="10" t="inlineStr">
        <is>
          <t>West Midlands</t>
        </is>
      </c>
      <c r="U627" s="10" t="inlineStr">
        <is>
          <t>England</t>
        </is>
      </c>
      <c r="V627" s="10" t="inlineStr"/>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wholesale grocery</t>
        </is>
      </c>
      <c r="AL627" s="10" t="inlineStr"/>
      <c r="AM627" s="10" t="inlineStr">
        <is>
          <t>Cash &amp; Carry</t>
        </is>
      </c>
      <c r="AN627" s="10" t="inlineStr"/>
      <c r="AO627" s="10" t="inlineStr">
        <is>
          <t>Cash &amp; carry wholesaler, Cecil Street (B19, Newtown/Aston side of city centre).</t>
        </is>
      </c>
      <c r="AP627" s="10" t="inlineStr">
        <is>
          <t>Medium</t>
        </is>
      </c>
      <c r="AQ627" s="10" t="inlineStr">
        <is>
          <t>Independent retailer; Core relevant category</t>
        </is>
      </c>
      <c r="AR627" s="10" t="inlineStr">
        <is>
          <t>https://www.192.com/atoz/business/birmingham-b19/cash-and-carry-wholesalers/samis-wholesale-cash-carry/6080ff65ef1c18fecbf50d53bfba449b89d2db3f/ml/</t>
        </is>
      </c>
      <c r="AS627" s="10" t="inlineStr"/>
      <c r="AT627" s="10" t="inlineStr">
        <is>
          <t>1</t>
        </is>
      </c>
      <c r="AU627" s="10" t="inlineStr">
        <is>
          <t>No</t>
        </is>
      </c>
      <c r="AV627" s="10" t="inlineStr">
        <is>
          <t>No</t>
        </is>
      </c>
      <c r="AW627" s="10" t="inlineStr">
        <is>
          <t>No</t>
        </is>
      </c>
      <c r="AX627" s="10" t="inlineStr">
        <is>
          <t>No</t>
        </is>
      </c>
      <c r="AY627" s="10" t="inlineStr">
        <is>
          <t>Not Found</t>
        </is>
      </c>
      <c r="AZ627" s="10" t="inlineStr">
        <is>
          <t>Not Found</t>
        </is>
      </c>
      <c r="BA627" s="10" t="inlineStr">
        <is>
          <t>2026-09-17</t>
        </is>
      </c>
      <c r="BB627" s="10" t="inlineStr">
        <is>
          <t>Requires Verification</t>
        </is>
      </c>
      <c r="BC627" s="10" t="inlineStr">
        <is>
          <t>Low</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UK-000510</t>
        </is>
      </c>
      <c r="B628" s="5" t="inlineStr">
        <is>
          <t>UK-000510-01</t>
        </is>
      </c>
      <c r="C628" s="5" t="inlineStr"/>
      <c r="D628" s="5" t="inlineStr">
        <is>
          <t>Sandhu Grocers</t>
        </is>
      </c>
      <c r="E628" s="5" t="inlineStr">
        <is>
          <t>Sandhu Grocers</t>
        </is>
      </c>
      <c r="F628" s="5" t="inlineStr"/>
      <c r="G628" s="5" t="inlineStr">
        <is>
          <t>Off-Licence</t>
        </is>
      </c>
      <c r="H628" s="5" t="inlineStr">
        <is>
          <t>Grocery &amp; off-licence</t>
        </is>
      </c>
      <c r="I628" s="5" t="inlineStr">
        <is>
          <t>Independent</t>
        </is>
      </c>
      <c r="J628" s="5" t="inlineStr">
        <is>
          <t>1</t>
        </is>
      </c>
      <c r="K628" s="5" t="inlineStr"/>
      <c r="L628" s="5" t="inlineStr"/>
      <c r="M628" s="5" t="inlineStr"/>
      <c r="N628" s="5" t="inlineStr"/>
      <c r="O628" s="5" t="inlineStr">
        <is>
          <t>22 Causeway Green Road</t>
        </is>
      </c>
      <c r="P628" s="5" t="inlineStr"/>
      <c r="Q628" s="5" t="inlineStr">
        <is>
          <t>Oldbury</t>
        </is>
      </c>
      <c r="R628" s="5" t="inlineStr">
        <is>
          <t>West Midlands</t>
        </is>
      </c>
      <c r="S628" s="5" t="inlineStr">
        <is>
          <t>B68 8LD</t>
        </is>
      </c>
      <c r="T628" s="5" t="inlineStr">
        <is>
          <t>West Midlands</t>
        </is>
      </c>
      <c r="U628" s="5" t="inlineStr">
        <is>
          <t>England</t>
        </is>
      </c>
      <c r="V628" s="5" t="inlineStr">
        <is>
          <t>0121 552 4845</t>
        </is>
      </c>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groceries; beers; wines; spirits; convenience</t>
        </is>
      </c>
      <c r="AL628" s="5" t="inlineStr"/>
      <c r="AM628" s="5" t="inlineStr">
        <is>
          <t>Off-Licence</t>
        </is>
      </c>
      <c r="AN628" s="5" t="inlineStr"/>
      <c r="AO628" s="5" t="inlineStr">
        <is>
          <t>Independent grocer and off-licence, 22 Causeway Green Road, Oldbury. Address and phone from Yell Oldbury off-licences listing snippet.</t>
        </is>
      </c>
      <c r="AP628" s="5" t="inlineStr">
        <is>
          <t>Low</t>
        </is>
      </c>
      <c r="AQ628" s="5" t="inlineStr">
        <is>
          <t>Independent retailer; Relevant category</t>
        </is>
      </c>
      <c r="AR628" s="5" t="inlineStr">
        <is>
          <t>https://www.yell.com/s/off+licences+and+wine+merchants-oldbury-west+midlands.html</t>
        </is>
      </c>
      <c r="AS628" s="5" t="inlineStr"/>
      <c r="AT628" s="5" t="inlineStr">
        <is>
          <t>1</t>
        </is>
      </c>
      <c r="AU628" s="5" t="inlineStr">
        <is>
          <t>No</t>
        </is>
      </c>
      <c r="AV628" s="5" t="inlineStr">
        <is>
          <t>No</t>
        </is>
      </c>
      <c r="AW628" s="5" t="inlineStr">
        <is>
          <t>No</t>
        </is>
      </c>
      <c r="AX628" s="5" t="inlineStr">
        <is>
          <t>No</t>
        </is>
      </c>
      <c r="AY628" s="5" t="inlineStr">
        <is>
          <t>Verified directory</t>
        </is>
      </c>
      <c r="AZ628" s="5" t="inlineStr">
        <is>
          <t>Not Found</t>
        </is>
      </c>
      <c r="BA628" s="5" t="inlineStr">
        <is>
          <t>2026-09-17</t>
        </is>
      </c>
      <c r="BB628" s="5" t="inlineStr">
        <is>
          <t>Requires Verification</t>
        </is>
      </c>
      <c r="BC628" s="5" t="inlineStr">
        <is>
          <t>Medium</t>
        </is>
      </c>
      <c r="BD628" s="5" t="inlineStr"/>
      <c r="BE628" s="5" t="inlineStr">
        <is>
          <t>Business (B2B)</t>
        </is>
      </c>
      <c r="BF628" s="5" t="inlineStr">
        <is>
          <t>Legitimate interest (B2B) - assess per campaign; PECR: corporate subscribers</t>
        </is>
      </c>
      <c r="BG628" s="5" t="inlineStr"/>
      <c r="BH628" s="5" t="inlineStr">
        <is>
          <t>No</t>
        </is>
      </c>
      <c r="BI628" s="5" t="inlineStr">
        <is>
          <t>2026-09-17</t>
        </is>
      </c>
      <c r="BJ628" s="5" t="inlineStr">
        <is>
          <t>New</t>
        </is>
      </c>
      <c r="BK628" s="5" t="inlineStr">
        <is>
          <t>2026-09-17</t>
        </is>
      </c>
      <c r="BL628" s="5" t="inlineStr"/>
      <c r="BM628" s="5" t="inlineStr"/>
      <c r="BN628" s="5" t="inlineStr"/>
      <c r="BO628" s="5" t="inlineStr"/>
      <c r="BP628" s="5" t="inlineStr"/>
      <c r="BQ628" s="5" t="inlineStr"/>
    </row>
    <row r="629">
      <c r="A629" s="10" t="inlineStr">
        <is>
          <t>UK-000655</t>
        </is>
      </c>
      <c r="B629" s="10" t="inlineStr">
        <is>
          <t>UK-000655-01</t>
        </is>
      </c>
      <c r="C629" s="10" t="inlineStr"/>
      <c r="D629" s="10" t="inlineStr">
        <is>
          <t>Sautter Cigars</t>
        </is>
      </c>
      <c r="E629" s="10" t="inlineStr">
        <is>
          <t>Sautter</t>
        </is>
      </c>
      <c r="F629" s="10" t="inlineStr"/>
      <c r="G629" s="10" t="inlineStr">
        <is>
          <t>Tobacco Specialist</t>
        </is>
      </c>
      <c r="H629" s="10" t="inlineStr">
        <is>
          <t>Cigar merchant</t>
        </is>
      </c>
      <c r="I629" s="10" t="inlineStr">
        <is>
          <t>Independent</t>
        </is>
      </c>
      <c r="J629" s="10" t="inlineStr">
        <is>
          <t>1</t>
        </is>
      </c>
      <c r="K629" s="10" t="inlineStr">
        <is>
          <t>https://sauttercigars.com/</t>
        </is>
      </c>
      <c r="L629" s="10" t="inlineStr"/>
      <c r="M629" s="10" t="inlineStr"/>
      <c r="N629" s="10" t="inlineStr"/>
      <c r="O629" s="10" t="inlineStr">
        <is>
          <t>106 Mount Street</t>
        </is>
      </c>
      <c r="P629" s="10" t="inlineStr">
        <is>
          <t>Mayfair</t>
        </is>
      </c>
      <c r="Q629" s="10" t="inlineStr">
        <is>
          <t>London</t>
        </is>
      </c>
      <c r="R629" s="10" t="inlineStr">
        <is>
          <t>Greater London</t>
        </is>
      </c>
      <c r="S629" s="10" t="inlineStr">
        <is>
          <t>W1K 2TW</t>
        </is>
      </c>
      <c r="T629" s="10" t="inlineStr">
        <is>
          <t>London</t>
        </is>
      </c>
      <c r="U629" s="10" t="inlineStr">
        <is>
          <t>England</t>
        </is>
      </c>
      <c r="V629" s="10" t="inlineStr">
        <is>
          <t>020 7499 4866</t>
        </is>
      </c>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cigars; humidors; accessories</t>
        </is>
      </c>
      <c r="AL629" s="10" t="inlineStr"/>
      <c r="AM629" s="10" t="inlineStr">
        <is>
          <t>Tobacco Specialist</t>
        </is>
      </c>
      <c r="AN629" s="10" t="inlineStr"/>
      <c r="AO629" s="10" t="inlineStr">
        <is>
          <t>Independent Mayfair cigar merchant on Mount Street, founded over 50 years ago. Address/postcode/phone/website from search snippet. Strong Tobacco Specialist prospect.</t>
        </is>
      </c>
      <c r="AP629" s="10" t="inlineStr">
        <is>
          <t>Medium</t>
        </is>
      </c>
      <c r="AQ629" s="10" t="inlineStr">
        <is>
          <t>Independent retailer; Core relevant category; Active website; Phone verified on official website</t>
        </is>
      </c>
      <c r="AR629" s="10" t="inlineStr">
        <is>
          <t>https://www.smokepipeshops.com/sautter-cigars/</t>
        </is>
      </c>
      <c r="AS629" s="10" t="inlineStr"/>
      <c r="AT629" s="10" t="inlineStr">
        <is>
          <t>1</t>
        </is>
      </c>
      <c r="AU629" s="10" t="inlineStr">
        <is>
          <t>No</t>
        </is>
      </c>
      <c r="AV629" s="10" t="inlineStr">
        <is>
          <t>No</t>
        </is>
      </c>
      <c r="AW629" s="10" t="inlineStr">
        <is>
          <t>No</t>
        </is>
      </c>
      <c r="AX629" s="10" t="inlineStr">
        <is>
          <t>No</t>
        </is>
      </c>
      <c r="AY629" s="10" t="inlineStr">
        <is>
          <t>Verified on official website</t>
        </is>
      </c>
      <c r="AZ629" s="10" t="inlineStr">
        <is>
          <t>Website Found</t>
        </is>
      </c>
      <c r="BA629" s="10" t="inlineStr">
        <is>
          <t>2026-09-17</t>
        </is>
      </c>
      <c r="BB629" s="10" t="inlineStr">
        <is>
          <t>Requires Verification</t>
        </is>
      </c>
      <c r="BC629" s="10" t="inlineStr">
        <is>
          <t>Medium</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2026-09-17</t>
        </is>
      </c>
      <c r="BJ629" s="10" t="inlineStr">
        <is>
          <t>New</t>
        </is>
      </c>
      <c r="BK629" s="10" t="inlineStr">
        <is>
          <t>2026-09-17</t>
        </is>
      </c>
      <c r="BL629" s="10" t="inlineStr"/>
      <c r="BM629" s="10" t="inlineStr"/>
      <c r="BN629" s="10" t="inlineStr"/>
      <c r="BO629" s="10" t="inlineStr"/>
      <c r="BP629" s="10" t="inlineStr"/>
      <c r="BQ629" s="10" t="inlineStr"/>
    </row>
    <row r="630">
      <c r="A630" s="5" t="inlineStr">
        <is>
          <t>WY-0143</t>
        </is>
      </c>
      <c r="B630" s="5" t="inlineStr">
        <is>
          <t>WY-0143-01</t>
        </is>
      </c>
      <c r="C630" s="5" t="inlineStr"/>
      <c r="D630" s="5" t="inlineStr">
        <is>
          <t>SaveCo Cash &amp; Carry Bradford</t>
        </is>
      </c>
      <c r="E630" s="5" t="inlineStr">
        <is>
          <t>SaveCo Cash &amp; Carry</t>
        </is>
      </c>
      <c r="F630" s="5" t="inlineStr">
        <is>
          <t>The Meat Company Bradford Ltd</t>
        </is>
      </c>
      <c r="G630" s="5" t="inlineStr">
        <is>
          <t>Cash &amp; Carry</t>
        </is>
      </c>
      <c r="H630" s="5" t="inlineStr">
        <is>
          <t>Halal supermarket &amp; food cash and carry</t>
        </is>
      </c>
      <c r="I630" s="5" t="inlineStr">
        <is>
          <t>Independent</t>
        </is>
      </c>
      <c r="J630" s="5" t="inlineStr">
        <is>
          <t>1</t>
        </is>
      </c>
      <c r="K630" s="5" t="inlineStr">
        <is>
          <t>https://savecobradford.co.uk/</t>
        </is>
      </c>
      <c r="L630" s="5" t="inlineStr">
        <is>
          <t>https://www.facebook.com/savecobradford/</t>
        </is>
      </c>
      <c r="M630" s="5" t="inlineStr"/>
      <c r="N630" s="5" t="inlineStr"/>
      <c r="O630" s="5" t="inlineStr">
        <is>
          <t>Carter Gear Works, Thornbury Road</t>
        </is>
      </c>
      <c r="P630" s="5" t="inlineStr"/>
      <c r="Q630" s="5" t="inlineStr">
        <is>
          <t>Bradford</t>
        </is>
      </c>
      <c r="R630" s="5" t="inlineStr">
        <is>
          <t>West Yorkshire</t>
        </is>
      </c>
      <c r="S630" s="5" t="inlineStr">
        <is>
          <t>BD3 8HE</t>
        </is>
      </c>
      <c r="T630" s="5" t="inlineStr">
        <is>
          <t>Yorkshire &amp; Humber</t>
        </is>
      </c>
      <c r="U630" s="5" t="inlineStr">
        <is>
          <t>England</t>
        </is>
      </c>
      <c r="V630" s="5" t="inlineStr">
        <is>
          <t>01274 665555</t>
        </is>
      </c>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HMC halal meat; world foods; groceries; fresh produce</t>
        </is>
      </c>
      <c r="AL630" s="5" t="inlineStr"/>
      <c r="AM630" s="5" t="inlineStr">
        <is>
          <t>Cash &amp; Carry</t>
        </is>
      </c>
      <c r="AN630" s="5" t="inlineStr"/>
      <c r="AO630"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630" s="5" t="inlineStr">
        <is>
          <t>Medium</t>
        </is>
      </c>
      <c r="AQ630" s="5" t="inlineStr">
        <is>
          <t>Independent retailer; Core relevant category; Active website; Social presence</t>
        </is>
      </c>
      <c r="AR630" s="5" t="inlineStr">
        <is>
          <t>https://savecobradford.co.uk/</t>
        </is>
      </c>
      <c r="AS630" s="5" t="inlineStr">
        <is>
          <t>https://www.yell.com/biz/saveco-cash-and-carry-bradford-9304267/</t>
        </is>
      </c>
      <c r="AT630" s="5" t="inlineStr">
        <is>
          <t>4</t>
        </is>
      </c>
      <c r="AU630" s="5" t="inlineStr">
        <is>
          <t>No</t>
        </is>
      </c>
      <c r="AV630" s="5" t="inlineStr">
        <is>
          <t>No</t>
        </is>
      </c>
      <c r="AW630" s="5" t="inlineStr">
        <is>
          <t>No</t>
        </is>
      </c>
      <c r="AX630" s="5" t="inlineStr">
        <is>
          <t>No</t>
        </is>
      </c>
      <c r="AY630" s="5" t="inlineStr">
        <is>
          <t>Verified directory</t>
        </is>
      </c>
      <c r="AZ630" s="5" t="inlineStr">
        <is>
          <t>Website Found</t>
        </is>
      </c>
      <c r="BA630" s="5" t="inlineStr">
        <is>
          <t>2026-09-17</t>
        </is>
      </c>
      <c r="BB630" s="5" t="inlineStr">
        <is>
          <t>Requires Verification</t>
        </is>
      </c>
      <c r="BC630" s="5" t="inlineStr">
        <is>
          <t>Medium</t>
        </is>
      </c>
      <c r="BD630" s="5" t="inlineStr"/>
      <c r="BE630" s="5" t="inlineStr">
        <is>
          <t>Business (B2B)</t>
        </is>
      </c>
      <c r="BF630" s="5" t="inlineStr">
        <is>
          <t>Legitimate interest (B2B) - assess per campaign; PECR: corporate subscribers</t>
        </is>
      </c>
      <c r="BG630" s="5" t="inlineStr"/>
      <c r="BH630" s="5" t="inlineStr">
        <is>
          <t>No</t>
        </is>
      </c>
      <c r="BI630" s="5" t="inlineStr">
        <is>
          <t>2026-09-16</t>
        </is>
      </c>
      <c r="BJ630" s="5" t="inlineStr">
        <is>
          <t>New</t>
        </is>
      </c>
      <c r="BK630" s="5" t="inlineStr">
        <is>
          <t>2026-09-17</t>
        </is>
      </c>
      <c r="BL630" s="5" t="inlineStr"/>
      <c r="BM630" s="5" t="inlineStr"/>
      <c r="BN630" s="5" t="inlineStr"/>
      <c r="BO630" s="5" t="inlineStr"/>
      <c r="BP630" s="5" t="inlineStr"/>
      <c r="BQ630" s="5" t="inlineStr"/>
    </row>
    <row r="631">
      <c r="A631" s="10" t="inlineStr">
        <is>
          <t>UK-000511</t>
        </is>
      </c>
      <c r="B631" s="10" t="inlineStr">
        <is>
          <t>UK-000511-01</t>
        </is>
      </c>
      <c r="C631" s="10" t="inlineStr"/>
      <c r="D631" s="10" t="inlineStr">
        <is>
          <t>Savemore Cash &amp; Carry</t>
        </is>
      </c>
      <c r="E631" s="10" t="inlineStr">
        <is>
          <t>Savemore Cash &amp; Carry</t>
        </is>
      </c>
      <c r="F631" s="10" t="inlineStr"/>
      <c r="G631" s="10" t="inlineStr">
        <is>
          <t>Cash &amp; Carry</t>
        </is>
      </c>
      <c r="H631" s="10" t="inlineStr">
        <is>
          <t>Grocery &amp; household wholesale</t>
        </is>
      </c>
      <c r="I631" s="10" t="inlineStr">
        <is>
          <t>Independent</t>
        </is>
      </c>
      <c r="J631" s="10" t="inlineStr">
        <is>
          <t>1</t>
        </is>
      </c>
      <c r="K631" s="10" t="inlineStr"/>
      <c r="L631" s="10" t="inlineStr">
        <is>
          <t>https://www.facebook.com/p/Savemore-Cash-Carry-61569850526377/</t>
        </is>
      </c>
      <c r="M631" s="10" t="inlineStr"/>
      <c r="N631" s="10" t="inlineStr"/>
      <c r="O631" s="10" t="inlineStr">
        <is>
          <t>Unit 3 Executive House</t>
        </is>
      </c>
      <c r="P631" s="10" t="inlineStr">
        <is>
          <t>Patrick Gregory Road</t>
        </is>
      </c>
      <c r="Q631" s="10" t="inlineStr">
        <is>
          <t>Wolverhampton</t>
        </is>
      </c>
      <c r="R631" s="10" t="inlineStr">
        <is>
          <t>West Midlands</t>
        </is>
      </c>
      <c r="S631" s="10" t="inlineStr">
        <is>
          <t>WV11 3DU</t>
        </is>
      </c>
      <c r="T631" s="10" t="inlineStr">
        <is>
          <t>West Midlands</t>
        </is>
      </c>
      <c r="U631" s="10" t="inlineStr">
        <is>
          <t>England</t>
        </is>
      </c>
      <c r="V631" s="10" t="inlineStr">
        <is>
          <t>07440 590515</t>
        </is>
      </c>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c r="AK631" s="10" t="inlineStr">
        <is>
          <t>food; drinks; household essentials; wholesale</t>
        </is>
      </c>
      <c r="AL631" s="10" t="inlineStr"/>
      <c r="AM631" s="10" t="inlineStr">
        <is>
          <t>Cash &amp; Carry</t>
        </is>
      </c>
      <c r="AN631" s="10" t="inlineStr">
        <is>
          <t>Wholesale prices, open to trade and public.</t>
        </is>
      </c>
      <c r="AO631" s="10" t="inlineStr">
        <is>
          <t>Independent cash &amp; carry, Patrick Gregory Road (Wednesfield/Ashmore Park area). Address confirmed on own Facebook post.</t>
        </is>
      </c>
      <c r="AP631" s="10" t="inlineStr">
        <is>
          <t>Medium</t>
        </is>
      </c>
      <c r="AQ631" s="10" t="inlineStr">
        <is>
          <t>Independent retailer; Core relevant category; Social presence</t>
        </is>
      </c>
      <c r="AR631" s="10" t="inlineStr">
        <is>
          <t>https://www.facebook.com/61569850526377/posts/save-more-cash-carry-unit-3-executive-house-patrick-gregory-road-wv11-3duhello-s/122134189754661684/</t>
        </is>
      </c>
      <c r="AS631" s="10" t="inlineStr">
        <is>
          <t>https://ratings.food.gov.uk/business/1836998/savemore-cash-carry-wolverhampton</t>
        </is>
      </c>
      <c r="AT631" s="10" t="inlineStr">
        <is>
          <t>2</t>
        </is>
      </c>
      <c r="AU631" s="10" t="inlineStr">
        <is>
          <t>No</t>
        </is>
      </c>
      <c r="AV631" s="10" t="inlineStr">
        <is>
          <t>No</t>
        </is>
      </c>
      <c r="AW631" s="10" t="inlineStr">
        <is>
          <t>No</t>
        </is>
      </c>
      <c r="AX631" s="10" t="inlineStr">
        <is>
          <t>No</t>
        </is>
      </c>
      <c r="AY631" s="10" t="inlineStr">
        <is>
          <t>Verified directory</t>
        </is>
      </c>
      <c r="AZ631" s="10" t="inlineStr">
        <is>
          <t>Not Found</t>
        </is>
      </c>
      <c r="BA631" s="10" t="inlineStr">
        <is>
          <t>2026-09-17</t>
        </is>
      </c>
      <c r="BB631" s="10" t="inlineStr">
        <is>
          <t>Requires Verification</t>
        </is>
      </c>
      <c r="BC631" s="10" t="inlineStr">
        <is>
          <t>Medium</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2026-09-17</t>
        </is>
      </c>
      <c r="BJ631" s="10" t="inlineStr">
        <is>
          <t>New</t>
        </is>
      </c>
      <c r="BK631" s="10" t="inlineStr">
        <is>
          <t>2026-09-17</t>
        </is>
      </c>
      <c r="BL631" s="10" t="inlineStr"/>
      <c r="BM631" s="10" t="inlineStr"/>
      <c r="BN631" s="10" t="inlineStr"/>
      <c r="BO631" s="10" t="inlineStr"/>
      <c r="BP631" s="10" t="inlineStr"/>
      <c r="BQ631" s="10" t="inlineStr"/>
    </row>
    <row r="632">
      <c r="A632" s="5" t="inlineStr">
        <is>
          <t>UK-000512</t>
        </is>
      </c>
      <c r="B632" s="5" t="inlineStr">
        <is>
          <t>UK-000512-01</t>
        </is>
      </c>
      <c r="C632" s="5" t="inlineStr"/>
      <c r="D632" s="5" t="inlineStr">
        <is>
          <t>Savers Express</t>
        </is>
      </c>
      <c r="E632" s="5" t="inlineStr">
        <is>
          <t>Savers Express</t>
        </is>
      </c>
      <c r="F632" s="5" t="inlineStr"/>
      <c r="G632" s="5" t="inlineStr">
        <is>
          <t>Convenience Store</t>
        </is>
      </c>
      <c r="H632" s="5" t="inlineStr">
        <is>
          <t>Convenience store &amp; off-licence</t>
        </is>
      </c>
      <c r="I632" s="5" t="inlineStr">
        <is>
          <t>Independent</t>
        </is>
      </c>
      <c r="J632" s="5" t="inlineStr">
        <is>
          <t>1</t>
        </is>
      </c>
      <c r="K632" s="5" t="inlineStr"/>
      <c r="L632" s="5" t="inlineStr"/>
      <c r="M632" s="5" t="inlineStr"/>
      <c r="N632" s="5" t="inlineStr"/>
      <c r="O632" s="5" t="inlineStr"/>
      <c r="P632" s="5" t="inlineStr"/>
      <c r="Q632" s="5" t="inlineStr">
        <is>
          <t>Cradley Heath</t>
        </is>
      </c>
      <c r="R632" s="5" t="inlineStr">
        <is>
          <t>West Midlands</t>
        </is>
      </c>
      <c r="S632" s="5" t="inlineStr"/>
      <c r="T632" s="5" t="inlineStr">
        <is>
          <t>West Midlands</t>
        </is>
      </c>
      <c r="U632" s="5" t="inlineStr">
        <is>
          <t>England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groceries; convenience; beers; wines; spirits</t>
        </is>
      </c>
      <c r="AL632" s="5" t="inlineStr"/>
      <c r="AM632" s="5" t="inlineStr">
        <is>
          <t>Convenience Store</t>
        </is>
      </c>
      <c r="AN632" s="5" t="inlineStr"/>
      <c r="AO632" s="5" t="inlineStr">
        <is>
          <t>Independent convenience store in Cradley Heath. Listed on Cylex Cradley Heath; exact street address not in snippet.</t>
        </is>
      </c>
      <c r="AP632" s="5" t="inlineStr">
        <is>
          <t>Low</t>
        </is>
      </c>
      <c r="AQ632" s="5" t="inlineStr">
        <is>
          <t>Independent retailer; Relevant category</t>
        </is>
      </c>
      <c r="AR632" s="5" t="inlineStr">
        <is>
          <t>https://cradley-heath.cylex-uk.co.uk/company/savers-express-19840611.html</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Low</t>
        </is>
      </c>
      <c r="BD632" s="5" t="inlineStr"/>
      <c r="BE632" s="5" t="inlineStr">
        <is>
          <t>Business (B2B)</t>
        </is>
      </c>
      <c r="BF632" s="5" t="inlineStr">
        <is>
          <t>Legitimate interest (B2B) - assess per campaign; PECR: corporate subscribers</t>
        </is>
      </c>
      <c r="BG632" s="5" t="inlineStr"/>
      <c r="BH632" s="5" t="inlineStr">
        <is>
          <t>No</t>
        </is>
      </c>
      <c r="BI632" s="5" t="inlineStr">
        <is>
          <t>2026-09-17</t>
        </is>
      </c>
      <c r="BJ632" s="5" t="inlineStr">
        <is>
          <t>New</t>
        </is>
      </c>
      <c r="BK632" s="5" t="inlineStr">
        <is>
          <t>2026-09-17</t>
        </is>
      </c>
      <c r="BL632" s="5" t="inlineStr"/>
      <c r="BM632" s="5" t="inlineStr"/>
      <c r="BN632" s="5" t="inlineStr"/>
      <c r="BO632" s="5" t="inlineStr"/>
      <c r="BP632" s="5" t="inlineStr"/>
      <c r="BQ632" s="5" t="inlineStr"/>
    </row>
    <row r="633">
      <c r="A633" s="10" t="inlineStr">
        <is>
          <t>UK-000513</t>
        </is>
      </c>
      <c r="B633" s="10" t="inlineStr">
        <is>
          <t>UK-000513-01</t>
        </is>
      </c>
      <c r="C633" s="10" t="inlineStr"/>
      <c r="D633" s="10" t="inlineStr">
        <is>
          <t>Sekhon Supermarket Ltd</t>
        </is>
      </c>
      <c r="E633" s="10" t="inlineStr">
        <is>
          <t>Sekhon Supermarket</t>
        </is>
      </c>
      <c r="F633" s="10" t="inlineStr">
        <is>
          <t>Sekhon Supermarket Ltd</t>
        </is>
      </c>
      <c r="G633" s="10" t="inlineStr">
        <is>
          <t>Independent Supermarket</t>
        </is>
      </c>
      <c r="H633" s="10" t="inlineStr">
        <is>
          <t>Asian / international grocery</t>
        </is>
      </c>
      <c r="I633" s="10" t="inlineStr">
        <is>
          <t>Independent</t>
        </is>
      </c>
      <c r="J633" s="10" t="inlineStr">
        <is>
          <t>1</t>
        </is>
      </c>
      <c r="K633" s="10" t="inlineStr"/>
      <c r="L633" s="10" t="inlineStr"/>
      <c r="M633" s="10" t="inlineStr"/>
      <c r="N633" s="10" t="inlineStr"/>
      <c r="O633" s="10" t="inlineStr">
        <is>
          <t>67 Lowe Street</t>
        </is>
      </c>
      <c r="P633" s="10" t="inlineStr">
        <is>
          <t>Whitmore Reans</t>
        </is>
      </c>
      <c r="Q633" s="10" t="inlineStr">
        <is>
          <t>Wolverhampton</t>
        </is>
      </c>
      <c r="R633" s="10" t="inlineStr">
        <is>
          <t>West Midlands</t>
        </is>
      </c>
      <c r="S633" s="10" t="inlineStr">
        <is>
          <t>WV6 0QG</t>
        </is>
      </c>
      <c r="T633" s="10" t="inlineStr">
        <is>
          <t>West Midlands</t>
        </is>
      </c>
      <c r="U633" s="10" t="inlineStr">
        <is>
          <t>England</t>
        </is>
      </c>
      <c r="V633" s="10" t="inlineStr"/>
      <c r="W633" s="10" t="inlineStr"/>
      <c r="X633" s="10" t="inlineStr"/>
      <c r="Y633" s="10" t="inlineStr"/>
      <c r="Z633" s="10" t="inlineStr"/>
      <c r="AA633" s="10" t="inlineStr"/>
      <c r="AB633" s="10" t="inlineStr"/>
      <c r="AC633" s="10" t="inlineStr"/>
      <c r="AD633" s="10" t="inlineStr"/>
      <c r="AE633" s="10" t="inlineStr"/>
      <c r="AF633" s="10" t="inlineStr"/>
      <c r="AG633" s="10" t="inlineStr"/>
      <c r="AH633" s="10" t="inlineStr"/>
      <c r="AI633" s="10" t="inlineStr"/>
      <c r="AJ633" s="10" t="inlineStr"/>
      <c r="AK633" s="10" t="inlineStr">
        <is>
          <t>international groceries; convenience; off-licence</t>
        </is>
      </c>
      <c r="AL633" s="10" t="inlineStr"/>
      <c r="AM633" s="10" t="inlineStr">
        <is>
          <t>Independent Supermarket</t>
        </is>
      </c>
      <c r="AN633" s="10" t="inlineStr"/>
      <c r="AO633" s="10" t="inlineStr">
        <is>
          <t>Independent supermarket in Whitmore Reans (Lowe Street), dense independent-retail area.</t>
        </is>
      </c>
      <c r="AP633" s="10" t="inlineStr">
        <is>
          <t>Low</t>
        </is>
      </c>
      <c r="AQ633" s="10" t="inlineStr">
        <is>
          <t>Independent retailer; Relevant category</t>
        </is>
      </c>
      <c r="AR633" s="10" t="inlineStr">
        <is>
          <t>https://www.wolverhampton.co.uk/supermarkets/</t>
        </is>
      </c>
      <c r="AS633" s="10" t="inlineStr"/>
      <c r="AT633" s="10" t="inlineStr">
        <is>
          <t>1</t>
        </is>
      </c>
      <c r="AU633" s="10" t="inlineStr">
        <is>
          <t>No</t>
        </is>
      </c>
      <c r="AV633" s="10" t="inlineStr">
        <is>
          <t>No</t>
        </is>
      </c>
      <c r="AW633" s="10" t="inlineStr">
        <is>
          <t>No</t>
        </is>
      </c>
      <c r="AX633" s="10" t="inlineStr">
        <is>
          <t>No</t>
        </is>
      </c>
      <c r="AY633" s="10" t="inlineStr">
        <is>
          <t>Not Found</t>
        </is>
      </c>
      <c r="AZ633" s="10" t="inlineStr">
        <is>
          <t>Not Found</t>
        </is>
      </c>
      <c r="BA633" s="10" t="inlineStr">
        <is>
          <t>2026-09-17</t>
        </is>
      </c>
      <c r="BB633" s="10" t="inlineStr">
        <is>
          <t>Requires Verification</t>
        </is>
      </c>
      <c r="BC633" s="10" t="inlineStr">
        <is>
          <t>Low</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2026-09-17</t>
        </is>
      </c>
      <c r="BJ633" s="10" t="inlineStr">
        <is>
          <t>New</t>
        </is>
      </c>
      <c r="BK633" s="10" t="inlineStr">
        <is>
          <t>2026-09-17</t>
        </is>
      </c>
      <c r="BL633" s="10" t="inlineStr"/>
      <c r="BM633" s="10" t="inlineStr"/>
      <c r="BN633" s="10" t="inlineStr"/>
      <c r="BO633" s="10" t="inlineStr"/>
      <c r="BP633" s="10" t="inlineStr"/>
      <c r="BQ633" s="10" t="inlineStr"/>
    </row>
    <row r="634">
      <c r="A634" s="5" t="inlineStr">
        <is>
          <t>UK-000276</t>
        </is>
      </c>
      <c r="B634" s="5" t="inlineStr">
        <is>
          <t>UK-000276-01</t>
        </is>
      </c>
      <c r="C634" s="5" t="inlineStr"/>
      <c r="D634" s="5" t="inlineStr">
        <is>
          <t>Selby Vapes</t>
        </is>
      </c>
      <c r="E634" s="5" t="inlineStr">
        <is>
          <t>Selby Vapes</t>
        </is>
      </c>
      <c r="F634" s="5" t="inlineStr"/>
      <c r="G634" s="5" t="inlineStr">
        <is>
          <t>Vape Shop</t>
        </is>
      </c>
      <c r="H634" s="5" t="inlineStr">
        <is>
          <t>E-liquids, nic salts &amp; vape kits</t>
        </is>
      </c>
      <c r="I634" s="5" t="inlineStr">
        <is>
          <t>Independent</t>
        </is>
      </c>
      <c r="J634" s="5" t="inlineStr">
        <is>
          <t>1</t>
        </is>
      </c>
      <c r="K634" s="5" t="inlineStr"/>
      <c r="L634" s="5" t="inlineStr"/>
      <c r="M634" s="5" t="inlineStr"/>
      <c r="N634" s="5" t="inlineStr">
        <is>
          <t>https://nextdoor.co.uk/pages/selby-vapes-selby-north-yorkshire/</t>
        </is>
      </c>
      <c r="O634" s="5" t="inlineStr">
        <is>
          <t>24 Abbots Court</t>
        </is>
      </c>
      <c r="P634" s="5" t="inlineStr"/>
      <c r="Q634" s="5" t="inlineStr">
        <is>
          <t>Selby</t>
        </is>
      </c>
      <c r="R634" s="5" t="inlineStr">
        <is>
          <t>North Yorkshire</t>
        </is>
      </c>
      <c r="S634" s="5" t="inlineStr">
        <is>
          <t>YO8 8BF</t>
        </is>
      </c>
      <c r="T634" s="5" t="inlineStr">
        <is>
          <t>Yorkshire &amp; Humber</t>
        </is>
      </c>
      <c r="U634" s="5" t="inlineStr">
        <is>
          <t>England</t>
        </is>
      </c>
      <c r="V634" s="5" t="inlineStr">
        <is>
          <t>07772 913458</t>
        </is>
      </c>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e-liquids; nic salts; vape kits</t>
        </is>
      </c>
      <c r="AL634" s="5" t="inlineStr"/>
      <c r="AM634" s="5" t="inlineStr">
        <is>
          <t>Vape Shop</t>
        </is>
      </c>
      <c r="AN634" s="5" t="inlineStr"/>
      <c r="AO634" s="5" t="inlineStr">
        <is>
          <t>Independent Selby vape shop established 2020, open 7 days. Address 24 Abbots Court and mobile number from eCig Directory / Bizify / Cylex / Nextdoor listings via search snippets.</t>
        </is>
      </c>
      <c r="AP634" s="5" t="inlineStr">
        <is>
          <t>Medium</t>
        </is>
      </c>
      <c r="AQ634" s="5" t="inlineStr">
        <is>
          <t>Independent retailer; Core relevant category; Social presence</t>
        </is>
      </c>
      <c r="AR634" s="5" t="inlineStr">
        <is>
          <t>https://www.bizify.co.uk/vape-shops/york/YO8-8FB/selby-vapes</t>
        </is>
      </c>
      <c r="AS634" s="5" t="inlineStr">
        <is>
          <t>https://ecigdirectory.co.uk/vape-shop/listing/selby-vapes-selby</t>
        </is>
      </c>
      <c r="AT634" s="5" t="inlineStr">
        <is>
          <t>2</t>
        </is>
      </c>
      <c r="AU634" s="5" t="inlineStr">
        <is>
          <t>No</t>
        </is>
      </c>
      <c r="AV634" s="5" t="inlineStr">
        <is>
          <t>No</t>
        </is>
      </c>
      <c r="AW634" s="5" t="inlineStr">
        <is>
          <t>No</t>
        </is>
      </c>
      <c r="AX634" s="5" t="inlineStr">
        <is>
          <t>No</t>
        </is>
      </c>
      <c r="AY634" s="5" t="inlineStr">
        <is>
          <t>Verified directory</t>
        </is>
      </c>
      <c r="AZ634" s="5" t="inlineStr">
        <is>
          <t>Not Found</t>
        </is>
      </c>
      <c r="BA634" s="5" t="inlineStr">
        <is>
          <t>2026-09-17</t>
        </is>
      </c>
      <c r="BB634" s="5" t="inlineStr">
        <is>
          <t>Requires Verification</t>
        </is>
      </c>
      <c r="BC634" s="5" t="inlineStr">
        <is>
          <t>Medium</t>
        </is>
      </c>
      <c r="BD634" s="5" t="inlineStr"/>
      <c r="BE634" s="5" t="inlineStr">
        <is>
          <t>Business (B2B)</t>
        </is>
      </c>
      <c r="BF634" s="5" t="inlineStr">
        <is>
          <t>Legitimate interest (B2B) - assess per campaign; PECR: corporate subscribers</t>
        </is>
      </c>
      <c r="BG634" s="5" t="inlineStr"/>
      <c r="BH634" s="5" t="inlineStr">
        <is>
          <t>No</t>
        </is>
      </c>
      <c r="BI634" s="5" t="inlineStr">
        <is>
          <t>2026-09-16</t>
        </is>
      </c>
      <c r="BJ634" s="5" t="inlineStr">
        <is>
          <t>New</t>
        </is>
      </c>
      <c r="BK634" s="5" t="inlineStr">
        <is>
          <t>2026-09-17</t>
        </is>
      </c>
      <c r="BL634" s="5" t="inlineStr"/>
      <c r="BM634" s="5" t="inlineStr"/>
      <c r="BN634" s="5" t="inlineStr"/>
      <c r="BO634" s="5" t="inlineStr"/>
      <c r="BP634" s="5" t="inlineStr"/>
      <c r="BQ634" s="5" t="inlineStr"/>
    </row>
    <row r="635">
      <c r="A635" s="10" t="inlineStr">
        <is>
          <t>WY-0144</t>
        </is>
      </c>
      <c r="B635" s="10" t="inlineStr">
        <is>
          <t>WY-0144-01</t>
        </is>
      </c>
      <c r="C635" s="10" t="inlineStr"/>
      <c r="D635" s="10" t="inlineStr">
        <is>
          <t>Select Newsagent</t>
        </is>
      </c>
      <c r="E635" s="10" t="inlineStr">
        <is>
          <t>Select Newsagent</t>
        </is>
      </c>
      <c r="F635" s="10" t="inlineStr"/>
      <c r="G635" s="10" t="inlineStr">
        <is>
          <t>Newsagent</t>
        </is>
      </c>
      <c r="H635" s="10" t="inlineStr">
        <is>
          <t>Newsagent and convenience store</t>
        </is>
      </c>
      <c r="I635" s="10" t="inlineStr">
        <is>
          <t>Independent</t>
        </is>
      </c>
      <c r="J635" s="10" t="inlineStr">
        <is>
          <t>1</t>
        </is>
      </c>
      <c r="K635" s="10" t="inlineStr"/>
      <c r="L635" s="10" t="inlineStr"/>
      <c r="M635" s="10" t="inlineStr"/>
      <c r="N635" s="10" t="inlineStr"/>
      <c r="O635" s="10" t="inlineStr">
        <is>
          <t>18 Lee Green</t>
        </is>
      </c>
      <c r="P635" s="10" t="inlineStr"/>
      <c r="Q635" s="10" t="inlineStr">
        <is>
          <t>Mirfield</t>
        </is>
      </c>
      <c r="R635" s="10" t="inlineStr">
        <is>
          <t>West Yorkshire</t>
        </is>
      </c>
      <c r="S635" s="10" t="inlineStr">
        <is>
          <t>WF14 0AB</t>
        </is>
      </c>
      <c r="T635" s="10" t="inlineStr">
        <is>
          <t>Yorkshire &amp; Humber</t>
        </is>
      </c>
      <c r="U635" s="10" t="inlineStr">
        <is>
          <t>England</t>
        </is>
      </c>
      <c r="V635" s="10" t="inlineStr">
        <is>
          <t>01924 695779</t>
        </is>
      </c>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newspapers; magazines; convenience goods; confectionery</t>
        </is>
      </c>
      <c r="AL635" s="10" t="inlineStr"/>
      <c r="AM635" s="10" t="inlineStr">
        <is>
          <t>Newsagent</t>
        </is>
      </c>
      <c r="AN635" s="10" t="inlineStr"/>
      <c r="AO635" s="10" t="inlineStr"/>
      <c r="AP635" s="10" t="inlineStr">
        <is>
          <t>Low</t>
        </is>
      </c>
      <c r="AQ635" s="10" t="inlineStr">
        <is>
          <t>Independent retailer; Relevant category</t>
        </is>
      </c>
      <c r="AR635" s="10" t="inlineStr">
        <is>
          <t>https://mirfield.cylex-uk.co.uk/company/select-newsagent-28742458.html</t>
        </is>
      </c>
      <c r="AS635" s="10" t="inlineStr">
        <is>
          <t>https://mirfield.ukintouch.com/convenience-store/select-newsagent/</t>
        </is>
      </c>
      <c r="AT635" s="10" t="inlineStr">
        <is>
          <t>2</t>
        </is>
      </c>
      <c r="AU635" s="10" t="inlineStr">
        <is>
          <t>No</t>
        </is>
      </c>
      <c r="AV635" s="10" t="inlineStr">
        <is>
          <t>No</t>
        </is>
      </c>
      <c r="AW635" s="10" t="inlineStr">
        <is>
          <t>No</t>
        </is>
      </c>
      <c r="AX635" s="10" t="inlineStr">
        <is>
          <t>No</t>
        </is>
      </c>
      <c r="AY635" s="10" t="inlineStr">
        <is>
          <t>Verified directory</t>
        </is>
      </c>
      <c r="AZ635" s="10" t="inlineStr">
        <is>
          <t>Not Found</t>
        </is>
      </c>
      <c r="BA635" s="10" t="inlineStr">
        <is>
          <t>2026-09-17</t>
        </is>
      </c>
      <c r="BB635" s="10" t="inlineStr">
        <is>
          <t>Requires Verification</t>
        </is>
      </c>
      <c r="BC635" s="10" t="inlineStr">
        <is>
          <t>Medium</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2026-09-16</t>
        </is>
      </c>
      <c r="BJ635" s="10" t="inlineStr">
        <is>
          <t>New</t>
        </is>
      </c>
      <c r="BK635" s="10" t="inlineStr">
        <is>
          <t>2026-09-17</t>
        </is>
      </c>
      <c r="BL635" s="10" t="inlineStr"/>
      <c r="BM635" s="10" t="inlineStr"/>
      <c r="BN635" s="10" t="inlineStr"/>
      <c r="BO635" s="10" t="inlineStr"/>
      <c r="BP635" s="10" t="inlineStr"/>
      <c r="BQ635" s="10" t="inlineStr"/>
    </row>
    <row r="636">
      <c r="A636" s="5" t="inlineStr">
        <is>
          <t>UK-000514</t>
        </is>
      </c>
      <c r="B636" s="5" t="inlineStr">
        <is>
          <t>UK-000514-01</t>
        </is>
      </c>
      <c r="C636" s="5" t="inlineStr"/>
      <c r="D636" s="5" t="inlineStr">
        <is>
          <t>Shade E-Vaping</t>
        </is>
      </c>
      <c r="E636" s="5" t="inlineStr">
        <is>
          <t>Shade E-Vaping</t>
        </is>
      </c>
      <c r="F636" s="5" t="inlineStr"/>
      <c r="G636" s="5" t="inlineStr">
        <is>
          <t>Vape Shop</t>
        </is>
      </c>
      <c r="H636" s="5" t="inlineStr">
        <is>
          <t>Vape kits, e-liquids &amp; accessories</t>
        </is>
      </c>
      <c r="I636" s="5" t="inlineStr">
        <is>
          <t>Independent</t>
        </is>
      </c>
      <c r="J636" s="5" t="inlineStr">
        <is>
          <t>1</t>
        </is>
      </c>
      <c r="K636" s="5" t="inlineStr"/>
      <c r="L636" s="5" t="inlineStr"/>
      <c r="M636" s="5" t="inlineStr"/>
      <c r="N636" s="5" t="inlineStr"/>
      <c r="O636" s="5" t="inlineStr">
        <is>
          <t>31 King Street</t>
        </is>
      </c>
      <c r="P636" s="5" t="inlineStr"/>
      <c r="Q636" s="5" t="inlineStr">
        <is>
          <t>Dudley</t>
        </is>
      </c>
      <c r="R636" s="5" t="inlineStr">
        <is>
          <t>West Midlands</t>
        </is>
      </c>
      <c r="S636" s="5" t="inlineStr">
        <is>
          <t>DY2 8NY</t>
        </is>
      </c>
      <c r="T636" s="5" t="inlineStr">
        <is>
          <t>West Midlands</t>
        </is>
      </c>
      <c r="U636" s="5" t="inlineStr">
        <is>
          <t>England</t>
        </is>
      </c>
      <c r="V636" s="5" t="inlineStr"/>
      <c r="W636" s="5" t="inlineStr"/>
      <c r="X636" s="5" t="inlineStr"/>
      <c r="Y636" s="5" t="inlineStr"/>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vape hardware; e-liquids</t>
        </is>
      </c>
      <c r="AL636" s="5" t="inlineStr"/>
      <c r="AM636" s="5" t="inlineStr">
        <is>
          <t>Vape Shop</t>
        </is>
      </c>
      <c r="AN636" s="5" t="inlineStr"/>
      <c r="AO636" s="5" t="inlineStr">
        <is>
          <t>Independent vape shop in Dudley town centre. Address from Yelp Dudley vape shops listing snippet.</t>
        </is>
      </c>
      <c r="AP636" s="5" t="inlineStr">
        <is>
          <t>Medium</t>
        </is>
      </c>
      <c r="AQ636" s="5" t="inlineStr">
        <is>
          <t>Independent retailer; Core relevant category</t>
        </is>
      </c>
      <c r="AR636" s="5" t="inlineStr">
        <is>
          <t>https://www.yelp.com/search?cflt=vapeshops&amp;find_loc=Dudley%2C+West+Midlands</t>
        </is>
      </c>
      <c r="AS636" s="5" t="inlineStr"/>
      <c r="AT636" s="5" t="inlineStr">
        <is>
          <t>1</t>
        </is>
      </c>
      <c r="AU636" s="5" t="inlineStr">
        <is>
          <t>No</t>
        </is>
      </c>
      <c r="AV636" s="5" t="inlineStr">
        <is>
          <t>No</t>
        </is>
      </c>
      <c r="AW636" s="5" t="inlineStr">
        <is>
          <t>No</t>
        </is>
      </c>
      <c r="AX636" s="5" t="inlineStr">
        <is>
          <t>No</t>
        </is>
      </c>
      <c r="AY636" s="5" t="inlineStr">
        <is>
          <t>Not Found</t>
        </is>
      </c>
      <c r="AZ636" s="5" t="inlineStr">
        <is>
          <t>Not Found</t>
        </is>
      </c>
      <c r="BA636" s="5" t="inlineStr">
        <is>
          <t>2026-09-17</t>
        </is>
      </c>
      <c r="BB636" s="5" t="inlineStr">
        <is>
          <t>Requires Verification</t>
        </is>
      </c>
      <c r="BC636" s="5" t="inlineStr">
        <is>
          <t>Low</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WY-0145</t>
        </is>
      </c>
      <c r="B637" s="10" t="inlineStr">
        <is>
          <t>WY-0145-01</t>
        </is>
      </c>
      <c r="C637" s="10" t="inlineStr"/>
      <c r="D637" s="10" t="inlineStr">
        <is>
          <t>Shans Supermarket</t>
        </is>
      </c>
      <c r="E637" s="10" t="inlineStr">
        <is>
          <t>Shans Supermarket</t>
        </is>
      </c>
      <c r="F637" s="10" t="inlineStr"/>
      <c r="G637" s="10" t="inlineStr">
        <is>
          <t>Independent Supermarket</t>
        </is>
      </c>
      <c r="H637" s="10" t="inlineStr">
        <is>
          <t>Multicultural halal supermarket</t>
        </is>
      </c>
      <c r="I637" s="10" t="inlineStr">
        <is>
          <t>Independent</t>
        </is>
      </c>
      <c r="J637" s="10" t="inlineStr">
        <is>
          <t>1</t>
        </is>
      </c>
      <c r="K637" s="10" t="inlineStr"/>
      <c r="L637" s="10" t="inlineStr">
        <is>
          <t>https://www.facebook.com/ShansSupermarket/</t>
        </is>
      </c>
      <c r="M637" s="10" t="inlineStr"/>
      <c r="N637" s="10" t="inlineStr"/>
      <c r="O637" s="10" t="inlineStr">
        <is>
          <t>Alice Street</t>
        </is>
      </c>
      <c r="P637" s="10" t="inlineStr"/>
      <c r="Q637" s="10" t="inlineStr">
        <is>
          <t>Keighley</t>
        </is>
      </c>
      <c r="R637" s="10" t="inlineStr">
        <is>
          <t>West Yorkshire</t>
        </is>
      </c>
      <c r="S637" s="10" t="inlineStr"/>
      <c r="T637" s="10" t="inlineStr">
        <is>
          <t>Yorkshire &amp; Humber</t>
        </is>
      </c>
      <c r="U637" s="10" t="inlineStr">
        <is>
          <t>England</t>
        </is>
      </c>
      <c r="V637" s="10" t="inlineStr">
        <is>
          <t>01535 667889</t>
        </is>
      </c>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fresh halal meat; spices; grains; pulses; world food ingredients</t>
        </is>
      </c>
      <c r="AL637" s="10" t="inlineStr"/>
      <c r="AM637" s="10" t="inlineStr">
        <is>
          <t>Independent Supermarket</t>
        </is>
      </c>
      <c r="AN637" s="10" t="inlineStr"/>
      <c r="AO637" s="10" t="inlineStr">
        <is>
          <t>Described as Keighley's first multicultural halal supermarket, town-centre location on Alice Street.</t>
        </is>
      </c>
      <c r="AP637" s="10" t="inlineStr">
        <is>
          <t>Medium</t>
        </is>
      </c>
      <c r="AQ637" s="10" t="inlineStr">
        <is>
          <t>Independent retailer; Relevant category; Social presence</t>
        </is>
      </c>
      <c r="AR637" s="10" t="inlineStr">
        <is>
          <t>https://www.facebook.com/ShansSupermarket/</t>
        </is>
      </c>
      <c r="AS637" s="10" t="inlineStr">
        <is>
          <t>https://www.yorkshire.com/keighley/shopping/supermarkets/shans-supermarket</t>
        </is>
      </c>
      <c r="AT637" s="10" t="inlineStr">
        <is>
          <t>2</t>
        </is>
      </c>
      <c r="AU637" s="10" t="inlineStr">
        <is>
          <t>No</t>
        </is>
      </c>
      <c r="AV637" s="10" t="inlineStr">
        <is>
          <t>No</t>
        </is>
      </c>
      <c r="AW637" s="10" t="inlineStr">
        <is>
          <t>No</t>
        </is>
      </c>
      <c r="AX637" s="10" t="inlineStr">
        <is>
          <t>No</t>
        </is>
      </c>
      <c r="AY637" s="10" t="inlineStr">
        <is>
          <t>Verified directory</t>
        </is>
      </c>
      <c r="AZ637" s="10" t="inlineStr">
        <is>
          <t>Not Found</t>
        </is>
      </c>
      <c r="BA637" s="10" t="inlineStr">
        <is>
          <t>2026-09-17</t>
        </is>
      </c>
      <c r="BB637" s="10" t="inlineStr">
        <is>
          <t>Requires Verification</t>
        </is>
      </c>
      <c r="BC637" s="10" t="inlineStr">
        <is>
          <t>Medium</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2026-09-16</t>
        </is>
      </c>
      <c r="BJ637" s="10" t="inlineStr">
        <is>
          <t>New</t>
        </is>
      </c>
      <c r="BK637" s="10" t="inlineStr">
        <is>
          <t>2026-09-17</t>
        </is>
      </c>
      <c r="BL637" s="10" t="inlineStr"/>
      <c r="BM637" s="10" t="inlineStr"/>
      <c r="BN637" s="10" t="inlineStr"/>
      <c r="BO637" s="10" t="inlineStr"/>
      <c r="BP637" s="10" t="inlineStr"/>
      <c r="BQ637" s="10" t="inlineStr"/>
    </row>
    <row r="638">
      <c r="A638" s="5" t="inlineStr">
        <is>
          <t>WY-0146</t>
        </is>
      </c>
      <c r="B638" s="5" t="inlineStr">
        <is>
          <t>WY-0146-01</t>
        </is>
      </c>
      <c r="C638" s="5" t="inlineStr"/>
      <c r="D638" s="5" t="inlineStr">
        <is>
          <t>Sheepridge Off Licence</t>
        </is>
      </c>
      <c r="E638" s="5" t="inlineStr">
        <is>
          <t>Sheepridge Off Licence</t>
        </is>
      </c>
      <c r="F638" s="5" t="inlineStr">
        <is>
          <t>Sheepridge Off Licence Limited</t>
        </is>
      </c>
      <c r="G638" s="5" t="inlineStr">
        <is>
          <t>Off-Licence</t>
        </is>
      </c>
      <c r="H638" s="5" t="inlineStr">
        <is>
          <t>Off-licence and convenience store</t>
        </is>
      </c>
      <c r="I638" s="5" t="inlineStr">
        <is>
          <t>Independent</t>
        </is>
      </c>
      <c r="J638" s="5" t="inlineStr">
        <is>
          <t>1</t>
        </is>
      </c>
      <c r="K638" s="5" t="inlineStr"/>
      <c r="L638" s="5" t="inlineStr"/>
      <c r="M638" s="5" t="inlineStr"/>
      <c r="N638" s="5" t="inlineStr"/>
      <c r="O638" s="5" t="inlineStr">
        <is>
          <t>73 Lawrence Road</t>
        </is>
      </c>
      <c r="P638" s="5" t="inlineStr"/>
      <c r="Q638" s="5" t="inlineStr">
        <is>
          <t>Huddersfield</t>
        </is>
      </c>
      <c r="R638" s="5" t="inlineStr">
        <is>
          <t>West Yorkshire</t>
        </is>
      </c>
      <c r="S638" s="5" t="inlineStr">
        <is>
          <t>HD1 4LW</t>
        </is>
      </c>
      <c r="T638" s="5" t="inlineStr">
        <is>
          <t>Yorkshire &amp; Humber</t>
        </is>
      </c>
      <c r="U638" s="5" t="inlineStr">
        <is>
          <t>England</t>
        </is>
      </c>
      <c r="V638" s="5" t="inlineStr"/>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alcohol; convenience goods</t>
        </is>
      </c>
      <c r="AL638" s="5" t="inlineStr"/>
      <c r="AM638" s="5" t="inlineStr">
        <is>
          <t>Off-Licence</t>
        </is>
      </c>
      <c r="AN638" s="5" t="inlineStr"/>
      <c r="AO638" s="5" t="inlineStr">
        <is>
          <t>192.com lists the business as a limited company ('Sheepridge Off Licence Limited'); Companies House record not opened so number/status not recorded.</t>
        </is>
      </c>
      <c r="AP638" s="5" t="inlineStr">
        <is>
          <t>Low</t>
        </is>
      </c>
      <c r="AQ638" s="5" t="inlineStr">
        <is>
          <t>Independent retailer; Relevant category</t>
        </is>
      </c>
      <c r="AR638" s="5" t="inlineStr">
        <is>
          <t>https://www.192.com/atoz/business/huddersfield-hd1/convenience-stores/sheepridge-off-licence-limited/bfc32af555a5eed742b2bfb4d8a2acd75ab80d62/comp/</t>
        </is>
      </c>
      <c r="AS638" s="5" t="inlineStr"/>
      <c r="AT638" s="5" t="inlineStr">
        <is>
          <t>1</t>
        </is>
      </c>
      <c r="AU638" s="5" t="inlineStr">
        <is>
          <t>No</t>
        </is>
      </c>
      <c r="AV638" s="5" t="inlineStr">
        <is>
          <t>No</t>
        </is>
      </c>
      <c r="AW638" s="5" t="inlineStr">
        <is>
          <t>No</t>
        </is>
      </c>
      <c r="AX638" s="5" t="inlineStr">
        <is>
          <t>No</t>
        </is>
      </c>
      <c r="AY638" s="5" t="inlineStr">
        <is>
          <t>Not Found</t>
        </is>
      </c>
      <c r="AZ638" s="5" t="inlineStr">
        <is>
          <t>Not Found</t>
        </is>
      </c>
      <c r="BA638" s="5" t="inlineStr">
        <is>
          <t>2026-09-17</t>
        </is>
      </c>
      <c r="BB638" s="5" t="inlineStr">
        <is>
          <t>Requires Verification</t>
        </is>
      </c>
      <c r="BC638" s="5" t="inlineStr">
        <is>
          <t>Low</t>
        </is>
      </c>
      <c r="BD638" s="5" t="inlineStr"/>
      <c r="BE638" s="5" t="inlineStr">
        <is>
          <t>Business (B2B)</t>
        </is>
      </c>
      <c r="BF638" s="5" t="inlineStr">
        <is>
          <t>Legitimate interest (B2B) - assess per campaign; PECR: corporate subscribers</t>
        </is>
      </c>
      <c r="BG638" s="5" t="inlineStr"/>
      <c r="BH638" s="5" t="inlineStr">
        <is>
          <t>No</t>
        </is>
      </c>
      <c r="BI638" s="5" t="inlineStr">
        <is>
          <t>2026-09-16</t>
        </is>
      </c>
      <c r="BJ638" s="5" t="inlineStr">
        <is>
          <t>New</t>
        </is>
      </c>
      <c r="BK638" s="5" t="inlineStr">
        <is>
          <t>2026-09-17</t>
        </is>
      </c>
      <c r="BL638" s="5" t="inlineStr"/>
      <c r="BM638" s="5" t="inlineStr"/>
      <c r="BN638" s="5" t="inlineStr"/>
      <c r="BO638" s="5" t="inlineStr"/>
      <c r="BP638" s="5" t="inlineStr"/>
      <c r="BQ638" s="5" t="inlineStr"/>
    </row>
    <row r="639">
      <c r="A639" s="10" t="inlineStr">
        <is>
          <t>UK-000380</t>
        </is>
      </c>
      <c r="B639" s="10" t="inlineStr">
        <is>
          <t>UK-000380-01</t>
        </is>
      </c>
      <c r="C639" s="10" t="inlineStr"/>
      <c r="D639" s="10" t="inlineStr">
        <is>
          <t>Shesha Lounge (Cheetham Hill)</t>
        </is>
      </c>
      <c r="E639" s="10" t="inlineStr">
        <is>
          <t>Shesha Lounge</t>
        </is>
      </c>
      <c r="F639" s="10" t="inlineStr"/>
      <c r="G639" s="10" t="inlineStr">
        <is>
          <t>Smoke / Shisha Shop</t>
        </is>
      </c>
      <c r="H639" s="10" t="inlineStr">
        <is>
          <t>Shisha lounge</t>
        </is>
      </c>
      <c r="I639" s="10" t="inlineStr">
        <is>
          <t>Independent</t>
        </is>
      </c>
      <c r="J639" s="10" t="inlineStr">
        <is>
          <t>1</t>
        </is>
      </c>
      <c r="K639" s="10" t="inlineStr"/>
      <c r="L639" s="10" t="inlineStr">
        <is>
          <t>https://www.facebook.com/p/Shesha-Lounge-100036309619169/</t>
        </is>
      </c>
      <c r="M639" s="10" t="inlineStr"/>
      <c r="N639" s="10" t="inlineStr">
        <is>
          <t>https://twitter.com/Shesha_Lounge</t>
        </is>
      </c>
      <c r="O639" s="10" t="inlineStr">
        <is>
          <t>137-139 Cheetham Hill Road</t>
        </is>
      </c>
      <c r="P639" s="10" t="inlineStr">
        <is>
          <t>Cheetham Hill</t>
        </is>
      </c>
      <c r="Q639" s="10" t="inlineStr">
        <is>
          <t>Manchester</t>
        </is>
      </c>
      <c r="R639" s="10" t="inlineStr">
        <is>
          <t>Greater Manchester</t>
        </is>
      </c>
      <c r="S639" s="10" t="inlineStr"/>
      <c r="T639" s="10" t="inlineStr">
        <is>
          <t>North West</t>
        </is>
      </c>
      <c r="U639" s="10" t="inlineStr">
        <is>
          <t>England</t>
        </is>
      </c>
      <c r="V639" s="10" t="inlineStr">
        <is>
          <t>0161 834 8007</t>
        </is>
      </c>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shisha/hookah; tobacco molasses; charcoal; cafe</t>
        </is>
      </c>
      <c r="AL639" s="10" t="inlineStr"/>
      <c r="AM639" s="10" t="inlineStr">
        <is>
          <t>Smoke / Shisha Shop</t>
        </is>
      </c>
      <c r="AN639" s="10" t="inlineStr"/>
      <c r="AO639" s="10" t="inlineStr">
        <is>
          <t>Cheetham Hill shisha lounge, 137-139 Cheetham Hill Road; phone &amp; socials from Yelp/Facebook. Exact postcode not captured (M8 area).</t>
        </is>
      </c>
      <c r="AP639" s="10" t="inlineStr">
        <is>
          <t>Medium</t>
        </is>
      </c>
      <c r="AQ639" s="10" t="inlineStr">
        <is>
          <t>Independent retailer; Core relevant category; Social presence</t>
        </is>
      </c>
      <c r="AR639" s="10" t="inlineStr">
        <is>
          <t>https://www.yelp.co.uk/biz/shesha-lounge-manchester-2</t>
        </is>
      </c>
      <c r="AS639" s="10" t="inlineStr"/>
      <c r="AT639" s="10" t="inlineStr">
        <is>
          <t>1</t>
        </is>
      </c>
      <c r="AU639" s="10" t="inlineStr">
        <is>
          <t>No</t>
        </is>
      </c>
      <c r="AV639" s="10" t="inlineStr">
        <is>
          <t>No</t>
        </is>
      </c>
      <c r="AW639" s="10" t="inlineStr">
        <is>
          <t>No</t>
        </is>
      </c>
      <c r="AX639" s="10" t="inlineStr">
        <is>
          <t>No</t>
        </is>
      </c>
      <c r="AY639" s="10" t="inlineStr">
        <is>
          <t>Verified directory</t>
        </is>
      </c>
      <c r="AZ639" s="10" t="inlineStr">
        <is>
          <t>Not Found</t>
        </is>
      </c>
      <c r="BA639" s="10" t="inlineStr">
        <is>
          <t>2026-09-17</t>
        </is>
      </c>
      <c r="BB639" s="10" t="inlineStr">
        <is>
          <t>Requires Verification</t>
        </is>
      </c>
      <c r="BC639" s="10" t="inlineStr">
        <is>
          <t>Medium</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2026-09-17</t>
        </is>
      </c>
      <c r="BJ639" s="10" t="inlineStr">
        <is>
          <t>New</t>
        </is>
      </c>
      <c r="BK639" s="10" t="inlineStr">
        <is>
          <t>2026-09-17</t>
        </is>
      </c>
      <c r="BL639" s="10" t="inlineStr"/>
      <c r="BM639" s="10" t="inlineStr"/>
      <c r="BN639" s="10" t="inlineStr"/>
      <c r="BO639" s="10" t="inlineStr"/>
      <c r="BP639" s="10" t="inlineStr"/>
      <c r="BQ639" s="10" t="inlineStr"/>
    </row>
    <row r="640">
      <c r="A640" s="5" t="inlineStr">
        <is>
          <t>UK-000381</t>
        </is>
      </c>
      <c r="B640" s="5" t="inlineStr">
        <is>
          <t>UK-000381-01</t>
        </is>
      </c>
      <c r="C640" s="5" t="inlineStr"/>
      <c r="D640" s="5" t="inlineStr">
        <is>
          <t>Shisha Club UK</t>
        </is>
      </c>
      <c r="E640" s="5" t="inlineStr">
        <is>
          <t>Shisha Club UK</t>
        </is>
      </c>
      <c r="F640" s="5" t="inlineStr"/>
      <c r="G640" s="5" t="inlineStr">
        <is>
          <t>Smoke / Shisha Shop</t>
        </is>
      </c>
      <c r="H640" s="5" t="inlineStr">
        <is>
          <t>Shisha products retailer</t>
        </is>
      </c>
      <c r="I640" s="5" t="inlineStr">
        <is>
          <t>Independent</t>
        </is>
      </c>
      <c r="J640" s="5" t="inlineStr">
        <is>
          <t>1</t>
        </is>
      </c>
      <c r="K640" s="5" t="inlineStr">
        <is>
          <t>https://shisha-club-uk.ueniweb.com/</t>
        </is>
      </c>
      <c r="L640" s="5" t="inlineStr"/>
      <c r="M640" s="5" t="inlineStr"/>
      <c r="N640" s="5" t="inlineStr"/>
      <c r="O640" s="5" t="inlineStr">
        <is>
          <t>253 Featherstall Road</t>
        </is>
      </c>
      <c r="P640" s="5" t="inlineStr"/>
      <c r="Q640" s="5" t="inlineStr">
        <is>
          <t>Oldham</t>
        </is>
      </c>
      <c r="R640" s="5" t="inlineStr">
        <is>
          <t>Greater Manchester</t>
        </is>
      </c>
      <c r="S640" s="5" t="inlineStr">
        <is>
          <t>OL1 2NJ</t>
        </is>
      </c>
      <c r="T640" s="5" t="inlineStr">
        <is>
          <t>North West</t>
        </is>
      </c>
      <c r="U640" s="5" t="inlineStr">
        <is>
          <t>England</t>
        </is>
      </c>
      <c r="V640" s="5" t="inlineStr"/>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shisha; hookah; shisha accessories</t>
        </is>
      </c>
      <c r="AL640" s="5" t="inlineStr"/>
      <c r="AM640" s="5" t="inlineStr">
        <is>
          <t>Smoke / Shisha Shop</t>
        </is>
      </c>
      <c r="AN640" s="5" t="inlineStr"/>
      <c r="AO640" s="5" t="inlineStr">
        <is>
          <t>Shisha products store in Oldham selling shisha pens and accessories.</t>
        </is>
      </c>
      <c r="AP640" s="5" t="inlineStr">
        <is>
          <t>Medium</t>
        </is>
      </c>
      <c r="AQ640" s="5" t="inlineStr">
        <is>
          <t>Independent retailer; Core relevant category; Active website</t>
        </is>
      </c>
      <c r="AR640" s="5" t="inlineStr">
        <is>
          <t>https://shisha-club-uk.ueniweb.com/</t>
        </is>
      </c>
      <c r="AS640" s="5" t="inlineStr"/>
      <c r="AT640" s="5" t="inlineStr">
        <is>
          <t>1</t>
        </is>
      </c>
      <c r="AU640" s="5" t="inlineStr">
        <is>
          <t>No</t>
        </is>
      </c>
      <c r="AV640" s="5" t="inlineStr">
        <is>
          <t>No</t>
        </is>
      </c>
      <c r="AW640" s="5" t="inlineStr">
        <is>
          <t>No</t>
        </is>
      </c>
      <c r="AX640" s="5" t="inlineStr">
        <is>
          <t>No</t>
        </is>
      </c>
      <c r="AY640" s="5" t="inlineStr">
        <is>
          <t>Not Found</t>
        </is>
      </c>
      <c r="AZ640" s="5" t="inlineStr">
        <is>
          <t>Website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UK-000656</t>
        </is>
      </c>
      <c r="B641" s="10" t="inlineStr">
        <is>
          <t>UK-000656-01</t>
        </is>
      </c>
      <c r="C641" s="10" t="inlineStr"/>
      <c r="D641" s="10" t="inlineStr">
        <is>
          <t>Shisha Town Market</t>
        </is>
      </c>
      <c r="E641" s="10" t="inlineStr">
        <is>
          <t>Shisha Town Market</t>
        </is>
      </c>
      <c r="F641" s="10" t="inlineStr"/>
      <c r="G641" s="10" t="inlineStr">
        <is>
          <t>Smoke / Shisha Shop</t>
        </is>
      </c>
      <c r="H641" s="10" t="inlineStr">
        <is>
          <t>Shisha &amp; hookah retail</t>
        </is>
      </c>
      <c r="I641" s="10" t="inlineStr">
        <is>
          <t>Independent</t>
        </is>
      </c>
      <c r="J641" s="10" t="inlineStr">
        <is>
          <t>1</t>
        </is>
      </c>
      <c r="K641" s="10" t="inlineStr"/>
      <c r="L641" s="10" t="inlineStr"/>
      <c r="M641" s="10" t="inlineStr"/>
      <c r="N641" s="10" t="inlineStr"/>
      <c r="O641" s="10" t="inlineStr">
        <is>
          <t>248 Fore Street</t>
        </is>
      </c>
      <c r="P641" s="10" t="inlineStr"/>
      <c r="Q641" s="10" t="inlineStr">
        <is>
          <t>Edmonton</t>
        </is>
      </c>
      <c r="R641" s="10" t="inlineStr">
        <is>
          <t>Greater London</t>
        </is>
      </c>
      <c r="S641" s="10" t="inlineStr">
        <is>
          <t>N18 2QD</t>
        </is>
      </c>
      <c r="T641" s="10" t="inlineStr">
        <is>
          <t>London</t>
        </is>
      </c>
      <c r="U641" s="10" t="inlineStr">
        <is>
          <t>England</t>
        </is>
      </c>
      <c r="V641" s="10" t="inlineStr">
        <is>
          <t>07404 066331</t>
        </is>
      </c>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shisha; hookah; smokers requisites</t>
        </is>
      </c>
      <c r="AL641" s="10" t="inlineStr"/>
      <c r="AM641" s="10" t="inlineStr">
        <is>
          <t>Smoke / Shisha Shop</t>
        </is>
      </c>
      <c r="AN641" s="10" t="inlineStr"/>
      <c r="AO641" s="10" t="inlineStr">
        <is>
          <t>Shisha/hookah retailer on Fore Street, Upper Edmonton. Address/postcode/phone from Yelp hookah + 192 directory search.</t>
        </is>
      </c>
      <c r="AP641" s="10" t="inlineStr">
        <is>
          <t>Medium</t>
        </is>
      </c>
      <c r="AQ641" s="10" t="inlineStr">
        <is>
          <t>Independent retailer; Core relevant category</t>
        </is>
      </c>
      <c r="AR641" s="10" t="inlineStr">
        <is>
          <t>https://www.yelp.co.uk/search?find_desc=Hookah+Store&amp;find_loc=London</t>
        </is>
      </c>
      <c r="AS641" s="10" t="inlineStr"/>
      <c r="AT641" s="10" t="inlineStr">
        <is>
          <t>1</t>
        </is>
      </c>
      <c r="AU641" s="10" t="inlineStr">
        <is>
          <t>No</t>
        </is>
      </c>
      <c r="AV641" s="10" t="inlineStr">
        <is>
          <t>No</t>
        </is>
      </c>
      <c r="AW641" s="10" t="inlineStr">
        <is>
          <t>No</t>
        </is>
      </c>
      <c r="AX641" s="10" t="inlineStr">
        <is>
          <t>No</t>
        </is>
      </c>
      <c r="AY641" s="10" t="inlineStr">
        <is>
          <t>Verified directory</t>
        </is>
      </c>
      <c r="AZ641" s="10" t="inlineStr">
        <is>
          <t>Not Found</t>
        </is>
      </c>
      <c r="BA641" s="10" t="inlineStr">
        <is>
          <t>2026-09-17</t>
        </is>
      </c>
      <c r="BB641" s="10" t="inlineStr">
        <is>
          <t>Requires Verification</t>
        </is>
      </c>
      <c r="BC641" s="10" t="inlineStr">
        <is>
          <t>Low</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UK-000515</t>
        </is>
      </c>
      <c r="B642" s="5" t="inlineStr">
        <is>
          <t>UK-000515-01</t>
        </is>
      </c>
      <c r="C642" s="5" t="inlineStr"/>
      <c r="D642" s="5" t="inlineStr">
        <is>
          <t>Shisha-Wala</t>
        </is>
      </c>
      <c r="E642" s="5" t="inlineStr">
        <is>
          <t>Shisha-Wala</t>
        </is>
      </c>
      <c r="F642" s="5" t="inlineStr"/>
      <c r="G642" s="5" t="inlineStr">
        <is>
          <t>Smoke / Shisha Shop</t>
        </is>
      </c>
      <c r="H642" s="5" t="inlineStr">
        <is>
          <t>Shisha lounge &amp; food</t>
        </is>
      </c>
      <c r="I642" s="5" t="inlineStr">
        <is>
          <t>Independent</t>
        </is>
      </c>
      <c r="J642" s="5" t="inlineStr">
        <is>
          <t>1</t>
        </is>
      </c>
      <c r="K642" s="5" t="inlineStr">
        <is>
          <t>https://shisha-wala.co.uk/</t>
        </is>
      </c>
      <c r="L642" s="5" t="inlineStr"/>
      <c r="M642" s="5" t="inlineStr"/>
      <c r="N642" s="5" t="inlineStr"/>
      <c r="O642" s="5" t="inlineStr">
        <is>
          <t>1066 Coventry Road</t>
        </is>
      </c>
      <c r="P642" s="5" t="inlineStr">
        <is>
          <t>Hay Mills / Small Heath</t>
        </is>
      </c>
      <c r="Q642" s="5" t="inlineStr">
        <is>
          <t>Birmingham</t>
        </is>
      </c>
      <c r="R642" s="5" t="inlineStr">
        <is>
          <t>West Midlands</t>
        </is>
      </c>
      <c r="S642" s="5" t="inlineStr">
        <is>
          <t>B25 8DP</t>
        </is>
      </c>
      <c r="T642" s="5" t="inlineStr">
        <is>
          <t>West Midlands</t>
        </is>
      </c>
      <c r="U642" s="5" t="inlineStr">
        <is>
          <t>England</t>
        </is>
      </c>
      <c r="V642" s="5" t="inlineStr">
        <is>
          <t>0121 245 2229</t>
        </is>
      </c>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shisha; food &amp; drink</t>
        </is>
      </c>
      <c r="AL642" s="5" t="inlineStr"/>
      <c r="AM642" s="5" t="inlineStr">
        <is>
          <t>Smoke / Shisha Shop</t>
        </is>
      </c>
      <c r="AN642" s="5" t="inlineStr"/>
      <c r="AO642" s="5" t="inlineStr">
        <is>
          <t>Shisha lounge &amp; food venue on Coventry Road (Small Heath / Hay Mills corridor). Website not fetched (WebFetch blocked).</t>
        </is>
      </c>
      <c r="AP642" s="5" t="inlineStr">
        <is>
          <t>Medium</t>
        </is>
      </c>
      <c r="AQ642" s="5" t="inlineStr">
        <is>
          <t>Independent retailer; Core relevant category; Active website</t>
        </is>
      </c>
      <c r="AR642" s="5" t="inlineStr">
        <is>
          <t>https://shisha-wala.co.uk/</t>
        </is>
      </c>
      <c r="AS642" s="5" t="inlineStr"/>
      <c r="AT642" s="5" t="inlineStr">
        <is>
          <t>1</t>
        </is>
      </c>
      <c r="AU642" s="5" t="inlineStr">
        <is>
          <t>No</t>
        </is>
      </c>
      <c r="AV642" s="5" t="inlineStr">
        <is>
          <t>No</t>
        </is>
      </c>
      <c r="AW642" s="5" t="inlineStr">
        <is>
          <t>No</t>
        </is>
      </c>
      <c r="AX642" s="5" t="inlineStr">
        <is>
          <t>No</t>
        </is>
      </c>
      <c r="AY642" s="5" t="inlineStr">
        <is>
          <t>Verified directory</t>
        </is>
      </c>
      <c r="AZ642" s="5" t="inlineStr">
        <is>
          <t>Website Found</t>
        </is>
      </c>
      <c r="BA642" s="5" t="inlineStr">
        <is>
          <t>2026-09-17</t>
        </is>
      </c>
      <c r="BB642" s="5" t="inlineStr">
        <is>
          <t>Requires Verification</t>
        </is>
      </c>
      <c r="BC642" s="5" t="inlineStr">
        <is>
          <t>Medium</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WY-0147</t>
        </is>
      </c>
      <c r="B643" s="10" t="inlineStr">
        <is>
          <t>WY-0147-01</t>
        </is>
      </c>
      <c r="C643" s="10" t="inlineStr"/>
      <c r="D643" s="10" t="inlineStr">
        <is>
          <t>Shoesmiths Tobacconist</t>
        </is>
      </c>
      <c r="E643" s="10" t="inlineStr">
        <is>
          <t>Totally Wicked at Shoesmiths</t>
        </is>
      </c>
      <c r="F643" s="10" t="inlineStr"/>
      <c r="G643" s="10" t="inlineStr">
        <is>
          <t>Tobacco Specialist</t>
        </is>
      </c>
      <c r="H643" s="10" t="inlineStr">
        <is>
          <t>Traditional tobacconist and cigar shop</t>
        </is>
      </c>
      <c r="I643" s="10" t="inlineStr">
        <is>
          <t>Independent</t>
        </is>
      </c>
      <c r="J643" s="10" t="inlineStr">
        <is>
          <t>1</t>
        </is>
      </c>
      <c r="K643" s="10" t="inlineStr"/>
      <c r="L643" s="10" t="inlineStr">
        <is>
          <t>https://www.facebook.com/shoesmiths/</t>
        </is>
      </c>
      <c r="M643" s="10" t="inlineStr"/>
      <c r="N643" s="10" t="inlineStr"/>
      <c r="O643" s="10" t="inlineStr">
        <is>
          <t>65 Commercial Street</t>
        </is>
      </c>
      <c r="P643" s="10" t="inlineStr"/>
      <c r="Q643" s="10" t="inlineStr">
        <is>
          <t>Halifax</t>
        </is>
      </c>
      <c r="R643" s="10" t="inlineStr">
        <is>
          <t>West Yorkshire</t>
        </is>
      </c>
      <c r="S643" s="10" t="inlineStr">
        <is>
          <t>HX1 1BE</t>
        </is>
      </c>
      <c r="T643" s="10" t="inlineStr">
        <is>
          <t>Yorkshire &amp; Humber</t>
        </is>
      </c>
      <c r="U643" s="10" t="inlineStr">
        <is>
          <t>England</t>
        </is>
      </c>
      <c r="V643" s="10" t="inlineStr"/>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is>
          <t>Totally Wicked</t>
        </is>
      </c>
      <c r="AK643" s="10" t="inlineStr">
        <is>
          <t>tobacco; cigars; vape hardware; e-liquids</t>
        </is>
      </c>
      <c r="AL643" s="10" t="inlineStr"/>
      <c r="AM643" s="10" t="inlineStr">
        <is>
          <t>Tobacco Specialist</t>
        </is>
      </c>
      <c r="AN643" s="10" t="inlineStr">
        <is>
          <t>Authorised Totally Wicked stockist</t>
        </is>
      </c>
      <c r="AO643"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643" s="10" t="inlineStr">
        <is>
          <t>Medium</t>
        </is>
      </c>
      <c r="AQ643" s="10" t="inlineStr">
        <is>
          <t>Independent retailer; Core relevant category; Social presence</t>
        </is>
      </c>
      <c r="AR643" s="10" t="inlineStr">
        <is>
          <t>https://www.facebook.com/shoesmiths/</t>
        </is>
      </c>
      <c r="AS643" s="10" t="inlineStr">
        <is>
          <t>https://www.bigreddirectory.com/shoesmiths-tobacconist-halifax</t>
        </is>
      </c>
      <c r="AT643" s="10" t="inlineStr">
        <is>
          <t>3</t>
        </is>
      </c>
      <c r="AU643" s="10" t="inlineStr">
        <is>
          <t>No</t>
        </is>
      </c>
      <c r="AV643" s="10" t="inlineStr">
        <is>
          <t>No</t>
        </is>
      </c>
      <c r="AW643" s="10" t="inlineStr">
        <is>
          <t>No</t>
        </is>
      </c>
      <c r="AX643" s="10" t="inlineStr">
        <is>
          <t>No</t>
        </is>
      </c>
      <c r="AY643" s="10" t="inlineStr">
        <is>
          <t>Not Found</t>
        </is>
      </c>
      <c r="AZ643" s="10" t="inlineStr">
        <is>
          <t>Not Found</t>
        </is>
      </c>
      <c r="BA643" s="10" t="inlineStr">
        <is>
          <t>2026-09-17</t>
        </is>
      </c>
      <c r="BB643" s="10" t="inlineStr">
        <is>
          <t>Requires Verification</t>
        </is>
      </c>
      <c r="BC643" s="10" t="inlineStr">
        <is>
          <t>Medium</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2026-09-16</t>
        </is>
      </c>
      <c r="BJ643" s="10" t="inlineStr">
        <is>
          <t>New</t>
        </is>
      </c>
      <c r="BK643" s="10" t="inlineStr">
        <is>
          <t>2026-09-17</t>
        </is>
      </c>
      <c r="BL643" s="10" t="inlineStr"/>
      <c r="BM643" s="10" t="inlineStr"/>
      <c r="BN643" s="10" t="inlineStr"/>
      <c r="BO643" s="10" t="inlineStr"/>
      <c r="BP643" s="10" t="inlineStr"/>
      <c r="BQ643" s="10" t="inlineStr"/>
    </row>
    <row r="644">
      <c r="A644" s="5" t="inlineStr">
        <is>
          <t>UK-000657</t>
        </is>
      </c>
      <c r="B644" s="5" t="inlineStr">
        <is>
          <t>UK-000657-01</t>
        </is>
      </c>
      <c r="C644" s="5" t="inlineStr"/>
      <c r="D644" s="5" t="inlineStr">
        <is>
          <t>Silverpoint Cash &amp; Carry Ltd</t>
        </is>
      </c>
      <c r="E644" s="5" t="inlineStr">
        <is>
          <t>Silverpoint Cash &amp; Carry</t>
        </is>
      </c>
      <c r="F644" s="5" t="inlineStr"/>
      <c r="G644" s="5" t="inlineStr">
        <is>
          <t>Cash &amp; Carry</t>
        </is>
      </c>
      <c r="H644" s="5" t="inlineStr">
        <is>
          <t>Wholesale cash &amp; carry</t>
        </is>
      </c>
      <c r="I644" s="5" t="inlineStr">
        <is>
          <t>Independent</t>
        </is>
      </c>
      <c r="J644" s="5" t="inlineStr">
        <is>
          <t>1</t>
        </is>
      </c>
      <c r="K644" s="5" t="inlineStr"/>
      <c r="L644" s="5" t="inlineStr"/>
      <c r="M644" s="5" t="inlineStr"/>
      <c r="N644" s="5" t="inlineStr"/>
      <c r="O644" s="5" t="inlineStr">
        <is>
          <t>370a-370d Romford Road</t>
        </is>
      </c>
      <c r="P644" s="5" t="inlineStr"/>
      <c r="Q644" s="5" t="inlineStr">
        <is>
          <t>Forest Gate</t>
        </is>
      </c>
      <c r="R644" s="5" t="inlineStr">
        <is>
          <t>Greater London</t>
        </is>
      </c>
      <c r="S644" s="5" t="inlineStr">
        <is>
          <t>E7 8BF</t>
        </is>
      </c>
      <c r="T644" s="5" t="inlineStr">
        <is>
          <t>London</t>
        </is>
      </c>
      <c r="U644" s="5" t="inlineStr">
        <is>
          <t>England</t>
        </is>
      </c>
      <c r="V644" s="5" t="inlineStr"/>
      <c r="W644" s="5" t="inlineStr"/>
      <c r="X644" s="5" t="inlineStr"/>
      <c r="Y644" s="5" t="inlineStr"/>
      <c r="Z644" s="5" t="inlineStr"/>
      <c r="AA644" s="5" t="inlineStr"/>
      <c r="AB644" s="5" t="inlineStr"/>
      <c r="AC644" s="5" t="inlineStr"/>
      <c r="AD644" s="5" t="inlineStr"/>
      <c r="AE644" s="5" t="inlineStr"/>
      <c r="AF644" s="5" t="inlineStr"/>
      <c r="AG644" s="5" t="inlineStr"/>
      <c r="AH644" s="5" t="inlineStr"/>
      <c r="AI644" s="5" t="inlineStr"/>
      <c r="AJ644" s="5" t="inlineStr"/>
      <c r="AK644" s="5" t="inlineStr">
        <is>
          <t>wholesale groceries; world foods; confectionery; drinks</t>
        </is>
      </c>
      <c r="AL644" s="5" t="inlineStr"/>
      <c r="AM644" s="5" t="inlineStr">
        <is>
          <t>Cash &amp; Carry</t>
        </is>
      </c>
      <c r="AN644" s="5" t="inlineStr"/>
      <c r="AO644" s="5" t="inlineStr">
        <is>
          <t>Wholesale cash &amp; carry on Romford Road, Forest Gate/Newham. Address/postcode from Yell/192 cash &amp; carry directory. Phone not in snippet.</t>
        </is>
      </c>
      <c r="AP644" s="5" t="inlineStr">
        <is>
          <t>Medium</t>
        </is>
      </c>
      <c r="AQ644" s="5" t="inlineStr">
        <is>
          <t>Independent retailer; Core relevant category</t>
        </is>
      </c>
      <c r="AR644" s="5" t="inlineStr">
        <is>
          <t>https://www.yell.com/s/cash+and+carry-london+borough+of+newham.html</t>
        </is>
      </c>
      <c r="AS644" s="5" t="inlineStr"/>
      <c r="AT644" s="5" t="inlineStr">
        <is>
          <t>1</t>
        </is>
      </c>
      <c r="AU644" s="5" t="inlineStr">
        <is>
          <t>No</t>
        </is>
      </c>
      <c r="AV644" s="5" t="inlineStr">
        <is>
          <t>No</t>
        </is>
      </c>
      <c r="AW644" s="5" t="inlineStr">
        <is>
          <t>No</t>
        </is>
      </c>
      <c r="AX644" s="5" t="inlineStr">
        <is>
          <t>No</t>
        </is>
      </c>
      <c r="AY644" s="5" t="inlineStr">
        <is>
          <t>Not Found</t>
        </is>
      </c>
      <c r="AZ644" s="5" t="inlineStr">
        <is>
          <t>Not Found</t>
        </is>
      </c>
      <c r="BA644" s="5" t="inlineStr">
        <is>
          <t>2026-09-17</t>
        </is>
      </c>
      <c r="BB644" s="5" t="inlineStr">
        <is>
          <t>Requires Verification</t>
        </is>
      </c>
      <c r="BC644" s="5" t="inlineStr">
        <is>
          <t>Low</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UK-000812</t>
        </is>
      </c>
      <c r="B645" s="10" t="inlineStr">
        <is>
          <t>UK-000812-01</t>
        </is>
      </c>
      <c r="C645" s="10" t="inlineStr"/>
      <c r="D645" s="10" t="inlineStr">
        <is>
          <t>Simply Vape</t>
        </is>
      </c>
      <c r="E645" s="10" t="inlineStr">
        <is>
          <t>Simply Vape</t>
        </is>
      </c>
      <c r="F645" s="10" t="inlineStr"/>
      <c r="G645" s="10" t="inlineStr">
        <is>
          <t>Vape Shop</t>
        </is>
      </c>
      <c r="H645" s="10" t="inlineStr">
        <is>
          <t>Vape &amp; e-liquid retailer</t>
        </is>
      </c>
      <c r="I645" s="10" t="inlineStr">
        <is>
          <t>Independent</t>
        </is>
      </c>
      <c r="J645" s="10" t="inlineStr">
        <is>
          <t>1</t>
        </is>
      </c>
      <c r="K645" s="10" t="inlineStr"/>
      <c r="L645" s="10" t="inlineStr"/>
      <c r="M645" s="10" t="inlineStr"/>
      <c r="N645" s="10" t="inlineStr"/>
      <c r="O645" s="10" t="inlineStr">
        <is>
          <t>The Esplanade</t>
        </is>
      </c>
      <c r="P645" s="10" t="inlineStr"/>
      <c r="Q645" s="10" t="inlineStr">
        <is>
          <t>Bootle</t>
        </is>
      </c>
      <c r="R645" s="10" t="inlineStr">
        <is>
          <t>Merseyside</t>
        </is>
      </c>
      <c r="S645" s="10" t="inlineStr">
        <is>
          <t>L20 4SX</t>
        </is>
      </c>
      <c r="T645" s="10" t="inlineStr">
        <is>
          <t>North West</t>
        </is>
      </c>
      <c r="U645" s="10" t="inlineStr">
        <is>
          <t>England</t>
        </is>
      </c>
      <c r="V645" s="10" t="inlineStr"/>
      <c r="W645" s="10" t="inlineStr"/>
      <c r="X645" s="10" t="inlineStr"/>
      <c r="Y645" s="10" t="inlineStr"/>
      <c r="Z645" s="10" t="inlineStr"/>
      <c r="AA645" s="10" t="inlineStr"/>
      <c r="AB645" s="10" t="inlineStr"/>
      <c r="AC645" s="10" t="inlineStr"/>
      <c r="AD645" s="10" t="inlineStr"/>
      <c r="AE645" s="10" t="inlineStr"/>
      <c r="AF645" s="10" t="inlineStr"/>
      <c r="AG645" s="10" t="inlineStr"/>
      <c r="AH645" s="10" t="inlineStr"/>
      <c r="AI645" s="10" t="inlineStr"/>
      <c r="AJ645" s="10" t="inlineStr"/>
      <c r="AK645" s="10" t="inlineStr">
        <is>
          <t>vape hardware; e-liquids; accessories</t>
        </is>
      </c>
      <c r="AL645" s="10" t="inlineStr"/>
      <c r="AM645" s="10" t="inlineStr">
        <is>
          <t>Vape Shop</t>
        </is>
      </c>
      <c r="AN645" s="10" t="inlineStr"/>
      <c r="AO645" s="10" t="inlineStr">
        <is>
          <t>Independent vape shop near the Strand, Bootle.</t>
        </is>
      </c>
      <c r="AP645" s="10" t="inlineStr">
        <is>
          <t>Medium</t>
        </is>
      </c>
      <c r="AQ645" s="10" t="inlineStr">
        <is>
          <t>Independent retailer; Core relevant category</t>
        </is>
      </c>
      <c r="AR645" s="10" t="inlineStr">
        <is>
          <t>https://www.yell.com/biz/simply-vape-bootle-9726011/</t>
        </is>
      </c>
      <c r="AS645" s="10" t="inlineStr"/>
      <c r="AT645" s="10" t="inlineStr">
        <is>
          <t>1</t>
        </is>
      </c>
      <c r="AU645" s="10" t="inlineStr">
        <is>
          <t>No</t>
        </is>
      </c>
      <c r="AV645" s="10" t="inlineStr">
        <is>
          <t>No</t>
        </is>
      </c>
      <c r="AW645" s="10" t="inlineStr">
        <is>
          <t>No</t>
        </is>
      </c>
      <c r="AX645" s="10" t="inlineStr">
        <is>
          <t>No</t>
        </is>
      </c>
      <c r="AY645" s="10" t="inlineStr">
        <is>
          <t>Not Found</t>
        </is>
      </c>
      <c r="AZ645" s="10" t="inlineStr">
        <is>
          <t>Not Found</t>
        </is>
      </c>
      <c r="BA645" s="10" t="inlineStr">
        <is>
          <t>2026-09-17</t>
        </is>
      </c>
      <c r="BB645" s="10" t="inlineStr">
        <is>
          <t>Requires Verification</t>
        </is>
      </c>
      <c r="BC645" s="10" t="inlineStr">
        <is>
          <t>Low</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UK-000658</t>
        </is>
      </c>
      <c r="B646" s="5" t="inlineStr">
        <is>
          <t>UK-000658-01</t>
        </is>
      </c>
      <c r="C646" s="5" t="inlineStr"/>
      <c r="D646" s="5" t="inlineStr">
        <is>
          <t>Single Tree Foods Ltd</t>
        </is>
      </c>
      <c r="E646" s="5" t="inlineStr">
        <is>
          <t>Single Tree Foods</t>
        </is>
      </c>
      <c r="F646" s="5" t="inlineStr"/>
      <c r="G646" s="5" t="inlineStr">
        <is>
          <t>Convenience Store</t>
        </is>
      </c>
      <c r="H646" s="5" t="inlineStr">
        <is>
          <t>Convenience &amp; grocery</t>
        </is>
      </c>
      <c r="I646" s="5" t="inlineStr">
        <is>
          <t>Independent</t>
        </is>
      </c>
      <c r="J646" s="5" t="inlineStr">
        <is>
          <t>1</t>
        </is>
      </c>
      <c r="K646" s="5" t="inlineStr"/>
      <c r="L646" s="5" t="inlineStr"/>
      <c r="M646" s="5" t="inlineStr"/>
      <c r="N646" s="5" t="inlineStr"/>
      <c r="O646" s="5" t="inlineStr">
        <is>
          <t>283 Brettenham Road</t>
        </is>
      </c>
      <c r="P646" s="5" t="inlineStr"/>
      <c r="Q646" s="5" t="inlineStr">
        <is>
          <t>Edmonton</t>
        </is>
      </c>
      <c r="R646" s="5" t="inlineStr">
        <is>
          <t>Greater London</t>
        </is>
      </c>
      <c r="S646" s="5" t="inlineStr">
        <is>
          <t>N18 2HF</t>
        </is>
      </c>
      <c r="T646" s="5" t="inlineStr">
        <is>
          <t>London</t>
        </is>
      </c>
      <c r="U646" s="5" t="inlineStr">
        <is>
          <t>England</t>
        </is>
      </c>
      <c r="V646" s="5" t="inlineStr"/>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groceries; fresh produce; tobacco</t>
        </is>
      </c>
      <c r="AL646" s="5" t="inlineStr"/>
      <c r="AM646" s="5" t="inlineStr">
        <is>
          <t>Convenience Store</t>
        </is>
      </c>
      <c r="AN646" s="5" t="inlineStr"/>
      <c r="AO646" s="5" t="inlineStr">
        <is>
          <t>Grocery/convenience store on Brettenham Road, Upper Edmonton. Address/postcode from Yell/192 Enfield directory.</t>
        </is>
      </c>
      <c r="AP646" s="5" t="inlineStr">
        <is>
          <t>Low</t>
        </is>
      </c>
      <c r="AQ646" s="5" t="inlineStr">
        <is>
          <t>Independent retailer; Relevant category</t>
        </is>
      </c>
      <c r="AR646" s="5" t="inlineStr">
        <is>
          <t>https://www.192.com/atoz/business/enfield/convenience--stores/</t>
        </is>
      </c>
      <c r="AS646" s="5" t="inlineStr"/>
      <c r="AT646" s="5" t="inlineStr">
        <is>
          <t>1</t>
        </is>
      </c>
      <c r="AU646" s="5" t="inlineStr">
        <is>
          <t>No</t>
        </is>
      </c>
      <c r="AV646" s="5" t="inlineStr">
        <is>
          <t>No</t>
        </is>
      </c>
      <c r="AW646" s="5" t="inlineStr">
        <is>
          <t>No</t>
        </is>
      </c>
      <c r="AX646" s="5" t="inlineStr">
        <is>
          <t>No</t>
        </is>
      </c>
      <c r="AY646" s="5" t="inlineStr">
        <is>
          <t>Not Found</t>
        </is>
      </c>
      <c r="AZ646" s="5" t="inlineStr">
        <is>
          <t>Not Found</t>
        </is>
      </c>
      <c r="BA646" s="5" t="inlineStr">
        <is>
          <t>2026-09-17</t>
        </is>
      </c>
      <c r="BB646" s="5" t="inlineStr">
        <is>
          <t>Requires Verification</t>
        </is>
      </c>
      <c r="BC646" s="5" t="inlineStr">
        <is>
          <t>Low</t>
        </is>
      </c>
      <c r="BD646" s="5" t="inlineStr"/>
      <c r="BE646" s="5" t="inlineStr">
        <is>
          <t>Business (B2B)</t>
        </is>
      </c>
      <c r="BF646" s="5" t="inlineStr">
        <is>
          <t>Legitimate interest (B2B) - assess per campaign; PECR: corporate subscribers</t>
        </is>
      </c>
      <c r="BG646" s="5" t="inlineStr"/>
      <c r="BH646" s="5" t="inlineStr">
        <is>
          <t>No</t>
        </is>
      </c>
      <c r="BI646" s="5" t="inlineStr">
        <is>
          <t>2026-09-17</t>
        </is>
      </c>
      <c r="BJ646" s="5" t="inlineStr">
        <is>
          <t>New</t>
        </is>
      </c>
      <c r="BK646" s="5" t="inlineStr">
        <is>
          <t>2026-09-17</t>
        </is>
      </c>
      <c r="BL646" s="5" t="inlineStr"/>
      <c r="BM646" s="5" t="inlineStr"/>
      <c r="BN646" s="5" t="inlineStr"/>
      <c r="BO646" s="5" t="inlineStr"/>
      <c r="BP646" s="5" t="inlineStr"/>
      <c r="BQ646" s="5" t="inlineStr"/>
    </row>
    <row r="647">
      <c r="A647" s="10" t="inlineStr">
        <is>
          <t>UK-000813</t>
        </is>
      </c>
      <c r="B647" s="10" t="inlineStr">
        <is>
          <t>UK-000813-01</t>
        </is>
      </c>
      <c r="C647" s="10" t="inlineStr"/>
      <c r="D647" s="10" t="inlineStr">
        <is>
          <t>Skaus Store &amp; Cafe</t>
        </is>
      </c>
      <c r="E647" s="10" t="inlineStr">
        <is>
          <t>Skaus Store &amp; Cafe</t>
        </is>
      </c>
      <c r="F647" s="10" t="inlineStr"/>
      <c r="G647" s="10" t="inlineStr">
        <is>
          <t>Convenience Store</t>
        </is>
      </c>
      <c r="H647" s="10" t="inlineStr">
        <is>
          <t>Grocer &amp; convenience store</t>
        </is>
      </c>
      <c r="I647" s="10" t="inlineStr">
        <is>
          <t>Independent</t>
        </is>
      </c>
      <c r="J647" s="10" t="inlineStr">
        <is>
          <t>1</t>
        </is>
      </c>
      <c r="K647" s="10" t="inlineStr"/>
      <c r="L647" s="10" t="inlineStr"/>
      <c r="M647" s="10" t="inlineStr"/>
      <c r="N647" s="10" t="inlineStr"/>
      <c r="O647" s="10" t="inlineStr">
        <is>
          <t>66 Allerton Road</t>
        </is>
      </c>
      <c r="P647" s="10" t="inlineStr">
        <is>
          <t>Allerton</t>
        </is>
      </c>
      <c r="Q647" s="10" t="inlineStr">
        <is>
          <t>Liverpool</t>
        </is>
      </c>
      <c r="R647" s="10" t="inlineStr">
        <is>
          <t>Merseyside</t>
        </is>
      </c>
      <c r="S647" s="10" t="inlineStr">
        <is>
          <t>L18 1LW</t>
        </is>
      </c>
      <c r="T647" s="10" t="inlineStr">
        <is>
          <t>North West</t>
        </is>
      </c>
      <c r="U647" s="10" t="inlineStr">
        <is>
          <t>England</t>
        </is>
      </c>
      <c r="V647" s="10" t="inlineStr">
        <is>
          <t>0151 733 3673</t>
        </is>
      </c>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convenience groceries; food-to-go; soft drinks</t>
        </is>
      </c>
      <c r="AL647" s="10" t="inlineStr"/>
      <c r="AM647" s="10" t="inlineStr">
        <is>
          <t>Convenience Store</t>
        </is>
      </c>
      <c r="AN647" s="10" t="inlineStr"/>
      <c r="AO647" s="10" t="inlineStr">
        <is>
          <t>Independent convenience store &amp; cafe on Allerton Road (L18).</t>
        </is>
      </c>
      <c r="AP647" s="10" t="inlineStr">
        <is>
          <t>Low</t>
        </is>
      </c>
      <c r="AQ647" s="10" t="inlineStr">
        <is>
          <t>Independent retailer; Relevant category</t>
        </is>
      </c>
      <c r="AR647" s="10" t="inlineStr">
        <is>
          <t>https://www.192.com/atoz/business/l18/convenience--stores/</t>
        </is>
      </c>
      <c r="AS647" s="10" t="inlineStr"/>
      <c r="AT647" s="10" t="inlineStr">
        <is>
          <t>1</t>
        </is>
      </c>
      <c r="AU647" s="10" t="inlineStr">
        <is>
          <t>No</t>
        </is>
      </c>
      <c r="AV647" s="10" t="inlineStr">
        <is>
          <t>No</t>
        </is>
      </c>
      <c r="AW647" s="10" t="inlineStr">
        <is>
          <t>No</t>
        </is>
      </c>
      <c r="AX647" s="10" t="inlineStr">
        <is>
          <t>No</t>
        </is>
      </c>
      <c r="AY647" s="10" t="inlineStr">
        <is>
          <t>Verified directory</t>
        </is>
      </c>
      <c r="AZ647" s="10" t="inlineStr">
        <is>
          <t>Not Found</t>
        </is>
      </c>
      <c r="BA647" s="10" t="inlineStr">
        <is>
          <t>2026-09-17</t>
        </is>
      </c>
      <c r="BB647" s="10" t="inlineStr">
        <is>
          <t>Requires Verification</t>
        </is>
      </c>
      <c r="BC647" s="10" t="inlineStr">
        <is>
          <t>Low</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2026-09-17</t>
        </is>
      </c>
      <c r="BJ647" s="10" t="inlineStr">
        <is>
          <t>New</t>
        </is>
      </c>
      <c r="BK647" s="10" t="inlineStr">
        <is>
          <t>2026-09-17</t>
        </is>
      </c>
      <c r="BL647" s="10" t="inlineStr"/>
      <c r="BM647" s="10" t="inlineStr"/>
      <c r="BN647" s="10" t="inlineStr"/>
      <c r="BO647" s="10" t="inlineStr"/>
      <c r="BP647" s="10" t="inlineStr"/>
      <c r="BQ647" s="10" t="inlineStr"/>
    </row>
    <row r="648">
      <c r="A648" s="5" t="inlineStr">
        <is>
          <t>UK-000277</t>
        </is>
      </c>
      <c r="B648" s="5" t="inlineStr">
        <is>
          <t>UK-000277-01</t>
        </is>
      </c>
      <c r="C648" s="5" t="inlineStr"/>
      <c r="D648" s="5" t="inlineStr">
        <is>
          <t>Smoke &amp; Vape Barnsley</t>
        </is>
      </c>
      <c r="E648" s="5" t="inlineStr">
        <is>
          <t>Smoke &amp; Vape</t>
        </is>
      </c>
      <c r="F648" s="5" t="inlineStr"/>
      <c r="G648" s="5" t="inlineStr">
        <is>
          <t>Smoke / Shisha Shop</t>
        </is>
      </c>
      <c r="H648" s="5" t="inlineStr">
        <is>
          <t>Smoke and vape shop</t>
        </is>
      </c>
      <c r="I648" s="5" t="inlineStr">
        <is>
          <t>Independent</t>
        </is>
      </c>
      <c r="J648" s="5" t="inlineStr">
        <is>
          <t>1</t>
        </is>
      </c>
      <c r="K648" s="5" t="inlineStr"/>
      <c r="L648" s="5" t="inlineStr">
        <is>
          <t>https://www.facebook.com/p/SMOKE-VAPE-Barnsley-61555973916748/</t>
        </is>
      </c>
      <c r="M648" s="5" t="inlineStr"/>
      <c r="N648" s="5" t="inlineStr"/>
      <c r="O648" s="5" t="inlineStr">
        <is>
          <t>6 Market Street</t>
        </is>
      </c>
      <c r="P648" s="5" t="inlineStr"/>
      <c r="Q648" s="5" t="inlineStr">
        <is>
          <t>Barnsley</t>
        </is>
      </c>
      <c r="R648" s="5" t="inlineStr">
        <is>
          <t>South Yorkshire</t>
        </is>
      </c>
      <c r="S648" s="5" t="inlineStr"/>
      <c r="T648" s="5" t="inlineStr">
        <is>
          <t>Yorkshire &amp; Humber</t>
        </is>
      </c>
      <c r="U648" s="5" t="inlineStr">
        <is>
          <t>England</t>
        </is>
      </c>
      <c r="V648" s="5" t="inlineStr">
        <is>
          <t>01226 953777</t>
        </is>
      </c>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tobacco accessories; vapes; e-liquids; disposables</t>
        </is>
      </c>
      <c r="AL648" s="5" t="inlineStr"/>
      <c r="AM648" s="5" t="inlineStr">
        <is>
          <t>Smoke / Shisha Shop</t>
        </is>
      </c>
      <c r="AN648" s="5" t="inlineStr"/>
      <c r="AO648" s="5" t="inlineStr">
        <is>
          <t>Independent smoke and vape shop at 6 Market Street, Barnsley. Phone from Facebook page. Postcode not captured.</t>
        </is>
      </c>
      <c r="AP648" s="5" t="inlineStr">
        <is>
          <t>Medium</t>
        </is>
      </c>
      <c r="AQ648" s="5" t="inlineStr">
        <is>
          <t>Independent retailer; Core relevant category; Social presence</t>
        </is>
      </c>
      <c r="AR648" s="5" t="inlineStr">
        <is>
          <t>https://www.facebook.com/p/SMOKE-VAPE-Barnsley-61555973916748/</t>
        </is>
      </c>
      <c r="AS648" s="5" t="inlineStr"/>
      <c r="AT648" s="5" t="inlineStr">
        <is>
          <t>1</t>
        </is>
      </c>
      <c r="AU648" s="5" t="inlineStr">
        <is>
          <t>No</t>
        </is>
      </c>
      <c r="AV648" s="5" t="inlineStr">
        <is>
          <t>No</t>
        </is>
      </c>
      <c r="AW648" s="5" t="inlineStr">
        <is>
          <t>No</t>
        </is>
      </c>
      <c r="AX648" s="5" t="inlineStr">
        <is>
          <t>No</t>
        </is>
      </c>
      <c r="AY648" s="5" t="inlineStr">
        <is>
          <t>Verified directory</t>
        </is>
      </c>
      <c r="AZ648" s="5" t="inlineStr">
        <is>
          <t>Not Found</t>
        </is>
      </c>
      <c r="BA648" s="5" t="inlineStr">
        <is>
          <t>2026-09-17</t>
        </is>
      </c>
      <c r="BB648" s="5" t="inlineStr">
        <is>
          <t>Requires Verification</t>
        </is>
      </c>
      <c r="BC648" s="5" t="inlineStr">
        <is>
          <t>Low</t>
        </is>
      </c>
      <c r="BD648" s="5" t="inlineStr"/>
      <c r="BE648" s="5" t="inlineStr">
        <is>
          <t>Business (B2B)</t>
        </is>
      </c>
      <c r="BF648" s="5" t="inlineStr">
        <is>
          <t>Legitimate interest (B2B) - assess per campaign; PECR: corporate subscribers</t>
        </is>
      </c>
      <c r="BG648" s="5" t="inlineStr"/>
      <c r="BH648" s="5" t="inlineStr">
        <is>
          <t>No</t>
        </is>
      </c>
      <c r="BI648" s="5" t="inlineStr">
        <is>
          <t>2026-09-16</t>
        </is>
      </c>
      <c r="BJ648" s="5" t="inlineStr">
        <is>
          <t>New</t>
        </is>
      </c>
      <c r="BK648" s="5" t="inlineStr">
        <is>
          <t>2026-09-17</t>
        </is>
      </c>
      <c r="BL648" s="5" t="inlineStr"/>
      <c r="BM648" s="5" t="inlineStr"/>
      <c r="BN648" s="5" t="inlineStr"/>
      <c r="BO648" s="5" t="inlineStr"/>
      <c r="BP648" s="5" t="inlineStr"/>
      <c r="BQ648" s="5" t="inlineStr"/>
    </row>
    <row r="649">
      <c r="A649" s="10" t="inlineStr">
        <is>
          <t>UK-000278</t>
        </is>
      </c>
      <c r="B649" s="10" t="inlineStr">
        <is>
          <t>UK-000278-01</t>
        </is>
      </c>
      <c r="C649" s="10" t="inlineStr"/>
      <c r="D649" s="10" t="inlineStr">
        <is>
          <t>Smoke Free Skipton</t>
        </is>
      </c>
      <c r="E649" s="10" t="inlineStr">
        <is>
          <t>Smoke Free</t>
        </is>
      </c>
      <c r="F649" s="10" t="inlineStr"/>
      <c r="G649" s="10" t="inlineStr">
        <is>
          <t>Vape Shop</t>
        </is>
      </c>
      <c r="H649" s="10" t="inlineStr">
        <is>
          <t>E-cigarette &amp; e-liquid shop</t>
        </is>
      </c>
      <c r="I649" s="10" t="inlineStr">
        <is>
          <t>Independent</t>
        </is>
      </c>
      <c r="J649" s="10" t="inlineStr">
        <is>
          <t>1</t>
        </is>
      </c>
      <c r="K649" s="10" t="inlineStr"/>
      <c r="L649" s="10" t="inlineStr"/>
      <c r="M649" s="10" t="inlineStr"/>
      <c r="N649" s="10" t="inlineStr"/>
      <c r="O649" s="10" t="inlineStr">
        <is>
          <t>19 Water Street</t>
        </is>
      </c>
      <c r="P649" s="10" t="inlineStr"/>
      <c r="Q649" s="10" t="inlineStr">
        <is>
          <t>Skipton</t>
        </is>
      </c>
      <c r="R649" s="10" t="inlineStr">
        <is>
          <t>North Yorkshire</t>
        </is>
      </c>
      <c r="S649" s="10" t="inlineStr">
        <is>
          <t>BD23 1PQ</t>
        </is>
      </c>
      <c r="T649" s="10" t="inlineStr">
        <is>
          <t>Yorkshire &amp; Humber</t>
        </is>
      </c>
      <c r="U649" s="10" t="inlineStr">
        <is>
          <t>England</t>
        </is>
      </c>
      <c r="V649" s="10" t="inlineStr"/>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e-cigarettes; e-liquids</t>
        </is>
      </c>
      <c r="AL649" s="10" t="inlineStr"/>
      <c r="AM649" s="10" t="inlineStr">
        <is>
          <t>Vape Shop</t>
        </is>
      </c>
      <c r="AN649" s="10" t="inlineStr"/>
      <c r="AO649" s="10" t="inlineStr">
        <is>
          <t>Independent Skipton vape shop at 19 Water Street (BD23 1PQ) per eCig Directory / Yelp listings via search snippets. No phone or website surfaced.</t>
        </is>
      </c>
      <c r="AP649" s="10" t="inlineStr">
        <is>
          <t>Medium</t>
        </is>
      </c>
      <c r="AQ649" s="10" t="inlineStr">
        <is>
          <t>Independent retailer; Core relevant category</t>
        </is>
      </c>
      <c r="AR649" s="10" t="inlineStr">
        <is>
          <t>https://ecigdirectory.co.uk/vape-shop/listing/smoke-free-skipton</t>
        </is>
      </c>
      <c r="AS649" s="10" t="inlineStr"/>
      <c r="AT649" s="10" t="inlineStr">
        <is>
          <t>1</t>
        </is>
      </c>
      <c r="AU649" s="10" t="inlineStr">
        <is>
          <t>No</t>
        </is>
      </c>
      <c r="AV649" s="10" t="inlineStr">
        <is>
          <t>No</t>
        </is>
      </c>
      <c r="AW649" s="10" t="inlineStr">
        <is>
          <t>No</t>
        </is>
      </c>
      <c r="AX649" s="10" t="inlineStr">
        <is>
          <t>No</t>
        </is>
      </c>
      <c r="AY649" s="10" t="inlineStr">
        <is>
          <t>Not Found</t>
        </is>
      </c>
      <c r="AZ649" s="10" t="inlineStr">
        <is>
          <t>Not Found</t>
        </is>
      </c>
      <c r="BA649" s="10" t="inlineStr">
        <is>
          <t>2026-09-17</t>
        </is>
      </c>
      <c r="BB649" s="10" t="inlineStr">
        <is>
          <t>Requires Verification</t>
        </is>
      </c>
      <c r="BC649" s="10" t="inlineStr">
        <is>
          <t>Low</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2026-09-16</t>
        </is>
      </c>
      <c r="BJ649" s="10" t="inlineStr">
        <is>
          <t>New</t>
        </is>
      </c>
      <c r="BK649" s="10" t="inlineStr">
        <is>
          <t>2026-09-17</t>
        </is>
      </c>
      <c r="BL649" s="10" t="inlineStr"/>
      <c r="BM649" s="10" t="inlineStr"/>
      <c r="BN649" s="10" t="inlineStr"/>
      <c r="BO649" s="10" t="inlineStr"/>
      <c r="BP649" s="10" t="inlineStr"/>
      <c r="BQ649" s="10" t="inlineStr"/>
    </row>
    <row r="650">
      <c r="A650" s="5" t="inlineStr">
        <is>
          <t>UK-000659</t>
        </is>
      </c>
      <c r="B650" s="5" t="inlineStr">
        <is>
          <t>UK-000659-01</t>
        </is>
      </c>
      <c r="C650" s="5" t="inlineStr"/>
      <c r="D650" s="5" t="inlineStr">
        <is>
          <t>Smoke n Shisha</t>
        </is>
      </c>
      <c r="E650" s="5" t="inlineStr">
        <is>
          <t>Smoke n Shisha</t>
        </is>
      </c>
      <c r="F650" s="5" t="inlineStr"/>
      <c r="G650" s="5" t="inlineStr">
        <is>
          <t>Smoke / Shisha Shop</t>
        </is>
      </c>
      <c r="H650" s="5" t="inlineStr">
        <is>
          <t>Shisha &amp; tobacco retailer</t>
        </is>
      </c>
      <c r="I650" s="5" t="inlineStr">
        <is>
          <t>Independent</t>
        </is>
      </c>
      <c r="J650" s="5" t="inlineStr">
        <is>
          <t>1</t>
        </is>
      </c>
      <c r="K650" s="5" t="inlineStr"/>
      <c r="L650" s="5" t="inlineStr"/>
      <c r="M650" s="5" t="inlineStr"/>
      <c r="N650" s="5" t="inlineStr"/>
      <c r="O650" s="5" t="inlineStr">
        <is>
          <t>93a Praed Street</t>
        </is>
      </c>
      <c r="P650" s="5" t="inlineStr">
        <is>
          <t>Paddington</t>
        </is>
      </c>
      <c r="Q650" s="5" t="inlineStr">
        <is>
          <t>London</t>
        </is>
      </c>
      <c r="R650" s="5" t="inlineStr">
        <is>
          <t>Greater London</t>
        </is>
      </c>
      <c r="S650" s="5" t="inlineStr">
        <is>
          <t>W2 1NT</t>
        </is>
      </c>
      <c r="T650" s="5" t="inlineStr">
        <is>
          <t>London</t>
        </is>
      </c>
      <c r="U650" s="5" t="inlineStr">
        <is>
          <t>England</t>
        </is>
      </c>
      <c r="V650" s="5" t="inlineStr"/>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shisha; tobacco</t>
        </is>
      </c>
      <c r="AL650" s="5" t="inlineStr"/>
      <c r="AM650" s="5" t="inlineStr">
        <is>
          <t>Smoke / Shisha Shop</t>
        </is>
      </c>
      <c r="AN650" s="5" t="inlineStr"/>
      <c r="AO650" s="5" t="inlineStr">
        <is>
          <t>Independent shisha/tobacco retailer on Praed Street, Paddington (near Edgware Road). Address/postcode from Yell tobacconists W2 listing snippet; phone not published in accessible snippet.</t>
        </is>
      </c>
      <c r="AP650" s="5" t="inlineStr">
        <is>
          <t>Medium</t>
        </is>
      </c>
      <c r="AQ650" s="5" t="inlineStr">
        <is>
          <t>Independent retailer; Core relevant category</t>
        </is>
      </c>
      <c r="AR650" s="5" t="inlineStr">
        <is>
          <t>https://www.yell.com/s/tobacconists-praed+mews+w2+london+borough+of+westminster+london.html</t>
        </is>
      </c>
      <c r="AS650" s="5" t="inlineStr"/>
      <c r="AT650" s="5" t="inlineStr">
        <is>
          <t>1</t>
        </is>
      </c>
      <c r="AU650" s="5" t="inlineStr">
        <is>
          <t>No</t>
        </is>
      </c>
      <c r="AV650" s="5" t="inlineStr">
        <is>
          <t>No</t>
        </is>
      </c>
      <c r="AW650" s="5" t="inlineStr">
        <is>
          <t>No</t>
        </is>
      </c>
      <c r="AX650" s="5" t="inlineStr">
        <is>
          <t>No</t>
        </is>
      </c>
      <c r="AY650" s="5" t="inlineStr">
        <is>
          <t>Not Found</t>
        </is>
      </c>
      <c r="AZ650" s="5" t="inlineStr">
        <is>
          <t>Not Found</t>
        </is>
      </c>
      <c r="BA650" s="5" t="inlineStr">
        <is>
          <t>2026-09-17</t>
        </is>
      </c>
      <c r="BB650" s="5" t="inlineStr">
        <is>
          <t>Requires Verification</t>
        </is>
      </c>
      <c r="BC650" s="5" t="inlineStr">
        <is>
          <t>Low</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WY-0148</t>
        </is>
      </c>
      <c r="B651" s="10" t="inlineStr">
        <is>
          <t>WY-0148-01</t>
        </is>
      </c>
      <c r="C651" s="10" t="inlineStr"/>
      <c r="D651" s="10" t="inlineStr">
        <is>
          <t>Smoke-King Tobacconist</t>
        </is>
      </c>
      <c r="E651" s="10" t="inlineStr">
        <is>
          <t>Smoke-King</t>
        </is>
      </c>
      <c r="F651" s="10" t="inlineStr"/>
      <c r="G651" s="10" t="inlineStr">
        <is>
          <t>Tobacco Specialist</t>
        </is>
      </c>
      <c r="H651" s="10" t="inlineStr">
        <is>
          <t>Tobacconist - cigars, pipes, tobacco, online store</t>
        </is>
      </c>
      <c r="I651" s="10" t="inlineStr">
        <is>
          <t>Independent</t>
        </is>
      </c>
      <c r="J651" s="10" t="inlineStr">
        <is>
          <t>1</t>
        </is>
      </c>
      <c r="K651" s="10" t="inlineStr">
        <is>
          <t>https://www.smoke-king.co.uk/</t>
        </is>
      </c>
      <c r="L651" s="10" t="inlineStr">
        <is>
          <t>https://www.facebook.com/smokekinguk/</t>
        </is>
      </c>
      <c r="M651" s="10" t="inlineStr"/>
      <c r="N651" s="10" t="inlineStr"/>
      <c r="O651" s="10" t="inlineStr">
        <is>
          <t>Unit E2, Otley Mills</t>
        </is>
      </c>
      <c r="P651" s="10" t="inlineStr">
        <is>
          <t>Ilkley Road</t>
        </is>
      </c>
      <c r="Q651" s="10" t="inlineStr">
        <is>
          <t>Otley</t>
        </is>
      </c>
      <c r="R651" s="10" t="inlineStr">
        <is>
          <t>West Yorkshire</t>
        </is>
      </c>
      <c r="S651" s="10" t="inlineStr">
        <is>
          <t>LS21 3EE</t>
        </is>
      </c>
      <c r="T651" s="10" t="inlineStr">
        <is>
          <t>Yorkshire &amp; Humber</t>
        </is>
      </c>
      <c r="U651" s="10" t="inlineStr">
        <is>
          <t>England</t>
        </is>
      </c>
      <c r="V651" s="10" t="inlineStr">
        <is>
          <t>0113 217 7723</t>
        </is>
      </c>
      <c r="W651" s="10" t="inlineStr"/>
      <c r="X651" s="10" t="inlineStr"/>
      <c r="Y651" s="10" t="inlineStr">
        <is>
          <t>enquiries@smoke-king.co.uk</t>
        </is>
      </c>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cigars; cigarettes; pipe tobacco; smoking accessories</t>
        </is>
      </c>
      <c r="AL651" s="10" t="inlineStr"/>
      <c r="AM651" s="10" t="inlineStr">
        <is>
          <t>Tobacco Specialist</t>
        </is>
      </c>
      <c r="AN651" s="10" t="inlineStr"/>
      <c r="AO651" s="10" t="inlineStr">
        <is>
          <t>Founded 1989 as Greens of Leeds on The Headrow; now trades from a showroom at Otley Mills (inside Barber &amp; Bennett) plus a large online store. Showroom open Tue-Sat 11:00-15:00.</t>
        </is>
      </c>
      <c r="AP651" s="10" t="inlineStr">
        <is>
          <t>High</t>
        </is>
      </c>
      <c r="AQ651" s="10" t="inlineStr">
        <is>
          <t>Independent retailer; Core relevant category; Public email available; Active website; Social presence</t>
        </is>
      </c>
      <c r="AR651" s="10" t="inlineStr">
        <is>
          <t>https://www.smoke-king.co.uk/pages/tobacconist-in-otley</t>
        </is>
      </c>
      <c r="AS651" s="10" t="inlineStr">
        <is>
          <t>https://www.smoke-king.co.uk/pages/contact</t>
        </is>
      </c>
      <c r="AT651" s="10" t="inlineStr">
        <is>
          <t>4</t>
        </is>
      </c>
      <c r="AU651" s="10" t="inlineStr">
        <is>
          <t>No</t>
        </is>
      </c>
      <c r="AV651" s="10" t="inlineStr">
        <is>
          <t>No</t>
        </is>
      </c>
      <c r="AW651" s="10" t="inlineStr">
        <is>
          <t>Yes</t>
        </is>
      </c>
      <c r="AX651" s="10" t="inlineStr">
        <is>
          <t>No</t>
        </is>
      </c>
      <c r="AY651" s="10" t="inlineStr">
        <is>
          <t>Verified directory</t>
        </is>
      </c>
      <c r="AZ651" s="10" t="inlineStr">
        <is>
          <t>Website Found</t>
        </is>
      </c>
      <c r="BA651" s="10" t="inlineStr">
        <is>
          <t>2026-09-17</t>
        </is>
      </c>
      <c r="BB651" s="10" t="inlineStr">
        <is>
          <t>Partially Verified</t>
        </is>
      </c>
      <c r="BC651" s="10" t="inlineStr">
        <is>
          <t>Medium</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2026-09-16</t>
        </is>
      </c>
      <c r="BJ651" s="10" t="inlineStr">
        <is>
          <t>New</t>
        </is>
      </c>
      <c r="BK651" s="10" t="inlineStr">
        <is>
          <t>2026-09-17</t>
        </is>
      </c>
      <c r="BL651" s="10" t="inlineStr"/>
      <c r="BM651" s="10" t="inlineStr"/>
      <c r="BN651" s="10" t="inlineStr"/>
      <c r="BO651" s="10" t="inlineStr"/>
      <c r="BP651" s="10" t="inlineStr"/>
      <c r="BQ651" s="10" t="inlineStr"/>
    </row>
    <row r="652">
      <c r="A652" s="5" t="inlineStr">
        <is>
          <t>WY-0149</t>
        </is>
      </c>
      <c r="B652" s="5" t="inlineStr">
        <is>
          <t>WY-0149-01</t>
        </is>
      </c>
      <c r="C652" s="5" t="inlineStr"/>
      <c r="D652" s="5" t="inlineStr">
        <is>
          <t>Smokers D'Lite</t>
        </is>
      </c>
      <c r="E652" s="5" t="inlineStr">
        <is>
          <t>Smokers D'Lite</t>
        </is>
      </c>
      <c r="F652" s="5" t="inlineStr"/>
      <c r="G652" s="5" t="inlineStr">
        <is>
          <t>Vape Shop</t>
        </is>
      </c>
      <c r="H652" s="5" t="inlineStr">
        <is>
          <t>Vape and smoking accessories</t>
        </is>
      </c>
      <c r="I652" s="5" t="inlineStr">
        <is>
          <t>Independent</t>
        </is>
      </c>
      <c r="J652" s="5" t="inlineStr">
        <is>
          <t>1</t>
        </is>
      </c>
      <c r="K652" s="5" t="inlineStr"/>
      <c r="L652" s="5" t="inlineStr"/>
      <c r="M652" s="5" t="inlineStr"/>
      <c r="N652" s="5" t="inlineStr"/>
      <c r="O652" s="5" t="inlineStr">
        <is>
          <t>20 Thorntons Arcade</t>
        </is>
      </c>
      <c r="P652" s="5" t="inlineStr">
        <is>
          <t>City Centre</t>
        </is>
      </c>
      <c r="Q652" s="5" t="inlineStr">
        <is>
          <t>Leeds</t>
        </is>
      </c>
      <c r="R652" s="5" t="inlineStr">
        <is>
          <t>West Yorkshire</t>
        </is>
      </c>
      <c r="S652" s="5" t="inlineStr">
        <is>
          <t>LS1 6LQ</t>
        </is>
      </c>
      <c r="T652" s="5" t="inlineStr">
        <is>
          <t>Yorkshire &amp; Humber</t>
        </is>
      </c>
      <c r="U652" s="5" t="inlineStr">
        <is>
          <t>England</t>
        </is>
      </c>
      <c r="V652" s="5" t="inlineStr"/>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vape hardware; e-liquids; smoking accessories</t>
        </is>
      </c>
      <c r="AL652" s="5" t="inlineStr"/>
      <c r="AM652" s="5" t="inlineStr">
        <is>
          <t>Vape Shop</t>
        </is>
      </c>
      <c r="AN652" s="5" t="inlineStr"/>
      <c r="AO652" s="5" t="inlineStr">
        <is>
          <t>Long-standing city-centre vape/smoking accessories shop in Thorntons Arcade; listed as a verified shop on eCig Directory UK's Leeds network page.</t>
        </is>
      </c>
      <c r="AP652" s="5" t="inlineStr">
        <is>
          <t>Medium</t>
        </is>
      </c>
      <c r="AQ652" s="5" t="inlineStr">
        <is>
          <t>Independent retailer; Core relevant category</t>
        </is>
      </c>
      <c r="AR652" s="5" t="inlineStr">
        <is>
          <t>https://ecigdirectory.co.uk/vape-shop-leeds/</t>
        </is>
      </c>
      <c r="AS652" s="5" t="inlineStr">
        <is>
          <t>https://www.vaporl.com/vape-store-in-leeds-find-an-electronic-cigarette-near-by</t>
        </is>
      </c>
      <c r="AT652" s="5" t="inlineStr">
        <is>
          <t>2</t>
        </is>
      </c>
      <c r="AU652" s="5" t="inlineStr">
        <is>
          <t>No</t>
        </is>
      </c>
      <c r="AV652" s="5" t="inlineStr">
        <is>
          <t>No</t>
        </is>
      </c>
      <c r="AW652" s="5" t="inlineStr">
        <is>
          <t>No</t>
        </is>
      </c>
      <c r="AX652" s="5" t="inlineStr">
        <is>
          <t>No</t>
        </is>
      </c>
      <c r="AY652" s="5" t="inlineStr">
        <is>
          <t>Not Found</t>
        </is>
      </c>
      <c r="AZ652" s="5" t="inlineStr">
        <is>
          <t>Not Found</t>
        </is>
      </c>
      <c r="BA652" s="5" t="inlineStr">
        <is>
          <t>2026-09-17</t>
        </is>
      </c>
      <c r="BB652" s="5" t="inlineStr">
        <is>
          <t>Requires Verification</t>
        </is>
      </c>
      <c r="BC652" s="5" t="inlineStr">
        <is>
          <t>Low</t>
        </is>
      </c>
      <c r="BD652" s="5" t="inlineStr"/>
      <c r="BE652" s="5" t="inlineStr">
        <is>
          <t>Business (B2B)</t>
        </is>
      </c>
      <c r="BF652" s="5" t="inlineStr">
        <is>
          <t>Legitimate interest (B2B) - assess per campaign; PECR: corporate subscribers</t>
        </is>
      </c>
      <c r="BG652" s="5" t="inlineStr"/>
      <c r="BH652" s="5" t="inlineStr">
        <is>
          <t>No</t>
        </is>
      </c>
      <c r="BI652" s="5" t="inlineStr">
        <is>
          <t>2026-09-16</t>
        </is>
      </c>
      <c r="BJ652" s="5" t="inlineStr">
        <is>
          <t>New</t>
        </is>
      </c>
      <c r="BK652" s="5" t="inlineStr">
        <is>
          <t>2026-09-17</t>
        </is>
      </c>
      <c r="BL652" s="5" t="inlineStr"/>
      <c r="BM652" s="5" t="inlineStr"/>
      <c r="BN652" s="5" t="inlineStr"/>
      <c r="BO652" s="5" t="inlineStr"/>
      <c r="BP652" s="5" t="inlineStr"/>
      <c r="BQ652" s="5" t="inlineStr"/>
    </row>
    <row r="653">
      <c r="A653" s="10" t="inlineStr">
        <is>
          <t>UK-000814</t>
        </is>
      </c>
      <c r="B653" s="10" t="inlineStr">
        <is>
          <t>UK-000814-01</t>
        </is>
      </c>
      <c r="C653" s="10" t="inlineStr"/>
      <c r="D653" s="10" t="inlineStr">
        <is>
          <t>Smokers Lounge</t>
        </is>
      </c>
      <c r="E653" s="10" t="inlineStr">
        <is>
          <t>Smokers Lounge</t>
        </is>
      </c>
      <c r="F653" s="10" t="inlineStr"/>
      <c r="G653" s="10" t="inlineStr">
        <is>
          <t>Tobacco Specialist</t>
        </is>
      </c>
      <c r="H653" s="10" t="inlineStr">
        <is>
          <t>Tobacconist / cigar &amp; pipe specialist</t>
        </is>
      </c>
      <c r="I653" s="10" t="inlineStr">
        <is>
          <t>Independent</t>
        </is>
      </c>
      <c r="J653" s="10" t="inlineStr">
        <is>
          <t>1</t>
        </is>
      </c>
      <c r="K653" s="10" t="inlineStr"/>
      <c r="L653" s="10" t="inlineStr">
        <is>
          <t>https://www.facebook.com/smokersloungeglasgow/</t>
        </is>
      </c>
      <c r="M653" s="10" t="inlineStr"/>
      <c r="N653" s="10" t="inlineStr"/>
      <c r="O653" s="10" t="inlineStr">
        <is>
          <t>155 Gallowgate</t>
        </is>
      </c>
      <c r="P653" s="10" t="inlineStr"/>
      <c r="Q653" s="10" t="inlineStr">
        <is>
          <t>Glasgow</t>
        </is>
      </c>
      <c r="R653" s="10" t="inlineStr">
        <is>
          <t>Glasgow City</t>
        </is>
      </c>
      <c r="S653" s="10" t="inlineStr">
        <is>
          <t>G1 5AX</t>
        </is>
      </c>
      <c r="T653" s="10" t="inlineStr">
        <is>
          <t>Scotland</t>
        </is>
      </c>
      <c r="U653" s="10" t="inlineStr">
        <is>
          <t>Scotland</t>
        </is>
      </c>
      <c r="V653" s="10" t="inlineStr">
        <is>
          <t>0141 552 0127</t>
        </is>
      </c>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hand rolling tobacco; pipe tobacco; cigars; smoking pipes; accessories</t>
        </is>
      </c>
      <c r="AL653" s="10" t="inlineStr"/>
      <c r="AM653" s="10" t="inlineStr">
        <is>
          <t>Tobacco Specialist</t>
        </is>
      </c>
      <c r="AN653" s="10" t="inlineStr"/>
      <c r="AO653" s="10" t="inlineStr">
        <is>
          <t>Independent tobacconist / cigar and pipe specialist at 155 Gallowgate, near Glasgow city centre / East End. Phone 0141 552 0127. Postcode G1 5AX from directory listing (unverified against Royal Mail).</t>
        </is>
      </c>
      <c r="AP653" s="10" t="inlineStr">
        <is>
          <t>Medium</t>
        </is>
      </c>
      <c r="AQ653" s="10" t="inlineStr">
        <is>
          <t>Independent retailer; Core relevant category; Social presence</t>
        </is>
      </c>
      <c r="AR653" s="10" t="inlineStr">
        <is>
          <t>https://www.yelp.co.uk/biz/smokers-lounge-glasgow</t>
        </is>
      </c>
      <c r="AS653" s="10" t="inlineStr">
        <is>
          <t>https://glasgow.cylex-uk.co.uk/company/smokers-lounge-23733738.html</t>
        </is>
      </c>
      <c r="AT653" s="10" t="inlineStr">
        <is>
          <t>2</t>
        </is>
      </c>
      <c r="AU653" s="10" t="inlineStr">
        <is>
          <t>No</t>
        </is>
      </c>
      <c r="AV653" s="10" t="inlineStr">
        <is>
          <t>No</t>
        </is>
      </c>
      <c r="AW653" s="10" t="inlineStr">
        <is>
          <t>No</t>
        </is>
      </c>
      <c r="AX653" s="10" t="inlineStr">
        <is>
          <t>No</t>
        </is>
      </c>
      <c r="AY653" s="10" t="inlineStr">
        <is>
          <t>Verified directory</t>
        </is>
      </c>
      <c r="AZ653" s="10" t="inlineStr">
        <is>
          <t>Not Found</t>
        </is>
      </c>
      <c r="BA653" s="10" t="inlineStr">
        <is>
          <t>2026-09-17</t>
        </is>
      </c>
      <c r="BB653" s="10" t="inlineStr">
        <is>
          <t>Requires Verification</t>
        </is>
      </c>
      <c r="BC653" s="10" t="inlineStr">
        <is>
          <t>Medium</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2026-09-17</t>
        </is>
      </c>
      <c r="BJ653" s="10" t="inlineStr">
        <is>
          <t>New</t>
        </is>
      </c>
      <c r="BK653" s="10" t="inlineStr">
        <is>
          <t>2026-09-17</t>
        </is>
      </c>
      <c r="BL653" s="10" t="inlineStr"/>
      <c r="BM653" s="10" t="inlineStr"/>
      <c r="BN653" s="10" t="inlineStr"/>
      <c r="BO653" s="10" t="inlineStr"/>
      <c r="BP653" s="10" t="inlineStr"/>
      <c r="BQ653" s="10" t="inlineStr"/>
    </row>
    <row r="654">
      <c r="A654" s="5" t="inlineStr">
        <is>
          <t>UK-000660</t>
        </is>
      </c>
      <c r="B654" s="5" t="inlineStr">
        <is>
          <t>UK-000660-01</t>
        </is>
      </c>
      <c r="C654" s="5" t="inlineStr"/>
      <c r="D654" s="5" t="inlineStr">
        <is>
          <t>Smoketronics Vape &amp; Coffee Shop</t>
        </is>
      </c>
      <c r="E654" s="5" t="inlineStr">
        <is>
          <t>Smoketronics</t>
        </is>
      </c>
      <c r="F654" s="5" t="inlineStr"/>
      <c r="G654" s="5" t="inlineStr">
        <is>
          <t>Vape Shop</t>
        </is>
      </c>
      <c r="H654" s="5" t="inlineStr">
        <is>
          <t>Vape and coffee shop</t>
        </is>
      </c>
      <c r="I654" s="5" t="inlineStr">
        <is>
          <t>Independent</t>
        </is>
      </c>
      <c r="J654" s="5" t="inlineStr">
        <is>
          <t>1</t>
        </is>
      </c>
      <c r="K654" s="5" t="inlineStr"/>
      <c r="L654" s="5" t="inlineStr"/>
      <c r="M654" s="5" t="inlineStr"/>
      <c r="N654" s="5" t="inlineStr"/>
      <c r="O654" s="5" t="inlineStr">
        <is>
          <t>273 Lower Addiscombe Road</t>
        </is>
      </c>
      <c r="P654" s="5" t="inlineStr">
        <is>
          <t>Addiscombe</t>
        </is>
      </c>
      <c r="Q654" s="5" t="inlineStr">
        <is>
          <t>Croydon</t>
        </is>
      </c>
      <c r="R654" s="5" t="inlineStr">
        <is>
          <t>Greater London</t>
        </is>
      </c>
      <c r="S654" s="5" t="inlineStr">
        <is>
          <t>CR0 6RD</t>
        </is>
      </c>
      <c r="T654" s="5" t="inlineStr">
        <is>
          <t>London</t>
        </is>
      </c>
      <c r="U654" s="5" t="inlineStr">
        <is>
          <t>England</t>
        </is>
      </c>
      <c r="V654" s="5" t="inlineStr">
        <is>
          <t>020 8656 6683</t>
        </is>
      </c>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vape hardware; e-liquids; coils; accessories</t>
        </is>
      </c>
      <c r="AL654" s="5" t="inlineStr"/>
      <c r="AM654" s="5" t="inlineStr">
        <is>
          <t>Vape Shop</t>
        </is>
      </c>
      <c r="AN654" s="5" t="inlineStr"/>
      <c r="AO654" s="5" t="inlineStr">
        <is>
          <t>Independent vape and coffee shop on Lower Addiscombe Road, near Addiscombe tram stop. Address and phone cross-checked across allinlondon and vape directories.</t>
        </is>
      </c>
      <c r="AP654" s="5" t="inlineStr">
        <is>
          <t>Medium</t>
        </is>
      </c>
      <c r="AQ654" s="5" t="inlineStr">
        <is>
          <t>Independent retailer; Core relevant category</t>
        </is>
      </c>
      <c r="AR654" s="5" t="inlineStr">
        <is>
          <t>https://www.allinlondon.co.uk/directory/tobacconists/213596-smoketronics</t>
        </is>
      </c>
      <c r="AS654" s="5" t="inlineStr">
        <is>
          <t>https://vapegeezer.co.uk/vape-shop-directory/listing/smoketronics-croydon/</t>
        </is>
      </c>
      <c r="AT654" s="5" t="inlineStr">
        <is>
          <t>2</t>
        </is>
      </c>
      <c r="AU654" s="5" t="inlineStr">
        <is>
          <t>No</t>
        </is>
      </c>
      <c r="AV654" s="5" t="inlineStr">
        <is>
          <t>No</t>
        </is>
      </c>
      <c r="AW654" s="5" t="inlineStr">
        <is>
          <t>No</t>
        </is>
      </c>
      <c r="AX654" s="5" t="inlineStr">
        <is>
          <t>No</t>
        </is>
      </c>
      <c r="AY654" s="5" t="inlineStr">
        <is>
          <t>Verified directory</t>
        </is>
      </c>
      <c r="AZ654" s="5" t="inlineStr">
        <is>
          <t>Not Found</t>
        </is>
      </c>
      <c r="BA654" s="5" t="inlineStr">
        <is>
          <t>2026-09-17</t>
        </is>
      </c>
      <c r="BB654" s="5" t="inlineStr">
        <is>
          <t>Requires Verification</t>
        </is>
      </c>
      <c r="BC654" s="5" t="inlineStr">
        <is>
          <t>Medium</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UK-000815</t>
        </is>
      </c>
      <c r="B655" s="10" t="inlineStr">
        <is>
          <t>UK-000815-01</t>
        </is>
      </c>
      <c r="C655" s="10" t="inlineStr"/>
      <c r="D655" s="10" t="inlineStr">
        <is>
          <t>Sohal Licensed Grocers</t>
        </is>
      </c>
      <c r="E655" s="10" t="inlineStr">
        <is>
          <t>Sohal Licensed Grocers</t>
        </is>
      </c>
      <c r="F655" s="10" t="inlineStr"/>
      <c r="G655" s="10" t="inlineStr">
        <is>
          <t>Off-Licence</t>
        </is>
      </c>
      <c r="H655" s="10" t="inlineStr">
        <is>
          <t>Licensed grocer / off-licence</t>
        </is>
      </c>
      <c r="I655" s="10" t="inlineStr">
        <is>
          <t>Independent</t>
        </is>
      </c>
      <c r="J655" s="10" t="inlineStr">
        <is>
          <t>1</t>
        </is>
      </c>
      <c r="K655" s="10" t="inlineStr"/>
      <c r="L655" s="10" t="inlineStr"/>
      <c r="M655" s="10" t="inlineStr"/>
      <c r="N655" s="10" t="inlineStr"/>
      <c r="O655" s="10" t="inlineStr">
        <is>
          <t>6 Balornock Road</t>
        </is>
      </c>
      <c r="P655" s="10" t="inlineStr">
        <is>
          <t>Balornock / Springburn</t>
        </is>
      </c>
      <c r="Q655" s="10" t="inlineStr">
        <is>
          <t>Glasgow</t>
        </is>
      </c>
      <c r="R655" s="10" t="inlineStr">
        <is>
          <t>Glasgow City</t>
        </is>
      </c>
      <c r="S655" s="10" t="inlineStr">
        <is>
          <t>G21 3UH</t>
        </is>
      </c>
      <c r="T655" s="10" t="inlineStr">
        <is>
          <t>Scotland</t>
        </is>
      </c>
      <c r="U655" s="10" t="inlineStr">
        <is>
          <t>Scotland</t>
        </is>
      </c>
      <c r="V655" s="10" t="inlineStr"/>
      <c r="W655" s="10" t="inlineStr"/>
      <c r="X655" s="10" t="inlineStr"/>
      <c r="Y655" s="10" t="inlineStr"/>
      <c r="Z655" s="10" t="inlineStr"/>
      <c r="AA655" s="10" t="inlineStr"/>
      <c r="AB655" s="10" t="inlineStr"/>
      <c r="AC655" s="10" t="inlineStr"/>
      <c r="AD655" s="10" t="inlineStr"/>
      <c r="AE655" s="10" t="inlineStr"/>
      <c r="AF655" s="10" t="inlineStr"/>
      <c r="AG655" s="10" t="inlineStr"/>
      <c r="AH655" s="10" t="inlineStr"/>
      <c r="AI655" s="10" t="inlineStr"/>
      <c r="AJ655" s="10" t="inlineStr"/>
      <c r="AK655" s="10" t="inlineStr">
        <is>
          <t>off-licence; convenience grocery; tobacco</t>
        </is>
      </c>
      <c r="AL655" s="10" t="inlineStr"/>
      <c r="AM655" s="10" t="inlineStr">
        <is>
          <t>Off-Licence</t>
        </is>
      </c>
      <c r="AN655" s="10" t="inlineStr"/>
      <c r="AO655" s="10" t="inlineStr">
        <is>
          <t>Independent licensed grocer (Scottish off-licence) at 6 Balornock Road, North Glasgow (Springburn/Balornock). Address and postcode from Yelp off-licence listing; phone not confirmed in snippets.</t>
        </is>
      </c>
      <c r="AP655" s="10" t="inlineStr">
        <is>
          <t>Low</t>
        </is>
      </c>
      <c r="AQ655" s="10" t="inlineStr">
        <is>
          <t>Independent retailer; Relevant category</t>
        </is>
      </c>
      <c r="AR655" s="10" t="inlineStr">
        <is>
          <t>https://www.yelp.co.uk/search?find_desc=Off+Licence&amp;find_loc=Springburn%2C+Glasgow</t>
        </is>
      </c>
      <c r="AS655" s="10" t="inlineStr"/>
      <c r="AT655" s="10" t="inlineStr">
        <is>
          <t>1</t>
        </is>
      </c>
      <c r="AU655" s="10" t="inlineStr">
        <is>
          <t>No</t>
        </is>
      </c>
      <c r="AV655" s="10" t="inlineStr">
        <is>
          <t>No</t>
        </is>
      </c>
      <c r="AW655" s="10" t="inlineStr">
        <is>
          <t>No</t>
        </is>
      </c>
      <c r="AX655" s="10" t="inlineStr">
        <is>
          <t>No</t>
        </is>
      </c>
      <c r="AY655" s="10" t="inlineStr">
        <is>
          <t>Not Found</t>
        </is>
      </c>
      <c r="AZ655" s="10" t="inlineStr">
        <is>
          <t>Not Found</t>
        </is>
      </c>
      <c r="BA655" s="10" t="inlineStr">
        <is>
          <t>2026-09-17</t>
        </is>
      </c>
      <c r="BB655" s="10" t="inlineStr">
        <is>
          <t>Requires Verification</t>
        </is>
      </c>
      <c r="BC655" s="10" t="inlineStr">
        <is>
          <t>Low</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2026-09-17</t>
        </is>
      </c>
      <c r="BJ655" s="10" t="inlineStr">
        <is>
          <t>New</t>
        </is>
      </c>
      <c r="BK655" s="10" t="inlineStr">
        <is>
          <t>2026-09-17</t>
        </is>
      </c>
      <c r="BL655" s="10" t="inlineStr"/>
      <c r="BM655" s="10" t="inlineStr"/>
      <c r="BN655" s="10" t="inlineStr"/>
      <c r="BO655" s="10" t="inlineStr"/>
      <c r="BP655" s="10" t="inlineStr"/>
      <c r="BQ655" s="10" t="inlineStr"/>
    </row>
    <row r="656">
      <c r="A656" s="5" t="inlineStr">
        <is>
          <t>UK-000661</t>
        </is>
      </c>
      <c r="B656" s="5" t="inlineStr">
        <is>
          <t>UK-000661-01</t>
        </is>
      </c>
      <c r="C656" s="5" t="inlineStr"/>
      <c r="D656" s="5" t="inlineStr">
        <is>
          <t>Soho Food &amp; Wine</t>
        </is>
      </c>
      <c r="E656" s="5" t="inlineStr">
        <is>
          <t>Soho Food &amp; Wine</t>
        </is>
      </c>
      <c r="F656" s="5" t="inlineStr"/>
      <c r="G656" s="5" t="inlineStr">
        <is>
          <t>Convenience Store</t>
        </is>
      </c>
      <c r="H656" s="5" t="inlineStr">
        <is>
          <t>Convenience &amp; off-licence</t>
        </is>
      </c>
      <c r="I656" s="5" t="inlineStr">
        <is>
          <t>Independent</t>
        </is>
      </c>
      <c r="J656" s="5" t="inlineStr">
        <is>
          <t>1</t>
        </is>
      </c>
      <c r="K656" s="5" t="inlineStr"/>
      <c r="L656" s="5" t="inlineStr"/>
      <c r="M656" s="5" t="inlineStr"/>
      <c r="N656" s="5" t="inlineStr"/>
      <c r="O656" s="5" t="inlineStr"/>
      <c r="P656" s="5" t="inlineStr">
        <is>
          <t>Soho</t>
        </is>
      </c>
      <c r="Q656" s="5" t="inlineStr">
        <is>
          <t>London</t>
        </is>
      </c>
      <c r="R656" s="5" t="inlineStr">
        <is>
          <t>Greater London</t>
        </is>
      </c>
      <c r="S656" s="5" t="inlineStr"/>
      <c r="T656" s="5" t="inlineStr">
        <is>
          <t>London</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convenience groceries; wine; beer; spirits</t>
        </is>
      </c>
      <c r="AL656" s="5" t="inlineStr"/>
      <c r="AM656" s="5" t="inlineStr">
        <is>
          <t>Convenience Store</t>
        </is>
      </c>
      <c r="AN656" s="5" t="inlineStr"/>
      <c r="AO656" s="5" t="inlineStr">
        <is>
          <t>Independent Soho convenience/off-licence (W1F) listed on Yell. Only the Yell business listing surfaced in snippets; street address, postcode and phone not captured (direct fetch blocked). Needs enrichment.</t>
        </is>
      </c>
      <c r="AP656" s="5" t="inlineStr">
        <is>
          <t>Low</t>
        </is>
      </c>
      <c r="AQ656" s="5" t="inlineStr">
        <is>
          <t>Independent retailer; Relevant category</t>
        </is>
      </c>
      <c r="AR656" s="5" t="inlineStr">
        <is>
          <t>https://www.yell.com/biz/soho-food-and-wine-london-8165136/</t>
        </is>
      </c>
      <c r="AS656" s="5" t="inlineStr"/>
      <c r="AT656" s="5" t="inlineStr">
        <is>
          <t>1</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Low</t>
        </is>
      </c>
      <c r="BD656" s="5" t="inlineStr"/>
      <c r="BE656" s="5" t="inlineStr">
        <is>
          <t>Business (B2B)</t>
        </is>
      </c>
      <c r="BF656" s="5" t="inlineStr">
        <is>
          <t>Legitimate interest (B2B) - assess per campaign; PECR: corporate subscribers</t>
        </is>
      </c>
      <c r="BG656" s="5" t="inlineStr"/>
      <c r="BH656" s="5" t="inlineStr">
        <is>
          <t>No</t>
        </is>
      </c>
      <c r="BI656" s="5" t="inlineStr">
        <is>
          <t>2026-09-17</t>
        </is>
      </c>
      <c r="BJ656" s="5" t="inlineStr">
        <is>
          <t>New</t>
        </is>
      </c>
      <c r="BK656" s="5" t="inlineStr">
        <is>
          <t>2026-09-17</t>
        </is>
      </c>
      <c r="BL656" s="5" t="inlineStr"/>
      <c r="BM656" s="5" t="inlineStr"/>
      <c r="BN656" s="5" t="inlineStr"/>
      <c r="BO656" s="5" t="inlineStr"/>
      <c r="BP656" s="5" t="inlineStr"/>
      <c r="BQ656" s="5" t="inlineStr"/>
    </row>
    <row r="657">
      <c r="A657" s="10" t="inlineStr">
        <is>
          <t>WY-0150</t>
        </is>
      </c>
      <c r="B657" s="10" t="inlineStr">
        <is>
          <t>WY-0150-01</t>
        </is>
      </c>
      <c r="C657" s="10" t="inlineStr"/>
      <c r="D657" s="10" t="inlineStr">
        <is>
          <t>Somers of Keighley</t>
        </is>
      </c>
      <c r="E657" s="10" t="inlineStr">
        <is>
          <t>Somers Tobacconists</t>
        </is>
      </c>
      <c r="F657" s="10" t="inlineStr"/>
      <c r="G657" s="10" t="inlineStr">
        <is>
          <t>Tobacco Specialist</t>
        </is>
      </c>
      <c r="H657" s="10" t="inlineStr">
        <is>
          <t>Traditional tobacconist</t>
        </is>
      </c>
      <c r="I657" s="10" t="inlineStr">
        <is>
          <t>Independent</t>
        </is>
      </c>
      <c r="J657" s="10" t="inlineStr">
        <is>
          <t>1</t>
        </is>
      </c>
      <c r="K657" s="10" t="inlineStr"/>
      <c r="L657" s="10" t="inlineStr"/>
      <c r="M657" s="10" t="inlineStr"/>
      <c r="N657" s="10" t="inlineStr"/>
      <c r="O657" s="10" t="inlineStr">
        <is>
          <t>1 Bow Street</t>
        </is>
      </c>
      <c r="P657" s="10" t="inlineStr"/>
      <c r="Q657" s="10" t="inlineStr">
        <is>
          <t>Keighley</t>
        </is>
      </c>
      <c r="R657" s="10" t="inlineStr">
        <is>
          <t>West Yorkshire</t>
        </is>
      </c>
      <c r="S657" s="10" t="inlineStr">
        <is>
          <t>BD21 3PB</t>
        </is>
      </c>
      <c r="T657" s="10" t="inlineStr">
        <is>
          <t>Yorkshire &amp; Humber</t>
        </is>
      </c>
      <c r="U657" s="10" t="inlineStr">
        <is>
          <t>England</t>
        </is>
      </c>
      <c r="V657" s="10" t="inlineStr">
        <is>
          <t>01535 604678</t>
        </is>
      </c>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tobacco; cigars; smoking accessories</t>
        </is>
      </c>
      <c r="AL657" s="10" t="inlineStr"/>
      <c r="AM657" s="10" t="inlineStr">
        <is>
          <t>Tobacco Specialist</t>
        </is>
      </c>
      <c r="AN657" s="10" t="inlineStr"/>
      <c r="AO657" s="10" t="inlineStr">
        <is>
          <t>Long-standing specialist tobacconist in Keighley town centre; address and phone consistent across Yelp, Cylex and Citikey listings.</t>
        </is>
      </c>
      <c r="AP657" s="10" t="inlineStr">
        <is>
          <t>Medium</t>
        </is>
      </c>
      <c r="AQ657" s="10" t="inlineStr">
        <is>
          <t>Independent retailer; Core relevant category</t>
        </is>
      </c>
      <c r="AR657" s="10" t="inlineStr">
        <is>
          <t>https://www.yelp.com/biz/somers-of-keighley-keighley</t>
        </is>
      </c>
      <c r="AS657" s="10" t="inlineStr">
        <is>
          <t>https://keighley.cylex-uk.co.uk/company/somers-of-keighley-13656771.html</t>
        </is>
      </c>
      <c r="AT657" s="10" t="inlineStr">
        <is>
          <t>3</t>
        </is>
      </c>
      <c r="AU657" s="10" t="inlineStr">
        <is>
          <t>No</t>
        </is>
      </c>
      <c r="AV657" s="10" t="inlineStr">
        <is>
          <t>No</t>
        </is>
      </c>
      <c r="AW657" s="10" t="inlineStr">
        <is>
          <t>No</t>
        </is>
      </c>
      <c r="AX657" s="10" t="inlineStr">
        <is>
          <t>No</t>
        </is>
      </c>
      <c r="AY657" s="10" t="inlineStr">
        <is>
          <t>Verified directory</t>
        </is>
      </c>
      <c r="AZ657" s="10" t="inlineStr">
        <is>
          <t>Not Found</t>
        </is>
      </c>
      <c r="BA657" s="10" t="inlineStr">
        <is>
          <t>2026-09-17</t>
        </is>
      </c>
      <c r="BB657" s="10" t="inlineStr">
        <is>
          <t>Requires Verification</t>
        </is>
      </c>
      <c r="BC657" s="10" t="inlineStr">
        <is>
          <t>Medium</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2026-09-16</t>
        </is>
      </c>
      <c r="BJ657" s="10" t="inlineStr">
        <is>
          <t>New</t>
        </is>
      </c>
      <c r="BK657" s="10" t="inlineStr">
        <is>
          <t>2026-09-17</t>
        </is>
      </c>
      <c r="BL657" s="10" t="inlineStr"/>
      <c r="BM657" s="10" t="inlineStr"/>
      <c r="BN657" s="10" t="inlineStr"/>
      <c r="BO657" s="10" t="inlineStr"/>
      <c r="BP657" s="10" t="inlineStr"/>
      <c r="BQ657" s="10" t="inlineStr"/>
    </row>
    <row r="658">
      <c r="A658" s="5" t="inlineStr">
        <is>
          <t>WY-0151</t>
        </is>
      </c>
      <c r="B658" s="5" t="inlineStr">
        <is>
          <t>WY-0151-01</t>
        </is>
      </c>
      <c r="C658" s="5" t="inlineStr"/>
      <c r="D658" s="5" t="inlineStr">
        <is>
          <t>Soothill Convenience Store &amp; Off Licence</t>
        </is>
      </c>
      <c r="E658" s="5" t="inlineStr">
        <is>
          <t>Soothill Convenience Store &amp; Off Licence</t>
        </is>
      </c>
      <c r="F658" s="5" t="inlineStr">
        <is>
          <t>Soothill Convenience Store &amp; Off Licence Limited</t>
        </is>
      </c>
      <c r="G658" s="5" t="inlineStr">
        <is>
          <t>Convenience Store</t>
        </is>
      </c>
      <c r="H658" s="5" t="inlineStr">
        <is>
          <t>Convenience store and off-licence</t>
        </is>
      </c>
      <c r="I658" s="5" t="inlineStr">
        <is>
          <t>Independent</t>
        </is>
      </c>
      <c r="J658" s="5" t="inlineStr">
        <is>
          <t>1</t>
        </is>
      </c>
      <c r="K658" s="5" t="inlineStr"/>
      <c r="L658" s="5" t="inlineStr"/>
      <c r="M658" s="5" t="inlineStr"/>
      <c r="N658" s="5" t="inlineStr"/>
      <c r="O658" s="5" t="inlineStr"/>
      <c r="P658" s="5" t="inlineStr">
        <is>
          <t>Soothill</t>
        </is>
      </c>
      <c r="Q658" s="5" t="inlineStr">
        <is>
          <t>Batley</t>
        </is>
      </c>
      <c r="R658" s="5" t="inlineStr">
        <is>
          <t>West Yorkshire</t>
        </is>
      </c>
      <c r="S658" s="5" t="inlineStr"/>
      <c r="T658" s="5" t="inlineStr">
        <is>
          <t>Yorkshire &amp; Humber</t>
        </is>
      </c>
      <c r="U658" s="5" t="inlineStr">
        <is>
          <t>England</t>
        </is>
      </c>
      <c r="V658" s="5" t="inlineStr"/>
      <c r="W658" s="5" t="inlineStr"/>
      <c r="X658" s="5" t="inlineStr"/>
      <c r="Y658" s="5" t="inlineStr"/>
      <c r="Z658" s="5" t="inlineStr"/>
      <c r="AA658" s="5" t="inlineStr"/>
      <c r="AB658" s="5" t="inlineStr"/>
      <c r="AC658" s="5" t="inlineStr"/>
      <c r="AD658" s="5" t="inlineStr"/>
      <c r="AE658" s="5" t="inlineStr">
        <is>
          <t>11966163</t>
        </is>
      </c>
      <c r="AF658" s="5" t="inlineStr"/>
      <c r="AG658" s="5" t="inlineStr">
        <is>
          <t>SOOTHILL CONVENIENCE STORE &amp; OFF LICENCE LIMITED</t>
        </is>
      </c>
      <c r="AH658" s="5" t="inlineStr"/>
      <c r="AI658" s="5" t="inlineStr"/>
      <c r="AJ658" s="5" t="inlineStr"/>
      <c r="AK658" s="5" t="inlineStr">
        <is>
          <t>convenience goods; alcohol</t>
        </is>
      </c>
      <c r="AL658" s="5" t="inlineStr"/>
      <c r="AM658" s="5" t="inlineStr">
        <is>
          <t>Convenience Store</t>
        </is>
      </c>
      <c r="AN658" s="5" t="inlineStr"/>
      <c r="AO658" s="5" t="inlineStr">
        <is>
          <t>Registered company found via Companies House search results; a store at 25a Grace Leather Lane, Soothill WF17 6PP appears in directories but was not confirmed as this company's trading address, so left blank.</t>
        </is>
      </c>
      <c r="AP658" s="5" t="inlineStr">
        <is>
          <t>Low</t>
        </is>
      </c>
      <c r="AQ658" s="5" t="inlineStr">
        <is>
          <t>Independent retailer; Relevant category</t>
        </is>
      </c>
      <c r="AR658" s="5" t="inlineStr">
        <is>
          <t>https://find-and-update.company-information.service.gov.uk/company/11966163/persons-with-significant-control</t>
        </is>
      </c>
      <c r="AS658" s="5" t="inlineStr">
        <is>
          <t>https://open.endole.co.uk/insight/company/11966163-soothill-convenience-store-off-licence-limited</t>
        </is>
      </c>
      <c r="AT658" s="5" t="inlineStr">
        <is>
          <t>2</t>
        </is>
      </c>
      <c r="AU658" s="5" t="inlineStr">
        <is>
          <t>No</t>
        </is>
      </c>
      <c r="AV658" s="5" t="inlineStr">
        <is>
          <t>No</t>
        </is>
      </c>
      <c r="AW658" s="5" t="inlineStr">
        <is>
          <t>No</t>
        </is>
      </c>
      <c r="AX658" s="5" t="inlineStr">
        <is>
          <t>No</t>
        </is>
      </c>
      <c r="AY658" s="5" t="inlineStr">
        <is>
          <t>Not Found</t>
        </is>
      </c>
      <c r="AZ658" s="5" t="inlineStr">
        <is>
          <t>Not Found</t>
        </is>
      </c>
      <c r="BA658" s="5" t="inlineStr">
        <is>
          <t>2026-09-17</t>
        </is>
      </c>
      <c r="BB658" s="5" t="inlineStr">
        <is>
          <t>Requires Verification</t>
        </is>
      </c>
      <c r="BC658" s="5" t="inlineStr">
        <is>
          <t>Low</t>
        </is>
      </c>
      <c r="BD658" s="5" t="inlineStr"/>
      <c r="BE658" s="5" t="inlineStr">
        <is>
          <t>Business (B2B)</t>
        </is>
      </c>
      <c r="BF658" s="5" t="inlineStr">
        <is>
          <t>Legitimate interest (B2B) - assess per campaign; PECR: corporate subscribers</t>
        </is>
      </c>
      <c r="BG658" s="5" t="inlineStr"/>
      <c r="BH658" s="5" t="inlineStr">
        <is>
          <t>No</t>
        </is>
      </c>
      <c r="BI658" s="5" t="inlineStr">
        <is>
          <t>2026-09-16</t>
        </is>
      </c>
      <c r="BJ658" s="5" t="inlineStr">
        <is>
          <t>New</t>
        </is>
      </c>
      <c r="BK658" s="5" t="inlineStr">
        <is>
          <t>2026-09-17</t>
        </is>
      </c>
      <c r="BL658" s="5" t="inlineStr"/>
      <c r="BM658" s="5" t="inlineStr"/>
      <c r="BN658" s="5" t="inlineStr"/>
      <c r="BO658" s="5" t="inlineStr"/>
      <c r="BP658" s="5" t="inlineStr"/>
      <c r="BQ658" s="5" t="inlineStr"/>
    </row>
    <row r="659">
      <c r="A659" s="10" t="inlineStr">
        <is>
          <t>UK-000816</t>
        </is>
      </c>
      <c r="B659" s="10" t="inlineStr">
        <is>
          <t>UK-000816-01</t>
        </is>
      </c>
      <c r="C659" s="10" t="inlineStr"/>
      <c r="D659" s="10" t="inlineStr">
        <is>
          <t>Southdene Newsagents</t>
        </is>
      </c>
      <c r="E659" s="10" t="inlineStr">
        <is>
          <t>Southdene Newsagents</t>
        </is>
      </c>
      <c r="F659" s="10" t="inlineStr"/>
      <c r="G659" s="10" t="inlineStr">
        <is>
          <t>Newsagent</t>
        </is>
      </c>
      <c r="H659" s="10" t="inlineStr">
        <is>
          <t>Newsagent &amp; confectionery</t>
        </is>
      </c>
      <c r="I659" s="10" t="inlineStr">
        <is>
          <t>Independent</t>
        </is>
      </c>
      <c r="J659" s="10" t="inlineStr">
        <is>
          <t>1</t>
        </is>
      </c>
      <c r="K659" s="10" t="inlineStr"/>
      <c r="L659" s="10" t="inlineStr"/>
      <c r="M659" s="10" t="inlineStr"/>
      <c r="N659" s="10" t="inlineStr"/>
      <c r="O659" s="10" t="inlineStr">
        <is>
          <t>8 Park Brow Drive</t>
        </is>
      </c>
      <c r="P659" s="10" t="inlineStr">
        <is>
          <t>Kirkby</t>
        </is>
      </c>
      <c r="Q659" s="10" t="inlineStr">
        <is>
          <t>Liverpool</t>
        </is>
      </c>
      <c r="R659" s="10" t="inlineStr">
        <is>
          <t>Merseyside</t>
        </is>
      </c>
      <c r="S659" s="10" t="inlineStr">
        <is>
          <t>L32 6QP</t>
        </is>
      </c>
      <c r="T659" s="10" t="inlineStr">
        <is>
          <t>North West</t>
        </is>
      </c>
      <c r="U659" s="10" t="inlineStr">
        <is>
          <t>England</t>
        </is>
      </c>
      <c r="V659" s="10" t="inlineStr">
        <is>
          <t>0151 549 1663</t>
        </is>
      </c>
      <c r="W659" s="10" t="inlineStr"/>
      <c r="X659" s="10" t="inlineStr"/>
      <c r="Y659" s="10" t="inlineStr"/>
      <c r="Z659" s="10" t="inlineStr"/>
      <c r="AA659" s="10" t="inlineStr"/>
      <c r="AB659" s="10" t="inlineStr"/>
      <c r="AC659" s="10" t="inlineStr"/>
      <c r="AD659" s="10" t="inlineStr"/>
      <c r="AE659" s="10" t="inlineStr"/>
      <c r="AF659" s="10" t="inlineStr"/>
      <c r="AG659" s="10" t="inlineStr"/>
      <c r="AH659" s="10" t="inlineStr"/>
      <c r="AI659" s="10" t="inlineStr"/>
      <c r="AJ659" s="10" t="inlineStr"/>
      <c r="AK659" s="10" t="inlineStr">
        <is>
          <t>newspapers; magazines; confectionery; tobacco; convenience groceries</t>
        </is>
      </c>
      <c r="AL659" s="10" t="inlineStr"/>
      <c r="AM659" s="10" t="inlineStr">
        <is>
          <t>Newsagent</t>
        </is>
      </c>
      <c r="AN659" s="10" t="inlineStr"/>
      <c r="AO659" s="10" t="inlineStr">
        <is>
          <t>Independent newsagent on Park Brow Drive, Kirkby (Knowsley, L32).</t>
        </is>
      </c>
      <c r="AP659" s="10" t="inlineStr">
        <is>
          <t>Low</t>
        </is>
      </c>
      <c r="AQ659" s="10" t="inlineStr">
        <is>
          <t>Independent retailer; Relevant category</t>
        </is>
      </c>
      <c r="AR659" s="10" t="inlineStr">
        <is>
          <t>https://kirkby.cylex-uk.co.uk/convenience-stores/</t>
        </is>
      </c>
      <c r="AS659" s="10" t="inlineStr"/>
      <c r="AT659" s="10" t="inlineStr">
        <is>
          <t>1</t>
        </is>
      </c>
      <c r="AU659" s="10" t="inlineStr">
        <is>
          <t>No</t>
        </is>
      </c>
      <c r="AV659" s="10" t="inlineStr">
        <is>
          <t>No</t>
        </is>
      </c>
      <c r="AW659" s="10" t="inlineStr">
        <is>
          <t>No</t>
        </is>
      </c>
      <c r="AX659" s="10" t="inlineStr">
        <is>
          <t>No</t>
        </is>
      </c>
      <c r="AY659" s="10" t="inlineStr">
        <is>
          <t>Verified directory</t>
        </is>
      </c>
      <c r="AZ659" s="10" t="inlineStr">
        <is>
          <t>Not Found</t>
        </is>
      </c>
      <c r="BA659" s="10" t="inlineStr">
        <is>
          <t>2026-09-17</t>
        </is>
      </c>
      <c r="BB659" s="10" t="inlineStr">
        <is>
          <t>Requires Verification</t>
        </is>
      </c>
      <c r="BC659" s="10" t="inlineStr">
        <is>
          <t>Low</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2026-09-17</t>
        </is>
      </c>
      <c r="BJ659" s="10" t="inlineStr">
        <is>
          <t>New</t>
        </is>
      </c>
      <c r="BK659" s="10" t="inlineStr">
        <is>
          <t>2026-09-17</t>
        </is>
      </c>
      <c r="BL659" s="10" t="inlineStr"/>
      <c r="BM659" s="10" t="inlineStr"/>
      <c r="BN659" s="10" t="inlineStr"/>
      <c r="BO659" s="10" t="inlineStr"/>
      <c r="BP659" s="10" t="inlineStr"/>
      <c r="BQ659" s="10" t="inlineStr"/>
    </row>
    <row r="660">
      <c r="A660" s="5" t="inlineStr">
        <is>
          <t>UK-000817</t>
        </is>
      </c>
      <c r="B660" s="5" t="inlineStr">
        <is>
          <t>UK-000817-01</t>
        </is>
      </c>
      <c r="C660" s="5" t="inlineStr"/>
      <c r="D660" s="5" t="inlineStr">
        <is>
          <t>Southside Drinks Company</t>
        </is>
      </c>
      <c r="E660" s="5" t="inlineStr">
        <is>
          <t>Southside Drinks Company</t>
        </is>
      </c>
      <c r="F660" s="5" t="inlineStr"/>
      <c r="G660" s="5" t="inlineStr">
        <is>
          <t>Off-Licence</t>
        </is>
      </c>
      <c r="H660" s="5" t="inlineStr">
        <is>
          <t>Off-licence / wine &amp; spirits</t>
        </is>
      </c>
      <c r="I660" s="5" t="inlineStr">
        <is>
          <t>Independent</t>
        </is>
      </c>
      <c r="J660" s="5" t="inlineStr">
        <is>
          <t>1</t>
        </is>
      </c>
      <c r="K660" s="5" t="inlineStr"/>
      <c r="L660" s="5" t="inlineStr"/>
      <c r="M660" s="5" t="inlineStr"/>
      <c r="N660" s="5" t="inlineStr"/>
      <c r="O660" s="5" t="inlineStr">
        <is>
          <t>471 Victoria Road</t>
        </is>
      </c>
      <c r="P660" s="5" t="inlineStr">
        <is>
          <t>Govanhill</t>
        </is>
      </c>
      <c r="Q660" s="5" t="inlineStr">
        <is>
          <t>Glasgow</t>
        </is>
      </c>
      <c r="R660" s="5" t="inlineStr">
        <is>
          <t>Glasgow City</t>
        </is>
      </c>
      <c r="S660" s="5" t="inlineStr">
        <is>
          <t>G42 8RL</t>
        </is>
      </c>
      <c r="T660" s="5" t="inlineStr">
        <is>
          <t>Scotland</t>
        </is>
      </c>
      <c r="U660" s="5" t="inlineStr">
        <is>
          <t>Scotland</t>
        </is>
      </c>
      <c r="V660" s="5" t="inlineStr"/>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off-licence; wine; beer; spirits</t>
        </is>
      </c>
      <c r="AL660" s="5" t="inlineStr"/>
      <c r="AM660" s="5" t="inlineStr">
        <is>
          <t>Off-Licence</t>
        </is>
      </c>
      <c r="AN660" s="5" t="inlineStr"/>
      <c r="AO660" s="5" t="inlineStr">
        <is>
          <t>Independent off-licence / drinks shop at 471 Victoria Road, Govanhill (Southside, bordering Queen's Park). Address and postcode from property/licensing listings; phone not confirmed in snippets.</t>
        </is>
      </c>
      <c r="AP660" s="5" t="inlineStr">
        <is>
          <t>Low</t>
        </is>
      </c>
      <c r="AQ660" s="5" t="inlineStr">
        <is>
          <t>Independent retailer; Relevant category</t>
        </is>
      </c>
      <c r="AR660" s="5" t="inlineStr">
        <is>
          <t>https://tsa-property.co.uk/project/471-victoria-road-glasgow-g42-8rl/</t>
        </is>
      </c>
      <c r="AS660" s="5" t="inlineStr"/>
      <c r="AT660" s="5" t="inlineStr">
        <is>
          <t>1</t>
        </is>
      </c>
      <c r="AU660" s="5" t="inlineStr">
        <is>
          <t>No</t>
        </is>
      </c>
      <c r="AV660" s="5" t="inlineStr">
        <is>
          <t>No</t>
        </is>
      </c>
      <c r="AW660" s="5" t="inlineStr">
        <is>
          <t>No</t>
        </is>
      </c>
      <c r="AX660" s="5" t="inlineStr">
        <is>
          <t>No</t>
        </is>
      </c>
      <c r="AY660" s="5" t="inlineStr">
        <is>
          <t>Not Found</t>
        </is>
      </c>
      <c r="AZ660" s="5" t="inlineStr">
        <is>
          <t>Not Found</t>
        </is>
      </c>
      <c r="BA660" s="5" t="inlineStr">
        <is>
          <t>2026-09-17</t>
        </is>
      </c>
      <c r="BB660" s="5" t="inlineStr">
        <is>
          <t>Requires Verification</t>
        </is>
      </c>
      <c r="BC660" s="5" t="inlineStr">
        <is>
          <t>Low</t>
        </is>
      </c>
      <c r="BD660" s="5" t="inlineStr"/>
      <c r="BE660" s="5" t="inlineStr">
        <is>
          <t>Business (B2B)</t>
        </is>
      </c>
      <c r="BF660" s="5" t="inlineStr">
        <is>
          <t>Legitimate interest (B2B) - assess per campaign; PECR: corporate subscribers</t>
        </is>
      </c>
      <c r="BG660" s="5" t="inlineStr"/>
      <c r="BH660" s="5" t="inlineStr">
        <is>
          <t>No</t>
        </is>
      </c>
      <c r="BI660" s="5" t="inlineStr">
        <is>
          <t>2026-09-17</t>
        </is>
      </c>
      <c r="BJ660" s="5" t="inlineStr">
        <is>
          <t>New</t>
        </is>
      </c>
      <c r="BK660" s="5" t="inlineStr">
        <is>
          <t>2026-09-17</t>
        </is>
      </c>
      <c r="BL660" s="5" t="inlineStr"/>
      <c r="BM660" s="5" t="inlineStr"/>
      <c r="BN660" s="5" t="inlineStr"/>
      <c r="BO660" s="5" t="inlineStr"/>
      <c r="BP660" s="5" t="inlineStr"/>
      <c r="BQ660" s="5" t="inlineStr"/>
    </row>
    <row r="661">
      <c r="A661" s="10" t="inlineStr">
        <is>
          <t>UK-000662</t>
        </is>
      </c>
      <c r="B661" s="10" t="inlineStr">
        <is>
          <t>UK-000662-01</t>
        </is>
      </c>
      <c r="C661" s="10" t="inlineStr"/>
      <c r="D661" s="10" t="inlineStr">
        <is>
          <t>Spicebazar</t>
        </is>
      </c>
      <c r="E661" s="10" t="inlineStr">
        <is>
          <t>Spicebazar</t>
        </is>
      </c>
      <c r="F661" s="10" t="inlineStr"/>
      <c r="G661" s="10" t="inlineStr">
        <is>
          <t>Independent Supermarket</t>
        </is>
      </c>
      <c r="H661" s="10" t="inlineStr">
        <is>
          <t>Indian / world-food supermarket</t>
        </is>
      </c>
      <c r="I661" s="10" t="inlineStr">
        <is>
          <t>Independent</t>
        </is>
      </c>
      <c r="J661" s="10" t="inlineStr">
        <is>
          <t>1</t>
        </is>
      </c>
      <c r="K661" s="10" t="inlineStr"/>
      <c r="L661" s="10" t="inlineStr"/>
      <c r="M661" s="10" t="inlineStr"/>
      <c r="N661" s="10" t="inlineStr"/>
      <c r="O661" s="10" t="inlineStr">
        <is>
          <t>110 Cranbrook Road</t>
        </is>
      </c>
      <c r="P661" s="10" t="inlineStr"/>
      <c r="Q661" s="10" t="inlineStr">
        <is>
          <t>Ilford</t>
        </is>
      </c>
      <c r="R661" s="10" t="inlineStr">
        <is>
          <t>Greater London</t>
        </is>
      </c>
      <c r="S661" s="10" t="inlineStr">
        <is>
          <t>IG1 4LZ</t>
        </is>
      </c>
      <c r="T661" s="10" t="inlineStr">
        <is>
          <t>London</t>
        </is>
      </c>
      <c r="U661" s="10" t="inlineStr">
        <is>
          <t>England</t>
        </is>
      </c>
      <c r="V661" s="10" t="inlineStr"/>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Indian groceries; world foods; spices</t>
        </is>
      </c>
      <c r="AL661" s="10" t="inlineStr"/>
      <c r="AM661" s="10" t="inlineStr">
        <is>
          <t>Independent Supermarket</t>
        </is>
      </c>
      <c r="AN661" s="10" t="inlineStr"/>
      <c r="AO661" s="10" t="inlineStr">
        <is>
          <t>Indian/world-food grocery on Cranbrook Road, Ilford. Address/postcode from Cylex Ilford grocery search. Phone not in snippet.</t>
        </is>
      </c>
      <c r="AP661" s="10" t="inlineStr">
        <is>
          <t>Low</t>
        </is>
      </c>
      <c r="AQ661" s="10" t="inlineStr">
        <is>
          <t>Independent retailer; Relevant category</t>
        </is>
      </c>
      <c r="AR661" s="10" t="inlineStr">
        <is>
          <t>https://ilford.cylex-uk.co.uk/grocery-stores/</t>
        </is>
      </c>
      <c r="AS661" s="10" t="inlineStr"/>
      <c r="AT661" s="10" t="inlineStr">
        <is>
          <t>1</t>
        </is>
      </c>
      <c r="AU661" s="10" t="inlineStr">
        <is>
          <t>No</t>
        </is>
      </c>
      <c r="AV661" s="10" t="inlineStr">
        <is>
          <t>No</t>
        </is>
      </c>
      <c r="AW661" s="10" t="inlineStr">
        <is>
          <t>No</t>
        </is>
      </c>
      <c r="AX661" s="10" t="inlineStr">
        <is>
          <t>No</t>
        </is>
      </c>
      <c r="AY661" s="10" t="inlineStr">
        <is>
          <t>Not Found</t>
        </is>
      </c>
      <c r="AZ661" s="10" t="inlineStr">
        <is>
          <t>Not Found</t>
        </is>
      </c>
      <c r="BA661" s="10" t="inlineStr">
        <is>
          <t>2026-09-17</t>
        </is>
      </c>
      <c r="BB661" s="10" t="inlineStr">
        <is>
          <t>Requires Verification</t>
        </is>
      </c>
      <c r="BC661" s="10" t="inlineStr">
        <is>
          <t>Low</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WY-0152</t>
        </is>
      </c>
      <c r="B662" s="5" t="inlineStr">
        <is>
          <t>WY-0152-01</t>
        </is>
      </c>
      <c r="C662" s="5" t="inlineStr"/>
      <c r="D662" s="5" t="inlineStr">
        <is>
          <t>Springfield Garage (Keighley)</t>
        </is>
      </c>
      <c r="E662" s="5" t="inlineStr">
        <is>
          <t>Springfield Garage (Gulf)</t>
        </is>
      </c>
      <c r="F662" s="5" t="inlineStr">
        <is>
          <t>Springfield Garage (Keighley) Limited</t>
        </is>
      </c>
      <c r="G662" s="5" t="inlineStr">
        <is>
          <t>Petrol Station / Forecourt</t>
        </is>
      </c>
      <c r="H662" s="5" t="inlineStr">
        <is>
          <t>Independent Gulf-branded forecourt with shop</t>
        </is>
      </c>
      <c r="I662" s="5" t="inlineStr">
        <is>
          <t>Independent</t>
        </is>
      </c>
      <c r="J662" s="5" t="inlineStr">
        <is>
          <t>1</t>
        </is>
      </c>
      <c r="K662" s="5" t="inlineStr"/>
      <c r="L662" s="5" t="inlineStr"/>
      <c r="M662" s="5" t="inlineStr"/>
      <c r="N662" s="5" t="inlineStr"/>
      <c r="O662" s="5" t="inlineStr">
        <is>
          <t>Oakworth Road</t>
        </is>
      </c>
      <c r="P662" s="5" t="inlineStr"/>
      <c r="Q662" s="5" t="inlineStr">
        <is>
          <t>Keighley</t>
        </is>
      </c>
      <c r="R662" s="5" t="inlineStr">
        <is>
          <t>West Yorkshire</t>
        </is>
      </c>
      <c r="S662" s="5" t="inlineStr">
        <is>
          <t>BD21 1QQ</t>
        </is>
      </c>
      <c r="T662" s="5" t="inlineStr">
        <is>
          <t>Yorkshire &amp; Humber</t>
        </is>
      </c>
      <c r="U662" s="5" t="inlineStr">
        <is>
          <t>England</t>
        </is>
      </c>
      <c r="V662" s="5" t="inlineStr">
        <is>
          <t>01535 604629</t>
        </is>
      </c>
      <c r="W662" s="5" t="inlineStr"/>
      <c r="X662" s="5" t="inlineStr"/>
      <c r="Y662" s="5" t="inlineStr"/>
      <c r="Z662" s="5" t="inlineStr"/>
      <c r="AA662" s="5" t="inlineStr"/>
      <c r="AB662" s="5" t="inlineStr"/>
      <c r="AC662" s="5" t="inlineStr"/>
      <c r="AD662" s="5" t="inlineStr"/>
      <c r="AE662" s="5" t="inlineStr">
        <is>
          <t>00871540</t>
        </is>
      </c>
      <c r="AF662" s="5" t="inlineStr"/>
      <c r="AG662" s="5" t="inlineStr">
        <is>
          <t>SPRINGFIELD GARAGE (KEIGHLEY) LIMITED</t>
        </is>
      </c>
      <c r="AH662" s="5" t="inlineStr"/>
      <c r="AI662" s="5" t="inlineStr"/>
      <c r="AJ662" s="5" t="inlineStr"/>
      <c r="AK662" s="5" t="inlineStr">
        <is>
          <t>fuel; convenience shop lines</t>
        </is>
      </c>
      <c r="AL662" s="5" t="inlineStr"/>
      <c r="AM662" s="5" t="inlineStr">
        <is>
          <t>Petrol Station / Forecourt</t>
        </is>
      </c>
      <c r="AN662" s="5" t="inlineStr"/>
      <c r="AO662" s="5" t="inlineStr">
        <is>
          <t>Long-established family limited company (very old CH number 00871540, 1960s incorporation) running a Gulf-branded forecourt on Oakworth Road. Open 6am-10pm daily per directory listing.</t>
        </is>
      </c>
      <c r="AP662" s="5" t="inlineStr">
        <is>
          <t>Low</t>
        </is>
      </c>
      <c r="AQ662" s="5" t="inlineStr">
        <is>
          <t>Independent retailer; Relevant category</t>
        </is>
      </c>
      <c r="AR662" s="5" t="inlineStr">
        <is>
          <t>https://find-and-update.company-information.service.gov.uk/company/00871540</t>
        </is>
      </c>
      <c r="AS662" s="5" t="inlineStr">
        <is>
          <t>https://www.mylocalservices.co.uk/Springfield+Garage-Keighley-2646735.html</t>
        </is>
      </c>
      <c r="AT662" s="5" t="inlineStr">
        <is>
          <t>3</t>
        </is>
      </c>
      <c r="AU662" s="5" t="inlineStr">
        <is>
          <t>No</t>
        </is>
      </c>
      <c r="AV662" s="5" t="inlineStr">
        <is>
          <t>No</t>
        </is>
      </c>
      <c r="AW662" s="5" t="inlineStr">
        <is>
          <t>No</t>
        </is>
      </c>
      <c r="AX662" s="5" t="inlineStr">
        <is>
          <t>Yes</t>
        </is>
      </c>
      <c r="AY662" s="5" t="inlineStr">
        <is>
          <t>Verified directory</t>
        </is>
      </c>
      <c r="AZ662" s="5" t="inlineStr">
        <is>
          <t>Not Found</t>
        </is>
      </c>
      <c r="BA662" s="5" t="inlineStr">
        <is>
          <t>2026-09-17</t>
        </is>
      </c>
      <c r="BB662" s="5" t="inlineStr">
        <is>
          <t>Partially Verified</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2026-09-16</t>
        </is>
      </c>
      <c r="BJ662" s="5" t="inlineStr">
        <is>
          <t>New</t>
        </is>
      </c>
      <c r="BK662" s="5" t="inlineStr">
        <is>
          <t>2026-09-17</t>
        </is>
      </c>
      <c r="BL662" s="5" t="inlineStr"/>
      <c r="BM662" s="5" t="inlineStr"/>
      <c r="BN662" s="5" t="inlineStr"/>
      <c r="BO662" s="5" t="inlineStr"/>
      <c r="BP662" s="5" t="inlineStr"/>
      <c r="BQ662" s="5" t="inlineStr"/>
    </row>
    <row r="663">
      <c r="A663" s="10" t="inlineStr">
        <is>
          <t>UK-000382</t>
        </is>
      </c>
      <c r="B663" s="10" t="inlineStr">
        <is>
          <t>UK-000382-01</t>
        </is>
      </c>
      <c r="C663" s="10" t="inlineStr"/>
      <c r="D663" s="10" t="inlineStr">
        <is>
          <t>Springwater Off Licence</t>
        </is>
      </c>
      <c r="E663" s="10" t="inlineStr">
        <is>
          <t>Springwater Off Licence</t>
        </is>
      </c>
      <c r="F663" s="10" t="inlineStr"/>
      <c r="G663" s="10" t="inlineStr">
        <is>
          <t>Off-Licence</t>
        </is>
      </c>
      <c r="H663" s="10" t="inlineStr"/>
      <c r="I663" s="10" t="inlineStr">
        <is>
          <t>Independent</t>
        </is>
      </c>
      <c r="J663" s="10" t="inlineStr">
        <is>
          <t>1</t>
        </is>
      </c>
      <c r="K663" s="10" t="inlineStr"/>
      <c r="L663" s="10" t="inlineStr"/>
      <c r="M663" s="10" t="inlineStr"/>
      <c r="N663" s="10" t="inlineStr"/>
      <c r="O663" s="10" t="inlineStr">
        <is>
          <t>169 Radcliffe New Road</t>
        </is>
      </c>
      <c r="P663" s="10" t="inlineStr">
        <is>
          <t>Whitefield</t>
        </is>
      </c>
      <c r="Q663" s="10" t="inlineStr">
        <is>
          <t>Whitefield</t>
        </is>
      </c>
      <c r="R663" s="10" t="inlineStr">
        <is>
          <t>Greater Manchester</t>
        </is>
      </c>
      <c r="S663" s="10" t="inlineStr">
        <is>
          <t>M45 7RG</t>
        </is>
      </c>
      <c r="T663" s="10" t="inlineStr">
        <is>
          <t>North West</t>
        </is>
      </c>
      <c r="U663" s="10" t="inlineStr">
        <is>
          <t>England</t>
        </is>
      </c>
      <c r="V663" s="10" t="inlineStr">
        <is>
          <t>0161 796 2910</t>
        </is>
      </c>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beer; wine; spirits; convenience</t>
        </is>
      </c>
      <c r="AL663" s="10" t="inlineStr"/>
      <c r="AM663" s="10" t="inlineStr">
        <is>
          <t>Off-Licence</t>
        </is>
      </c>
      <c r="AN663" s="10" t="inlineStr"/>
      <c r="AO663" s="10" t="inlineStr">
        <is>
          <t>Independent off-licence on Radcliffe New Road, Whitefield (M45 7RG).</t>
        </is>
      </c>
      <c r="AP663" s="10" t="inlineStr">
        <is>
          <t>Low</t>
        </is>
      </c>
      <c r="AQ663" s="10" t="inlineStr">
        <is>
          <t>Independent retailer; Relevant category</t>
        </is>
      </c>
      <c r="AR663" s="10" t="inlineStr">
        <is>
          <t>https://www.192.com/atoz/business/manchester/off--licence/</t>
        </is>
      </c>
      <c r="AS663" s="10" t="inlineStr"/>
      <c r="AT663" s="10" t="inlineStr">
        <is>
          <t>1</t>
        </is>
      </c>
      <c r="AU663" s="10" t="inlineStr">
        <is>
          <t>No</t>
        </is>
      </c>
      <c r="AV663" s="10" t="inlineStr">
        <is>
          <t>No</t>
        </is>
      </c>
      <c r="AW663" s="10" t="inlineStr">
        <is>
          <t>No</t>
        </is>
      </c>
      <c r="AX663" s="10" t="inlineStr">
        <is>
          <t>No</t>
        </is>
      </c>
      <c r="AY663" s="10" t="inlineStr">
        <is>
          <t>Verified directory</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2026-09-17</t>
        </is>
      </c>
      <c r="BJ663" s="10" t="inlineStr">
        <is>
          <t>New</t>
        </is>
      </c>
      <c r="BK663" s="10" t="inlineStr">
        <is>
          <t>2026-09-17</t>
        </is>
      </c>
      <c r="BL663" s="10" t="inlineStr"/>
      <c r="BM663" s="10" t="inlineStr"/>
      <c r="BN663" s="10" t="inlineStr"/>
      <c r="BO663" s="10" t="inlineStr"/>
      <c r="BP663" s="10" t="inlineStr"/>
      <c r="BQ663" s="10" t="inlineStr"/>
    </row>
    <row r="664">
      <c r="A664" s="5" t="inlineStr">
        <is>
          <t>UK-000279</t>
        </is>
      </c>
      <c r="B664" s="5" t="inlineStr">
        <is>
          <t>UK-000279-01</t>
        </is>
      </c>
      <c r="C664" s="5" t="inlineStr"/>
      <c r="D664" s="5" t="inlineStr">
        <is>
          <t>Sprouts Supermarket</t>
        </is>
      </c>
      <c r="E664" s="5" t="inlineStr">
        <is>
          <t>Sprouts Supermarket</t>
        </is>
      </c>
      <c r="F664" s="5" t="inlineStr"/>
      <c r="G664" s="5" t="inlineStr">
        <is>
          <t>Independent Supermarket</t>
        </is>
      </c>
      <c r="H664" s="5" t="inlineStr">
        <is>
          <t>International / South Asian &amp; Caribbean supermarket</t>
        </is>
      </c>
      <c r="I664" s="5" t="inlineStr">
        <is>
          <t>Independent</t>
        </is>
      </c>
      <c r="J664" s="5" t="inlineStr">
        <is>
          <t>1</t>
        </is>
      </c>
      <c r="K664" s="5" t="inlineStr"/>
      <c r="L664" s="5" t="inlineStr"/>
      <c r="M664" s="5" t="inlineStr"/>
      <c r="N664" s="5" t="inlineStr"/>
      <c r="O664" s="5" t="inlineStr">
        <is>
          <t>174 Wellgate</t>
        </is>
      </c>
      <c r="P664" s="5" t="inlineStr"/>
      <c r="Q664" s="5" t="inlineStr">
        <is>
          <t>Rotherham</t>
        </is>
      </c>
      <c r="R664" s="5" t="inlineStr">
        <is>
          <t>South Yorkshire</t>
        </is>
      </c>
      <c r="S664" s="5" t="inlineStr">
        <is>
          <t>S60 2PE</t>
        </is>
      </c>
      <c r="T664" s="5" t="inlineStr">
        <is>
          <t>Yorkshire &amp; Humber</t>
        </is>
      </c>
      <c r="U664" s="5" t="inlineStr">
        <is>
          <t>England</t>
        </is>
      </c>
      <c r="V664" s="5" t="inlineStr">
        <is>
          <t>01709 839980</t>
        </is>
      </c>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fresh produce; spices; South Asian foods; Caribbean foods; groceries</t>
        </is>
      </c>
      <c r="AL664" s="5" t="inlineStr"/>
      <c r="AM664" s="5" t="inlineStr">
        <is>
          <t>Independent Supermarket</t>
        </is>
      </c>
      <c r="AN664" s="5" t="inlineStr"/>
      <c r="AO664" s="5" t="inlineStr">
        <is>
          <t>Independent international supermarket at 174 Wellgate, Rotherham, with South Asian and Caribbean sections. Address/postcode/phone cross-checked in Thomson Local and UKInTouch listings.</t>
        </is>
      </c>
      <c r="AP664" s="5" t="inlineStr">
        <is>
          <t>Low</t>
        </is>
      </c>
      <c r="AQ664" s="5" t="inlineStr">
        <is>
          <t>Independent retailer; Relevant category</t>
        </is>
      </c>
      <c r="AR664" s="5" t="inlineStr">
        <is>
          <t>https://www.thomsonlocal.com/search/supermarkets/rotherham/sprouts-supermarket/3066529/01709839980</t>
        </is>
      </c>
      <c r="AS664" s="5" t="inlineStr">
        <is>
          <t>https://rotherham.ukintouch.com/store/sprouts-supermarket/</t>
        </is>
      </c>
      <c r="AT664" s="5" t="inlineStr">
        <is>
          <t>2</t>
        </is>
      </c>
      <c r="AU664" s="5" t="inlineStr">
        <is>
          <t>No</t>
        </is>
      </c>
      <c r="AV664" s="5" t="inlineStr">
        <is>
          <t>No</t>
        </is>
      </c>
      <c r="AW664" s="5" t="inlineStr">
        <is>
          <t>No</t>
        </is>
      </c>
      <c r="AX664" s="5" t="inlineStr">
        <is>
          <t>No</t>
        </is>
      </c>
      <c r="AY664" s="5" t="inlineStr">
        <is>
          <t>Verified directory</t>
        </is>
      </c>
      <c r="AZ664" s="5" t="inlineStr">
        <is>
          <t>Not Found</t>
        </is>
      </c>
      <c r="BA664" s="5" t="inlineStr">
        <is>
          <t>2026-09-17</t>
        </is>
      </c>
      <c r="BB664" s="5" t="inlineStr">
        <is>
          <t>Requires Verification</t>
        </is>
      </c>
      <c r="BC664" s="5" t="inlineStr">
        <is>
          <t>Medium</t>
        </is>
      </c>
      <c r="BD664" s="5" t="inlineStr"/>
      <c r="BE664" s="5" t="inlineStr">
        <is>
          <t>Business (B2B)</t>
        </is>
      </c>
      <c r="BF664" s="5" t="inlineStr">
        <is>
          <t>Legitimate interest (B2B) - assess per campaign; PECR: corporate subscribers</t>
        </is>
      </c>
      <c r="BG664" s="5" t="inlineStr"/>
      <c r="BH664" s="5" t="inlineStr">
        <is>
          <t>No</t>
        </is>
      </c>
      <c r="BI664" s="5" t="inlineStr">
        <is>
          <t>2026-09-16</t>
        </is>
      </c>
      <c r="BJ664" s="5" t="inlineStr">
        <is>
          <t>New</t>
        </is>
      </c>
      <c r="BK664" s="5" t="inlineStr">
        <is>
          <t>2026-09-17</t>
        </is>
      </c>
      <c r="BL664" s="5" t="inlineStr"/>
      <c r="BM664" s="5" t="inlineStr"/>
      <c r="BN664" s="5" t="inlineStr"/>
      <c r="BO664" s="5" t="inlineStr"/>
      <c r="BP664" s="5" t="inlineStr"/>
      <c r="BQ664" s="5" t="inlineStr"/>
    </row>
    <row r="665">
      <c r="A665" s="10" t="inlineStr">
        <is>
          <t>WY-0153</t>
        </is>
      </c>
      <c r="B665" s="10" t="inlineStr">
        <is>
          <t>WY-0153-01</t>
        </is>
      </c>
      <c r="C665" s="10" t="inlineStr"/>
      <c r="D665" s="10" t="inlineStr">
        <is>
          <t>Stainbeck Off Licence (Best-one)</t>
        </is>
      </c>
      <c r="E665" s="10" t="inlineStr">
        <is>
          <t>Stainbeck Off Licence</t>
        </is>
      </c>
      <c r="F665" s="10" t="inlineStr"/>
      <c r="G665" s="10" t="inlineStr">
        <is>
          <t>Off-Licence</t>
        </is>
      </c>
      <c r="H665" s="10" t="inlineStr">
        <is>
          <t>Off-licence and convenience store under Best-one symbol</t>
        </is>
      </c>
      <c r="I665" s="10" t="inlineStr">
        <is>
          <t>Franchise / Symbol Group</t>
        </is>
      </c>
      <c r="J665" s="10" t="inlineStr">
        <is>
          <t>1</t>
        </is>
      </c>
      <c r="K665" s="10" t="inlineStr"/>
      <c r="L665" s="10" t="inlineStr"/>
      <c r="M665" s="10" t="inlineStr"/>
      <c r="N665" s="10" t="inlineStr"/>
      <c r="O665" s="10" t="inlineStr"/>
      <c r="P665" s="10" t="inlineStr">
        <is>
          <t>Chapel Allerton / Meanwood</t>
        </is>
      </c>
      <c r="Q665" s="10" t="inlineStr">
        <is>
          <t>Leeds</t>
        </is>
      </c>
      <c r="R665" s="10" t="inlineStr">
        <is>
          <t>West Yorkshire</t>
        </is>
      </c>
      <c r="S665" s="10" t="inlineStr"/>
      <c r="T665" s="10" t="inlineStr">
        <is>
          <t>Yorkshire &amp; Humber</t>
        </is>
      </c>
      <c r="U665" s="10" t="inlineStr">
        <is>
          <t>England</t>
        </is>
      </c>
      <c r="V665" s="10" t="inlineStr"/>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alcohol; groceries; snacks</t>
        </is>
      </c>
      <c r="AL665" s="10" t="inlineStr"/>
      <c r="AM665" s="10" t="inlineStr">
        <is>
          <t>Off-Licence</t>
        </is>
      </c>
      <c r="AN665" s="10" t="inlineStr">
        <is>
          <t>Best-one (Bestway) symbol group</t>
        </is>
      </c>
      <c r="AO665" s="10" t="inlineStr">
        <is>
          <t>Independent retailer trading under the Best-one symbol group in the Chapel Allerton area; street address not captured - follow up.</t>
        </is>
      </c>
      <c r="AP665" s="10" t="inlineStr">
        <is>
          <t>Low</t>
        </is>
      </c>
      <c r="AQ665" s="10" t="inlineStr">
        <is>
          <t>Independent retailer; Relevant category</t>
        </is>
      </c>
      <c r="AR665" s="10" t="inlineStr">
        <is>
          <t>https://www.yorkshire.com/chapel-allerton/shopping/off-license</t>
        </is>
      </c>
      <c r="AS665" s="10" t="inlineStr"/>
      <c r="AT665" s="10" t="inlineStr">
        <is>
          <t>1</t>
        </is>
      </c>
      <c r="AU665" s="10" t="inlineStr">
        <is>
          <t>No</t>
        </is>
      </c>
      <c r="AV665" s="10" t="inlineStr">
        <is>
          <t>No</t>
        </is>
      </c>
      <c r="AW665" s="10" t="inlineStr">
        <is>
          <t>No</t>
        </is>
      </c>
      <c r="AX665" s="10" t="inlineStr">
        <is>
          <t>No</t>
        </is>
      </c>
      <c r="AY665" s="10" t="inlineStr">
        <is>
          <t>Not Found</t>
        </is>
      </c>
      <c r="AZ665" s="10" t="inlineStr">
        <is>
          <t>Not Found</t>
        </is>
      </c>
      <c r="BA665" s="10" t="inlineStr">
        <is>
          <t>2026-09-17</t>
        </is>
      </c>
      <c r="BB665" s="10" t="inlineStr">
        <is>
          <t>Requires Verification</t>
        </is>
      </c>
      <c r="BC665" s="10" t="inlineStr">
        <is>
          <t>Low</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2026-09-16</t>
        </is>
      </c>
      <c r="BJ665" s="10" t="inlineStr">
        <is>
          <t>New</t>
        </is>
      </c>
      <c r="BK665" s="10" t="inlineStr">
        <is>
          <t>2026-09-17</t>
        </is>
      </c>
      <c r="BL665" s="10" t="inlineStr"/>
      <c r="BM665" s="10" t="inlineStr"/>
      <c r="BN665" s="10" t="inlineStr"/>
      <c r="BO665" s="10" t="inlineStr"/>
      <c r="BP665" s="10" t="inlineStr"/>
      <c r="BQ665" s="10" t="inlineStr"/>
    </row>
    <row r="666">
      <c r="A666" s="5" t="inlineStr">
        <is>
          <t>WY-0154</t>
        </is>
      </c>
      <c r="B666" s="5" t="inlineStr">
        <is>
          <t>WY-0154-01</t>
        </is>
      </c>
      <c r="C666" s="5" t="inlineStr"/>
      <c r="D666" s="5" t="inlineStr">
        <is>
          <t>Star Express Off-Licence &amp; Convenience Store</t>
        </is>
      </c>
      <c r="E666" s="5" t="inlineStr">
        <is>
          <t>Star Express</t>
        </is>
      </c>
      <c r="F666" s="5" t="inlineStr"/>
      <c r="G666" s="5" t="inlineStr">
        <is>
          <t>Off-Licence</t>
        </is>
      </c>
      <c r="H666" s="5" t="inlineStr">
        <is>
          <t>Off-licence and convenience store</t>
        </is>
      </c>
      <c r="I666" s="5" t="inlineStr">
        <is>
          <t>Independent</t>
        </is>
      </c>
      <c r="J666" s="5" t="inlineStr">
        <is>
          <t>1</t>
        </is>
      </c>
      <c r="K666" s="5" t="inlineStr"/>
      <c r="L666" s="5" t="inlineStr"/>
      <c r="M666" s="5" t="inlineStr"/>
      <c r="N666" s="5" t="inlineStr"/>
      <c r="O666" s="5" t="inlineStr">
        <is>
          <t>Norfolk Avenue</t>
        </is>
      </c>
      <c r="P666" s="5" t="inlineStr"/>
      <c r="Q666" s="5" t="inlineStr">
        <is>
          <t>Huddersfield</t>
        </is>
      </c>
      <c r="R666" s="5" t="inlineStr">
        <is>
          <t>West Yorkshire</t>
        </is>
      </c>
      <c r="S666" s="5" t="inlineStr"/>
      <c r="T666" s="5" t="inlineStr">
        <is>
          <t>Yorkshire &amp; Humber</t>
        </is>
      </c>
      <c r="U666" s="5" t="inlineStr">
        <is>
          <t>England</t>
        </is>
      </c>
      <c r="V666" s="5" t="inlineStr"/>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alcohol; convenience goods; tobacco</t>
        </is>
      </c>
      <c r="AL666" s="5" t="inlineStr"/>
      <c r="AM666" s="5" t="inlineStr">
        <is>
          <t>Off-Licence</t>
        </is>
      </c>
      <c r="AN666" s="5" t="inlineStr"/>
      <c r="AO666" s="5" t="inlineStr">
        <is>
          <t>Open 10:00-22:00 seven days, 4.7 Google rating per Yorkshire.com listing; street number and phone not published in accessible sources.</t>
        </is>
      </c>
      <c r="AP666" s="5" t="inlineStr">
        <is>
          <t>Low</t>
        </is>
      </c>
      <c r="AQ666" s="5" t="inlineStr">
        <is>
          <t>Independent retailer; Relevant category</t>
        </is>
      </c>
      <c r="AR666" s="5" t="inlineStr">
        <is>
          <t>https://www.yorkshire.com/huddersfield/shopping/off-license/star-express-off-licence-convenience-store</t>
        </is>
      </c>
      <c r="AS666" s="5" t="inlineStr"/>
      <c r="AT666" s="5" t="inlineStr">
        <is>
          <t>1</t>
        </is>
      </c>
      <c r="AU666" s="5" t="inlineStr">
        <is>
          <t>No</t>
        </is>
      </c>
      <c r="AV666" s="5" t="inlineStr">
        <is>
          <t>No</t>
        </is>
      </c>
      <c r="AW666" s="5" t="inlineStr">
        <is>
          <t>No</t>
        </is>
      </c>
      <c r="AX666" s="5" t="inlineStr">
        <is>
          <t>No</t>
        </is>
      </c>
      <c r="AY666" s="5" t="inlineStr">
        <is>
          <t>Not Found</t>
        </is>
      </c>
      <c r="AZ666" s="5" t="inlineStr">
        <is>
          <t>Not Found</t>
        </is>
      </c>
      <c r="BA666" s="5" t="inlineStr">
        <is>
          <t>2026-09-17</t>
        </is>
      </c>
      <c r="BB666" s="5" t="inlineStr">
        <is>
          <t>Requires Verification</t>
        </is>
      </c>
      <c r="BC666" s="5" t="inlineStr">
        <is>
          <t>Low</t>
        </is>
      </c>
      <c r="BD666" s="5" t="inlineStr"/>
      <c r="BE666" s="5" t="inlineStr">
        <is>
          <t>Business (B2B)</t>
        </is>
      </c>
      <c r="BF666" s="5" t="inlineStr">
        <is>
          <t>Legitimate interest (B2B) - assess per campaign; PECR: corporate subscribers</t>
        </is>
      </c>
      <c r="BG666" s="5" t="inlineStr"/>
      <c r="BH666" s="5" t="inlineStr">
        <is>
          <t>No</t>
        </is>
      </c>
      <c r="BI666" s="5" t="inlineStr">
        <is>
          <t>2026-09-16</t>
        </is>
      </c>
      <c r="BJ666" s="5" t="inlineStr">
        <is>
          <t>New</t>
        </is>
      </c>
      <c r="BK666" s="5" t="inlineStr">
        <is>
          <t>2026-09-17</t>
        </is>
      </c>
      <c r="BL666" s="5" t="inlineStr"/>
      <c r="BM666" s="5" t="inlineStr"/>
      <c r="BN666" s="5" t="inlineStr"/>
      <c r="BO666" s="5" t="inlineStr"/>
      <c r="BP666" s="5" t="inlineStr"/>
      <c r="BQ666" s="5" t="inlineStr"/>
    </row>
    <row r="667">
      <c r="A667" s="10" t="inlineStr">
        <is>
          <t>UK-000818</t>
        </is>
      </c>
      <c r="B667" s="10" t="inlineStr">
        <is>
          <t>UK-000818-01</t>
        </is>
      </c>
      <c r="C667" s="10" t="inlineStr"/>
      <c r="D667" s="10" t="inlineStr">
        <is>
          <t>Star News</t>
        </is>
      </c>
      <c r="E667" s="10" t="inlineStr">
        <is>
          <t>Star News</t>
        </is>
      </c>
      <c r="F667" s="10" t="inlineStr"/>
      <c r="G667" s="10" t="inlineStr">
        <is>
          <t>Newsagent</t>
        </is>
      </c>
      <c r="H667" s="10" t="inlineStr">
        <is>
          <t>Newsagent &amp; convenience</t>
        </is>
      </c>
      <c r="I667" s="10" t="inlineStr">
        <is>
          <t>Independent</t>
        </is>
      </c>
      <c r="J667" s="10" t="inlineStr">
        <is>
          <t>1</t>
        </is>
      </c>
      <c r="K667" s="10" t="inlineStr"/>
      <c r="L667" s="10" t="inlineStr"/>
      <c r="M667" s="10" t="inlineStr"/>
      <c r="N667" s="10" t="inlineStr"/>
      <c r="O667" s="10" t="inlineStr"/>
      <c r="P667" s="10" t="inlineStr"/>
      <c r="Q667" s="10" t="inlineStr">
        <is>
          <t>Liverpool</t>
        </is>
      </c>
      <c r="R667" s="10" t="inlineStr">
        <is>
          <t>Merseyside</t>
        </is>
      </c>
      <c r="S667" s="10" t="inlineStr">
        <is>
          <t>L3 8HR</t>
        </is>
      </c>
      <c r="T667" s="10" t="inlineStr">
        <is>
          <t>North West</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newspapers; magazines; confectionery; convenience groceries</t>
        </is>
      </c>
      <c r="AL667" s="10" t="inlineStr"/>
      <c r="AM667" s="10" t="inlineStr">
        <is>
          <t>Newsagent</t>
        </is>
      </c>
      <c r="AN667" s="10" t="inlineStr"/>
      <c r="AO667" s="10" t="inlineStr">
        <is>
          <t>Independent newsagent (Stars Newshops) in Liverpool city fringe (L3). Street address not confirmed in listing.</t>
        </is>
      </c>
      <c r="AP667" s="10" t="inlineStr">
        <is>
          <t>Low</t>
        </is>
      </c>
      <c r="AQ667" s="10" t="inlineStr">
        <is>
          <t>Independent retailer; Relevant category</t>
        </is>
      </c>
      <c r="AR667" s="10" t="inlineStr">
        <is>
          <t>https://www.yell.com/biz/star-news-liverpool-1873832/</t>
        </is>
      </c>
      <c r="AS667" s="10" t="inlineStr">
        <is>
          <t>https://www.192.com/atoz/business/liverpool-l3/newsagents/stars-newshops/2c095cfc6084373192f5bb488963b4592a64baad/ml/</t>
        </is>
      </c>
      <c r="AT667" s="10" t="inlineStr">
        <is>
          <t>2</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Low</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2026-09-17</t>
        </is>
      </c>
      <c r="BJ667" s="10" t="inlineStr">
        <is>
          <t>New</t>
        </is>
      </c>
      <c r="BK667" s="10" t="inlineStr">
        <is>
          <t>2026-09-17</t>
        </is>
      </c>
      <c r="BL667" s="10" t="inlineStr"/>
      <c r="BM667" s="10" t="inlineStr"/>
      <c r="BN667" s="10" t="inlineStr"/>
      <c r="BO667" s="10" t="inlineStr"/>
      <c r="BP667" s="10" t="inlineStr"/>
      <c r="BQ667" s="10" t="inlineStr"/>
    </row>
    <row r="668">
      <c r="A668" s="5" t="inlineStr">
        <is>
          <t>UK-000516</t>
        </is>
      </c>
      <c r="B668" s="5" t="inlineStr">
        <is>
          <t>UK-000516-01</t>
        </is>
      </c>
      <c r="C668" s="5" t="inlineStr"/>
      <c r="D668" s="5" t="inlineStr">
        <is>
          <t>Star Supermarket</t>
        </is>
      </c>
      <c r="E668" s="5" t="inlineStr">
        <is>
          <t>Star Supermarket</t>
        </is>
      </c>
      <c r="F668" s="5" t="inlineStr"/>
      <c r="G668" s="5" t="inlineStr">
        <is>
          <t>Independent Supermarket</t>
        </is>
      </c>
      <c r="H668" s="5" t="inlineStr">
        <is>
          <t>Asian / world food supermarket</t>
        </is>
      </c>
      <c r="I668" s="5" t="inlineStr">
        <is>
          <t>Independent</t>
        </is>
      </c>
      <c r="J668" s="5" t="inlineStr">
        <is>
          <t>1</t>
        </is>
      </c>
      <c r="K668" s="5" t="inlineStr"/>
      <c r="L668" s="5" t="inlineStr"/>
      <c r="M668" s="5" t="inlineStr">
        <is>
          <t>https://www.instagram.com/starsupermarket_birmingham/</t>
        </is>
      </c>
      <c r="N668" s="5" t="inlineStr"/>
      <c r="O668" s="5" t="inlineStr">
        <is>
          <t>Tollgate Shopping Centre</t>
        </is>
      </c>
      <c r="P668" s="5" t="inlineStr"/>
      <c r="Q668" s="5" t="inlineStr">
        <is>
          <t>Smethwick</t>
        </is>
      </c>
      <c r="R668" s="5" t="inlineStr">
        <is>
          <t>West Midlands</t>
        </is>
      </c>
      <c r="S668" s="5" t="inlineStr"/>
      <c r="T668" s="5" t="inlineStr">
        <is>
          <t>West Midlands</t>
        </is>
      </c>
      <c r="U668" s="5" t="inlineStr">
        <is>
          <t>England</t>
        </is>
      </c>
      <c r="V668" s="5" t="inlineStr"/>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Asian groceries; fresh produce; world foods</t>
        </is>
      </c>
      <c r="AL668" s="5" t="inlineStr"/>
      <c r="AM668" s="5" t="inlineStr">
        <is>
          <t>Independent Supermarket</t>
        </is>
      </c>
      <c r="AN668" s="5" t="inlineStr"/>
      <c r="AO668" s="5" t="inlineStr">
        <is>
          <t>Independent Asian grocery supermarket at Tollgate Shopping Centre, Smethwick, self-described as a leading Asian grocery store in Smethwick. Located via Instagram and Yelp Smethwick Asian supermarket listings.</t>
        </is>
      </c>
      <c r="AP668" s="5" t="inlineStr">
        <is>
          <t>Medium</t>
        </is>
      </c>
      <c r="AQ668" s="5" t="inlineStr">
        <is>
          <t>Independent retailer; Relevant category; Social presence</t>
        </is>
      </c>
      <c r="AR668" s="5" t="inlineStr">
        <is>
          <t>https://www.instagram.com/starsupermarket_birmingham/</t>
        </is>
      </c>
      <c r="AS668" s="5" t="inlineStr">
        <is>
          <t>https://www.yelp.com/search?find_desc=Asian+Supermarket&amp;find_loc=Smethwick%2C+West+Midlands</t>
        </is>
      </c>
      <c r="AT668" s="5" t="inlineStr">
        <is>
          <t>2</t>
        </is>
      </c>
      <c r="AU668" s="5" t="inlineStr">
        <is>
          <t>No</t>
        </is>
      </c>
      <c r="AV668" s="5" t="inlineStr">
        <is>
          <t>No</t>
        </is>
      </c>
      <c r="AW668" s="5" t="inlineStr">
        <is>
          <t>No</t>
        </is>
      </c>
      <c r="AX668" s="5" t="inlineStr">
        <is>
          <t>No</t>
        </is>
      </c>
      <c r="AY668" s="5" t="inlineStr">
        <is>
          <t>Not Found</t>
        </is>
      </c>
      <c r="AZ668" s="5" t="inlineStr">
        <is>
          <t>Not Found</t>
        </is>
      </c>
      <c r="BA668" s="5" t="inlineStr">
        <is>
          <t>2026-09-17</t>
        </is>
      </c>
      <c r="BB668" s="5" t="inlineStr">
        <is>
          <t>Requires Verification</t>
        </is>
      </c>
      <c r="BC668" s="5" t="inlineStr">
        <is>
          <t>Medium</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UK-000819</t>
        </is>
      </c>
      <c r="B669" s="10" t="inlineStr">
        <is>
          <t>UK-000819-01</t>
        </is>
      </c>
      <c r="C669" s="10" t="inlineStr"/>
      <c r="D669" s="10" t="inlineStr">
        <is>
          <t>Steamworx Vape Room</t>
        </is>
      </c>
      <c r="E669" s="10" t="inlineStr">
        <is>
          <t>Steamworx Vape Room</t>
        </is>
      </c>
      <c r="F669" s="10" t="inlineStr"/>
      <c r="G669" s="10" t="inlineStr">
        <is>
          <t>Vape Shop</t>
        </is>
      </c>
      <c r="H669" s="10" t="inlineStr">
        <is>
          <t>Vape &amp; e-liquid retailer</t>
        </is>
      </c>
      <c r="I669" s="10" t="inlineStr">
        <is>
          <t>Independent</t>
        </is>
      </c>
      <c r="J669" s="10" t="inlineStr">
        <is>
          <t>1</t>
        </is>
      </c>
      <c r="K669" s="10" t="inlineStr"/>
      <c r="L669" s="10" t="inlineStr"/>
      <c r="M669" s="10" t="inlineStr"/>
      <c r="N669" s="10" t="inlineStr"/>
      <c r="O669" s="10" t="inlineStr">
        <is>
          <t>202 Knowsley Road</t>
        </is>
      </c>
      <c r="P669" s="10" t="inlineStr"/>
      <c r="Q669" s="10" t="inlineStr">
        <is>
          <t>Bootle</t>
        </is>
      </c>
      <c r="R669" s="10" t="inlineStr">
        <is>
          <t>Merseyside</t>
        </is>
      </c>
      <c r="S669" s="10" t="inlineStr">
        <is>
          <t>L20 4NU</t>
        </is>
      </c>
      <c r="T669" s="10" t="inlineStr">
        <is>
          <t>North West</t>
        </is>
      </c>
      <c r="U669" s="10" t="inlineStr">
        <is>
          <t>England</t>
        </is>
      </c>
      <c r="V669" s="10" t="inlineStr"/>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vape hardware; e-liquids; accessories</t>
        </is>
      </c>
      <c r="AL669" s="10" t="inlineStr"/>
      <c r="AM669" s="10" t="inlineStr">
        <is>
          <t>Vape Shop</t>
        </is>
      </c>
      <c r="AN669" s="10" t="inlineStr"/>
      <c r="AO669" s="10" t="inlineStr">
        <is>
          <t>Independent vape shop on Knowsley Road, Bootle.</t>
        </is>
      </c>
      <c r="AP669" s="10" t="inlineStr">
        <is>
          <t>Medium</t>
        </is>
      </c>
      <c r="AQ669" s="10" t="inlineStr">
        <is>
          <t>Independent retailer; Core relevant category</t>
        </is>
      </c>
      <c r="AR669" s="10" t="inlineStr">
        <is>
          <t>https://www.yell.com/biz/steamworx-vape-room-bootle-9782515/</t>
        </is>
      </c>
      <c r="AS669" s="10" t="inlineStr"/>
      <c r="AT669" s="10" t="inlineStr">
        <is>
          <t>1</t>
        </is>
      </c>
      <c r="AU669" s="10" t="inlineStr">
        <is>
          <t>No</t>
        </is>
      </c>
      <c r="AV669" s="10" t="inlineStr">
        <is>
          <t>No</t>
        </is>
      </c>
      <c r="AW669" s="10" t="inlineStr">
        <is>
          <t>No</t>
        </is>
      </c>
      <c r="AX669" s="10" t="inlineStr">
        <is>
          <t>No</t>
        </is>
      </c>
      <c r="AY669" s="10" t="inlineStr">
        <is>
          <t>Not Found</t>
        </is>
      </c>
      <c r="AZ669" s="10" t="inlineStr">
        <is>
          <t>Not Found</t>
        </is>
      </c>
      <c r="BA669" s="10" t="inlineStr">
        <is>
          <t>2026-09-17</t>
        </is>
      </c>
      <c r="BB669" s="10" t="inlineStr">
        <is>
          <t>Requires Verification</t>
        </is>
      </c>
      <c r="BC669" s="10" t="inlineStr">
        <is>
          <t>Low</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UK-000517</t>
        </is>
      </c>
      <c r="B670" s="5" t="inlineStr">
        <is>
          <t>UK-000517-01</t>
        </is>
      </c>
      <c r="C670" s="5" t="inlineStr"/>
      <c r="D670" s="5" t="inlineStr">
        <is>
          <t>Stirchley Food &amp; Wine</t>
        </is>
      </c>
      <c r="E670" s="5" t="inlineStr">
        <is>
          <t>Stirchley Food &amp; Wine</t>
        </is>
      </c>
      <c r="F670" s="5" t="inlineStr"/>
      <c r="G670" s="5" t="inlineStr">
        <is>
          <t>Off-Licence</t>
        </is>
      </c>
      <c r="H670" s="5" t="inlineStr">
        <is>
          <t>Off-licence and convenience store</t>
        </is>
      </c>
      <c r="I670" s="5" t="inlineStr">
        <is>
          <t>Independent</t>
        </is>
      </c>
      <c r="J670" s="5" t="inlineStr">
        <is>
          <t>1</t>
        </is>
      </c>
      <c r="K670" s="5" t="inlineStr"/>
      <c r="L670" s="5" t="inlineStr"/>
      <c r="M670" s="5" t="inlineStr"/>
      <c r="N670" s="5" t="inlineStr"/>
      <c r="O670" s="5" t="inlineStr">
        <is>
          <t>1446 Pershore Road</t>
        </is>
      </c>
      <c r="P670" s="5" t="inlineStr">
        <is>
          <t>Stirchley</t>
        </is>
      </c>
      <c r="Q670" s="5" t="inlineStr">
        <is>
          <t>Birmingham</t>
        </is>
      </c>
      <c r="R670" s="5" t="inlineStr">
        <is>
          <t>West Midlands</t>
        </is>
      </c>
      <c r="S670" s="5" t="inlineStr">
        <is>
          <t>B30 2PH</t>
        </is>
      </c>
      <c r="T670" s="5" t="inlineStr">
        <is>
          <t>West Midlands</t>
        </is>
      </c>
      <c r="U670" s="5" t="inlineStr">
        <is>
          <t>England</t>
        </is>
      </c>
      <c r="V670" s="5" t="inlineStr">
        <is>
          <t>0121 459 7611</t>
        </is>
      </c>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off-licence; convenience grocery</t>
        </is>
      </c>
      <c r="AL670" s="5" t="inlineStr"/>
      <c r="AM670" s="5" t="inlineStr">
        <is>
          <t>Off-Licence</t>
        </is>
      </c>
      <c r="AN670" s="5" t="inlineStr"/>
      <c r="AO670" s="5" t="inlineStr">
        <is>
          <t>Off-licence / food &amp; wine store on Pershore Road, Stirchley.</t>
        </is>
      </c>
      <c r="AP670" s="5" t="inlineStr">
        <is>
          <t>Low</t>
        </is>
      </c>
      <c r="AQ670" s="5" t="inlineStr">
        <is>
          <t>Independent retailer; Relevant category</t>
        </is>
      </c>
      <c r="AR670" s="5" t="inlineStr">
        <is>
          <t>https://www.yelp.com/search?cflt=convenience&amp;find_loc=Stirchley%2C+Birmingham%2C+West+Midlands</t>
        </is>
      </c>
      <c r="AS670" s="5" t="inlineStr"/>
      <c r="AT670" s="5" t="inlineStr">
        <is>
          <t>1</t>
        </is>
      </c>
      <c r="AU670" s="5" t="inlineStr">
        <is>
          <t>No</t>
        </is>
      </c>
      <c r="AV670" s="5" t="inlineStr">
        <is>
          <t>No</t>
        </is>
      </c>
      <c r="AW670" s="5" t="inlineStr">
        <is>
          <t>No</t>
        </is>
      </c>
      <c r="AX670" s="5" t="inlineStr">
        <is>
          <t>No</t>
        </is>
      </c>
      <c r="AY670" s="5" t="inlineStr">
        <is>
          <t>Verified directory</t>
        </is>
      </c>
      <c r="AZ670" s="5" t="inlineStr">
        <is>
          <t>Not Found</t>
        </is>
      </c>
      <c r="BA670" s="5" t="inlineStr">
        <is>
          <t>2026-09-17</t>
        </is>
      </c>
      <c r="BB670" s="5" t="inlineStr">
        <is>
          <t>Requires Verification</t>
        </is>
      </c>
      <c r="BC670" s="5" t="inlineStr">
        <is>
          <t>Low</t>
        </is>
      </c>
      <c r="BD670" s="5" t="inlineStr"/>
      <c r="BE670" s="5" t="inlineStr">
        <is>
          <t>Business (B2B)</t>
        </is>
      </c>
      <c r="BF670" s="5" t="inlineStr">
        <is>
          <t>Legitimate interest (B2B) - assess per campaign; PECR: corporate subscribers</t>
        </is>
      </c>
      <c r="BG670" s="5" t="inlineStr"/>
      <c r="BH670" s="5" t="inlineStr">
        <is>
          <t>No</t>
        </is>
      </c>
      <c r="BI670" s="5" t="inlineStr">
        <is>
          <t>2026-09-17</t>
        </is>
      </c>
      <c r="BJ670" s="5" t="inlineStr">
        <is>
          <t>New</t>
        </is>
      </c>
      <c r="BK670" s="5" t="inlineStr">
        <is>
          <t>2026-09-17</t>
        </is>
      </c>
      <c r="BL670" s="5" t="inlineStr"/>
      <c r="BM670" s="5" t="inlineStr"/>
      <c r="BN670" s="5" t="inlineStr"/>
      <c r="BO670" s="5" t="inlineStr"/>
      <c r="BP670" s="5" t="inlineStr"/>
      <c r="BQ670" s="5" t="inlineStr"/>
    </row>
    <row r="671">
      <c r="A671" s="10" t="inlineStr">
        <is>
          <t>UK-000518</t>
        </is>
      </c>
      <c r="B671" s="10" t="inlineStr">
        <is>
          <t>UK-000518-01</t>
        </is>
      </c>
      <c r="C671" s="10" t="inlineStr"/>
      <c r="D671" s="10" t="inlineStr">
        <is>
          <t>Stirchley Wines &amp; Spirits</t>
        </is>
      </c>
      <c r="E671" s="10" t="inlineStr">
        <is>
          <t>Stirchley Wines &amp; Spirits</t>
        </is>
      </c>
      <c r="F671" s="10" t="inlineStr"/>
      <c r="G671" s="10" t="inlineStr">
        <is>
          <t>Off-Licence</t>
        </is>
      </c>
      <c r="H671" s="10" t="inlineStr">
        <is>
          <t>Specialist beer, wine &amp; spirits off-licence</t>
        </is>
      </c>
      <c r="I671" s="10" t="inlineStr">
        <is>
          <t>Independent</t>
        </is>
      </c>
      <c r="J671" s="10" t="inlineStr">
        <is>
          <t>1</t>
        </is>
      </c>
      <c r="K671" s="10" t="inlineStr">
        <is>
          <t>https://www.stirchleywines.co.uk/</t>
        </is>
      </c>
      <c r="L671" s="10" t="inlineStr"/>
      <c r="M671" s="10" t="inlineStr"/>
      <c r="N671" s="10" t="inlineStr"/>
      <c r="O671" s="10" t="inlineStr">
        <is>
          <t>1535-1537 Pershore Road</t>
        </is>
      </c>
      <c r="P671" s="10" t="inlineStr">
        <is>
          <t>Stirchley</t>
        </is>
      </c>
      <c r="Q671" s="10" t="inlineStr">
        <is>
          <t>Birmingham</t>
        </is>
      </c>
      <c r="R671" s="10" t="inlineStr">
        <is>
          <t>West Midlands</t>
        </is>
      </c>
      <c r="S671" s="10" t="inlineStr">
        <is>
          <t>B30 2JH</t>
        </is>
      </c>
      <c r="T671" s="10" t="inlineStr">
        <is>
          <t>West Midlands</t>
        </is>
      </c>
      <c r="U671" s="10" t="inlineStr">
        <is>
          <t>England</t>
        </is>
      </c>
      <c r="V671" s="10" t="inlineStr">
        <is>
          <t>0121 459 9936</t>
        </is>
      </c>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beers; ciders; wines; spirits</t>
        </is>
      </c>
      <c r="AL671" s="10" t="inlineStr"/>
      <c r="AM671" s="10" t="inlineStr">
        <is>
          <t>Off-Licence</t>
        </is>
      </c>
      <c r="AN671" s="10" t="inlineStr"/>
      <c r="AO671" s="10" t="inlineStr">
        <is>
          <t>Long-established (since 1979) specialist off-licence with online shop, Pershore Road, Stirchley. Contact page has an email form (address not shown in snippet).</t>
        </is>
      </c>
      <c r="AP671" s="10" t="inlineStr">
        <is>
          <t>Medium</t>
        </is>
      </c>
      <c r="AQ671" s="10" t="inlineStr">
        <is>
          <t>Independent retailer; Relevant category; Active website</t>
        </is>
      </c>
      <c r="AR671" s="10" t="inlineStr">
        <is>
          <t>https://www.stirchleywines.co.uk/contact/</t>
        </is>
      </c>
      <c r="AS671" s="10" t="inlineStr">
        <is>
          <t>https://www.yell.com/biz/stirchley-wines-and-spirits-birmingham-1536986/</t>
        </is>
      </c>
      <c r="AT671" s="10" t="inlineStr">
        <is>
          <t>2</t>
        </is>
      </c>
      <c r="AU671" s="10" t="inlineStr">
        <is>
          <t>No</t>
        </is>
      </c>
      <c r="AV671" s="10" t="inlineStr">
        <is>
          <t>No</t>
        </is>
      </c>
      <c r="AW671" s="10" t="inlineStr">
        <is>
          <t>No</t>
        </is>
      </c>
      <c r="AX671" s="10" t="inlineStr">
        <is>
          <t>No</t>
        </is>
      </c>
      <c r="AY671" s="10" t="inlineStr">
        <is>
          <t>Verified directory</t>
        </is>
      </c>
      <c r="AZ671" s="10" t="inlineStr">
        <is>
          <t>Website Found</t>
        </is>
      </c>
      <c r="BA671" s="10" t="inlineStr">
        <is>
          <t>2026-09-17</t>
        </is>
      </c>
      <c r="BB671" s="10" t="inlineStr">
        <is>
          <t>Requires Verification</t>
        </is>
      </c>
      <c r="BC671" s="10" t="inlineStr">
        <is>
          <t>Medium</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2026-09-17</t>
        </is>
      </c>
      <c r="BJ671" s="10" t="inlineStr">
        <is>
          <t>New</t>
        </is>
      </c>
      <c r="BK671" s="10" t="inlineStr">
        <is>
          <t>2026-09-17</t>
        </is>
      </c>
      <c r="BL671" s="10" t="inlineStr"/>
      <c r="BM671" s="10" t="inlineStr"/>
      <c r="BN671" s="10" t="inlineStr"/>
      <c r="BO671" s="10" t="inlineStr"/>
      <c r="BP671" s="10" t="inlineStr"/>
      <c r="BQ671" s="10" t="inlineStr"/>
    </row>
    <row r="672">
      <c r="A672" s="5" t="inlineStr">
        <is>
          <t>UK-000519</t>
        </is>
      </c>
      <c r="B672" s="5" t="inlineStr">
        <is>
          <t>UK-000519-01</t>
        </is>
      </c>
      <c r="C672" s="5" t="inlineStr"/>
      <c r="D672" s="5" t="inlineStr">
        <is>
          <t>Stourbridge Gadgets And Vape House LTD</t>
        </is>
      </c>
      <c r="E672" s="5" t="inlineStr">
        <is>
          <t>Stourbridge Gadgets And Vape House</t>
        </is>
      </c>
      <c r="F672" s="5" t="inlineStr">
        <is>
          <t>Stourbridge Gadgets And Vape House LTD</t>
        </is>
      </c>
      <c r="G672" s="5" t="inlineStr">
        <is>
          <t>Vape Shop</t>
        </is>
      </c>
      <c r="H672" s="5" t="inlineStr">
        <is>
          <t>Vapes, hookah, phone repairs &amp; accessories</t>
        </is>
      </c>
      <c r="I672" s="5" t="inlineStr">
        <is>
          <t>Independent</t>
        </is>
      </c>
      <c r="J672" s="5" t="inlineStr">
        <is>
          <t>1</t>
        </is>
      </c>
      <c r="K672" s="5" t="inlineStr"/>
      <c r="L672" s="5" t="inlineStr">
        <is>
          <t>https://www.facebook.com/stourbridgegadgetsandvapehouse/</t>
        </is>
      </c>
      <c r="M672" s="5" t="inlineStr"/>
      <c r="N672" s="5" t="inlineStr"/>
      <c r="O672" s="5" t="inlineStr"/>
      <c r="P672" s="5" t="inlineStr"/>
      <c r="Q672" s="5" t="inlineStr">
        <is>
          <t>Stourbridge</t>
        </is>
      </c>
      <c r="R672" s="5" t="inlineStr">
        <is>
          <t>West Midlands</t>
        </is>
      </c>
      <c r="S672" s="5" t="inlineStr"/>
      <c r="T672" s="5" t="inlineStr">
        <is>
          <t>West Midlands</t>
        </is>
      </c>
      <c r="U672" s="5" t="inlineStr">
        <is>
          <t>England</t>
        </is>
      </c>
      <c r="V672" s="5" t="inlineStr">
        <is>
          <t>07884 477704</t>
        </is>
      </c>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vapes; smoking accessories; hookah; phone repairs; mobile phones</t>
        </is>
      </c>
      <c r="AL672" s="5" t="inlineStr"/>
      <c r="AM672" s="5" t="inlineStr">
        <is>
          <t>Vape Shop</t>
        </is>
      </c>
      <c r="AN672" s="5" t="inlineStr"/>
      <c r="AO672" s="5" t="inlineStr">
        <is>
          <t>Independent vape and gadget shop in Stourbridge, offering vapes, smoking accessories, hookah, phone repairs and mobiles. Name and mobile from Facebook page snippet.</t>
        </is>
      </c>
      <c r="AP672" s="5" t="inlineStr">
        <is>
          <t>Medium</t>
        </is>
      </c>
      <c r="AQ672" s="5" t="inlineStr">
        <is>
          <t>Independent retailer; Core relevant category; Social presence</t>
        </is>
      </c>
      <c r="AR672" s="5" t="inlineStr">
        <is>
          <t>https://www.facebook.com/stourbridgegadgetsandvapehouse/</t>
        </is>
      </c>
      <c r="AS672" s="5" t="inlineStr"/>
      <c r="AT672" s="5" t="inlineStr">
        <is>
          <t>1</t>
        </is>
      </c>
      <c r="AU672" s="5" t="inlineStr">
        <is>
          <t>No</t>
        </is>
      </c>
      <c r="AV672" s="5" t="inlineStr">
        <is>
          <t>No</t>
        </is>
      </c>
      <c r="AW672" s="5" t="inlineStr">
        <is>
          <t>No</t>
        </is>
      </c>
      <c r="AX672" s="5" t="inlineStr">
        <is>
          <t>No</t>
        </is>
      </c>
      <c r="AY672" s="5" t="inlineStr">
        <is>
          <t>Verified directory</t>
        </is>
      </c>
      <c r="AZ672" s="5" t="inlineStr">
        <is>
          <t>Not Found</t>
        </is>
      </c>
      <c r="BA672" s="5" t="inlineStr">
        <is>
          <t>2026-09-17</t>
        </is>
      </c>
      <c r="BB672" s="5" t="inlineStr">
        <is>
          <t>Requires Verification</t>
        </is>
      </c>
      <c r="BC672" s="5" t="inlineStr">
        <is>
          <t>Medium</t>
        </is>
      </c>
      <c r="BD672" s="5" t="inlineStr"/>
      <c r="BE672" s="5" t="inlineStr">
        <is>
          <t>Business (B2B)</t>
        </is>
      </c>
      <c r="BF672" s="5" t="inlineStr">
        <is>
          <t>Legitimate interest (B2B) - assess per campaign; PECR: corporate subscribers</t>
        </is>
      </c>
      <c r="BG672" s="5" t="inlineStr"/>
      <c r="BH672" s="5" t="inlineStr">
        <is>
          <t>No</t>
        </is>
      </c>
      <c r="BI672" s="5" t="inlineStr">
        <is>
          <t>2026-09-17</t>
        </is>
      </c>
      <c r="BJ672" s="5" t="inlineStr">
        <is>
          <t>New</t>
        </is>
      </c>
      <c r="BK672" s="5" t="inlineStr">
        <is>
          <t>2026-09-17</t>
        </is>
      </c>
      <c r="BL672" s="5" t="inlineStr"/>
      <c r="BM672" s="5" t="inlineStr"/>
      <c r="BN672" s="5" t="inlineStr"/>
      <c r="BO672" s="5" t="inlineStr"/>
      <c r="BP672" s="5" t="inlineStr"/>
      <c r="BQ672" s="5" t="inlineStr"/>
    </row>
    <row r="673">
      <c r="A673" s="10" t="inlineStr">
        <is>
          <t>WY-0155</t>
        </is>
      </c>
      <c r="B673" s="10" t="inlineStr">
        <is>
          <t>WY-0155-01</t>
        </is>
      </c>
      <c r="C673" s="10" t="inlineStr"/>
      <c r="D673" s="10" t="inlineStr">
        <is>
          <t>Stringers Service Station</t>
        </is>
      </c>
      <c r="E673" s="10" t="inlineStr">
        <is>
          <t>Stringers Service Station</t>
        </is>
      </c>
      <c r="F673" s="10" t="inlineStr"/>
      <c r="G673" s="10" t="inlineStr">
        <is>
          <t>Petrol Station / Forecourt</t>
        </is>
      </c>
      <c r="H673" s="10" t="inlineStr">
        <is>
          <t>Independent forecourt (Murco fuel) with shop</t>
        </is>
      </c>
      <c r="I673" s="10" t="inlineStr">
        <is>
          <t>Independent</t>
        </is>
      </c>
      <c r="J673" s="10" t="inlineStr">
        <is>
          <t>1</t>
        </is>
      </c>
      <c r="K673" s="10" t="inlineStr"/>
      <c r="L673" s="10" t="inlineStr"/>
      <c r="M673" s="10" t="inlineStr"/>
      <c r="N673" s="10" t="inlineStr"/>
      <c r="O673" s="10" t="inlineStr">
        <is>
          <t>102 Southgate</t>
        </is>
      </c>
      <c r="P673" s="10" t="inlineStr"/>
      <c r="Q673" s="10" t="inlineStr">
        <is>
          <t>Pontefract</t>
        </is>
      </c>
      <c r="R673" s="10" t="inlineStr">
        <is>
          <t>West Yorkshire</t>
        </is>
      </c>
      <c r="S673" s="10" t="inlineStr">
        <is>
          <t>WF8 1PN</t>
        </is>
      </c>
      <c r="T673" s="10" t="inlineStr">
        <is>
          <t>Yorkshire &amp; Humber</t>
        </is>
      </c>
      <c r="U673" s="10" t="inlineStr">
        <is>
          <t>England</t>
        </is>
      </c>
      <c r="V673" s="10" t="inlineStr"/>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fuel; convenience shop; car cleaning</t>
        </is>
      </c>
      <c r="AL673" s="10" t="inlineStr"/>
      <c r="AM673" s="10" t="inlineStr">
        <is>
          <t>Petrol Station / Forecourt</t>
        </is>
      </c>
      <c r="AN673" s="10" t="inlineStr">
        <is>
          <t>Murco-branded fuel (dealer site)</t>
        </is>
      </c>
      <c r="AO673" s="10" t="inlineStr">
        <is>
          <t>Also listed as 'Stringers Friarwood Lane Service Station' (Grove Road, WF8 1PN) on PetrolPrices - same site, alternative address details.</t>
        </is>
      </c>
      <c r="AP673" s="10" t="inlineStr">
        <is>
          <t>Low</t>
        </is>
      </c>
      <c r="AQ673" s="10" t="inlineStr">
        <is>
          <t>Independent retailer; Relevant category</t>
        </is>
      </c>
      <c r="AR673" s="10" t="inlineStr">
        <is>
          <t>https://www.petrolprices.com/locations/pontefract/grove-road/6837</t>
        </is>
      </c>
      <c r="AS673" s="10" t="inlineStr">
        <is>
          <t>https://ratings.food.gov.uk/business/313271/stringers-service-station-pontefract</t>
        </is>
      </c>
      <c r="AT673" s="10" t="inlineStr">
        <is>
          <t>2</t>
        </is>
      </c>
      <c r="AU673" s="10" t="inlineStr">
        <is>
          <t>No</t>
        </is>
      </c>
      <c r="AV673" s="10" t="inlineStr">
        <is>
          <t>No</t>
        </is>
      </c>
      <c r="AW673" s="10" t="inlineStr">
        <is>
          <t>No</t>
        </is>
      </c>
      <c r="AX673" s="10" t="inlineStr">
        <is>
          <t>No</t>
        </is>
      </c>
      <c r="AY673" s="10" t="inlineStr">
        <is>
          <t>Not Found</t>
        </is>
      </c>
      <c r="AZ673" s="10" t="inlineStr">
        <is>
          <t>Not Found</t>
        </is>
      </c>
      <c r="BA673" s="10" t="inlineStr">
        <is>
          <t>2026-09-17</t>
        </is>
      </c>
      <c r="BB673" s="10" t="inlineStr">
        <is>
          <t>Requires Verification</t>
        </is>
      </c>
      <c r="BC673" s="10" t="inlineStr">
        <is>
          <t>Medium</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2026-09-16</t>
        </is>
      </c>
      <c r="BJ673" s="10" t="inlineStr">
        <is>
          <t>New</t>
        </is>
      </c>
      <c r="BK673" s="10" t="inlineStr">
        <is>
          <t>2026-09-17</t>
        </is>
      </c>
      <c r="BL673" s="10" t="inlineStr"/>
      <c r="BM673" s="10" t="inlineStr"/>
      <c r="BN673" s="10" t="inlineStr"/>
      <c r="BO673" s="10" t="inlineStr"/>
      <c r="BP673" s="10" t="inlineStr"/>
      <c r="BQ673" s="10" t="inlineStr"/>
    </row>
    <row r="674">
      <c r="A674" s="5" t="inlineStr">
        <is>
          <t>WY-0156</t>
        </is>
      </c>
      <c r="B674" s="5" t="inlineStr">
        <is>
          <t>WY-0156-01</t>
        </is>
      </c>
      <c r="C674" s="5" t="inlineStr"/>
      <c r="D674" s="5" t="inlineStr">
        <is>
          <t>Suki's Cash &amp; Carry</t>
        </is>
      </c>
      <c r="E674" s="5" t="inlineStr">
        <is>
          <t>Suki's Cash &amp; Carry Wholesalers</t>
        </is>
      </c>
      <c r="F674" s="5" t="inlineStr"/>
      <c r="G674" s="5" t="inlineStr">
        <is>
          <t>Cash &amp; Carry</t>
        </is>
      </c>
      <c r="H674" s="5" t="inlineStr">
        <is>
          <t>Household goods, partyware, toys &amp; disposables wholesaler</t>
        </is>
      </c>
      <c r="I674" s="5" t="inlineStr">
        <is>
          <t>Independent</t>
        </is>
      </c>
      <c r="J674" s="5" t="inlineStr">
        <is>
          <t>1</t>
        </is>
      </c>
      <c r="K674" s="5" t="inlineStr">
        <is>
          <t>https://sukiscashandcarry.co.uk/</t>
        </is>
      </c>
      <c r="L674" s="5" t="inlineStr">
        <is>
          <t>https://www.facebook.com/sukiscashandcarry/</t>
        </is>
      </c>
      <c r="M674" s="5" t="inlineStr">
        <is>
          <t>https://www.instagram.com/sukiscashandcarrybradford/</t>
        </is>
      </c>
      <c r="N674" s="5" t="inlineStr">
        <is>
          <t>https://nextdoor.co.uk/pages/sukis-cash-carry-wholesalers/</t>
        </is>
      </c>
      <c r="O674" s="5" t="inlineStr">
        <is>
          <t>Garnett Street</t>
        </is>
      </c>
      <c r="P674" s="5" t="inlineStr">
        <is>
          <t>Off Leeds Road</t>
        </is>
      </c>
      <c r="Q674" s="5" t="inlineStr">
        <is>
          <t>Bradford</t>
        </is>
      </c>
      <c r="R674" s="5" t="inlineStr">
        <is>
          <t>West Yorkshire</t>
        </is>
      </c>
      <c r="S674" s="5" t="inlineStr">
        <is>
          <t>BD3 9HN</t>
        </is>
      </c>
      <c r="T674" s="5" t="inlineStr">
        <is>
          <t>Yorkshire &amp; Humber</t>
        </is>
      </c>
      <c r="U674" s="5" t="inlineStr">
        <is>
          <t>England</t>
        </is>
      </c>
      <c r="V674" s="5" t="inlineStr">
        <is>
          <t>01274 736093</t>
        </is>
      </c>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partyware; giftware; disposables; toiletries; cleaning; toys; stationery; DIY</t>
        </is>
      </c>
      <c r="AL674" s="5" t="inlineStr"/>
      <c r="AM674" s="5" t="inlineStr">
        <is>
          <t>Cash &amp; Carry</t>
        </is>
      </c>
      <c r="AN674" s="5" t="inlineStr">
        <is>
          <t>Importers, exporters and distributors of haberdashery products and accessories</t>
        </is>
      </c>
      <c r="AO674" s="5" t="inlineStr">
        <is>
          <t>Self-described 'Bradford's No.1 household goods cash &amp; carry'. Sister site sukisfireworks.co.uk. Postcode BD3 9HN from official-site snippet; one directory shows BD3 9HB.</t>
        </is>
      </c>
      <c r="AP674" s="5" t="inlineStr">
        <is>
          <t>Medium</t>
        </is>
      </c>
      <c r="AQ674" s="5" t="inlineStr">
        <is>
          <t>Independent retailer; Core relevant category; Active website; Social presence</t>
        </is>
      </c>
      <c r="AR674" s="5" t="inlineStr">
        <is>
          <t>https://sukiscashandcarry.co.uk/</t>
        </is>
      </c>
      <c r="AS674" s="5" t="inlineStr">
        <is>
          <t>https://sukiscashandcarry.co.uk/pages/contact-us</t>
        </is>
      </c>
      <c r="AT674" s="5" t="inlineStr">
        <is>
          <t>6</t>
        </is>
      </c>
      <c r="AU674" s="5" t="inlineStr">
        <is>
          <t>Yes</t>
        </is>
      </c>
      <c r="AV674" s="5" t="inlineStr">
        <is>
          <t>No</t>
        </is>
      </c>
      <c r="AW674" s="5" t="inlineStr">
        <is>
          <t>No</t>
        </is>
      </c>
      <c r="AX674" s="5" t="inlineStr">
        <is>
          <t>No</t>
        </is>
      </c>
      <c r="AY674" s="5" t="inlineStr">
        <is>
          <t>Verified directory</t>
        </is>
      </c>
      <c r="AZ674" s="5" t="inlineStr">
        <is>
          <t>Website Found</t>
        </is>
      </c>
      <c r="BA674" s="5" t="inlineStr">
        <is>
          <t>2026-09-17</t>
        </is>
      </c>
      <c r="BB674" s="5" t="inlineStr">
        <is>
          <t>Partially Verified</t>
        </is>
      </c>
      <c r="BC674" s="5" t="inlineStr">
        <is>
          <t>Medium</t>
        </is>
      </c>
      <c r="BD674" s="5" t="inlineStr"/>
      <c r="BE674" s="5" t="inlineStr">
        <is>
          <t>Business (B2B)</t>
        </is>
      </c>
      <c r="BF674" s="5" t="inlineStr">
        <is>
          <t>Legitimate interest (B2B) - assess per campaign; PECR: corporate subscribers</t>
        </is>
      </c>
      <c r="BG674" s="5" t="inlineStr"/>
      <c r="BH674" s="5" t="inlineStr">
        <is>
          <t>No</t>
        </is>
      </c>
      <c r="BI674" s="5" t="inlineStr">
        <is>
          <t>2026-09-16</t>
        </is>
      </c>
      <c r="BJ674" s="5" t="inlineStr">
        <is>
          <t>New</t>
        </is>
      </c>
      <c r="BK674" s="5" t="inlineStr">
        <is>
          <t>2026-09-17</t>
        </is>
      </c>
      <c r="BL674" s="5" t="inlineStr"/>
      <c r="BM674" s="5" t="inlineStr"/>
      <c r="BN674" s="5" t="inlineStr"/>
      <c r="BO674" s="5" t="inlineStr"/>
      <c r="BP674" s="5" t="inlineStr"/>
      <c r="BQ674" s="5" t="inlineStr"/>
    </row>
    <row r="675">
      <c r="A675" s="10" t="inlineStr">
        <is>
          <t>WY-0157</t>
        </is>
      </c>
      <c r="B675" s="10" t="inlineStr">
        <is>
          <t>WY-0157-01</t>
        </is>
      </c>
      <c r="C675" s="10" t="inlineStr"/>
      <c r="D675" s="10" t="inlineStr">
        <is>
          <t>Sup Mirfield</t>
        </is>
      </c>
      <c r="E675" s="10" t="inlineStr">
        <is>
          <t>Sup Mirfield</t>
        </is>
      </c>
      <c r="F675" s="10" t="inlineStr"/>
      <c r="G675" s="10" t="inlineStr">
        <is>
          <t>Convenience Store</t>
        </is>
      </c>
      <c r="H675" s="10" t="inlineStr">
        <is>
          <t>Convenience store</t>
        </is>
      </c>
      <c r="I675" s="10" t="inlineStr">
        <is>
          <t>Independent</t>
        </is>
      </c>
      <c r="J675" s="10" t="inlineStr">
        <is>
          <t>1</t>
        </is>
      </c>
      <c r="K675" s="10" t="inlineStr"/>
      <c r="L675" s="10" t="inlineStr">
        <is>
          <t>https://www.facebook.com/supmirfield/</t>
        </is>
      </c>
      <c r="M675" s="10" t="inlineStr"/>
      <c r="N675" s="10" t="inlineStr"/>
      <c r="O675" s="10" t="inlineStr">
        <is>
          <t>2 Nettleton Road</t>
        </is>
      </c>
      <c r="P675" s="10" t="inlineStr"/>
      <c r="Q675" s="10" t="inlineStr">
        <is>
          <t>Mirfield</t>
        </is>
      </c>
      <c r="R675" s="10" t="inlineStr">
        <is>
          <t>West Yorkshire</t>
        </is>
      </c>
      <c r="S675" s="10" t="inlineStr"/>
      <c r="T675" s="10" t="inlineStr">
        <is>
          <t>Yorkshire &amp; Humber</t>
        </is>
      </c>
      <c r="U675" s="10" t="inlineStr">
        <is>
          <t>England</t>
        </is>
      </c>
      <c r="V675" s="10" t="inlineStr">
        <is>
          <t>07387 294049</t>
        </is>
      </c>
      <c r="W675" s="10" t="inlineStr"/>
      <c r="X675" s="10" t="inlineStr"/>
      <c r="Y675" s="10" t="inlineStr"/>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convenience goods; drinks; snacks</t>
        </is>
      </c>
      <c r="AL675" s="10" t="inlineStr"/>
      <c r="AM675" s="10" t="inlineStr">
        <is>
          <t>Convenience Store</t>
        </is>
      </c>
      <c r="AN675" s="10" t="inlineStr"/>
      <c r="AO675" s="10" t="inlineStr">
        <is>
          <t>Address and mobile number taken from the store's own Facebook page details shown in search results; postcode not published.</t>
        </is>
      </c>
      <c r="AP675" s="10" t="inlineStr">
        <is>
          <t>Medium</t>
        </is>
      </c>
      <c r="AQ675" s="10" t="inlineStr">
        <is>
          <t>Independent retailer; Relevant category; Social presence</t>
        </is>
      </c>
      <c r="AR675" s="10" t="inlineStr">
        <is>
          <t>https://www.facebook.com/supmirfield/</t>
        </is>
      </c>
      <c r="AS675" s="10" t="inlineStr"/>
      <c r="AT675" s="10" t="inlineStr">
        <is>
          <t>1</t>
        </is>
      </c>
      <c r="AU675" s="10" t="inlineStr">
        <is>
          <t>No</t>
        </is>
      </c>
      <c r="AV675" s="10" t="inlineStr">
        <is>
          <t>No</t>
        </is>
      </c>
      <c r="AW675" s="10" t="inlineStr">
        <is>
          <t>No</t>
        </is>
      </c>
      <c r="AX675" s="10" t="inlineStr">
        <is>
          <t>No</t>
        </is>
      </c>
      <c r="AY675" s="10" t="inlineStr">
        <is>
          <t>Verified directory</t>
        </is>
      </c>
      <c r="AZ675" s="10" t="inlineStr">
        <is>
          <t>Not Found</t>
        </is>
      </c>
      <c r="BA675" s="10" t="inlineStr">
        <is>
          <t>2026-09-17</t>
        </is>
      </c>
      <c r="BB675" s="10" t="inlineStr">
        <is>
          <t>Requires Verification</t>
        </is>
      </c>
      <c r="BC675" s="10" t="inlineStr">
        <is>
          <t>Low</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2026-09-16</t>
        </is>
      </c>
      <c r="BJ675" s="10" t="inlineStr">
        <is>
          <t>New</t>
        </is>
      </c>
      <c r="BK675" s="10" t="inlineStr">
        <is>
          <t>2026-09-17</t>
        </is>
      </c>
      <c r="BL675" s="10" t="inlineStr"/>
      <c r="BM675" s="10" t="inlineStr"/>
      <c r="BN675" s="10" t="inlineStr"/>
      <c r="BO675" s="10" t="inlineStr"/>
      <c r="BP675" s="10" t="inlineStr"/>
      <c r="BQ675" s="10" t="inlineStr"/>
    </row>
    <row r="676">
      <c r="A676" s="5" t="inlineStr">
        <is>
          <t>UK-000820</t>
        </is>
      </c>
      <c r="B676" s="5" t="inlineStr">
        <is>
          <t>UK-000820-01</t>
        </is>
      </c>
      <c r="C676" s="5" t="inlineStr"/>
      <c r="D676" s="5" t="inlineStr">
        <is>
          <t>Super Vapes Coatbridge</t>
        </is>
      </c>
      <c r="E676" s="5" t="inlineStr">
        <is>
          <t>Super Vapes</t>
        </is>
      </c>
      <c r="F676" s="5" t="inlineStr"/>
      <c r="G676" s="5" t="inlineStr">
        <is>
          <t>Vape Shop</t>
        </is>
      </c>
      <c r="H676" s="5" t="inlineStr">
        <is>
          <t>Vape shop</t>
        </is>
      </c>
      <c r="I676" s="5" t="inlineStr">
        <is>
          <t>Independent</t>
        </is>
      </c>
      <c r="J676" s="5" t="inlineStr">
        <is>
          <t>1</t>
        </is>
      </c>
      <c r="K676" s="5" t="inlineStr"/>
      <c r="L676" s="5" t="inlineStr"/>
      <c r="M676" s="5" t="inlineStr"/>
      <c r="N676" s="5" t="inlineStr"/>
      <c r="O676" s="5" t="inlineStr">
        <is>
          <t>100 Main Street</t>
        </is>
      </c>
      <c r="P676" s="5" t="inlineStr"/>
      <c r="Q676" s="5" t="inlineStr">
        <is>
          <t>Coatbridge</t>
        </is>
      </c>
      <c r="R676" s="5" t="inlineStr">
        <is>
          <t>North Lanarkshire</t>
        </is>
      </c>
      <c r="S676" s="5" t="inlineStr">
        <is>
          <t>ML5 3BQ</t>
        </is>
      </c>
      <c r="T676" s="5" t="inlineStr">
        <is>
          <t>Scotland</t>
        </is>
      </c>
      <c r="U676" s="5" t="inlineStr">
        <is>
          <t>Scotland</t>
        </is>
      </c>
      <c r="V676" s="5" t="inlineStr">
        <is>
          <t>01236 341834</t>
        </is>
      </c>
      <c r="W676" s="5" t="inlineStr"/>
      <c r="X676" s="5" t="inlineStr"/>
      <c r="Y676" s="5" t="inlineStr"/>
      <c r="Z676" s="5" t="inlineStr"/>
      <c r="AA676" s="5" t="inlineStr"/>
      <c r="AB676" s="5" t="inlineStr"/>
      <c r="AC676" s="5" t="inlineStr"/>
      <c r="AD676" s="5" t="inlineStr"/>
      <c r="AE676" s="5" t="inlineStr"/>
      <c r="AF676" s="5" t="inlineStr"/>
      <c r="AG676" s="5" t="inlineStr"/>
      <c r="AH676" s="5" t="inlineStr"/>
      <c r="AI676" s="5" t="inlineStr"/>
      <c r="AJ676" s="5" t="inlineStr"/>
      <c r="AK676" s="5" t="inlineStr">
        <is>
          <t>vape hardware; e-liquids</t>
        </is>
      </c>
      <c r="AL676" s="5" t="inlineStr"/>
      <c r="AM676" s="5" t="inlineStr">
        <is>
          <t>Vape Shop</t>
        </is>
      </c>
      <c r="AN676" s="5" t="inlineStr"/>
      <c r="AO676" s="5" t="inlineStr">
        <is>
          <t>Independent vape shop at 100 Main Street, Coatbridge. Cylex lists Super Vapes at this address; note a VPZ is also recorded at 100 Main Street in some directories, so verify tenancy on contact.</t>
        </is>
      </c>
      <c r="AP676" s="5" t="inlineStr">
        <is>
          <t>Medium</t>
        </is>
      </c>
      <c r="AQ676" s="5" t="inlineStr">
        <is>
          <t>Independent retailer; Core relevant category</t>
        </is>
      </c>
      <c r="AR676" s="5" t="inlineStr">
        <is>
          <t>https://coatbridge.cylex-uk.co.uk/company/super-vapes-27202224.html</t>
        </is>
      </c>
      <c r="AS676" s="5" t="inlineStr"/>
      <c r="AT676" s="5" t="inlineStr">
        <is>
          <t>1</t>
        </is>
      </c>
      <c r="AU676" s="5" t="inlineStr">
        <is>
          <t>No</t>
        </is>
      </c>
      <c r="AV676" s="5" t="inlineStr">
        <is>
          <t>No</t>
        </is>
      </c>
      <c r="AW676" s="5" t="inlineStr">
        <is>
          <t>No</t>
        </is>
      </c>
      <c r="AX676" s="5" t="inlineStr">
        <is>
          <t>No</t>
        </is>
      </c>
      <c r="AY676" s="5" t="inlineStr">
        <is>
          <t>Verified directory</t>
        </is>
      </c>
      <c r="AZ676" s="5" t="inlineStr">
        <is>
          <t>Not Found</t>
        </is>
      </c>
      <c r="BA676" s="5" t="inlineStr">
        <is>
          <t>2026-09-17</t>
        </is>
      </c>
      <c r="BB676" s="5" t="inlineStr">
        <is>
          <t>Requires Verification</t>
        </is>
      </c>
      <c r="BC676" s="5" t="inlineStr">
        <is>
          <t>Low</t>
        </is>
      </c>
      <c r="BD676" s="5" t="inlineStr"/>
      <c r="BE676" s="5" t="inlineStr">
        <is>
          <t>Business (B2B)</t>
        </is>
      </c>
      <c r="BF676" s="5" t="inlineStr">
        <is>
          <t>Legitimate interest (B2B) - assess per campaign; PECR: corporate subscribers</t>
        </is>
      </c>
      <c r="BG676" s="5" t="inlineStr"/>
      <c r="BH676" s="5" t="inlineStr">
        <is>
          <t>No</t>
        </is>
      </c>
      <c r="BI676" s="5" t="inlineStr">
        <is>
          <t>2026-09-17</t>
        </is>
      </c>
      <c r="BJ676" s="5" t="inlineStr">
        <is>
          <t>New</t>
        </is>
      </c>
      <c r="BK676" s="5" t="inlineStr">
        <is>
          <t>2026-09-17</t>
        </is>
      </c>
      <c r="BL676" s="5" t="inlineStr"/>
      <c r="BM676" s="5" t="inlineStr"/>
      <c r="BN676" s="5" t="inlineStr"/>
      <c r="BO676" s="5" t="inlineStr"/>
      <c r="BP676" s="5" t="inlineStr"/>
      <c r="BQ676" s="5" t="inlineStr"/>
    </row>
    <row r="677">
      <c r="A677" s="10" t="inlineStr">
        <is>
          <t>UK-000383</t>
        </is>
      </c>
      <c r="B677" s="10" t="inlineStr">
        <is>
          <t>UK-000383-01</t>
        </is>
      </c>
      <c r="C677" s="10" t="inlineStr"/>
      <c r="D677" s="10" t="inlineStr">
        <is>
          <t>Swinton Vape (Swinton Market, Salford)</t>
        </is>
      </c>
      <c r="E677" s="10" t="inlineStr">
        <is>
          <t>Swinton Vape</t>
        </is>
      </c>
      <c r="F677" s="10" t="inlineStr"/>
      <c r="G677" s="10" t="inlineStr">
        <is>
          <t>Vape Shop</t>
        </is>
      </c>
      <c r="H677" s="10" t="inlineStr">
        <is>
          <t>Market vape stall/shop</t>
        </is>
      </c>
      <c r="I677" s="10" t="inlineStr">
        <is>
          <t>Independent</t>
        </is>
      </c>
      <c r="J677" s="10" t="inlineStr">
        <is>
          <t>1</t>
        </is>
      </c>
      <c r="K677" s="10" t="inlineStr"/>
      <c r="L677" s="10" t="inlineStr"/>
      <c r="M677" s="10" t="inlineStr"/>
      <c r="N677" s="10" t="inlineStr"/>
      <c r="O677" s="10" t="inlineStr">
        <is>
          <t>Swinton Market, Chorley Road</t>
        </is>
      </c>
      <c r="P677" s="10" t="inlineStr">
        <is>
          <t>Swinton</t>
        </is>
      </c>
      <c r="Q677" s="10" t="inlineStr">
        <is>
          <t>Salford</t>
        </is>
      </c>
      <c r="R677" s="10" t="inlineStr">
        <is>
          <t>Greater Manchester</t>
        </is>
      </c>
      <c r="S677" s="10" t="inlineStr">
        <is>
          <t>M27 4BH</t>
        </is>
      </c>
      <c r="T677" s="10" t="inlineStr">
        <is>
          <t>North West</t>
        </is>
      </c>
      <c r="U677" s="10" t="inlineStr">
        <is>
          <t>England</t>
        </is>
      </c>
      <c r="V677" s="10" t="inlineStr"/>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vape hardware; e-liquids; disposables</t>
        </is>
      </c>
      <c r="AL677" s="10" t="inlineStr"/>
      <c r="AM677" s="10" t="inlineStr">
        <is>
          <t>Vape Shop</t>
        </is>
      </c>
      <c r="AN677" s="10" t="inlineStr"/>
      <c r="AO677" s="10" t="inlineStr">
        <is>
          <t>Independent vape shop in Swinton Market listed on eCig Directory UK. Phone not published in accessible snippet.</t>
        </is>
      </c>
      <c r="AP677" s="10" t="inlineStr">
        <is>
          <t>Medium</t>
        </is>
      </c>
      <c r="AQ677" s="10" t="inlineStr">
        <is>
          <t>Independent retailer; Core relevant category</t>
        </is>
      </c>
      <c r="AR677" s="10" t="inlineStr">
        <is>
          <t>https://ecigdirectory.co.uk/vape-shop/listing/swinton-vape</t>
        </is>
      </c>
      <c r="AS677" s="10" t="inlineStr"/>
      <c r="AT677" s="10" t="inlineStr">
        <is>
          <t>1</t>
        </is>
      </c>
      <c r="AU677" s="10" t="inlineStr">
        <is>
          <t>No</t>
        </is>
      </c>
      <c r="AV677" s="10" t="inlineStr">
        <is>
          <t>No</t>
        </is>
      </c>
      <c r="AW677" s="10" t="inlineStr">
        <is>
          <t>No</t>
        </is>
      </c>
      <c r="AX677" s="10" t="inlineStr">
        <is>
          <t>No</t>
        </is>
      </c>
      <c r="AY677" s="10" t="inlineStr">
        <is>
          <t>Not Found</t>
        </is>
      </c>
      <c r="AZ677" s="10" t="inlineStr">
        <is>
          <t>Not Found</t>
        </is>
      </c>
      <c r="BA677" s="10" t="inlineStr">
        <is>
          <t>2026-09-17</t>
        </is>
      </c>
      <c r="BB677" s="10" t="inlineStr">
        <is>
          <t>Requires Verification</t>
        </is>
      </c>
      <c r="BC677" s="10" t="inlineStr">
        <is>
          <t>Low</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UK-000821</t>
        </is>
      </c>
      <c r="B678" s="5" t="inlineStr">
        <is>
          <t>UK-000821-01</t>
        </is>
      </c>
      <c r="C678" s="5" t="inlineStr"/>
      <c r="D678" s="5" t="inlineStr">
        <is>
          <t>T &amp; C Mills Newsagent</t>
        </is>
      </c>
      <c r="E678" s="5" t="inlineStr">
        <is>
          <t>T &amp; C Mills</t>
        </is>
      </c>
      <c r="F678" s="5" t="inlineStr"/>
      <c r="G678" s="5" t="inlineStr">
        <is>
          <t>Newsagent</t>
        </is>
      </c>
      <c r="H678" s="5" t="inlineStr">
        <is>
          <t>Newsagent</t>
        </is>
      </c>
      <c r="I678" s="5" t="inlineStr">
        <is>
          <t>Independent</t>
        </is>
      </c>
      <c r="J678" s="5" t="inlineStr">
        <is>
          <t>1</t>
        </is>
      </c>
      <c r="K678" s="5" t="inlineStr"/>
      <c r="L678" s="5" t="inlineStr"/>
      <c r="M678" s="5" t="inlineStr"/>
      <c r="N678" s="5" t="inlineStr"/>
      <c r="O678" s="5" t="inlineStr">
        <is>
          <t>34 St Johns Road</t>
        </is>
      </c>
      <c r="P678" s="5" t="inlineStr">
        <is>
          <t>Waterloo</t>
        </is>
      </c>
      <c r="Q678" s="5" t="inlineStr">
        <is>
          <t>Liverpool</t>
        </is>
      </c>
      <c r="R678" s="5" t="inlineStr">
        <is>
          <t>Merseyside</t>
        </is>
      </c>
      <c r="S678" s="5" t="inlineStr">
        <is>
          <t>L22 9QG</t>
        </is>
      </c>
      <c r="T678" s="5" t="inlineStr">
        <is>
          <t>North West</t>
        </is>
      </c>
      <c r="U678" s="5" t="inlineStr">
        <is>
          <t>England</t>
        </is>
      </c>
      <c r="V678" s="5" t="inlineStr">
        <is>
          <t>0151 928 5934</t>
        </is>
      </c>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newspapers; tobacco; confectionery</t>
        </is>
      </c>
      <c r="AL678" s="5" t="inlineStr"/>
      <c r="AM678" s="5" t="inlineStr">
        <is>
          <t>Newsagent</t>
        </is>
      </c>
      <c r="AN678" s="5" t="inlineStr"/>
      <c r="AO678" s="5" t="inlineStr">
        <is>
          <t>Independent newsagent on St Johns Road, Waterloo (Sefton). Address/phone from Cylex/newsagent directory listing for Crosby/Waterloo.</t>
        </is>
      </c>
      <c r="AP678" s="5" t="inlineStr">
        <is>
          <t>Low</t>
        </is>
      </c>
      <c r="AQ678" s="5" t="inlineStr">
        <is>
          <t>Independent retailer; Relevant category</t>
        </is>
      </c>
      <c r="AR678" s="5" t="inlineStr">
        <is>
          <t>https://crosby-sefton.cylex-uk.co.uk/magazines.html</t>
        </is>
      </c>
      <c r="AS678" s="5" t="inlineStr"/>
      <c r="AT678" s="5" t="inlineStr">
        <is>
          <t>1</t>
        </is>
      </c>
      <c r="AU678" s="5" t="inlineStr">
        <is>
          <t>No</t>
        </is>
      </c>
      <c r="AV678" s="5" t="inlineStr">
        <is>
          <t>No</t>
        </is>
      </c>
      <c r="AW678" s="5" t="inlineStr">
        <is>
          <t>No</t>
        </is>
      </c>
      <c r="AX678" s="5" t="inlineStr">
        <is>
          <t>No</t>
        </is>
      </c>
      <c r="AY678" s="5" t="inlineStr">
        <is>
          <t>Verified directory</t>
        </is>
      </c>
      <c r="AZ678" s="5" t="inlineStr">
        <is>
          <t>Not Found</t>
        </is>
      </c>
      <c r="BA678" s="5" t="inlineStr">
        <is>
          <t>2026-09-17</t>
        </is>
      </c>
      <c r="BB678" s="5" t="inlineStr">
        <is>
          <t>Requires Verification</t>
        </is>
      </c>
      <c r="BC678" s="5" t="inlineStr">
        <is>
          <t>Low</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UK-000384</t>
        </is>
      </c>
      <c r="B679" s="10" t="inlineStr">
        <is>
          <t>UK-000384-01</t>
        </is>
      </c>
      <c r="C679" s="10" t="inlineStr"/>
      <c r="D679" s="10" t="inlineStr">
        <is>
          <t>TJ News &amp; Off Licence (Gorton)</t>
        </is>
      </c>
      <c r="E679" s="10" t="inlineStr">
        <is>
          <t>TJ News &amp; Off Licence</t>
        </is>
      </c>
      <c r="F679" s="10" t="inlineStr"/>
      <c r="G679" s="10" t="inlineStr">
        <is>
          <t>Newsagent</t>
        </is>
      </c>
      <c r="H679" s="10" t="inlineStr">
        <is>
          <t>Newsagent &amp; off-licence</t>
        </is>
      </c>
      <c r="I679" s="10" t="inlineStr">
        <is>
          <t>Independent</t>
        </is>
      </c>
      <c r="J679" s="10" t="inlineStr">
        <is>
          <t>1</t>
        </is>
      </c>
      <c r="K679" s="10" t="inlineStr"/>
      <c r="L679" s="10" t="inlineStr"/>
      <c r="M679" s="10" t="inlineStr"/>
      <c r="N679" s="10" t="inlineStr"/>
      <c r="O679" s="10" t="inlineStr"/>
      <c r="P679" s="10" t="inlineStr">
        <is>
          <t>Gorton</t>
        </is>
      </c>
      <c r="Q679" s="10" t="inlineStr">
        <is>
          <t>Manchester</t>
        </is>
      </c>
      <c r="R679" s="10" t="inlineStr">
        <is>
          <t>Greater Manchester</t>
        </is>
      </c>
      <c r="S679" s="10" t="inlineStr">
        <is>
          <t>M18 7GG</t>
        </is>
      </c>
      <c r="T679" s="10" t="inlineStr">
        <is>
          <t>North West</t>
        </is>
      </c>
      <c r="U679" s="10" t="inlineStr">
        <is>
          <t>England</t>
        </is>
      </c>
      <c r="V679" s="10" t="inlineStr">
        <is>
          <t>0161 223 3020</t>
        </is>
      </c>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newspapers; magazines; off-licence; tobacco; confectionery</t>
        </is>
      </c>
      <c r="AL679" s="10" t="inlineStr"/>
      <c r="AM679" s="10" t="inlineStr">
        <is>
          <t>Newsagent</t>
        </is>
      </c>
      <c r="AN679" s="10" t="inlineStr"/>
      <c r="AO679" s="10" t="inlineStr">
        <is>
          <t>Gorton independent newsagent &amp; off-licence; postcode/phone from Touch Local. Street address not captured in snippet (M18 7GG).</t>
        </is>
      </c>
      <c r="AP679" s="10" t="inlineStr">
        <is>
          <t>Low</t>
        </is>
      </c>
      <c r="AQ679" s="10" t="inlineStr">
        <is>
          <t>Independent retailer; Relevant category</t>
        </is>
      </c>
      <c r="AR679" s="10" t="inlineStr">
        <is>
          <t>https://www.touchlocal.com/search/off-licences/gorton</t>
        </is>
      </c>
      <c r="AS679" s="10" t="inlineStr"/>
      <c r="AT679" s="10" t="inlineStr">
        <is>
          <t>1</t>
        </is>
      </c>
      <c r="AU679" s="10" t="inlineStr">
        <is>
          <t>No</t>
        </is>
      </c>
      <c r="AV679" s="10" t="inlineStr">
        <is>
          <t>No</t>
        </is>
      </c>
      <c r="AW679" s="10" t="inlineStr">
        <is>
          <t>No</t>
        </is>
      </c>
      <c r="AX679" s="10" t="inlineStr">
        <is>
          <t>No</t>
        </is>
      </c>
      <c r="AY679" s="10" t="inlineStr">
        <is>
          <t>Verified directory</t>
        </is>
      </c>
      <c r="AZ679" s="10" t="inlineStr">
        <is>
          <t>Not Found</t>
        </is>
      </c>
      <c r="BA679" s="10" t="inlineStr">
        <is>
          <t>2026-09-17</t>
        </is>
      </c>
      <c r="BB679" s="10" t="inlineStr">
        <is>
          <t>Requires Verification</t>
        </is>
      </c>
      <c r="BC679" s="10" t="inlineStr">
        <is>
          <t>Low</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UK-000280</t>
        </is>
      </c>
      <c r="B680" s="5" t="inlineStr">
        <is>
          <t>UK-000280-01</t>
        </is>
      </c>
      <c r="C680" s="5" t="inlineStr"/>
      <c r="D680" s="5" t="inlineStr">
        <is>
          <t>TLC (Top Lines Catering Supplies)</t>
        </is>
      </c>
      <c r="E680" s="5" t="inlineStr">
        <is>
          <t>TLC Foods</t>
        </is>
      </c>
      <c r="F680" s="5" t="inlineStr">
        <is>
          <t>Top Lines Catering Supplies Limited</t>
        </is>
      </c>
      <c r="G680" s="5" t="inlineStr">
        <is>
          <t>Cash &amp; Carry</t>
        </is>
      </c>
      <c r="H680" s="5" t="inlineStr">
        <is>
          <t>Catering cash &amp; carry / wholesaler</t>
        </is>
      </c>
      <c r="I680" s="5" t="inlineStr">
        <is>
          <t>Independent</t>
        </is>
      </c>
      <c r="J680" s="5" t="inlineStr">
        <is>
          <t>1</t>
        </is>
      </c>
      <c r="K680" s="5" t="inlineStr">
        <is>
          <t>https://www.tlcfoods.com/</t>
        </is>
      </c>
      <c r="L680" s="5" t="inlineStr">
        <is>
          <t>https://www.facebook.com/tlcsheffield/</t>
        </is>
      </c>
      <c r="M680" s="5" t="inlineStr"/>
      <c r="N680" s="5" t="inlineStr"/>
      <c r="O680" s="5" t="inlineStr">
        <is>
          <t>21a Kimberley Street</t>
        </is>
      </c>
      <c r="P680" s="5" t="inlineStr"/>
      <c r="Q680" s="5" t="inlineStr">
        <is>
          <t>Sheffield</t>
        </is>
      </c>
      <c r="R680" s="5" t="inlineStr">
        <is>
          <t>South Yorkshire</t>
        </is>
      </c>
      <c r="S680" s="5" t="inlineStr">
        <is>
          <t>S9 3WX</t>
        </is>
      </c>
      <c r="T680" s="5" t="inlineStr">
        <is>
          <t>Yorkshire &amp; Humber</t>
        </is>
      </c>
      <c r="U680" s="5" t="inlineStr">
        <is>
          <t>England</t>
        </is>
      </c>
      <c r="V680" s="5" t="inlineStr">
        <is>
          <t>0114 261 9999</t>
        </is>
      </c>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catering supplies; pizza and takeaway ingredients; food packaging; drinks</t>
        </is>
      </c>
      <c r="AL680" s="5" t="inlineStr"/>
      <c r="AM680" s="5" t="inlineStr">
        <is>
          <t>Cash &amp; Carry</t>
        </is>
      </c>
      <c r="AN680" s="5" t="inlineStr"/>
      <c r="AO680" s="5"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680" s="5" t="inlineStr">
        <is>
          <t>Medium</t>
        </is>
      </c>
      <c r="AQ680" s="5" t="inlineStr">
        <is>
          <t>Independent retailer; Core relevant category; Active website; Social presence</t>
        </is>
      </c>
      <c r="AR680" s="5" t="inlineStr">
        <is>
          <t>https://www.tlcfoods.com/info/how-to-find-us</t>
        </is>
      </c>
      <c r="AS680" s="5" t="inlineStr">
        <is>
          <t>https://www.hotfrog.co.uk/company/1096961803157504/top-lines-catering-supplies/sheffield/foods</t>
        </is>
      </c>
      <c r="AT680" s="5" t="inlineStr">
        <is>
          <t>2</t>
        </is>
      </c>
      <c r="AU680" s="5" t="inlineStr">
        <is>
          <t>No</t>
        </is>
      </c>
      <c r="AV680" s="5" t="inlineStr">
        <is>
          <t>No</t>
        </is>
      </c>
      <c r="AW680" s="5" t="inlineStr">
        <is>
          <t>No</t>
        </is>
      </c>
      <c r="AX680" s="5" t="inlineStr">
        <is>
          <t>No</t>
        </is>
      </c>
      <c r="AY680" s="5" t="inlineStr">
        <is>
          <t>Verified directory</t>
        </is>
      </c>
      <c r="AZ680" s="5" t="inlineStr">
        <is>
          <t>Website Found</t>
        </is>
      </c>
      <c r="BA680" s="5" t="inlineStr">
        <is>
          <t>2026-09-17</t>
        </is>
      </c>
      <c r="BB680" s="5" t="inlineStr">
        <is>
          <t>Requires Verification</t>
        </is>
      </c>
      <c r="BC680" s="5" t="inlineStr">
        <is>
          <t>Medium</t>
        </is>
      </c>
      <c r="BD680" s="5" t="inlineStr"/>
      <c r="BE680" s="5" t="inlineStr">
        <is>
          <t>Business (B2B)</t>
        </is>
      </c>
      <c r="BF680" s="5" t="inlineStr">
        <is>
          <t>Legitimate interest (B2B) - assess per campaign; PECR: corporate subscribers</t>
        </is>
      </c>
      <c r="BG680" s="5" t="inlineStr"/>
      <c r="BH680" s="5" t="inlineStr">
        <is>
          <t>No</t>
        </is>
      </c>
      <c r="BI680" s="5" t="inlineStr">
        <is>
          <t>2026-09-16</t>
        </is>
      </c>
      <c r="BJ680" s="5" t="inlineStr">
        <is>
          <t>New</t>
        </is>
      </c>
      <c r="BK680" s="5" t="inlineStr">
        <is>
          <t>2026-09-17</t>
        </is>
      </c>
      <c r="BL680" s="5" t="inlineStr"/>
      <c r="BM680" s="5" t="inlineStr"/>
      <c r="BN680" s="5" t="inlineStr"/>
      <c r="BO680" s="5" t="inlineStr"/>
      <c r="BP680" s="5" t="inlineStr"/>
      <c r="BQ680" s="5" t="inlineStr"/>
    </row>
    <row r="681">
      <c r="A681" s="10" t="inlineStr">
        <is>
          <t>UK-000663</t>
        </is>
      </c>
      <c r="B681" s="10" t="inlineStr">
        <is>
          <t>UK-000663-01</t>
        </is>
      </c>
      <c r="C681" s="10" t="inlineStr"/>
      <c r="D681" s="10" t="inlineStr">
        <is>
          <t>Tad's Coffee Offie</t>
        </is>
      </c>
      <c r="E681" s="10" t="inlineStr">
        <is>
          <t>Tad's Coffee Offie</t>
        </is>
      </c>
      <c r="F681" s="10" t="inlineStr"/>
      <c r="G681" s="10" t="inlineStr">
        <is>
          <t>Off-Licence</t>
        </is>
      </c>
      <c r="H681" s="10" t="inlineStr">
        <is>
          <t>Off-licence &amp; convenience</t>
        </is>
      </c>
      <c r="I681" s="10" t="inlineStr">
        <is>
          <t>Independent</t>
        </is>
      </c>
      <c r="J681" s="10" t="inlineStr">
        <is>
          <t>1</t>
        </is>
      </c>
      <c r="K681" s="10" t="inlineStr"/>
      <c r="L681" s="10" t="inlineStr"/>
      <c r="M681" s="10" t="inlineStr"/>
      <c r="N681" s="10" t="inlineStr"/>
      <c r="O681" s="10" t="inlineStr">
        <is>
          <t>113 Globe Road</t>
        </is>
      </c>
      <c r="P681" s="10" t="inlineStr"/>
      <c r="Q681" s="10" t="inlineStr">
        <is>
          <t>Bethnal Green</t>
        </is>
      </c>
      <c r="R681" s="10" t="inlineStr">
        <is>
          <t>Greater London</t>
        </is>
      </c>
      <c r="S681" s="10" t="inlineStr">
        <is>
          <t>E1 4LB</t>
        </is>
      </c>
      <c r="T681" s="10" t="inlineStr">
        <is>
          <t>London</t>
        </is>
      </c>
      <c r="U681" s="10" t="inlineStr">
        <is>
          <t>England</t>
        </is>
      </c>
      <c r="V681" s="10" t="inlineStr">
        <is>
          <t>020 7702 8297</t>
        </is>
      </c>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alcohol; tobacco; groceries</t>
        </is>
      </c>
      <c r="AL681" s="10" t="inlineStr"/>
      <c r="AM681" s="10" t="inlineStr">
        <is>
          <t>Off-Licence</t>
        </is>
      </c>
      <c r="AN681" s="10" t="inlineStr"/>
      <c r="AO681" s="10" t="inlineStr">
        <is>
          <t>Off-licence/convenience on Globe Road, Bethnal Green/Stepney. Address/postcode/phone from Yell directory.</t>
        </is>
      </c>
      <c r="AP681" s="10" t="inlineStr">
        <is>
          <t>Low</t>
        </is>
      </c>
      <c r="AQ681" s="10" t="inlineStr">
        <is>
          <t>Independent retailer; Relevant category</t>
        </is>
      </c>
      <c r="AR681" s="10" t="inlineStr">
        <is>
          <t>https://www.yell.com/s/off+licences-bethnal+green-east+london.html</t>
        </is>
      </c>
      <c r="AS681" s="10" t="inlineStr"/>
      <c r="AT681" s="10" t="inlineStr">
        <is>
          <t>1</t>
        </is>
      </c>
      <c r="AU681" s="10" t="inlineStr">
        <is>
          <t>No</t>
        </is>
      </c>
      <c r="AV681" s="10" t="inlineStr">
        <is>
          <t>No</t>
        </is>
      </c>
      <c r="AW681" s="10" t="inlineStr">
        <is>
          <t>No</t>
        </is>
      </c>
      <c r="AX681" s="10" t="inlineStr">
        <is>
          <t>No</t>
        </is>
      </c>
      <c r="AY681" s="10" t="inlineStr">
        <is>
          <t>Verified directory</t>
        </is>
      </c>
      <c r="AZ681" s="10" t="inlineStr">
        <is>
          <t>Not Found</t>
        </is>
      </c>
      <c r="BA681" s="10" t="inlineStr">
        <is>
          <t>2026-09-17</t>
        </is>
      </c>
      <c r="BB681" s="10" t="inlineStr">
        <is>
          <t>Requires Verification</t>
        </is>
      </c>
      <c r="BC681" s="10" t="inlineStr">
        <is>
          <t>Medium</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2026-09-17</t>
        </is>
      </c>
      <c r="BJ681" s="10" t="inlineStr">
        <is>
          <t>New</t>
        </is>
      </c>
      <c r="BK681" s="10" t="inlineStr">
        <is>
          <t>2026-09-17</t>
        </is>
      </c>
      <c r="BL681" s="10" t="inlineStr"/>
      <c r="BM681" s="10" t="inlineStr"/>
      <c r="BN681" s="10" t="inlineStr"/>
      <c r="BO681" s="10" t="inlineStr"/>
      <c r="BP681" s="10" t="inlineStr"/>
      <c r="BQ681" s="10" t="inlineStr"/>
    </row>
    <row r="682">
      <c r="A682" s="5" t="inlineStr">
        <is>
          <t>UK-000385</t>
        </is>
      </c>
      <c r="B682" s="5" t="inlineStr">
        <is>
          <t>UK-000385-01</t>
        </is>
      </c>
      <c r="C682" s="5" t="inlineStr"/>
      <c r="D682" s="5" t="inlineStr">
        <is>
          <t>Tameside Ecigs</t>
        </is>
      </c>
      <c r="E682" s="5" t="inlineStr">
        <is>
          <t>Tameside Ecigs</t>
        </is>
      </c>
      <c r="F682" s="5" t="inlineStr"/>
      <c r="G682" s="5" t="inlineStr">
        <is>
          <t>Vape Shop</t>
        </is>
      </c>
      <c r="H682" s="5" t="inlineStr"/>
      <c r="I682" s="5" t="inlineStr">
        <is>
          <t>Independent</t>
        </is>
      </c>
      <c r="J682" s="5" t="inlineStr">
        <is>
          <t>1</t>
        </is>
      </c>
      <c r="K682" s="5" t="inlineStr"/>
      <c r="L682" s="5" t="inlineStr"/>
      <c r="M682" s="5" t="inlineStr"/>
      <c r="N682" s="5" t="inlineStr"/>
      <c r="O682" s="5" t="inlineStr">
        <is>
          <t>78 Cavendish Street</t>
        </is>
      </c>
      <c r="P682" s="5" t="inlineStr"/>
      <c r="Q682" s="5" t="inlineStr">
        <is>
          <t>Ashton-under-Lyne</t>
        </is>
      </c>
      <c r="R682" s="5" t="inlineStr">
        <is>
          <t>Greater Manchester</t>
        </is>
      </c>
      <c r="S682" s="5" t="inlineStr">
        <is>
          <t>OL6 7DN</t>
        </is>
      </c>
      <c r="T682" s="5" t="inlineStr">
        <is>
          <t>North West</t>
        </is>
      </c>
      <c r="U682" s="5" t="inlineStr">
        <is>
          <t>England</t>
        </is>
      </c>
      <c r="V682" s="5" t="inlineStr"/>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e-liquids; vape hardware; disposables</t>
        </is>
      </c>
      <c r="AL682" s="5" t="inlineStr"/>
      <c r="AM682" s="5" t="inlineStr">
        <is>
          <t>Vape Shop</t>
        </is>
      </c>
      <c r="AN682" s="5" t="inlineStr"/>
      <c r="AO682" s="5" t="inlineStr">
        <is>
          <t>Independent vape shop in Ashton-under-Lyne.</t>
        </is>
      </c>
      <c r="AP682" s="5" t="inlineStr">
        <is>
          <t>Medium</t>
        </is>
      </c>
      <c r="AQ682" s="5" t="inlineStr">
        <is>
          <t>Independent retailer; Core relevant category</t>
        </is>
      </c>
      <c r="AR682" s="5" t="inlineStr">
        <is>
          <t>https://ecigdirectory.co.uk/vape-shop/listing/tameside-ecigs-ashton-under-lyne</t>
        </is>
      </c>
      <c r="AS682" s="5" t="inlineStr"/>
      <c r="AT682" s="5" t="inlineStr">
        <is>
          <t>1</t>
        </is>
      </c>
      <c r="AU682" s="5" t="inlineStr">
        <is>
          <t>No</t>
        </is>
      </c>
      <c r="AV682" s="5" t="inlineStr">
        <is>
          <t>No</t>
        </is>
      </c>
      <c r="AW682" s="5" t="inlineStr">
        <is>
          <t>No</t>
        </is>
      </c>
      <c r="AX682" s="5" t="inlineStr">
        <is>
          <t>No</t>
        </is>
      </c>
      <c r="AY682" s="5" t="inlineStr">
        <is>
          <t>Not Found</t>
        </is>
      </c>
      <c r="AZ682" s="5" t="inlineStr">
        <is>
          <t>Not Found</t>
        </is>
      </c>
      <c r="BA682" s="5" t="inlineStr">
        <is>
          <t>2026-09-17</t>
        </is>
      </c>
      <c r="BB682" s="5" t="inlineStr">
        <is>
          <t>Requires Verification</t>
        </is>
      </c>
      <c r="BC682" s="5" t="inlineStr">
        <is>
          <t>Low</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UK-000281</t>
        </is>
      </c>
      <c r="B683" s="10" t="inlineStr">
        <is>
          <t>UK-000281-01</t>
        </is>
      </c>
      <c r="C683" s="10" t="inlineStr"/>
      <c r="D683" s="10" t="inlineStr">
        <is>
          <t>Tang Hall Food &amp; Wine</t>
        </is>
      </c>
      <c r="E683" s="10" t="inlineStr">
        <is>
          <t>Tang Hall Food &amp; Wine</t>
        </is>
      </c>
      <c r="F683" s="10" t="inlineStr"/>
      <c r="G683" s="10" t="inlineStr">
        <is>
          <t>Off-Licence</t>
        </is>
      </c>
      <c r="H683" s="10" t="inlineStr">
        <is>
          <t>Off-licence &amp; convenience</t>
        </is>
      </c>
      <c r="I683" s="10" t="inlineStr">
        <is>
          <t>Independent</t>
        </is>
      </c>
      <c r="J683" s="10" t="inlineStr">
        <is>
          <t>1</t>
        </is>
      </c>
      <c r="K683" s="10" t="inlineStr"/>
      <c r="L683" s="10" t="inlineStr"/>
      <c r="M683" s="10" t="inlineStr"/>
      <c r="N683" s="10" t="inlineStr"/>
      <c r="O683" s="10" t="inlineStr">
        <is>
          <t>202 Melrosegate</t>
        </is>
      </c>
      <c r="P683" s="10" t="inlineStr">
        <is>
          <t>Tang Hall</t>
        </is>
      </c>
      <c r="Q683" s="10" t="inlineStr">
        <is>
          <t>York</t>
        </is>
      </c>
      <c r="R683" s="10" t="inlineStr">
        <is>
          <t>North Yorkshire</t>
        </is>
      </c>
      <c r="S683" s="10" t="inlineStr">
        <is>
          <t>YO10 3SW</t>
        </is>
      </c>
      <c r="T683" s="10" t="inlineStr">
        <is>
          <t>Yorkshire &amp; Humber</t>
        </is>
      </c>
      <c r="U683" s="10" t="inlineStr">
        <is>
          <t>England</t>
        </is>
      </c>
      <c r="V683" s="10" t="inlineStr"/>
      <c r="W683" s="10" t="inlineStr"/>
      <c r="X683" s="10" t="inlineStr"/>
      <c r="Y683" s="10" t="inlineStr"/>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wines; spirits; beers; convenience groceries; tobacco</t>
        </is>
      </c>
      <c r="AL683" s="10" t="inlineStr"/>
      <c r="AM683" s="10" t="inlineStr">
        <is>
          <t>Off-Licence</t>
        </is>
      </c>
      <c r="AN683" s="10" t="inlineStr"/>
      <c r="AO683" s="10" t="inlineStr">
        <is>
          <t>Independent off-licence / convenience store in the Tang Hall area of York, 202 Melrosegate (YO10 3SW). From Yorkshire.com off-licence directory listing via search snippets. No phone surfaced.</t>
        </is>
      </c>
      <c r="AP683" s="10" t="inlineStr">
        <is>
          <t>Low</t>
        </is>
      </c>
      <c r="AQ683" s="10" t="inlineStr">
        <is>
          <t>Independent retailer; Relevant category</t>
        </is>
      </c>
      <c r="AR683" s="10" t="inlineStr">
        <is>
          <t>https://www.yorkshire.com/york/shopping/off-license</t>
        </is>
      </c>
      <c r="AS683" s="10" t="inlineStr"/>
      <c r="AT683" s="10" t="inlineStr">
        <is>
          <t>1</t>
        </is>
      </c>
      <c r="AU683" s="10" t="inlineStr">
        <is>
          <t>No</t>
        </is>
      </c>
      <c r="AV683" s="10" t="inlineStr">
        <is>
          <t>No</t>
        </is>
      </c>
      <c r="AW683" s="10" t="inlineStr">
        <is>
          <t>No</t>
        </is>
      </c>
      <c r="AX683" s="10" t="inlineStr">
        <is>
          <t>No</t>
        </is>
      </c>
      <c r="AY683" s="10" t="inlineStr">
        <is>
          <t>Not Found</t>
        </is>
      </c>
      <c r="AZ683" s="10" t="inlineStr">
        <is>
          <t>Not Found</t>
        </is>
      </c>
      <c r="BA683" s="10" t="inlineStr">
        <is>
          <t>2026-09-17</t>
        </is>
      </c>
      <c r="BB683" s="10" t="inlineStr">
        <is>
          <t>Requires Verification</t>
        </is>
      </c>
      <c r="BC683" s="10" t="inlineStr">
        <is>
          <t>Low</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2026-09-16</t>
        </is>
      </c>
      <c r="BJ683" s="10" t="inlineStr">
        <is>
          <t>New</t>
        </is>
      </c>
      <c r="BK683" s="10" t="inlineStr">
        <is>
          <t>2026-09-17</t>
        </is>
      </c>
      <c r="BL683" s="10" t="inlineStr"/>
      <c r="BM683" s="10" t="inlineStr"/>
      <c r="BN683" s="10" t="inlineStr"/>
      <c r="BO683" s="10" t="inlineStr"/>
      <c r="BP683" s="10" t="inlineStr"/>
      <c r="BQ683" s="10" t="inlineStr"/>
    </row>
    <row r="684">
      <c r="A684" s="5" t="inlineStr">
        <is>
          <t>UK-000822</t>
        </is>
      </c>
      <c r="B684" s="5" t="inlineStr">
        <is>
          <t>UK-000822-01</t>
        </is>
      </c>
      <c r="C684" s="5" t="inlineStr"/>
      <c r="D684" s="5" t="inlineStr">
        <is>
          <t>Taste of Poland</t>
        </is>
      </c>
      <c r="E684" s="5" t="inlineStr">
        <is>
          <t>Taste of Poland</t>
        </is>
      </c>
      <c r="F684" s="5" t="inlineStr"/>
      <c r="G684" s="5" t="inlineStr">
        <is>
          <t>Independent Supermarket</t>
        </is>
      </c>
      <c r="H684" s="5" t="inlineStr">
        <is>
          <t>Polish world-food grocery</t>
        </is>
      </c>
      <c r="I684" s="5" t="inlineStr">
        <is>
          <t>Independent</t>
        </is>
      </c>
      <c r="J684" s="5" t="inlineStr">
        <is>
          <t>1</t>
        </is>
      </c>
      <c r="K684" s="5" t="inlineStr"/>
      <c r="L684" s="5" t="inlineStr"/>
      <c r="M684" s="5" t="inlineStr"/>
      <c r="N684" s="5" t="inlineStr"/>
      <c r="O684" s="5" t="inlineStr"/>
      <c r="P684" s="5" t="inlineStr">
        <is>
          <t>Leith Walk</t>
        </is>
      </c>
      <c r="Q684" s="5" t="inlineStr">
        <is>
          <t>Edinburgh</t>
        </is>
      </c>
      <c r="R684" s="5" t="inlineStr">
        <is>
          <t>City of Edinburgh</t>
        </is>
      </c>
      <c r="S684" s="5" t="inlineStr"/>
      <c r="T684" s="5" t="inlineStr">
        <is>
          <t>Scotland</t>
        </is>
      </c>
      <c r="U684" s="5" t="inlineStr">
        <is>
          <t>Scotland</t>
        </is>
      </c>
      <c r="V684" s="5" t="inlineStr"/>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Polish groceries; deli</t>
        </is>
      </c>
      <c r="AL684" s="5" t="inlineStr"/>
      <c r="AM684" s="5" t="inlineStr">
        <is>
          <t>Independent Supermarket</t>
        </is>
      </c>
      <c r="AN684" s="5" t="inlineStr"/>
      <c r="AO684" s="5" t="inlineStr">
        <is>
          <t>Polish world-food grocery on Leith Walk. Phone shown only partially (0131 629 7...) in Cylex snippet, so not recorded rather than guessed; exact street number/postcode not in snippet.</t>
        </is>
      </c>
      <c r="AP684" s="5" t="inlineStr">
        <is>
          <t>Low</t>
        </is>
      </c>
      <c r="AQ684" s="5" t="inlineStr">
        <is>
          <t>Independent retailer; Relevant category</t>
        </is>
      </c>
      <c r="AR684" s="5" t="inlineStr">
        <is>
          <t>https://edinburgh.cylex-uk.co.uk/company/taste-of-poland-27505910.html</t>
        </is>
      </c>
      <c r="AS684" s="5" t="inlineStr"/>
      <c r="AT684" s="5" t="inlineStr">
        <is>
          <t>1</t>
        </is>
      </c>
      <c r="AU684" s="5" t="inlineStr">
        <is>
          <t>No</t>
        </is>
      </c>
      <c r="AV684" s="5" t="inlineStr">
        <is>
          <t>No</t>
        </is>
      </c>
      <c r="AW684" s="5" t="inlineStr">
        <is>
          <t>No</t>
        </is>
      </c>
      <c r="AX684" s="5" t="inlineStr">
        <is>
          <t>No</t>
        </is>
      </c>
      <c r="AY684" s="5" t="inlineStr">
        <is>
          <t>Not Found</t>
        </is>
      </c>
      <c r="AZ684" s="5" t="inlineStr">
        <is>
          <t>Not Found</t>
        </is>
      </c>
      <c r="BA684" s="5" t="inlineStr">
        <is>
          <t>2026-09-17</t>
        </is>
      </c>
      <c r="BB684" s="5" t="inlineStr">
        <is>
          <t>Requires Verification</t>
        </is>
      </c>
      <c r="BC684" s="5" t="inlineStr">
        <is>
          <t>Low</t>
        </is>
      </c>
      <c r="BD684" s="5" t="inlineStr"/>
      <c r="BE684" s="5" t="inlineStr">
        <is>
          <t>Business (B2B)</t>
        </is>
      </c>
      <c r="BF684" s="5" t="inlineStr">
        <is>
          <t>Legitimate interest (B2B) - assess per campaign; PECR: corporate subscribers</t>
        </is>
      </c>
      <c r="BG684" s="5" t="inlineStr"/>
      <c r="BH684" s="5" t="inlineStr">
        <is>
          <t>No</t>
        </is>
      </c>
      <c r="BI684" s="5" t="inlineStr">
        <is>
          <t>2026-09-17</t>
        </is>
      </c>
      <c r="BJ684" s="5" t="inlineStr">
        <is>
          <t>New</t>
        </is>
      </c>
      <c r="BK684" s="5" t="inlineStr">
        <is>
          <t>2026-09-17</t>
        </is>
      </c>
      <c r="BL684" s="5" t="inlineStr"/>
      <c r="BM684" s="5" t="inlineStr"/>
      <c r="BN684" s="5" t="inlineStr"/>
      <c r="BO684" s="5" t="inlineStr"/>
      <c r="BP684" s="5" t="inlineStr"/>
      <c r="BQ684" s="5" t="inlineStr"/>
    </row>
    <row r="685">
      <c r="A685" s="10" t="inlineStr">
        <is>
          <t>UK-000664</t>
        </is>
      </c>
      <c r="B685" s="10" t="inlineStr">
        <is>
          <t>UK-000664-01</t>
        </is>
      </c>
      <c r="C685" s="10" t="inlineStr"/>
      <c r="D685" s="10" t="inlineStr">
        <is>
          <t>Tech Repairs &amp; Ladbroke Vapes</t>
        </is>
      </c>
      <c r="E685" s="10" t="inlineStr">
        <is>
          <t>Ladbroke Vapes</t>
        </is>
      </c>
      <c r="F685" s="10" t="inlineStr"/>
      <c r="G685" s="10" t="inlineStr">
        <is>
          <t>Vape Shop</t>
        </is>
      </c>
      <c r="H685" s="10" t="inlineStr">
        <is>
          <t>Vape shop &amp; phone/tech repairs</t>
        </is>
      </c>
      <c r="I685" s="10" t="inlineStr">
        <is>
          <t>Independent</t>
        </is>
      </c>
      <c r="J685" s="10" t="inlineStr">
        <is>
          <t>1</t>
        </is>
      </c>
      <c r="K685" s="10" t="inlineStr"/>
      <c r="L685" s="10" t="inlineStr"/>
      <c r="M685" s="10" t="inlineStr"/>
      <c r="N685" s="10" t="inlineStr"/>
      <c r="O685" s="10" t="inlineStr">
        <is>
          <t>150 Ladbroke Grove</t>
        </is>
      </c>
      <c r="P685" s="10" t="inlineStr"/>
      <c r="Q685" s="10" t="inlineStr">
        <is>
          <t>London</t>
        </is>
      </c>
      <c r="R685" s="10" t="inlineStr">
        <is>
          <t>Greater London</t>
        </is>
      </c>
      <c r="S685" s="10" t="inlineStr">
        <is>
          <t>W10 5NE</t>
        </is>
      </c>
      <c r="T685" s="10" t="inlineStr">
        <is>
          <t>London</t>
        </is>
      </c>
      <c r="U685" s="10" t="inlineStr">
        <is>
          <t>England</t>
        </is>
      </c>
      <c r="V685" s="10" t="inlineStr"/>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vape hardware; e-liquids; phone repairs</t>
        </is>
      </c>
      <c r="AL685" s="10" t="inlineStr"/>
      <c r="AM685" s="10" t="inlineStr">
        <is>
          <t>Vape Shop</t>
        </is>
      </c>
      <c r="AN685" s="10" t="inlineStr"/>
      <c r="AO685" s="10" t="inlineStr">
        <is>
          <t>Independent combined vape shop and tech repair store on Ladbroke Grove (W10). Address/postcode from Yell listing snippet; phone not published in accessible snippet.</t>
        </is>
      </c>
      <c r="AP685" s="10" t="inlineStr">
        <is>
          <t>Medium</t>
        </is>
      </c>
      <c r="AQ685" s="10" t="inlineStr">
        <is>
          <t>Independent retailer; Core relevant category</t>
        </is>
      </c>
      <c r="AR685" s="10" t="inlineStr">
        <is>
          <t>https://www.yell.com/s/tobacconists-ladbroke+grove-west+london.html</t>
        </is>
      </c>
      <c r="AS685" s="10" t="inlineStr"/>
      <c r="AT685" s="10" t="inlineStr">
        <is>
          <t>1</t>
        </is>
      </c>
      <c r="AU685" s="10" t="inlineStr">
        <is>
          <t>No</t>
        </is>
      </c>
      <c r="AV685" s="10" t="inlineStr">
        <is>
          <t>No</t>
        </is>
      </c>
      <c r="AW685" s="10" t="inlineStr">
        <is>
          <t>No</t>
        </is>
      </c>
      <c r="AX685" s="10" t="inlineStr">
        <is>
          <t>No</t>
        </is>
      </c>
      <c r="AY685" s="10" t="inlineStr">
        <is>
          <t>Not Found</t>
        </is>
      </c>
      <c r="AZ685" s="10" t="inlineStr">
        <is>
          <t>Not Found</t>
        </is>
      </c>
      <c r="BA685" s="10" t="inlineStr">
        <is>
          <t>2026-09-17</t>
        </is>
      </c>
      <c r="BB685" s="10" t="inlineStr">
        <is>
          <t>Requires Verification</t>
        </is>
      </c>
      <c r="BC685" s="10" t="inlineStr">
        <is>
          <t>Low</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2026-09-17</t>
        </is>
      </c>
      <c r="BJ685" s="10" t="inlineStr">
        <is>
          <t>New</t>
        </is>
      </c>
      <c r="BK685" s="10" t="inlineStr">
        <is>
          <t>2026-09-17</t>
        </is>
      </c>
      <c r="BL685" s="10" t="inlineStr"/>
      <c r="BM685" s="10" t="inlineStr"/>
      <c r="BN685" s="10" t="inlineStr"/>
      <c r="BO685" s="10" t="inlineStr"/>
      <c r="BP685" s="10" t="inlineStr"/>
      <c r="BQ685" s="10" t="inlineStr"/>
    </row>
    <row r="686">
      <c r="A686" s="5" t="inlineStr">
        <is>
          <t>WY-0158</t>
        </is>
      </c>
      <c r="B686" s="5" t="inlineStr">
        <is>
          <t>WY-0158-01</t>
        </is>
      </c>
      <c r="C686" s="5" t="inlineStr"/>
      <c r="D686" s="5" t="inlineStr">
        <is>
          <t>Thali Outlet</t>
        </is>
      </c>
      <c r="E686" s="5" t="inlineStr">
        <is>
          <t>Thali Outlet</t>
        </is>
      </c>
      <c r="F686" s="5" t="inlineStr">
        <is>
          <t>Thali Outlet Ltd</t>
        </is>
      </c>
      <c r="G686" s="5" t="inlineStr">
        <is>
          <t>Cash &amp; Carry</t>
        </is>
      </c>
      <c r="H686" s="5" t="inlineStr">
        <is>
          <t>Trade cash &amp; carry - food packaging, disposables and cleaning products</t>
        </is>
      </c>
      <c r="I686" s="5" t="inlineStr">
        <is>
          <t>Independent</t>
        </is>
      </c>
      <c r="J686" s="5" t="inlineStr">
        <is>
          <t>1</t>
        </is>
      </c>
      <c r="K686" s="5" t="inlineStr">
        <is>
          <t>https://www.thalioutlet.com/</t>
        </is>
      </c>
      <c r="L686" s="5" t="inlineStr">
        <is>
          <t>https://www.facebook.com/thalioutlet/</t>
        </is>
      </c>
      <c r="M686" s="5" t="inlineStr"/>
      <c r="N686" s="5" t="inlineStr"/>
      <c r="O686" s="5" t="inlineStr">
        <is>
          <t>Meanwood Buildings, 277a Meanwood Road</t>
        </is>
      </c>
      <c r="P686" s="5" t="inlineStr">
        <is>
          <t>Meanwood</t>
        </is>
      </c>
      <c r="Q686" s="5" t="inlineStr">
        <is>
          <t>Leeds</t>
        </is>
      </c>
      <c r="R686" s="5" t="inlineStr">
        <is>
          <t>West Yorkshire</t>
        </is>
      </c>
      <c r="S686" s="5" t="inlineStr">
        <is>
          <t>LS7 2JD</t>
        </is>
      </c>
      <c r="T686" s="5" t="inlineStr">
        <is>
          <t>Yorkshire &amp; Humber</t>
        </is>
      </c>
      <c r="U686" s="5" t="inlineStr">
        <is>
          <t>England</t>
        </is>
      </c>
      <c r="V686" s="5" t="inlineStr">
        <is>
          <t>0113 394 8000</t>
        </is>
      </c>
      <c r="W686" s="5" t="inlineStr"/>
      <c r="X686" s="5" t="inlineStr"/>
      <c r="Y686" s="5" t="inlineStr">
        <is>
          <t>sales@thalioutlet.com</t>
        </is>
      </c>
      <c r="Z686" s="5" t="inlineStr">
        <is>
          <t>sales@thalioutlet.com</t>
        </is>
      </c>
      <c r="AA686" s="5" t="inlineStr"/>
      <c r="AB686" s="5" t="inlineStr"/>
      <c r="AC686" s="5" t="inlineStr"/>
      <c r="AD686" s="5" t="inlineStr"/>
      <c r="AE686" s="5" t="inlineStr">
        <is>
          <t>08555459</t>
        </is>
      </c>
      <c r="AF686" s="5" t="inlineStr"/>
      <c r="AG686" s="5" t="inlineStr">
        <is>
          <t>THALI OUTLET LTD</t>
        </is>
      </c>
      <c r="AH686" s="5" t="inlineStr"/>
      <c r="AI686" s="5" t="inlineStr"/>
      <c r="AJ686" s="5" t="inlineStr"/>
      <c r="AK686" s="5" t="inlineStr">
        <is>
          <t>food packaging; compostable tableware; carrier bags; cleaning products; catering supplies</t>
        </is>
      </c>
      <c r="AL686" s="5" t="inlineStr"/>
      <c r="AM686" s="5" t="inlineStr">
        <is>
          <t>Cash &amp; Carry</t>
        </is>
      </c>
      <c r="AN686" s="5" t="inlineStr"/>
      <c r="AO686" s="5" t="inlineStr">
        <is>
          <t>Trade counter with showroom and free parking. Company number from Kompass listing (GB08555459) - not verified directly at Companies House (site blocked by proxy).</t>
        </is>
      </c>
      <c r="AP686" s="5" t="inlineStr">
        <is>
          <t>High</t>
        </is>
      </c>
      <c r="AQ686" s="5" t="inlineStr">
        <is>
          <t>Independent retailer; Core relevant category; Public trade/sales contact; Active website; Social presence</t>
        </is>
      </c>
      <c r="AR686" s="5" t="inlineStr">
        <is>
          <t>https://www.thalioutlet.com/pages/contact</t>
        </is>
      </c>
      <c r="AS686" s="5" t="inlineStr">
        <is>
          <t>https://www.thomsonlocal.com/search/party-goods-novelties/leeds/thali-outlet/1678928/01133948000</t>
        </is>
      </c>
      <c r="AT686" s="5" t="inlineStr">
        <is>
          <t>3</t>
        </is>
      </c>
      <c r="AU686" s="5" t="inlineStr">
        <is>
          <t>No</t>
        </is>
      </c>
      <c r="AV686" s="5" t="inlineStr">
        <is>
          <t>No</t>
        </is>
      </c>
      <c r="AW686" s="5" t="inlineStr">
        <is>
          <t>No</t>
        </is>
      </c>
      <c r="AX686" s="5" t="inlineStr">
        <is>
          <t>No</t>
        </is>
      </c>
      <c r="AY686" s="5" t="inlineStr">
        <is>
          <t>Verified directory</t>
        </is>
      </c>
      <c r="AZ686" s="5" t="inlineStr">
        <is>
          <t>Publicly Listed</t>
        </is>
      </c>
      <c r="BA686" s="5" t="inlineStr">
        <is>
          <t>2026-09-17</t>
        </is>
      </c>
      <c r="BB686" s="5" t="inlineStr">
        <is>
          <t>Requires Verification</t>
        </is>
      </c>
      <c r="BC686" s="5" t="inlineStr">
        <is>
          <t>Medium</t>
        </is>
      </c>
      <c r="BD686" s="5" t="inlineStr"/>
      <c r="BE686" s="5" t="inlineStr">
        <is>
          <t>Business (B2B)</t>
        </is>
      </c>
      <c r="BF686" s="5" t="inlineStr">
        <is>
          <t>Legitimate interest (B2B) - assess per campaign; PECR: corporate subscribers</t>
        </is>
      </c>
      <c r="BG686" s="5" t="inlineStr"/>
      <c r="BH686" s="5" t="inlineStr">
        <is>
          <t>No</t>
        </is>
      </c>
      <c r="BI686" s="5" t="inlineStr">
        <is>
          <t>2026-09-16</t>
        </is>
      </c>
      <c r="BJ686" s="5" t="inlineStr">
        <is>
          <t>New</t>
        </is>
      </c>
      <c r="BK686" s="5" t="inlineStr">
        <is>
          <t>2026-09-17</t>
        </is>
      </c>
      <c r="BL686" s="5" t="inlineStr"/>
      <c r="BM686" s="5" t="inlineStr"/>
      <c r="BN686" s="5" t="inlineStr"/>
      <c r="BO686" s="5" t="inlineStr"/>
      <c r="BP686" s="5" t="inlineStr"/>
      <c r="BQ686" s="5" t="inlineStr"/>
    </row>
    <row r="687">
      <c r="A687" s="10" t="inlineStr">
        <is>
          <t>UK-000665</t>
        </is>
      </c>
      <c r="B687" s="10" t="inlineStr">
        <is>
          <t>UK-000665-01</t>
        </is>
      </c>
      <c r="C687" s="10" t="inlineStr"/>
      <c r="D687" s="10" t="inlineStr">
        <is>
          <t>The Canary Wharf Vapour Co</t>
        </is>
      </c>
      <c r="E687" s="10" t="inlineStr">
        <is>
          <t>The Canary Wharf Vapour Co</t>
        </is>
      </c>
      <c r="F687" s="10" t="inlineStr"/>
      <c r="G687" s="10" t="inlineStr">
        <is>
          <t>Vape Shop</t>
        </is>
      </c>
      <c r="H687" s="10" t="inlineStr">
        <is>
          <t>Vape hardware &amp; e-liquids</t>
        </is>
      </c>
      <c r="I687" s="10" t="inlineStr">
        <is>
          <t>Independent</t>
        </is>
      </c>
      <c r="J687" s="10" t="inlineStr">
        <is>
          <t>1</t>
        </is>
      </c>
      <c r="K687" s="10" t="inlineStr"/>
      <c r="L687" s="10" t="inlineStr"/>
      <c r="M687" s="10" t="inlineStr"/>
      <c r="N687" s="10" t="inlineStr"/>
      <c r="O687" s="10" t="inlineStr">
        <is>
          <t>38 Goulston Street</t>
        </is>
      </c>
      <c r="P687" s="10" t="inlineStr"/>
      <c r="Q687" s="10" t="inlineStr">
        <is>
          <t>Whitechapel</t>
        </is>
      </c>
      <c r="R687" s="10" t="inlineStr">
        <is>
          <t>Greater London</t>
        </is>
      </c>
      <c r="S687" s="10" t="inlineStr">
        <is>
          <t>E1 7TP</t>
        </is>
      </c>
      <c r="T687" s="10" t="inlineStr">
        <is>
          <t>London</t>
        </is>
      </c>
      <c r="U687" s="10" t="inlineStr">
        <is>
          <t>England</t>
        </is>
      </c>
      <c r="V687" s="10" t="inlineStr"/>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vape hardware; e-liquids</t>
        </is>
      </c>
      <c r="AL687" s="10" t="inlineStr"/>
      <c r="AM687" s="10" t="inlineStr">
        <is>
          <t>Vape Shop</t>
        </is>
      </c>
      <c r="AN687" s="10" t="inlineStr"/>
      <c r="AO687" s="10" t="inlineStr">
        <is>
          <t>Vape shop near Whitechapel/Aldgate listed via Yelp e-cigarette search for Whitechapel Rd E1. Single directory reference; phone not in snippet.</t>
        </is>
      </c>
      <c r="AP687" s="10" t="inlineStr">
        <is>
          <t>Medium</t>
        </is>
      </c>
      <c r="AQ687" s="10" t="inlineStr">
        <is>
          <t>Independent retailer; Core relevant category</t>
        </is>
      </c>
      <c r="AR687" s="10" t="inlineStr">
        <is>
          <t>https://www.yelp.co.uk/search?cflt=vapeshops&amp;find_loc=Whitechapel+Rd%2C+London+E1</t>
        </is>
      </c>
      <c r="AS687" s="10" t="inlineStr"/>
      <c r="AT687" s="10" t="inlineStr">
        <is>
          <t>1</t>
        </is>
      </c>
      <c r="AU687" s="10" t="inlineStr">
        <is>
          <t>No</t>
        </is>
      </c>
      <c r="AV687" s="10" t="inlineStr">
        <is>
          <t>No</t>
        </is>
      </c>
      <c r="AW687" s="10" t="inlineStr">
        <is>
          <t>No</t>
        </is>
      </c>
      <c r="AX687" s="10" t="inlineStr">
        <is>
          <t>No</t>
        </is>
      </c>
      <c r="AY687" s="10" t="inlineStr">
        <is>
          <t>Not Found</t>
        </is>
      </c>
      <c r="AZ687" s="10" t="inlineStr">
        <is>
          <t>Not Found</t>
        </is>
      </c>
      <c r="BA687" s="10" t="inlineStr">
        <is>
          <t>2026-09-17</t>
        </is>
      </c>
      <c r="BB687" s="10" t="inlineStr">
        <is>
          <t>Requires Verification</t>
        </is>
      </c>
      <c r="BC687" s="10" t="inlineStr">
        <is>
          <t>Low</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UK-000823</t>
        </is>
      </c>
      <c r="B688" s="5" t="inlineStr">
        <is>
          <t>UK-000823-01</t>
        </is>
      </c>
      <c r="C688" s="5" t="inlineStr"/>
      <c r="D688" s="5" t="inlineStr">
        <is>
          <t>The Continental Food</t>
        </is>
      </c>
      <c r="E688" s="5" t="inlineStr">
        <is>
          <t>The Continental Food</t>
        </is>
      </c>
      <c r="F688" s="5" t="inlineStr"/>
      <c r="G688" s="5" t="inlineStr">
        <is>
          <t>Independent Supermarket</t>
        </is>
      </c>
      <c r="H688" s="5" t="inlineStr">
        <is>
          <t>European world-food grocery</t>
        </is>
      </c>
      <c r="I688" s="5" t="inlineStr">
        <is>
          <t>Independent</t>
        </is>
      </c>
      <c r="J688" s="5" t="inlineStr">
        <is>
          <t>1</t>
        </is>
      </c>
      <c r="K688" s="5" t="inlineStr"/>
      <c r="L688" s="5" t="inlineStr"/>
      <c r="M688" s="5" t="inlineStr"/>
      <c r="N688" s="5" t="inlineStr"/>
      <c r="O688" s="5" t="inlineStr"/>
      <c r="P688" s="5" t="inlineStr">
        <is>
          <t>Gorgie Road</t>
        </is>
      </c>
      <c r="Q688" s="5" t="inlineStr">
        <is>
          <t>Edinburgh</t>
        </is>
      </c>
      <c r="R688" s="5" t="inlineStr">
        <is>
          <t>City of Edinburgh</t>
        </is>
      </c>
      <c r="S688" s="5" t="inlineStr"/>
      <c r="T688" s="5" t="inlineStr">
        <is>
          <t>Scotland</t>
        </is>
      </c>
      <c r="U688" s="5" t="inlineStr">
        <is>
          <t>Scotland</t>
        </is>
      </c>
      <c r="V688" s="5" t="inlineStr"/>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European / continental groceries; deli</t>
        </is>
      </c>
      <c r="AL688" s="5" t="inlineStr"/>
      <c r="AM688" s="5" t="inlineStr">
        <is>
          <t>Independent Supermarket</t>
        </is>
      </c>
      <c r="AN688" s="5" t="inlineStr"/>
      <c r="AO688" s="5" t="inlineStr">
        <is>
          <t>Continental European world-food grocery on Gorgie Road. Phone shown only partially (0131 346 2...) in Cylex snippet, left blank rather than guessed; exact number/postcode not published in snippet.</t>
        </is>
      </c>
      <c r="AP688" s="5" t="inlineStr">
        <is>
          <t>Low</t>
        </is>
      </c>
      <c r="AQ688" s="5" t="inlineStr">
        <is>
          <t>Independent retailer; Relevant category</t>
        </is>
      </c>
      <c r="AR688" s="5" t="inlineStr">
        <is>
          <t>https://edinburgh.cylex-uk.co.uk/company/the-continental-food-19711581.html</t>
        </is>
      </c>
      <c r="AS688" s="5" t="inlineStr"/>
      <c r="AT688" s="5" t="inlineStr">
        <is>
          <t>1</t>
        </is>
      </c>
      <c r="AU688" s="5" t="inlineStr">
        <is>
          <t>No</t>
        </is>
      </c>
      <c r="AV688" s="5" t="inlineStr">
        <is>
          <t>No</t>
        </is>
      </c>
      <c r="AW688" s="5" t="inlineStr">
        <is>
          <t>No</t>
        </is>
      </c>
      <c r="AX688" s="5" t="inlineStr">
        <is>
          <t>No</t>
        </is>
      </c>
      <c r="AY688" s="5" t="inlineStr">
        <is>
          <t>Not Found</t>
        </is>
      </c>
      <c r="AZ688" s="5" t="inlineStr">
        <is>
          <t>Not Found</t>
        </is>
      </c>
      <c r="BA688" s="5" t="inlineStr">
        <is>
          <t>2026-09-17</t>
        </is>
      </c>
      <c r="BB688" s="5" t="inlineStr">
        <is>
          <t>Requires Verification</t>
        </is>
      </c>
      <c r="BC688" s="5" t="inlineStr">
        <is>
          <t>Low</t>
        </is>
      </c>
      <c r="BD688" s="5" t="inlineStr"/>
      <c r="BE688" s="5" t="inlineStr">
        <is>
          <t>Business (B2B)</t>
        </is>
      </c>
      <c r="BF688" s="5" t="inlineStr">
        <is>
          <t>Legitimate interest (B2B) - assess per campaign; PECR: corporate subscribers</t>
        </is>
      </c>
      <c r="BG688" s="5" t="inlineStr"/>
      <c r="BH688" s="5" t="inlineStr">
        <is>
          <t>No</t>
        </is>
      </c>
      <c r="BI688" s="5" t="inlineStr">
        <is>
          <t>2026-09-17</t>
        </is>
      </c>
      <c r="BJ688" s="5" t="inlineStr">
        <is>
          <t>New</t>
        </is>
      </c>
      <c r="BK688" s="5" t="inlineStr">
        <is>
          <t>2026-09-17</t>
        </is>
      </c>
      <c r="BL688" s="5" t="inlineStr"/>
      <c r="BM688" s="5" t="inlineStr"/>
      <c r="BN688" s="5" t="inlineStr"/>
      <c r="BO688" s="5" t="inlineStr"/>
      <c r="BP688" s="5" t="inlineStr"/>
      <c r="BQ688" s="5" t="inlineStr"/>
    </row>
    <row r="689">
      <c r="A689" s="10" t="inlineStr">
        <is>
          <t>UK-000824</t>
        </is>
      </c>
      <c r="B689" s="10" t="inlineStr">
        <is>
          <t>UK-000824-01</t>
        </is>
      </c>
      <c r="C689" s="10" t="inlineStr"/>
      <c r="D689" s="10" t="inlineStr">
        <is>
          <t>The Dairy Convenience Store</t>
        </is>
      </c>
      <c r="E689" s="10" t="inlineStr">
        <is>
          <t>The Dairy Convenience Store</t>
        </is>
      </c>
      <c r="F689" s="10" t="inlineStr"/>
      <c r="G689" s="10" t="inlineStr">
        <is>
          <t>Convenience Store</t>
        </is>
      </c>
      <c r="H689" s="10" t="inlineStr">
        <is>
          <t>Grocer &amp; convenience store</t>
        </is>
      </c>
      <c r="I689" s="10" t="inlineStr">
        <is>
          <t>Independent</t>
        </is>
      </c>
      <c r="J689" s="10" t="inlineStr">
        <is>
          <t>1</t>
        </is>
      </c>
      <c r="K689" s="10" t="inlineStr"/>
      <c r="L689" s="10" t="inlineStr"/>
      <c r="M689" s="10" t="inlineStr"/>
      <c r="N689" s="10" t="inlineStr"/>
      <c r="O689" s="10" t="inlineStr">
        <is>
          <t>111A Broad Lane</t>
        </is>
      </c>
      <c r="P689" s="10" t="inlineStr">
        <is>
          <t>Kirkby</t>
        </is>
      </c>
      <c r="Q689" s="10" t="inlineStr">
        <is>
          <t>Liverpool</t>
        </is>
      </c>
      <c r="R689" s="10" t="inlineStr">
        <is>
          <t>Merseyside</t>
        </is>
      </c>
      <c r="S689" s="10" t="inlineStr">
        <is>
          <t>L32 6QD</t>
        </is>
      </c>
      <c r="T689" s="10" t="inlineStr">
        <is>
          <t>North West</t>
        </is>
      </c>
      <c r="U689" s="10" t="inlineStr">
        <is>
          <t>England</t>
        </is>
      </c>
      <c r="V689" s="10" t="inlineStr"/>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convenience groceries; tobacco; soft drinks</t>
        </is>
      </c>
      <c r="AL689" s="10" t="inlineStr"/>
      <c r="AM689" s="10" t="inlineStr">
        <is>
          <t>Convenience Store</t>
        </is>
      </c>
      <c r="AN689" s="10" t="inlineStr"/>
      <c r="AO689" s="10" t="inlineStr">
        <is>
          <t>Independent convenience store on Broad Lane, Kirkby (Knowsley).</t>
        </is>
      </c>
      <c r="AP689" s="10" t="inlineStr">
        <is>
          <t>Low</t>
        </is>
      </c>
      <c r="AQ689" s="10" t="inlineStr">
        <is>
          <t>Independent retailer; Relevant category</t>
        </is>
      </c>
      <c r="AR689" s="10" t="inlineStr">
        <is>
          <t>https://kirkby.cylex-uk.co.uk/convenience-stores/</t>
        </is>
      </c>
      <c r="AS689" s="10" t="inlineStr"/>
      <c r="AT689" s="10" t="inlineStr">
        <is>
          <t>1</t>
        </is>
      </c>
      <c r="AU689" s="10" t="inlineStr">
        <is>
          <t>No</t>
        </is>
      </c>
      <c r="AV689" s="10" t="inlineStr">
        <is>
          <t>No</t>
        </is>
      </c>
      <c r="AW689" s="10" t="inlineStr">
        <is>
          <t>No</t>
        </is>
      </c>
      <c r="AX689" s="10" t="inlineStr">
        <is>
          <t>No</t>
        </is>
      </c>
      <c r="AY689" s="10" t="inlineStr">
        <is>
          <t>Not Found</t>
        </is>
      </c>
      <c r="AZ689" s="10" t="inlineStr">
        <is>
          <t>Not Found</t>
        </is>
      </c>
      <c r="BA689" s="10" t="inlineStr">
        <is>
          <t>2026-09-17</t>
        </is>
      </c>
      <c r="BB689" s="10" t="inlineStr">
        <is>
          <t>Requires Verification</t>
        </is>
      </c>
      <c r="BC689" s="10" t="inlineStr">
        <is>
          <t>Low</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2026-09-17</t>
        </is>
      </c>
      <c r="BJ689" s="10" t="inlineStr">
        <is>
          <t>New</t>
        </is>
      </c>
      <c r="BK689" s="10" t="inlineStr">
        <is>
          <t>2026-09-17</t>
        </is>
      </c>
      <c r="BL689" s="10" t="inlineStr"/>
      <c r="BM689" s="10" t="inlineStr"/>
      <c r="BN689" s="10" t="inlineStr"/>
      <c r="BO689" s="10" t="inlineStr"/>
      <c r="BP689" s="10" t="inlineStr"/>
      <c r="BQ689" s="10" t="inlineStr"/>
    </row>
    <row r="690">
      <c r="A690" s="5" t="inlineStr">
        <is>
          <t>UK-000520</t>
        </is>
      </c>
      <c r="B690" s="5" t="inlineStr">
        <is>
          <t>UK-000520-01</t>
        </is>
      </c>
      <c r="C690" s="5" t="inlineStr"/>
      <c r="D690" s="5" t="inlineStr">
        <is>
          <t>The Juicy Joint</t>
        </is>
      </c>
      <c r="E690" s="5" t="inlineStr">
        <is>
          <t>The Juicy Joint</t>
        </is>
      </c>
      <c r="F690" s="5" t="inlineStr"/>
      <c r="G690" s="5" t="inlineStr">
        <is>
          <t>Vape Shop</t>
        </is>
      </c>
      <c r="H690" s="5" t="inlineStr">
        <is>
          <t>Vape, CBD and seeds retailer</t>
        </is>
      </c>
      <c r="I690" s="5" t="inlineStr">
        <is>
          <t>Independent</t>
        </is>
      </c>
      <c r="J690" s="5" t="inlineStr">
        <is>
          <t>1</t>
        </is>
      </c>
      <c r="K690" s="5" t="inlineStr">
        <is>
          <t>https://thejuicyjoint.co.uk/</t>
        </is>
      </c>
      <c r="L690" s="5" t="inlineStr"/>
      <c r="M690" s="5" t="inlineStr"/>
      <c r="N690" s="5" t="inlineStr"/>
      <c r="O690" s="5" t="inlineStr">
        <is>
          <t>16 Coton Lane</t>
        </is>
      </c>
      <c r="P690" s="5" t="inlineStr">
        <is>
          <t>Erdington</t>
        </is>
      </c>
      <c r="Q690" s="5" t="inlineStr">
        <is>
          <t>Birmingham</t>
        </is>
      </c>
      <c r="R690" s="5" t="inlineStr">
        <is>
          <t>West Midlands</t>
        </is>
      </c>
      <c r="S690" s="5" t="inlineStr">
        <is>
          <t>B23 6TP</t>
        </is>
      </c>
      <c r="T690" s="5" t="inlineStr">
        <is>
          <t>West Midlands</t>
        </is>
      </c>
      <c r="U690" s="5" t="inlineStr">
        <is>
          <t>England</t>
        </is>
      </c>
      <c r="V690" s="5" t="inlineStr">
        <is>
          <t>0121 373 7051</t>
        </is>
      </c>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vape hardware; e-liquids; CBD; seeds</t>
        </is>
      </c>
      <c r="AL690" s="5" t="inlineStr"/>
      <c r="AM690" s="5" t="inlineStr">
        <is>
          <t>Vape Shop</t>
        </is>
      </c>
      <c r="AN690" s="5" t="inlineStr"/>
      <c r="AO690" s="5" t="inlineStr">
        <is>
          <t>Erdington independent selling vapes, CBD and seeds; has own online shop. Website not fetched (WebFetch blocked).</t>
        </is>
      </c>
      <c r="AP690" s="5" t="inlineStr">
        <is>
          <t>Medium</t>
        </is>
      </c>
      <c r="AQ690" s="5" t="inlineStr">
        <is>
          <t>Independent retailer; Core relevant category; Active website</t>
        </is>
      </c>
      <c r="AR690" s="5" t="inlineStr">
        <is>
          <t>https://thejuicyjoint.co.uk/</t>
        </is>
      </c>
      <c r="AS690" s="5" t="inlineStr"/>
      <c r="AT690" s="5" t="inlineStr">
        <is>
          <t>1</t>
        </is>
      </c>
      <c r="AU690" s="5" t="inlineStr">
        <is>
          <t>No</t>
        </is>
      </c>
      <c r="AV690" s="5" t="inlineStr">
        <is>
          <t>No</t>
        </is>
      </c>
      <c r="AW690" s="5" t="inlineStr">
        <is>
          <t>No</t>
        </is>
      </c>
      <c r="AX690" s="5" t="inlineStr">
        <is>
          <t>No</t>
        </is>
      </c>
      <c r="AY690" s="5" t="inlineStr">
        <is>
          <t>Verified directory</t>
        </is>
      </c>
      <c r="AZ690" s="5" t="inlineStr">
        <is>
          <t>Website Found</t>
        </is>
      </c>
      <c r="BA690" s="5" t="inlineStr">
        <is>
          <t>2026-09-17</t>
        </is>
      </c>
      <c r="BB690" s="5" t="inlineStr">
        <is>
          <t>Requires Verification</t>
        </is>
      </c>
      <c r="BC690" s="5" t="inlineStr">
        <is>
          <t>Medium</t>
        </is>
      </c>
      <c r="BD690" s="5" t="inlineStr"/>
      <c r="BE690" s="5" t="inlineStr">
        <is>
          <t>Business (B2B)</t>
        </is>
      </c>
      <c r="BF690" s="5" t="inlineStr">
        <is>
          <t>Legitimate interest (B2B) - assess per campaign; PECR: corporate subscribers</t>
        </is>
      </c>
      <c r="BG690" s="5" t="inlineStr"/>
      <c r="BH690" s="5" t="inlineStr">
        <is>
          <t>No</t>
        </is>
      </c>
      <c r="BI690" s="5" t="inlineStr">
        <is>
          <t>2026-09-17</t>
        </is>
      </c>
      <c r="BJ690" s="5" t="inlineStr">
        <is>
          <t>New</t>
        </is>
      </c>
      <c r="BK690" s="5" t="inlineStr">
        <is>
          <t>2026-09-17</t>
        </is>
      </c>
      <c r="BL690" s="5" t="inlineStr"/>
      <c r="BM690" s="5" t="inlineStr"/>
      <c r="BN690" s="5" t="inlineStr"/>
      <c r="BO690" s="5" t="inlineStr"/>
      <c r="BP690" s="5" t="inlineStr"/>
      <c r="BQ690" s="5" t="inlineStr"/>
    </row>
    <row r="691">
      <c r="A691" s="10" t="inlineStr">
        <is>
          <t>UK-000282</t>
        </is>
      </c>
      <c r="B691" s="10" t="inlineStr">
        <is>
          <t>UK-000282-01</t>
        </is>
      </c>
      <c r="C691" s="10" t="inlineStr"/>
      <c r="D691" s="10" t="inlineStr">
        <is>
          <t>The Little Shop of Vapes</t>
        </is>
      </c>
      <c r="E691" s="10" t="inlineStr">
        <is>
          <t>The Little Shop of Vapes</t>
        </is>
      </c>
      <c r="F691" s="10" t="inlineStr"/>
      <c r="G691" s="10" t="inlineStr">
        <is>
          <t>Vape Shop</t>
        </is>
      </c>
      <c r="H691" s="10" t="inlineStr">
        <is>
          <t>Independent B&amp;M vape shop</t>
        </is>
      </c>
      <c r="I691" s="10" t="inlineStr">
        <is>
          <t>Independent</t>
        </is>
      </c>
      <c r="J691" s="10" t="inlineStr">
        <is>
          <t>1</t>
        </is>
      </c>
      <c r="K691" s="10" t="inlineStr"/>
      <c r="L691" s="10" t="inlineStr"/>
      <c r="M691" s="10" t="inlineStr"/>
      <c r="N691" s="10" t="inlineStr"/>
      <c r="O691" s="10" t="inlineStr">
        <is>
          <t>144 Victoria Road</t>
        </is>
      </c>
      <c r="P691" s="10" t="inlineStr"/>
      <c r="Q691" s="10" t="inlineStr">
        <is>
          <t>Scarborough</t>
        </is>
      </c>
      <c r="R691" s="10" t="inlineStr">
        <is>
          <t>North Yorkshire</t>
        </is>
      </c>
      <c r="S691" s="10" t="inlineStr">
        <is>
          <t>YO11 1SL</t>
        </is>
      </c>
      <c r="T691" s="10" t="inlineStr">
        <is>
          <t>Yorkshire &amp; Humber</t>
        </is>
      </c>
      <c r="U691" s="10" t="inlineStr">
        <is>
          <t>England</t>
        </is>
      </c>
      <c r="V691" s="10" t="inlineStr">
        <is>
          <t>01723 449978</t>
        </is>
      </c>
      <c r="W691" s="10" t="inlineStr"/>
      <c r="X691" s="10" t="inlineStr"/>
      <c r="Y691" s="10" t="inlineStr"/>
      <c r="Z691" s="10" t="inlineStr"/>
      <c r="AA691" s="10" t="inlineStr"/>
      <c r="AB691" s="10" t="inlineStr"/>
      <c r="AC691" s="10" t="inlineStr"/>
      <c r="AD691" s="10" t="inlineStr"/>
      <c r="AE691" s="10" t="inlineStr"/>
      <c r="AF691" s="10" t="inlineStr"/>
      <c r="AG691" s="10" t="inlineStr"/>
      <c r="AH691" s="10" t="inlineStr"/>
      <c r="AI691" s="10" t="inlineStr"/>
      <c r="AJ691" s="10" t="inlineStr"/>
      <c r="AK691" s="10" t="inlineStr">
        <is>
          <t>vape hardware; e-liquids; nic salts</t>
        </is>
      </c>
      <c r="AL691" s="10" t="inlineStr"/>
      <c r="AM691" s="10" t="inlineStr">
        <is>
          <t>Vape Shop</t>
        </is>
      </c>
      <c r="AN691" s="10" t="inlineStr"/>
      <c r="AO691"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691" s="10" t="inlineStr">
        <is>
          <t>Medium</t>
        </is>
      </c>
      <c r="AQ691" s="10" t="inlineStr">
        <is>
          <t>Independent retailer; Core relevant category</t>
        </is>
      </c>
      <c r="AR691" s="10" t="inlineStr">
        <is>
          <t>https://scarborough.cylex-uk.co.uk/company/the-little-shop-of-vapes-26778046.html</t>
        </is>
      </c>
      <c r="AS691" s="10" t="inlineStr">
        <is>
          <t>https://www.bizseek.co.uk/the-little-shop-of-vapes-01723-449978</t>
        </is>
      </c>
      <c r="AT691" s="10" t="inlineStr">
        <is>
          <t>3</t>
        </is>
      </c>
      <c r="AU691" s="10" t="inlineStr">
        <is>
          <t>No</t>
        </is>
      </c>
      <c r="AV691" s="10" t="inlineStr">
        <is>
          <t>No</t>
        </is>
      </c>
      <c r="AW691" s="10" t="inlineStr">
        <is>
          <t>No</t>
        </is>
      </c>
      <c r="AX691" s="10" t="inlineStr">
        <is>
          <t>No</t>
        </is>
      </c>
      <c r="AY691" s="10" t="inlineStr">
        <is>
          <t>Verified directory</t>
        </is>
      </c>
      <c r="AZ691" s="10" t="inlineStr">
        <is>
          <t>Not Found</t>
        </is>
      </c>
      <c r="BA691" s="10" t="inlineStr">
        <is>
          <t>2026-09-17</t>
        </is>
      </c>
      <c r="BB691" s="10" t="inlineStr">
        <is>
          <t>Requires Verification</t>
        </is>
      </c>
      <c r="BC691" s="10" t="inlineStr">
        <is>
          <t>Medium</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2026-09-16</t>
        </is>
      </c>
      <c r="BJ691" s="10" t="inlineStr">
        <is>
          <t>New</t>
        </is>
      </c>
      <c r="BK691" s="10" t="inlineStr">
        <is>
          <t>2026-09-17</t>
        </is>
      </c>
      <c r="BL691" s="10" t="inlineStr"/>
      <c r="BM691" s="10" t="inlineStr"/>
      <c r="BN691" s="10" t="inlineStr"/>
      <c r="BO691" s="10" t="inlineStr"/>
      <c r="BP691" s="10" t="inlineStr"/>
      <c r="BQ691" s="10" t="inlineStr"/>
    </row>
    <row r="692">
      <c r="A692" s="5" t="inlineStr">
        <is>
          <t>UK-000386</t>
        </is>
      </c>
      <c r="B692" s="5" t="inlineStr">
        <is>
          <t>UK-000386-01</t>
        </is>
      </c>
      <c r="C692" s="5" t="inlineStr"/>
      <c r="D692" s="5" t="inlineStr">
        <is>
          <t>The Local Ramsbottom</t>
        </is>
      </c>
      <c r="E692" s="5" t="inlineStr">
        <is>
          <t>The Local</t>
        </is>
      </c>
      <c r="F692" s="5" t="inlineStr"/>
      <c r="G692" s="5" t="inlineStr">
        <is>
          <t>Convenience Store</t>
        </is>
      </c>
      <c r="H692" s="5" t="inlineStr"/>
      <c r="I692" s="5" t="inlineStr">
        <is>
          <t>Independent</t>
        </is>
      </c>
      <c r="J692" s="5" t="inlineStr">
        <is>
          <t>1</t>
        </is>
      </c>
      <c r="K692" s="5" t="inlineStr"/>
      <c r="L692" s="5" t="inlineStr"/>
      <c r="M692" s="5" t="inlineStr"/>
      <c r="N692" s="5" t="inlineStr"/>
      <c r="O692" s="5" t="inlineStr">
        <is>
          <t>50 Bolton Road West</t>
        </is>
      </c>
      <c r="P692" s="5" t="inlineStr">
        <is>
          <t>Ramsbottom</t>
        </is>
      </c>
      <c r="Q692" s="5" t="inlineStr">
        <is>
          <t>Bury</t>
        </is>
      </c>
      <c r="R692" s="5" t="inlineStr">
        <is>
          <t>Greater Manchester</t>
        </is>
      </c>
      <c r="S692" s="5" t="inlineStr">
        <is>
          <t>BL0 9ND</t>
        </is>
      </c>
      <c r="T692" s="5" t="inlineStr">
        <is>
          <t>North West</t>
        </is>
      </c>
      <c r="U692" s="5" t="inlineStr">
        <is>
          <t>England</t>
        </is>
      </c>
      <c r="V692" s="5" t="inlineStr">
        <is>
          <t>01706 822265</t>
        </is>
      </c>
      <c r="W692" s="5" t="inlineStr"/>
      <c r="X692" s="5" t="inlineStr"/>
      <c r="Y692" s="5" t="inlineStr"/>
      <c r="Z692" s="5" t="inlineStr"/>
      <c r="AA692" s="5" t="inlineStr"/>
      <c r="AB692" s="5" t="inlineStr"/>
      <c r="AC692" s="5" t="inlineStr"/>
      <c r="AD692" s="5" t="inlineStr"/>
      <c r="AE692" s="5" t="inlineStr"/>
      <c r="AF692" s="5" t="inlineStr"/>
      <c r="AG692" s="5" t="inlineStr"/>
      <c r="AH692" s="5" t="inlineStr"/>
      <c r="AI692" s="5" t="inlineStr"/>
      <c r="AJ692" s="5" t="inlineStr"/>
      <c r="AK692" s="5" t="inlineStr">
        <is>
          <t>convenience groceries; news; tobacco; soft drinks</t>
        </is>
      </c>
      <c r="AL692" s="5" t="inlineStr"/>
      <c r="AM692" s="5" t="inlineStr">
        <is>
          <t>Convenience Store</t>
        </is>
      </c>
      <c r="AN692" s="5" t="inlineStr"/>
      <c r="AO692" s="5" t="inlineStr">
        <is>
          <t>Independent convenience store on Bolton Road West, Ramsbottom (BL0 9ND).</t>
        </is>
      </c>
      <c r="AP692" s="5" t="inlineStr">
        <is>
          <t>Low</t>
        </is>
      </c>
      <c r="AQ692" s="5" t="inlineStr">
        <is>
          <t>Independent retailer; Relevant category</t>
        </is>
      </c>
      <c r="AR692" s="5" t="inlineStr">
        <is>
          <t>https://the-local-ramsbottom.wheree.com/</t>
        </is>
      </c>
      <c r="AS692" s="5" t="inlineStr"/>
      <c r="AT692" s="5" t="inlineStr">
        <is>
          <t>1</t>
        </is>
      </c>
      <c r="AU692" s="5" t="inlineStr">
        <is>
          <t>No</t>
        </is>
      </c>
      <c r="AV692" s="5" t="inlineStr">
        <is>
          <t>No</t>
        </is>
      </c>
      <c r="AW692" s="5" t="inlineStr">
        <is>
          <t>No</t>
        </is>
      </c>
      <c r="AX692" s="5" t="inlineStr">
        <is>
          <t>No</t>
        </is>
      </c>
      <c r="AY692" s="5" t="inlineStr">
        <is>
          <t>Verified directory</t>
        </is>
      </c>
      <c r="AZ692" s="5" t="inlineStr">
        <is>
          <t>Not Found</t>
        </is>
      </c>
      <c r="BA692" s="5" t="inlineStr">
        <is>
          <t>2026-09-17</t>
        </is>
      </c>
      <c r="BB692" s="5" t="inlineStr">
        <is>
          <t>Requires Verification</t>
        </is>
      </c>
      <c r="BC692" s="5" t="inlineStr">
        <is>
          <t>Low</t>
        </is>
      </c>
      <c r="BD692" s="5" t="inlineStr"/>
      <c r="BE692" s="5" t="inlineStr">
        <is>
          <t>Business (B2B)</t>
        </is>
      </c>
      <c r="BF692" s="5" t="inlineStr">
        <is>
          <t>Legitimate interest (B2B) - assess per campaign; PECR: corporate subscribers</t>
        </is>
      </c>
      <c r="BG692" s="5" t="inlineStr"/>
      <c r="BH692" s="5" t="inlineStr">
        <is>
          <t>No</t>
        </is>
      </c>
      <c r="BI692" s="5" t="inlineStr">
        <is>
          <t>2026-09-17</t>
        </is>
      </c>
      <c r="BJ692" s="5" t="inlineStr">
        <is>
          <t>New</t>
        </is>
      </c>
      <c r="BK692" s="5" t="inlineStr">
        <is>
          <t>2026-09-17</t>
        </is>
      </c>
      <c r="BL692" s="5" t="inlineStr"/>
      <c r="BM692" s="5" t="inlineStr"/>
      <c r="BN692" s="5" t="inlineStr"/>
      <c r="BO692" s="5" t="inlineStr"/>
      <c r="BP692" s="5" t="inlineStr"/>
      <c r="BQ692" s="5" t="inlineStr"/>
    </row>
    <row r="693">
      <c r="A693" s="10" t="inlineStr">
        <is>
          <t>WY-0159</t>
        </is>
      </c>
      <c r="B693" s="10" t="inlineStr">
        <is>
          <t>WY-0159-01</t>
        </is>
      </c>
      <c r="C693" s="10" t="inlineStr"/>
      <c r="D693" s="10" t="inlineStr">
        <is>
          <t>The Local: Elland</t>
        </is>
      </c>
      <c r="E693" s="10" t="inlineStr">
        <is>
          <t>The Local: Elland</t>
        </is>
      </c>
      <c r="F693" s="10" t="inlineStr"/>
      <c r="G693" s="10" t="inlineStr">
        <is>
          <t>Off-Licence</t>
        </is>
      </c>
      <c r="H693" s="10" t="inlineStr">
        <is>
          <t>Off-licence and everyday essentials</t>
        </is>
      </c>
      <c r="I693" s="10" t="inlineStr">
        <is>
          <t>Unknown</t>
        </is>
      </c>
      <c r="J693" s="10" t="inlineStr">
        <is>
          <t>1</t>
        </is>
      </c>
      <c r="K693" s="10" t="inlineStr"/>
      <c r="L693" s="10" t="inlineStr"/>
      <c r="M693" s="10" t="inlineStr"/>
      <c r="N693" s="10" t="inlineStr"/>
      <c r="O693" s="10" t="inlineStr">
        <is>
          <t>160 Westgate</t>
        </is>
      </c>
      <c r="P693" s="10" t="inlineStr"/>
      <c r="Q693" s="10" t="inlineStr">
        <is>
          <t>Elland</t>
        </is>
      </c>
      <c r="R693" s="10" t="inlineStr">
        <is>
          <t>West Yorkshire</t>
        </is>
      </c>
      <c r="S693" s="10" t="inlineStr">
        <is>
          <t>HX5 0BB</t>
        </is>
      </c>
      <c r="T693" s="10" t="inlineStr">
        <is>
          <t>Yorkshire &amp; Humber</t>
        </is>
      </c>
      <c r="U693" s="10" t="inlineStr">
        <is>
          <t>England</t>
        </is>
      </c>
      <c r="V693" s="10" t="inlineStr"/>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beers, wines and spirits; convenience</t>
        </is>
      </c>
      <c r="AL693" s="10" t="inlineStr"/>
      <c r="AM693" s="10" t="inlineStr">
        <is>
          <t>Off-Licence</t>
        </is>
      </c>
      <c r="AN693" s="10" t="inlineStr"/>
      <c r="AO693" s="10" t="inlineStr">
        <is>
          <t>'The Local' fascia is used by some symbol-group conversions; ownership not established.</t>
        </is>
      </c>
      <c r="AP693" s="10" t="inlineStr">
        <is>
          <t>Low</t>
        </is>
      </c>
      <c r="AQ693" s="10" t="inlineStr">
        <is>
          <t>Relevant category</t>
        </is>
      </c>
      <c r="AR693" s="10" t="inlineStr">
        <is>
          <t>https://www.yorkshire.com/elland/shopping/off-license</t>
        </is>
      </c>
      <c r="AS693" s="10" t="inlineStr"/>
      <c r="AT693" s="10" t="inlineStr">
        <is>
          <t>1</t>
        </is>
      </c>
      <c r="AU693" s="10" t="inlineStr">
        <is>
          <t>No</t>
        </is>
      </c>
      <c r="AV693" s="10" t="inlineStr">
        <is>
          <t>No</t>
        </is>
      </c>
      <c r="AW693" s="10" t="inlineStr">
        <is>
          <t>No</t>
        </is>
      </c>
      <c r="AX693" s="10" t="inlineStr">
        <is>
          <t>No</t>
        </is>
      </c>
      <c r="AY693" s="10" t="inlineStr">
        <is>
          <t>Not Found</t>
        </is>
      </c>
      <c r="AZ693" s="10" t="inlineStr">
        <is>
          <t>Not Found</t>
        </is>
      </c>
      <c r="BA693" s="10" t="inlineStr">
        <is>
          <t>2026-09-17</t>
        </is>
      </c>
      <c r="BB693" s="10" t="inlineStr">
        <is>
          <t>Requires Verification</t>
        </is>
      </c>
      <c r="BC693" s="10" t="inlineStr">
        <is>
          <t>Medium</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2026-09-16</t>
        </is>
      </c>
      <c r="BJ693" s="10" t="inlineStr">
        <is>
          <t>New</t>
        </is>
      </c>
      <c r="BK693" s="10" t="inlineStr">
        <is>
          <t>2026-09-17</t>
        </is>
      </c>
      <c r="BL693" s="10" t="inlineStr"/>
      <c r="BM693" s="10" t="inlineStr"/>
      <c r="BN693" s="10" t="inlineStr"/>
      <c r="BO693" s="10" t="inlineStr"/>
      <c r="BP693" s="10" t="inlineStr"/>
      <c r="BQ693" s="10" t="inlineStr"/>
    </row>
    <row r="694">
      <c r="A694" s="5" t="inlineStr">
        <is>
          <t>UK-000666</t>
        </is>
      </c>
      <c r="B694" s="5" t="inlineStr">
        <is>
          <t>UK-000666-01</t>
        </is>
      </c>
      <c r="C694" s="5" t="inlineStr"/>
      <c r="D694" s="5" t="inlineStr">
        <is>
          <t>The London Vape Company (Holloway)</t>
        </is>
      </c>
      <c r="E694" s="5" t="inlineStr">
        <is>
          <t>The London Vape Company</t>
        </is>
      </c>
      <c r="F694" s="5" t="inlineStr"/>
      <c r="G694" s="5" t="inlineStr">
        <is>
          <t>Vape Shop</t>
        </is>
      </c>
      <c r="H694" s="5" t="inlineStr">
        <is>
          <t>Vape hardware &amp; e-liquids</t>
        </is>
      </c>
      <c r="I694" s="5" t="inlineStr">
        <is>
          <t>Independent</t>
        </is>
      </c>
      <c r="J694" s="5" t="inlineStr">
        <is>
          <t>1</t>
        </is>
      </c>
      <c r="K694" s="5" t="inlineStr"/>
      <c r="L694" s="5" t="inlineStr"/>
      <c r="M694" s="5" t="inlineStr"/>
      <c r="N694" s="5" t="inlineStr"/>
      <c r="O694" s="5" t="inlineStr">
        <is>
          <t>213 Holloway Road</t>
        </is>
      </c>
      <c r="P694" s="5" t="inlineStr"/>
      <c r="Q694" s="5" t="inlineStr">
        <is>
          <t>Holloway</t>
        </is>
      </c>
      <c r="R694" s="5" t="inlineStr">
        <is>
          <t>Greater London</t>
        </is>
      </c>
      <c r="S694" s="5" t="inlineStr">
        <is>
          <t>N7 8DL</t>
        </is>
      </c>
      <c r="T694" s="5" t="inlineStr">
        <is>
          <t>London</t>
        </is>
      </c>
      <c r="U694" s="5" t="inlineStr">
        <is>
          <t>England</t>
        </is>
      </c>
      <c r="V694" s="5" t="inlineStr"/>
      <c r="W694" s="5" t="inlineStr"/>
      <c r="X694" s="5" t="inlineStr"/>
      <c r="Y694" s="5" t="inlineStr"/>
      <c r="Z694" s="5" t="inlineStr"/>
      <c r="AA694" s="5" t="inlineStr"/>
      <c r="AB694" s="5" t="inlineStr"/>
      <c r="AC694" s="5" t="inlineStr"/>
      <c r="AD694" s="5" t="inlineStr"/>
      <c r="AE694" s="5" t="inlineStr"/>
      <c r="AF694" s="5" t="inlineStr"/>
      <c r="AG694" s="5" t="inlineStr"/>
      <c r="AH694" s="5" t="inlineStr"/>
      <c r="AI694" s="5" t="inlineStr"/>
      <c r="AJ694" s="5" t="inlineStr"/>
      <c r="AK694" s="5" t="inlineStr">
        <is>
          <t>vape hardware; e-liquids</t>
        </is>
      </c>
      <c r="AL694" s="5" t="inlineStr"/>
      <c r="AM694" s="5" t="inlineStr">
        <is>
          <t>Vape Shop</t>
        </is>
      </c>
      <c r="AN694" s="5" t="inlineStr"/>
      <c r="AO694" s="5" t="inlineStr">
        <is>
          <t>Independent vape shop on Holloway Road listed via Yell vape shops (Holloway) directory. Phone not published in accessible snippet.</t>
        </is>
      </c>
      <c r="AP694" s="5" t="inlineStr">
        <is>
          <t>Medium</t>
        </is>
      </c>
      <c r="AQ694" s="5" t="inlineStr">
        <is>
          <t>Independent retailer; Core relevant category</t>
        </is>
      </c>
      <c r="AR694" s="5" t="inlineStr">
        <is>
          <t>https://www.yell.com/s/vape+shops-holloway-north+london.html</t>
        </is>
      </c>
      <c r="AS694" s="5" t="inlineStr"/>
      <c r="AT694" s="5" t="inlineStr">
        <is>
          <t>1</t>
        </is>
      </c>
      <c r="AU694" s="5" t="inlineStr">
        <is>
          <t>No</t>
        </is>
      </c>
      <c r="AV694" s="5" t="inlineStr">
        <is>
          <t>No</t>
        </is>
      </c>
      <c r="AW694" s="5" t="inlineStr">
        <is>
          <t>No</t>
        </is>
      </c>
      <c r="AX694" s="5" t="inlineStr">
        <is>
          <t>No</t>
        </is>
      </c>
      <c r="AY694" s="5" t="inlineStr">
        <is>
          <t>Not Found</t>
        </is>
      </c>
      <c r="AZ694" s="5" t="inlineStr">
        <is>
          <t>Not Found</t>
        </is>
      </c>
      <c r="BA694" s="5" t="inlineStr">
        <is>
          <t>2026-09-17</t>
        </is>
      </c>
      <c r="BB694" s="5" t="inlineStr">
        <is>
          <t>Requires Verification</t>
        </is>
      </c>
      <c r="BC694" s="5" t="inlineStr">
        <is>
          <t>Low</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UK-000521</t>
        </is>
      </c>
      <c r="B695" s="10" t="inlineStr">
        <is>
          <t>UK-000521-01</t>
        </is>
      </c>
      <c r="C695" s="10" t="inlineStr"/>
      <c r="D695" s="10" t="inlineStr">
        <is>
          <t>The Maltings Convenience Store</t>
        </is>
      </c>
      <c r="E695" s="10" t="inlineStr">
        <is>
          <t>The Maltings</t>
        </is>
      </c>
      <c r="F695" s="10" t="inlineStr"/>
      <c r="G695" s="10" t="inlineStr">
        <is>
          <t>Convenience Store</t>
        </is>
      </c>
      <c r="H695" s="10" t="inlineStr">
        <is>
          <t>Convenience store &amp; off-licence</t>
        </is>
      </c>
      <c r="I695" s="10" t="inlineStr">
        <is>
          <t>Independent</t>
        </is>
      </c>
      <c r="J695" s="10" t="inlineStr">
        <is>
          <t>1</t>
        </is>
      </c>
      <c r="K695" s="10" t="inlineStr"/>
      <c r="L695" s="10" t="inlineStr"/>
      <c r="M695" s="10" t="inlineStr"/>
      <c r="N695" s="10" t="inlineStr"/>
      <c r="O695" s="10" t="inlineStr">
        <is>
          <t>2 Anderson Road</t>
        </is>
      </c>
      <c r="P695" s="10" t="inlineStr">
        <is>
          <t>Bearwood</t>
        </is>
      </c>
      <c r="Q695" s="10" t="inlineStr">
        <is>
          <t>Smethwick</t>
        </is>
      </c>
      <c r="R695" s="10" t="inlineStr">
        <is>
          <t>West Midlands</t>
        </is>
      </c>
      <c r="S695" s="10" t="inlineStr">
        <is>
          <t>B66 4AR</t>
        </is>
      </c>
      <c r="T695" s="10" t="inlineStr">
        <is>
          <t>West Midlands</t>
        </is>
      </c>
      <c r="U695" s="10" t="inlineStr">
        <is>
          <t>England</t>
        </is>
      </c>
      <c r="V695" s="10" t="inlineStr"/>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groceries; convenience; beers; wines; spirits</t>
        </is>
      </c>
      <c r="AL695" s="10" t="inlineStr"/>
      <c r="AM695" s="10" t="inlineStr">
        <is>
          <t>Convenience Store</t>
        </is>
      </c>
      <c r="AN695" s="10" t="inlineStr"/>
      <c r="AO695" s="10" t="inlineStr">
        <is>
          <t>Independent convenience store, 2 Anderson Road, Bearwood, Smethwick. Address from 192.com/Cylex Smethwick convenience listings.</t>
        </is>
      </c>
      <c r="AP695" s="10" t="inlineStr">
        <is>
          <t>Low</t>
        </is>
      </c>
      <c r="AQ695" s="10" t="inlineStr">
        <is>
          <t>Independent retailer; Relevant category</t>
        </is>
      </c>
      <c r="AR695" s="10" t="inlineStr">
        <is>
          <t>https://www.192.com/atoz/business/smethwick/convenience--stores/</t>
        </is>
      </c>
      <c r="AS695" s="10" t="inlineStr"/>
      <c r="AT695" s="10" t="inlineStr">
        <is>
          <t>1</t>
        </is>
      </c>
      <c r="AU695" s="10" t="inlineStr">
        <is>
          <t>No</t>
        </is>
      </c>
      <c r="AV695" s="10" t="inlineStr">
        <is>
          <t>No</t>
        </is>
      </c>
      <c r="AW695" s="10" t="inlineStr">
        <is>
          <t>No</t>
        </is>
      </c>
      <c r="AX695" s="10" t="inlineStr">
        <is>
          <t>No</t>
        </is>
      </c>
      <c r="AY695" s="10" t="inlineStr">
        <is>
          <t>Not Found</t>
        </is>
      </c>
      <c r="AZ695" s="10" t="inlineStr">
        <is>
          <t>Not Found</t>
        </is>
      </c>
      <c r="BA695" s="10" t="inlineStr">
        <is>
          <t>2026-09-17</t>
        </is>
      </c>
      <c r="BB695" s="10" t="inlineStr">
        <is>
          <t>Requires Verification</t>
        </is>
      </c>
      <c r="BC695" s="10" t="inlineStr">
        <is>
          <t>Medium</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2026-09-17</t>
        </is>
      </c>
      <c r="BJ695" s="10" t="inlineStr">
        <is>
          <t>New</t>
        </is>
      </c>
      <c r="BK695" s="10" t="inlineStr">
        <is>
          <t>2026-09-17</t>
        </is>
      </c>
      <c r="BL695" s="10" t="inlineStr"/>
      <c r="BM695" s="10" t="inlineStr"/>
      <c r="BN695" s="10" t="inlineStr"/>
      <c r="BO695" s="10" t="inlineStr"/>
      <c r="BP695" s="10" t="inlineStr"/>
      <c r="BQ695" s="10" t="inlineStr"/>
    </row>
    <row r="696">
      <c r="A696" s="5" t="inlineStr">
        <is>
          <t>UK-000387</t>
        </is>
      </c>
      <c r="B696" s="5" t="inlineStr">
        <is>
          <t>UK-000387-01</t>
        </is>
      </c>
      <c r="C696" s="5" t="inlineStr"/>
      <c r="D696" s="5" t="inlineStr">
        <is>
          <t>The Off Licence (Chorley Old Road)</t>
        </is>
      </c>
      <c r="E696" s="5" t="inlineStr">
        <is>
          <t>The Off Licence</t>
        </is>
      </c>
      <c r="F696" s="5" t="inlineStr"/>
      <c r="G696" s="5" t="inlineStr">
        <is>
          <t>Off-Licence</t>
        </is>
      </c>
      <c r="H696" s="5" t="inlineStr"/>
      <c r="I696" s="5" t="inlineStr">
        <is>
          <t>Independent</t>
        </is>
      </c>
      <c r="J696" s="5" t="inlineStr">
        <is>
          <t>1</t>
        </is>
      </c>
      <c r="K696" s="5" t="inlineStr"/>
      <c r="L696" s="5" t="inlineStr"/>
      <c r="M696" s="5" t="inlineStr"/>
      <c r="N696" s="5" t="inlineStr"/>
      <c r="O696" s="5" t="inlineStr">
        <is>
          <t>270-272 Chorley Old Road</t>
        </is>
      </c>
      <c r="P696" s="5" t="inlineStr"/>
      <c r="Q696" s="5" t="inlineStr">
        <is>
          <t>Bolton</t>
        </is>
      </c>
      <c r="R696" s="5" t="inlineStr">
        <is>
          <t>Greater Manchester</t>
        </is>
      </c>
      <c r="S696" s="5" t="inlineStr">
        <is>
          <t>BL1 4JE</t>
        </is>
      </c>
      <c r="T696" s="5" t="inlineStr">
        <is>
          <t>North West</t>
        </is>
      </c>
      <c r="U696" s="5" t="inlineStr">
        <is>
          <t>England</t>
        </is>
      </c>
      <c r="V696" s="5" t="inlineStr">
        <is>
          <t>07411 497826</t>
        </is>
      </c>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beer; wine; spirits; convenience</t>
        </is>
      </c>
      <c r="AL696" s="5" t="inlineStr"/>
      <c r="AM696" s="5" t="inlineStr">
        <is>
          <t>Off-Licence</t>
        </is>
      </c>
      <c r="AN696" s="5" t="inlineStr"/>
      <c r="AO696" s="5" t="inlineStr">
        <is>
          <t>Independent off-licence on Chorley Old Road, Bolton (BL1 4JE), listed via Bolton Online.</t>
        </is>
      </c>
      <c r="AP696" s="5" t="inlineStr">
        <is>
          <t>Low</t>
        </is>
      </c>
      <c r="AQ696" s="5" t="inlineStr">
        <is>
          <t>Independent retailer; Relevant category</t>
        </is>
      </c>
      <c r="AR696" s="5" t="inlineStr">
        <is>
          <t>https://www.boltononline.org.uk/info/6391/</t>
        </is>
      </c>
      <c r="AS696" s="5" t="inlineStr"/>
      <c r="AT696" s="5" t="inlineStr">
        <is>
          <t>1</t>
        </is>
      </c>
      <c r="AU696" s="5" t="inlineStr">
        <is>
          <t>No</t>
        </is>
      </c>
      <c r="AV696" s="5" t="inlineStr">
        <is>
          <t>No</t>
        </is>
      </c>
      <c r="AW696" s="5" t="inlineStr">
        <is>
          <t>No</t>
        </is>
      </c>
      <c r="AX696" s="5" t="inlineStr">
        <is>
          <t>No</t>
        </is>
      </c>
      <c r="AY696" s="5" t="inlineStr">
        <is>
          <t>Verified directory</t>
        </is>
      </c>
      <c r="AZ696" s="5" t="inlineStr">
        <is>
          <t>Not Found</t>
        </is>
      </c>
      <c r="BA696" s="5" t="inlineStr">
        <is>
          <t>2026-09-17</t>
        </is>
      </c>
      <c r="BB696" s="5" t="inlineStr">
        <is>
          <t>Requires Verification</t>
        </is>
      </c>
      <c r="BC696" s="5" t="inlineStr">
        <is>
          <t>Low</t>
        </is>
      </c>
      <c r="BD696" s="5" t="inlineStr"/>
      <c r="BE696" s="5" t="inlineStr">
        <is>
          <t>Business (B2B)</t>
        </is>
      </c>
      <c r="BF696" s="5" t="inlineStr">
        <is>
          <t>Legitimate interest (B2B) - assess per campaign; PECR: corporate subscribers</t>
        </is>
      </c>
      <c r="BG696" s="5" t="inlineStr"/>
      <c r="BH696" s="5" t="inlineStr">
        <is>
          <t>No</t>
        </is>
      </c>
      <c r="BI696" s="5" t="inlineStr">
        <is>
          <t>2026-09-17</t>
        </is>
      </c>
      <c r="BJ696" s="5" t="inlineStr">
        <is>
          <t>New</t>
        </is>
      </c>
      <c r="BK696" s="5" t="inlineStr">
        <is>
          <t>2026-09-17</t>
        </is>
      </c>
      <c r="BL696" s="5" t="inlineStr"/>
      <c r="BM696" s="5" t="inlineStr"/>
      <c r="BN696" s="5" t="inlineStr"/>
      <c r="BO696" s="5" t="inlineStr"/>
      <c r="BP696" s="5" t="inlineStr"/>
      <c r="BQ696" s="5" t="inlineStr"/>
    </row>
    <row r="697">
      <c r="A697" s="10" t="inlineStr">
        <is>
          <t>UK-000825</t>
        </is>
      </c>
      <c r="B697" s="10" t="inlineStr">
        <is>
          <t>UK-000825-01</t>
        </is>
      </c>
      <c r="C697" s="10" t="inlineStr"/>
      <c r="D697" s="10" t="inlineStr">
        <is>
          <t>The Pipe Shop</t>
        </is>
      </c>
      <c r="E697" s="10" t="inlineStr">
        <is>
          <t>The Pipe Shop</t>
        </is>
      </c>
      <c r="F697" s="10" t="inlineStr">
        <is>
          <t>The Pipe Shop Ltd</t>
        </is>
      </c>
      <c r="G697" s="10" t="inlineStr">
        <is>
          <t>Tobacco Specialist</t>
        </is>
      </c>
      <c r="H697" s="10" t="inlineStr">
        <is>
          <t>Pipes, cigars &amp; tobacco</t>
        </is>
      </c>
      <c r="I697" s="10" t="inlineStr">
        <is>
          <t>Independent</t>
        </is>
      </c>
      <c r="J697" s="10" t="inlineStr">
        <is>
          <t>1</t>
        </is>
      </c>
      <c r="K697" s="10" t="inlineStr"/>
      <c r="L697" s="10" t="inlineStr"/>
      <c r="M697" s="10" t="inlineStr"/>
      <c r="N697" s="10" t="inlineStr"/>
      <c r="O697" s="10" t="inlineStr">
        <is>
          <t>92 Leith Walk</t>
        </is>
      </c>
      <c r="P697" s="10" t="inlineStr"/>
      <c r="Q697" s="10" t="inlineStr">
        <is>
          <t>Edinburgh</t>
        </is>
      </c>
      <c r="R697" s="10" t="inlineStr">
        <is>
          <t>City of Edinburgh</t>
        </is>
      </c>
      <c r="S697" s="10" t="inlineStr">
        <is>
          <t>EH6 5HB</t>
        </is>
      </c>
      <c r="T697" s="10" t="inlineStr">
        <is>
          <t>Scotland</t>
        </is>
      </c>
      <c r="U697" s="10" t="inlineStr">
        <is>
          <t>Scotland</t>
        </is>
      </c>
      <c r="V697" s="10" t="inlineStr">
        <is>
          <t>0131 553 3561</t>
        </is>
      </c>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pipe tobacco; cigars; smoking accessories</t>
        </is>
      </c>
      <c r="AL697" s="10" t="inlineStr"/>
      <c r="AM697" s="10" t="inlineStr">
        <is>
          <t>Tobacco Specialist</t>
        </is>
      </c>
      <c r="AN697" s="10" t="inlineStr"/>
      <c r="AO697" s="10" t="inlineStr">
        <is>
          <t>Long-established independent tobacconist on Leith Walk (est. 1957), specialist in pipes, cigars and tobacco. Legal name The Pipe Shop Ltd per Yell listing. Details from Yell/Cylex snippet.</t>
        </is>
      </c>
      <c r="AP697" s="10" t="inlineStr">
        <is>
          <t>Medium</t>
        </is>
      </c>
      <c r="AQ697" s="10" t="inlineStr">
        <is>
          <t>Independent retailer; Core relevant category</t>
        </is>
      </c>
      <c r="AR697" s="10" t="inlineStr">
        <is>
          <t>https://www.yell.com/biz/the-pipe-shop-ltd-edinburgh-689764/</t>
        </is>
      </c>
      <c r="AS697" s="10" t="inlineStr"/>
      <c r="AT697" s="10" t="inlineStr">
        <is>
          <t>1</t>
        </is>
      </c>
      <c r="AU697" s="10" t="inlineStr">
        <is>
          <t>No</t>
        </is>
      </c>
      <c r="AV697" s="10" t="inlineStr">
        <is>
          <t>No</t>
        </is>
      </c>
      <c r="AW697" s="10" t="inlineStr">
        <is>
          <t>No</t>
        </is>
      </c>
      <c r="AX697" s="10" t="inlineStr">
        <is>
          <t>No</t>
        </is>
      </c>
      <c r="AY697" s="10" t="inlineStr">
        <is>
          <t>Verified directory</t>
        </is>
      </c>
      <c r="AZ697" s="10" t="inlineStr">
        <is>
          <t>Not Found</t>
        </is>
      </c>
      <c r="BA697" s="10" t="inlineStr">
        <is>
          <t>2026-09-17</t>
        </is>
      </c>
      <c r="BB697" s="10" t="inlineStr">
        <is>
          <t>Requires Verification</t>
        </is>
      </c>
      <c r="BC697" s="10" t="inlineStr">
        <is>
          <t>Medium</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2026-09-17</t>
        </is>
      </c>
      <c r="BJ697" s="10" t="inlineStr">
        <is>
          <t>New</t>
        </is>
      </c>
      <c r="BK697" s="10" t="inlineStr">
        <is>
          <t>2026-09-17</t>
        </is>
      </c>
      <c r="BL697" s="10" t="inlineStr"/>
      <c r="BM697" s="10" t="inlineStr"/>
      <c r="BN697" s="10" t="inlineStr"/>
      <c r="BO697" s="10" t="inlineStr"/>
      <c r="BP697" s="10" t="inlineStr"/>
      <c r="BQ697" s="10" t="inlineStr"/>
    </row>
    <row r="698">
      <c r="A698" s="5" t="inlineStr">
        <is>
          <t>UK-000522</t>
        </is>
      </c>
      <c r="B698" s="5" t="inlineStr">
        <is>
          <t>UK-000522-01</t>
        </is>
      </c>
      <c r="C698" s="5" t="inlineStr"/>
      <c r="D698" s="5" t="inlineStr">
        <is>
          <t>The Polish Shop Cash &amp; Carry Ltd</t>
        </is>
      </c>
      <c r="E698" s="5" t="inlineStr">
        <is>
          <t>The Polish Shop Cash &amp; Carry</t>
        </is>
      </c>
      <c r="F698" s="5" t="inlineStr">
        <is>
          <t>The Polish Shop Cash &amp; Carry Ltd</t>
        </is>
      </c>
      <c r="G698" s="5" t="inlineStr">
        <is>
          <t>Cash &amp; Carry</t>
        </is>
      </c>
      <c r="H698" s="5" t="inlineStr">
        <is>
          <t>Polish/European food cash &amp; carry</t>
        </is>
      </c>
      <c r="I698" s="5" t="inlineStr">
        <is>
          <t>Independent</t>
        </is>
      </c>
      <c r="J698" s="5" t="inlineStr">
        <is>
          <t>1</t>
        </is>
      </c>
      <c r="K698" s="5" t="inlineStr"/>
      <c r="L698" s="5" t="inlineStr"/>
      <c r="M698" s="5" t="inlineStr"/>
      <c r="N698" s="5" t="inlineStr"/>
      <c r="O698" s="5" t="inlineStr"/>
      <c r="P698" s="5" t="inlineStr"/>
      <c r="Q698" s="5" t="inlineStr">
        <is>
          <t>West Bromwich</t>
        </is>
      </c>
      <c r="R698" s="5" t="inlineStr">
        <is>
          <t>West Midlands</t>
        </is>
      </c>
      <c r="S698" s="5" t="inlineStr">
        <is>
          <t>B70</t>
        </is>
      </c>
      <c r="T698" s="5" t="inlineStr">
        <is>
          <t>West Midlands</t>
        </is>
      </c>
      <c r="U698" s="5" t="inlineStr">
        <is>
          <t>England</t>
        </is>
      </c>
      <c r="V698" s="5" t="inlineStr"/>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Polish/European groceries; wholesale; convenience</t>
        </is>
      </c>
      <c r="AL698" s="5" t="inlineStr"/>
      <c r="AM698" s="5" t="inlineStr">
        <is>
          <t>Cash &amp; Carry</t>
        </is>
      </c>
      <c r="AN698" s="5" t="inlineStr"/>
      <c r="AO698" s="5" t="inlineStr">
        <is>
          <t>Independent Polish/European food cash &amp; carry in West Bromwich (B70), trading as a limited company. Listed on Yell/192.com; full street address not captured in snippet.</t>
        </is>
      </c>
      <c r="AP698" s="5" t="inlineStr">
        <is>
          <t>Medium</t>
        </is>
      </c>
      <c r="AQ698" s="5" t="inlineStr">
        <is>
          <t>Independent retailer; Core relevant category</t>
        </is>
      </c>
      <c r="AR698" s="5" t="inlineStr">
        <is>
          <t>https://www.yell.com/biz/the-polish-shop-cash-and-carry-ltd-west-bromwich-7882066/</t>
        </is>
      </c>
      <c r="AS698" s="5" t="inlineStr"/>
      <c r="AT698" s="5" t="inlineStr">
        <is>
          <t>1</t>
        </is>
      </c>
      <c r="AU698" s="5" t="inlineStr">
        <is>
          <t>No</t>
        </is>
      </c>
      <c r="AV698" s="5" t="inlineStr">
        <is>
          <t>No</t>
        </is>
      </c>
      <c r="AW698" s="5" t="inlineStr">
        <is>
          <t>No</t>
        </is>
      </c>
      <c r="AX698" s="5" t="inlineStr">
        <is>
          <t>No</t>
        </is>
      </c>
      <c r="AY698" s="5" t="inlineStr">
        <is>
          <t>Not Found</t>
        </is>
      </c>
      <c r="AZ698" s="5" t="inlineStr">
        <is>
          <t>Not Found</t>
        </is>
      </c>
      <c r="BA698" s="5" t="inlineStr">
        <is>
          <t>2026-09-17</t>
        </is>
      </c>
      <c r="BB698" s="5" t="inlineStr">
        <is>
          <t>Requires Verification</t>
        </is>
      </c>
      <c r="BC698" s="5" t="inlineStr">
        <is>
          <t>Medium</t>
        </is>
      </c>
      <c r="BD698" s="5" t="inlineStr"/>
      <c r="BE698" s="5" t="inlineStr">
        <is>
          <t>Business (B2B)</t>
        </is>
      </c>
      <c r="BF698" s="5" t="inlineStr">
        <is>
          <t>Legitimate interest (B2B) - assess per campaign; PECR: corporate subscribers</t>
        </is>
      </c>
      <c r="BG698" s="5" t="inlineStr"/>
      <c r="BH698" s="5" t="inlineStr">
        <is>
          <t>No</t>
        </is>
      </c>
      <c r="BI698" s="5" t="inlineStr">
        <is>
          <t>2026-09-17</t>
        </is>
      </c>
      <c r="BJ698" s="5" t="inlineStr">
        <is>
          <t>New</t>
        </is>
      </c>
      <c r="BK698" s="5" t="inlineStr">
        <is>
          <t>2026-09-17</t>
        </is>
      </c>
      <c r="BL698" s="5" t="inlineStr"/>
      <c r="BM698" s="5" t="inlineStr"/>
      <c r="BN698" s="5" t="inlineStr"/>
      <c r="BO698" s="5" t="inlineStr"/>
      <c r="BP698" s="5" t="inlineStr"/>
      <c r="BQ698" s="5" t="inlineStr"/>
    </row>
    <row r="699">
      <c r="A699" s="10" t="inlineStr">
        <is>
          <t>UK-000523</t>
        </is>
      </c>
      <c r="B699" s="10" t="inlineStr">
        <is>
          <t>UK-000523-01</t>
        </is>
      </c>
      <c r="C699" s="10" t="inlineStr"/>
      <c r="D699" s="10" t="inlineStr">
        <is>
          <t>The Seafood Centre</t>
        </is>
      </c>
      <c r="E699" s="10" t="inlineStr">
        <is>
          <t>The Seafood Centre</t>
        </is>
      </c>
      <c r="F699" s="10" t="inlineStr"/>
      <c r="G699" s="10" t="inlineStr">
        <is>
          <t>Cash &amp; Carry</t>
        </is>
      </c>
      <c r="H699" s="10" t="inlineStr">
        <is>
          <t>Seafood wholesaler</t>
        </is>
      </c>
      <c r="I699" s="10" t="inlineStr">
        <is>
          <t>Independent</t>
        </is>
      </c>
      <c r="J699" s="10" t="inlineStr">
        <is>
          <t>1</t>
        </is>
      </c>
      <c r="K699" s="10" t="inlineStr"/>
      <c r="L699" s="10" t="inlineStr"/>
      <c r="M699" s="10" t="inlineStr"/>
      <c r="N699" s="10" t="inlineStr"/>
      <c r="O699" s="10" t="inlineStr">
        <is>
          <t>37 Regal Drive</t>
        </is>
      </c>
      <c r="P699" s="10" t="inlineStr"/>
      <c r="Q699" s="10" t="inlineStr">
        <is>
          <t>Walsall</t>
        </is>
      </c>
      <c r="R699" s="10" t="inlineStr">
        <is>
          <t>West Midlands</t>
        </is>
      </c>
      <c r="S699" s="10" t="inlineStr">
        <is>
          <t>WS2 9HQ</t>
        </is>
      </c>
      <c r="T699" s="10" t="inlineStr">
        <is>
          <t>West Midlands</t>
        </is>
      </c>
      <c r="U699" s="10" t="inlineStr">
        <is>
          <t>England</t>
        </is>
      </c>
      <c r="V699" s="10" t="inlineStr"/>
      <c r="W699" s="10" t="inlineStr"/>
      <c r="X699" s="10" t="inlineStr"/>
      <c r="Y699" s="10" t="inlineStr"/>
      <c r="Z699" s="10" t="inlineStr"/>
      <c r="AA699" s="10" t="inlineStr"/>
      <c r="AB699" s="10" t="inlineStr"/>
      <c r="AC699" s="10" t="inlineStr"/>
      <c r="AD699" s="10" t="inlineStr"/>
      <c r="AE699" s="10" t="inlineStr"/>
      <c r="AF699" s="10" t="inlineStr"/>
      <c r="AG699" s="10" t="inlineStr"/>
      <c r="AH699" s="10" t="inlineStr"/>
      <c r="AI699" s="10" t="inlineStr"/>
      <c r="AJ699" s="10" t="inlineStr"/>
      <c r="AK699" s="10" t="inlineStr">
        <is>
          <t>seafood; wholesale; trade &amp; public</t>
        </is>
      </c>
      <c r="AL699" s="10" t="inlineStr"/>
      <c r="AM699" s="10" t="inlineStr">
        <is>
          <t>Cash &amp; Carry</t>
        </is>
      </c>
      <c r="AN699" s="10" t="inlineStr">
        <is>
          <t>Wholesale-price seafood, open to public weekends.</t>
        </is>
      </c>
      <c r="AO699" s="10" t="inlineStr">
        <is>
          <t>Independent seafood cash &amp; carry, Regal Drive, Walsall.</t>
        </is>
      </c>
      <c r="AP699" s="10" t="inlineStr">
        <is>
          <t>Medium</t>
        </is>
      </c>
      <c r="AQ699" s="10" t="inlineStr">
        <is>
          <t>Independent retailer; Core relevant category</t>
        </is>
      </c>
      <c r="AR699" s="10" t="inlineStr">
        <is>
          <t>https://wholesalersbirmingham.co.uk/cash-and-carry-walsall/</t>
        </is>
      </c>
      <c r="AS699" s="10" t="inlineStr"/>
      <c r="AT699" s="10" t="inlineStr">
        <is>
          <t>1</t>
        </is>
      </c>
      <c r="AU699" s="10" t="inlineStr">
        <is>
          <t>No</t>
        </is>
      </c>
      <c r="AV699" s="10" t="inlineStr">
        <is>
          <t>No</t>
        </is>
      </c>
      <c r="AW699" s="10" t="inlineStr">
        <is>
          <t>No</t>
        </is>
      </c>
      <c r="AX699" s="10" t="inlineStr">
        <is>
          <t>No</t>
        </is>
      </c>
      <c r="AY699" s="10" t="inlineStr">
        <is>
          <t>Not Found</t>
        </is>
      </c>
      <c r="AZ699" s="10" t="inlineStr">
        <is>
          <t>Not Found</t>
        </is>
      </c>
      <c r="BA699" s="10" t="inlineStr">
        <is>
          <t>2026-09-17</t>
        </is>
      </c>
      <c r="BB699" s="10" t="inlineStr">
        <is>
          <t>Requires Verification</t>
        </is>
      </c>
      <c r="BC699" s="10" t="inlineStr">
        <is>
          <t>Low</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2026-09-17</t>
        </is>
      </c>
      <c r="BJ699" s="10" t="inlineStr">
        <is>
          <t>New</t>
        </is>
      </c>
      <c r="BK699" s="10" t="inlineStr">
        <is>
          <t>2026-09-17</t>
        </is>
      </c>
      <c r="BL699" s="10" t="inlineStr"/>
      <c r="BM699" s="10" t="inlineStr"/>
      <c r="BN699" s="10" t="inlineStr"/>
      <c r="BO699" s="10" t="inlineStr"/>
      <c r="BP699" s="10" t="inlineStr"/>
      <c r="BQ699" s="10" t="inlineStr"/>
    </row>
    <row r="700">
      <c r="A700" s="5" t="inlineStr">
        <is>
          <t>UK-000388</t>
        </is>
      </c>
      <c r="B700" s="5" t="inlineStr">
        <is>
          <t>UK-000388-01</t>
        </is>
      </c>
      <c r="C700" s="5" t="inlineStr"/>
      <c r="D700" s="5" t="inlineStr">
        <is>
          <t>The Shack Horwich</t>
        </is>
      </c>
      <c r="E700" s="5" t="inlineStr">
        <is>
          <t>The Shack</t>
        </is>
      </c>
      <c r="F700" s="5" t="inlineStr"/>
      <c r="G700" s="5" t="inlineStr">
        <is>
          <t>Vape Shop</t>
        </is>
      </c>
      <c r="H700" s="5" t="inlineStr"/>
      <c r="I700" s="5" t="inlineStr">
        <is>
          <t>Independent</t>
        </is>
      </c>
      <c r="J700" s="5" t="inlineStr">
        <is>
          <t>1</t>
        </is>
      </c>
      <c r="K700" s="5" t="inlineStr"/>
      <c r="L700" s="5" t="inlineStr"/>
      <c r="M700" s="5" t="inlineStr"/>
      <c r="N700" s="5" t="inlineStr"/>
      <c r="O700" s="5" t="inlineStr">
        <is>
          <t>92 Winter Hey Lane</t>
        </is>
      </c>
      <c r="P700" s="5" t="inlineStr">
        <is>
          <t>Horwich</t>
        </is>
      </c>
      <c r="Q700" s="5" t="inlineStr">
        <is>
          <t>Bolton</t>
        </is>
      </c>
      <c r="R700" s="5" t="inlineStr">
        <is>
          <t>Greater Manchester</t>
        </is>
      </c>
      <c r="S700" s="5" t="inlineStr">
        <is>
          <t>BL6 7NZ</t>
        </is>
      </c>
      <c r="T700" s="5" t="inlineStr">
        <is>
          <t>North West</t>
        </is>
      </c>
      <c r="U700" s="5" t="inlineStr">
        <is>
          <t>England</t>
        </is>
      </c>
      <c r="V700" s="5" t="inlineStr"/>
      <c r="W700" s="5" t="inlineStr"/>
      <c r="X700" s="5" t="inlineStr"/>
      <c r="Y700" s="5" t="inlineStr"/>
      <c r="Z700" s="5" t="inlineStr"/>
      <c r="AA700" s="5" t="inlineStr"/>
      <c r="AB700" s="5" t="inlineStr"/>
      <c r="AC700" s="5" t="inlineStr"/>
      <c r="AD700" s="5" t="inlineStr"/>
      <c r="AE700" s="5" t="inlineStr"/>
      <c r="AF700" s="5" t="inlineStr"/>
      <c r="AG700" s="5" t="inlineStr"/>
      <c r="AH700" s="5" t="inlineStr"/>
      <c r="AI700" s="5" t="inlineStr"/>
      <c r="AJ700" s="5" t="inlineStr"/>
      <c r="AK700" s="5" t="inlineStr">
        <is>
          <t>vape hardware; e-liquids</t>
        </is>
      </c>
      <c r="AL700" s="5" t="inlineStr"/>
      <c r="AM700" s="5" t="inlineStr">
        <is>
          <t>Vape Shop</t>
        </is>
      </c>
      <c r="AN700" s="5" t="inlineStr"/>
      <c r="AO700" s="5" t="inlineStr">
        <is>
          <t>Independent vape shop on Winter Hey Lane, Horwich.</t>
        </is>
      </c>
      <c r="AP700" s="5" t="inlineStr">
        <is>
          <t>Medium</t>
        </is>
      </c>
      <c r="AQ700" s="5" t="inlineStr">
        <is>
          <t>Independent retailer; Core relevant category</t>
        </is>
      </c>
      <c r="AR700" s="5" t="inlineStr">
        <is>
          <t>https://vapeshops.puffingbird.com/england/bolton</t>
        </is>
      </c>
      <c r="AS700" s="5" t="inlineStr"/>
      <c r="AT700" s="5" t="inlineStr">
        <is>
          <t>1</t>
        </is>
      </c>
      <c r="AU700" s="5" t="inlineStr">
        <is>
          <t>No</t>
        </is>
      </c>
      <c r="AV700" s="5" t="inlineStr">
        <is>
          <t>No</t>
        </is>
      </c>
      <c r="AW700" s="5" t="inlineStr">
        <is>
          <t>No</t>
        </is>
      </c>
      <c r="AX700" s="5" t="inlineStr">
        <is>
          <t>No</t>
        </is>
      </c>
      <c r="AY700" s="5" t="inlineStr">
        <is>
          <t>Not Found</t>
        </is>
      </c>
      <c r="AZ700" s="5" t="inlineStr">
        <is>
          <t>Not Found</t>
        </is>
      </c>
      <c r="BA700" s="5" t="inlineStr">
        <is>
          <t>2026-09-17</t>
        </is>
      </c>
      <c r="BB700" s="5" t="inlineStr">
        <is>
          <t>Requires Verification</t>
        </is>
      </c>
      <c r="BC700" s="5" t="inlineStr">
        <is>
          <t>Low</t>
        </is>
      </c>
      <c r="BD700" s="5" t="inlineStr"/>
      <c r="BE700" s="5" t="inlineStr">
        <is>
          <t>Business (B2B)</t>
        </is>
      </c>
      <c r="BF700" s="5" t="inlineStr">
        <is>
          <t>Legitimate interest (B2B) - assess per campaign; PECR: corporate subscribers</t>
        </is>
      </c>
      <c r="BG700" s="5" t="inlineStr"/>
      <c r="BH700" s="5" t="inlineStr">
        <is>
          <t>No</t>
        </is>
      </c>
      <c r="BI700" s="5" t="inlineStr">
        <is>
          <t>2026-09-17</t>
        </is>
      </c>
      <c r="BJ700" s="5" t="inlineStr">
        <is>
          <t>New</t>
        </is>
      </c>
      <c r="BK700" s="5" t="inlineStr">
        <is>
          <t>2026-09-17</t>
        </is>
      </c>
      <c r="BL700" s="5" t="inlineStr"/>
      <c r="BM700" s="5" t="inlineStr"/>
      <c r="BN700" s="5" t="inlineStr"/>
      <c r="BO700" s="5" t="inlineStr"/>
      <c r="BP700" s="5" t="inlineStr"/>
      <c r="BQ700" s="5" t="inlineStr"/>
    </row>
    <row r="701">
      <c r="A701" s="10" t="inlineStr">
        <is>
          <t>WY-0160</t>
        </is>
      </c>
      <c r="B701" s="10" t="inlineStr">
        <is>
          <t>WY-0160-01</t>
        </is>
      </c>
      <c r="C701" s="10" t="inlineStr"/>
      <c r="D701" s="10" t="inlineStr">
        <is>
          <t>The Shisha Shop Bradford</t>
        </is>
      </c>
      <c r="E701" s="10" t="inlineStr">
        <is>
          <t>The Shisha Shop Bradford</t>
        </is>
      </c>
      <c r="F701" s="10" t="inlineStr"/>
      <c r="G701" s="10" t="inlineStr">
        <is>
          <t>Smoke / Shisha Shop</t>
        </is>
      </c>
      <c r="H701" s="10" t="inlineStr">
        <is>
          <t>Shisha retail &amp; wholesale (pipes, flavour, charcoal)</t>
        </is>
      </c>
      <c r="I701" s="10" t="inlineStr">
        <is>
          <t>Independent</t>
        </is>
      </c>
      <c r="J701" s="10" t="inlineStr">
        <is>
          <t>1</t>
        </is>
      </c>
      <c r="K701" s="10" t="inlineStr"/>
      <c r="L701" s="10" t="inlineStr"/>
      <c r="M701" s="10" t="inlineStr">
        <is>
          <t>https://www.instagram.com/theshishashopbradford/</t>
        </is>
      </c>
      <c r="N701" s="10" t="inlineStr"/>
      <c r="O701" s="10" t="inlineStr">
        <is>
          <t>61 Leeds Road</t>
        </is>
      </c>
      <c r="P701" s="10" t="inlineStr"/>
      <c r="Q701" s="10" t="inlineStr">
        <is>
          <t>Bradford</t>
        </is>
      </c>
      <c r="R701" s="10" t="inlineStr">
        <is>
          <t>West Yorkshire</t>
        </is>
      </c>
      <c r="S701" s="10" t="inlineStr">
        <is>
          <t>BD1 5DY</t>
        </is>
      </c>
      <c r="T701" s="10" t="inlineStr">
        <is>
          <t>Yorkshire &amp; Humber</t>
        </is>
      </c>
      <c r="U701" s="10" t="inlineStr">
        <is>
          <t>England</t>
        </is>
      </c>
      <c r="V701" s="10" t="inlineStr">
        <is>
          <t>07466 392838</t>
        </is>
      </c>
      <c r="W701" s="10" t="inlineStr"/>
      <c r="X701" s="10" t="inlineStr"/>
      <c r="Y701" s="10" t="inlineStr"/>
      <c r="Z701" s="10" t="inlineStr"/>
      <c r="AA701" s="10" t="inlineStr"/>
      <c r="AB701" s="10" t="inlineStr"/>
      <c r="AC701" s="10" t="inlineStr"/>
      <c r="AD701" s="10" t="inlineStr"/>
      <c r="AE701" s="10" t="inlineStr"/>
      <c r="AF701" s="10" t="inlineStr"/>
      <c r="AG701" s="10" t="inlineStr"/>
      <c r="AH701" s="10" t="inlineStr"/>
      <c r="AI701" s="10" t="inlineStr"/>
      <c r="AJ701" s="10" t="inlineStr"/>
      <c r="AK701" s="10" t="inlineStr">
        <is>
          <t>shisha pipes; shisha flavour; charcoal; accessories</t>
        </is>
      </c>
      <c r="AL701" s="10" t="inlineStr"/>
      <c r="AM701" s="10" t="inlineStr">
        <is>
          <t>Smoke / Shisha Shop</t>
        </is>
      </c>
      <c r="AN701" s="10" t="inlineStr"/>
      <c r="AO701" s="10" t="inlineStr">
        <is>
          <t>Retails AND wholesales shisha products - potential trade buyer. Phone is a WhatsApp number taken from its Instagram profile as summarised in search results.</t>
        </is>
      </c>
      <c r="AP701" s="10" t="inlineStr">
        <is>
          <t>Medium</t>
        </is>
      </c>
      <c r="AQ701" s="10" t="inlineStr">
        <is>
          <t>Independent retailer; Core relevant category; Social presence</t>
        </is>
      </c>
      <c r="AR701" s="10" t="inlineStr">
        <is>
          <t>https://www.instagram.com/theshishashopbradford/</t>
        </is>
      </c>
      <c r="AS701" s="10" t="inlineStr"/>
      <c r="AT701" s="10" t="inlineStr">
        <is>
          <t>1</t>
        </is>
      </c>
      <c r="AU701" s="10" t="inlineStr">
        <is>
          <t>No</t>
        </is>
      </c>
      <c r="AV701" s="10" t="inlineStr">
        <is>
          <t>No</t>
        </is>
      </c>
      <c r="AW701" s="10" t="inlineStr">
        <is>
          <t>No</t>
        </is>
      </c>
      <c r="AX701" s="10" t="inlineStr">
        <is>
          <t>No</t>
        </is>
      </c>
      <c r="AY701" s="10" t="inlineStr">
        <is>
          <t>Unverified</t>
        </is>
      </c>
      <c r="AZ701" s="10" t="inlineStr">
        <is>
          <t>Not Found</t>
        </is>
      </c>
      <c r="BA701" s="10" t="inlineStr">
        <is>
          <t>2026-09-17</t>
        </is>
      </c>
      <c r="BB701" s="10" t="inlineStr">
        <is>
          <t>Requires Verification</t>
        </is>
      </c>
      <c r="BC701" s="10" t="inlineStr">
        <is>
          <t>Medium</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2026-09-16</t>
        </is>
      </c>
      <c r="BJ701" s="10" t="inlineStr">
        <is>
          <t>New</t>
        </is>
      </c>
      <c r="BK701" s="10" t="inlineStr">
        <is>
          <t>2026-09-17</t>
        </is>
      </c>
      <c r="BL701" s="10" t="inlineStr"/>
      <c r="BM701" s="10" t="inlineStr"/>
      <c r="BN701" s="10" t="inlineStr"/>
      <c r="BO701" s="10" t="inlineStr"/>
      <c r="BP701" s="10" t="inlineStr"/>
      <c r="BQ701" s="10" t="inlineStr"/>
    </row>
    <row r="702">
      <c r="A702" s="5" t="inlineStr">
        <is>
          <t>UK-000283</t>
        </is>
      </c>
      <c r="B702" s="5" t="inlineStr">
        <is>
          <t>UK-000283-01</t>
        </is>
      </c>
      <c r="C702" s="5" t="inlineStr"/>
      <c r="D702" s="5" t="inlineStr">
        <is>
          <t>The Vape Centre York</t>
        </is>
      </c>
      <c r="E702" s="5" t="inlineStr">
        <is>
          <t>The Vape Centre</t>
        </is>
      </c>
      <c r="F702" s="5" t="inlineStr"/>
      <c r="G702" s="5" t="inlineStr">
        <is>
          <t>Vape Shop</t>
        </is>
      </c>
      <c r="H702" s="5" t="inlineStr">
        <is>
          <t>Vape hardware &amp; e-liquid shop</t>
        </is>
      </c>
      <c r="I702" s="5" t="inlineStr">
        <is>
          <t>Independent</t>
        </is>
      </c>
      <c r="J702" s="5" t="inlineStr">
        <is>
          <t>1</t>
        </is>
      </c>
      <c r="K702" s="5" t="inlineStr"/>
      <c r="L702" s="5" t="inlineStr"/>
      <c r="M702" s="5" t="inlineStr"/>
      <c r="N702" s="5" t="inlineStr"/>
      <c r="O702" s="5" t="inlineStr">
        <is>
          <t>2 Gillygate</t>
        </is>
      </c>
      <c r="P702" s="5" t="inlineStr"/>
      <c r="Q702" s="5" t="inlineStr">
        <is>
          <t>York</t>
        </is>
      </c>
      <c r="R702" s="5" t="inlineStr">
        <is>
          <t>North Yorkshire</t>
        </is>
      </c>
      <c r="S702" s="5" t="inlineStr">
        <is>
          <t>YO31 7EA</t>
        </is>
      </c>
      <c r="T702" s="5" t="inlineStr">
        <is>
          <t>Yorkshire &amp; Humber</t>
        </is>
      </c>
      <c r="U702" s="5" t="inlineStr">
        <is>
          <t>England</t>
        </is>
      </c>
      <c r="V702" s="5" t="inlineStr">
        <is>
          <t>01904 927903</t>
        </is>
      </c>
      <c r="W702" s="5" t="inlineStr"/>
      <c r="X702" s="5" t="inlineStr"/>
      <c r="Y702" s="5" t="inlineStr"/>
      <c r="Z702" s="5" t="inlineStr"/>
      <c r="AA702" s="5" t="inlineStr"/>
      <c r="AB702" s="5" t="inlineStr"/>
      <c r="AC702" s="5" t="inlineStr"/>
      <c r="AD702" s="5" t="inlineStr"/>
      <c r="AE702" s="5" t="inlineStr"/>
      <c r="AF702" s="5" t="inlineStr"/>
      <c r="AG702" s="5" t="inlineStr"/>
      <c r="AH702" s="5" t="inlineStr"/>
      <c r="AI702" s="5" t="inlineStr"/>
      <c r="AJ702" s="5" t="inlineStr"/>
      <c r="AK702" s="5" t="inlineStr">
        <is>
          <t>vape hardware; e-liquids; accessories</t>
        </is>
      </c>
      <c r="AL702" s="5" t="inlineStr"/>
      <c r="AM702" s="5" t="inlineStr">
        <is>
          <t>Vape Shop</t>
        </is>
      </c>
      <c r="AN702" s="5" t="inlineStr"/>
      <c r="AO702" s="5"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702" s="5" t="inlineStr">
        <is>
          <t>Medium</t>
        </is>
      </c>
      <c r="AQ702" s="5" t="inlineStr">
        <is>
          <t>Independent retailer; Core relevant category</t>
        </is>
      </c>
      <c r="AR702" s="5" t="inlineStr">
        <is>
          <t>https://the-vape-centre-york.wheree.com/</t>
        </is>
      </c>
      <c r="AS702" s="5" t="inlineStr">
        <is>
          <t>https://york.cylex-uk.co.uk/company/the-vape-centre-york-wetherby-27216167.html</t>
        </is>
      </c>
      <c r="AT702" s="5" t="inlineStr">
        <is>
          <t>2</t>
        </is>
      </c>
      <c r="AU702" s="5" t="inlineStr">
        <is>
          <t>No</t>
        </is>
      </c>
      <c r="AV702" s="5" t="inlineStr">
        <is>
          <t>No</t>
        </is>
      </c>
      <c r="AW702" s="5" t="inlineStr">
        <is>
          <t>No</t>
        </is>
      </c>
      <c r="AX702" s="5" t="inlineStr">
        <is>
          <t>No</t>
        </is>
      </c>
      <c r="AY702" s="5" t="inlineStr">
        <is>
          <t>Verified directory</t>
        </is>
      </c>
      <c r="AZ702" s="5" t="inlineStr">
        <is>
          <t>Not Found</t>
        </is>
      </c>
      <c r="BA702" s="5" t="inlineStr">
        <is>
          <t>2026-09-17</t>
        </is>
      </c>
      <c r="BB702" s="5" t="inlineStr">
        <is>
          <t>Requires Verification</t>
        </is>
      </c>
      <c r="BC702" s="5" t="inlineStr">
        <is>
          <t>Low</t>
        </is>
      </c>
      <c r="BD702" s="5" t="inlineStr"/>
      <c r="BE702" s="5" t="inlineStr">
        <is>
          <t>Business (B2B)</t>
        </is>
      </c>
      <c r="BF702" s="5" t="inlineStr">
        <is>
          <t>Legitimate interest (B2B) - assess per campaign; PECR: corporate subscribers</t>
        </is>
      </c>
      <c r="BG702" s="5" t="inlineStr"/>
      <c r="BH702" s="5" t="inlineStr">
        <is>
          <t>No</t>
        </is>
      </c>
      <c r="BI702" s="5" t="inlineStr">
        <is>
          <t>2026-09-16</t>
        </is>
      </c>
      <c r="BJ702" s="5" t="inlineStr">
        <is>
          <t>New</t>
        </is>
      </c>
      <c r="BK702" s="5" t="inlineStr">
        <is>
          <t>2026-09-17</t>
        </is>
      </c>
      <c r="BL702" s="5" t="inlineStr"/>
      <c r="BM702" s="5" t="inlineStr"/>
      <c r="BN702" s="5" t="inlineStr"/>
      <c r="BO702" s="5" t="inlineStr"/>
      <c r="BP702" s="5" t="inlineStr"/>
      <c r="BQ702" s="5" t="inlineStr"/>
    </row>
    <row r="703">
      <c r="A703" s="10" t="inlineStr">
        <is>
          <t>WY-0161</t>
        </is>
      </c>
      <c r="B703" s="10" t="inlineStr">
        <is>
          <t>WY-0161-01</t>
        </is>
      </c>
      <c r="C703" s="10" t="inlineStr"/>
      <c r="D703" s="10" t="inlineStr">
        <is>
          <t>The Vape Hub</t>
        </is>
      </c>
      <c r="E703" s="10" t="inlineStr">
        <is>
          <t>The Vape Hub Bradford</t>
        </is>
      </c>
      <c r="F703" s="10" t="inlineStr"/>
      <c r="G703" s="10" t="inlineStr">
        <is>
          <t>Vape Shop</t>
        </is>
      </c>
      <c r="H703" s="10" t="inlineStr">
        <is>
          <t>Local vape shop</t>
        </is>
      </c>
      <c r="I703" s="10" t="inlineStr">
        <is>
          <t>Independent</t>
        </is>
      </c>
      <c r="J703" s="10" t="inlineStr">
        <is>
          <t>1</t>
        </is>
      </c>
      <c r="K703" s="10" t="inlineStr"/>
      <c r="L703" s="10" t="inlineStr">
        <is>
          <t>https://www.facebook.com/tvhbradford/</t>
        </is>
      </c>
      <c r="M703" s="10" t="inlineStr"/>
      <c r="N703" s="10" t="inlineStr"/>
      <c r="O703" s="10" t="inlineStr">
        <is>
          <t>105b Cooper Lane</t>
        </is>
      </c>
      <c r="P703" s="10" t="inlineStr"/>
      <c r="Q703" s="10" t="inlineStr">
        <is>
          <t>Bradford</t>
        </is>
      </c>
      <c r="R703" s="10" t="inlineStr">
        <is>
          <t>West Yorkshire</t>
        </is>
      </c>
      <c r="S703" s="10" t="inlineStr">
        <is>
          <t>BD6 3PB</t>
        </is>
      </c>
      <c r="T703" s="10" t="inlineStr">
        <is>
          <t>Yorkshire &amp; Humber</t>
        </is>
      </c>
      <c r="U703" s="10" t="inlineStr">
        <is>
          <t>England</t>
        </is>
      </c>
      <c r="V703" s="10" t="inlineStr">
        <is>
          <t>01274 785496</t>
        </is>
      </c>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vape hardware; e-liquids</t>
        </is>
      </c>
      <c r="AL703" s="10" t="inlineStr"/>
      <c r="AM703" s="10" t="inlineStr">
        <is>
          <t>Vape Shop</t>
        </is>
      </c>
      <c r="AN703" s="10" t="inlineStr"/>
      <c r="AO703" s="10" t="inlineStr">
        <is>
          <t>South Bradford (Buttershaw/Queensbury side). Address and phone consistent across Cylex and Yell listings.</t>
        </is>
      </c>
      <c r="AP703" s="10" t="inlineStr">
        <is>
          <t>Medium</t>
        </is>
      </c>
      <c r="AQ703" s="10" t="inlineStr">
        <is>
          <t>Independent retailer; Core relevant category; Social presence</t>
        </is>
      </c>
      <c r="AR703" s="10" t="inlineStr">
        <is>
          <t>https://www.yell.com/biz/the-vape-hub-bradford-10128282/</t>
        </is>
      </c>
      <c r="AS703" s="10" t="inlineStr">
        <is>
          <t>https://www.facebook.com/tvhbradford/</t>
        </is>
      </c>
      <c r="AT703" s="10" t="inlineStr">
        <is>
          <t>3</t>
        </is>
      </c>
      <c r="AU703" s="10" t="inlineStr">
        <is>
          <t>No</t>
        </is>
      </c>
      <c r="AV703" s="10" t="inlineStr">
        <is>
          <t>No</t>
        </is>
      </c>
      <c r="AW703" s="10" t="inlineStr">
        <is>
          <t>No</t>
        </is>
      </c>
      <c r="AX703" s="10" t="inlineStr">
        <is>
          <t>No</t>
        </is>
      </c>
      <c r="AY703" s="10" t="inlineStr">
        <is>
          <t>Verified directory</t>
        </is>
      </c>
      <c r="AZ703" s="10" t="inlineStr">
        <is>
          <t>Not Found</t>
        </is>
      </c>
      <c r="BA703" s="10" t="inlineStr">
        <is>
          <t>2026-09-17</t>
        </is>
      </c>
      <c r="BB703" s="10" t="inlineStr">
        <is>
          <t>Requires Verification</t>
        </is>
      </c>
      <c r="BC703" s="10" t="inlineStr">
        <is>
          <t>Medium</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2026-09-16</t>
        </is>
      </c>
      <c r="BJ703" s="10" t="inlineStr">
        <is>
          <t>New</t>
        </is>
      </c>
      <c r="BK703" s="10" t="inlineStr">
        <is>
          <t>2026-09-17</t>
        </is>
      </c>
      <c r="BL703" s="10" t="inlineStr"/>
      <c r="BM703" s="10" t="inlineStr"/>
      <c r="BN703" s="10" t="inlineStr"/>
      <c r="BO703" s="10" t="inlineStr"/>
      <c r="BP703" s="10" t="inlineStr"/>
      <c r="BQ703" s="10" t="inlineStr"/>
    </row>
    <row r="704">
      <c r="A704" s="5" t="inlineStr">
        <is>
          <t>UK-000826</t>
        </is>
      </c>
      <c r="B704" s="5" t="inlineStr">
        <is>
          <t>UK-000826-01</t>
        </is>
      </c>
      <c r="C704" s="5" t="inlineStr"/>
      <c r="D704" s="5" t="inlineStr">
        <is>
          <t>The Vape Hut</t>
        </is>
      </c>
      <c r="E704" s="5" t="inlineStr">
        <is>
          <t>The Vape Hut</t>
        </is>
      </c>
      <c r="F704" s="5" t="inlineStr"/>
      <c r="G704" s="5" t="inlineStr">
        <is>
          <t>Vape Shop</t>
        </is>
      </c>
      <c r="H704" s="5" t="inlineStr">
        <is>
          <t>Vape shop</t>
        </is>
      </c>
      <c r="I704" s="5" t="inlineStr">
        <is>
          <t>Independent</t>
        </is>
      </c>
      <c r="J704" s="5" t="inlineStr">
        <is>
          <t>1</t>
        </is>
      </c>
      <c r="K704" s="5" t="inlineStr"/>
      <c r="L704" s="5" t="inlineStr"/>
      <c r="M704" s="5" t="inlineStr"/>
      <c r="N704" s="5" t="inlineStr"/>
      <c r="O704" s="5" t="inlineStr">
        <is>
          <t>278-280 Church Road</t>
        </is>
      </c>
      <c r="P704" s="5" t="inlineStr">
        <is>
          <t>Haydock</t>
        </is>
      </c>
      <c r="Q704" s="5" t="inlineStr">
        <is>
          <t>St Helens</t>
        </is>
      </c>
      <c r="R704" s="5" t="inlineStr">
        <is>
          <t>Merseyside</t>
        </is>
      </c>
      <c r="S704" s="5" t="inlineStr">
        <is>
          <t>WA11 0LF</t>
        </is>
      </c>
      <c r="T704" s="5" t="inlineStr">
        <is>
          <t>North West</t>
        </is>
      </c>
      <c r="U704" s="5" t="inlineStr">
        <is>
          <t>England</t>
        </is>
      </c>
      <c r="V704" s="5" t="inlineStr">
        <is>
          <t>01942 726072</t>
        </is>
      </c>
      <c r="W704" s="5" t="inlineStr"/>
      <c r="X704" s="5" t="inlineStr"/>
      <c r="Y704" s="5" t="inlineStr"/>
      <c r="Z704" s="5" t="inlineStr"/>
      <c r="AA704" s="5" t="inlineStr"/>
      <c r="AB704" s="5" t="inlineStr"/>
      <c r="AC704" s="5" t="inlineStr"/>
      <c r="AD704" s="5" t="inlineStr"/>
      <c r="AE704" s="5" t="inlineStr"/>
      <c r="AF704" s="5" t="inlineStr"/>
      <c r="AG704" s="5" t="inlineStr"/>
      <c r="AH704" s="5" t="inlineStr"/>
      <c r="AI704" s="5" t="inlineStr"/>
      <c r="AJ704" s="5" t="inlineStr"/>
      <c r="AK704" s="5" t="inlineStr">
        <is>
          <t>vape hardware; e-liquids</t>
        </is>
      </c>
      <c r="AL704" s="5" t="inlineStr"/>
      <c r="AM704" s="5" t="inlineStr">
        <is>
          <t>Vape Shop</t>
        </is>
      </c>
      <c r="AN704" s="5" t="inlineStr"/>
      <c r="AO704" s="5" t="inlineStr">
        <is>
          <t>Independent vape shop on Church Road, Haydock. Address/phone from Cylex/Yelp Newton-le-Willows vape shop listings.</t>
        </is>
      </c>
      <c r="AP704" s="5" t="inlineStr">
        <is>
          <t>Medium</t>
        </is>
      </c>
      <c r="AQ704" s="5" t="inlineStr">
        <is>
          <t>Independent retailer; Core relevant category</t>
        </is>
      </c>
      <c r="AR704" s="5" t="inlineStr">
        <is>
          <t>https://newton-le-willows-merseyside.cylex-uk.co.uk/vape-shops/</t>
        </is>
      </c>
      <c r="AS704" s="5" t="inlineStr"/>
      <c r="AT704" s="5" t="inlineStr">
        <is>
          <t>1</t>
        </is>
      </c>
      <c r="AU704" s="5" t="inlineStr">
        <is>
          <t>No</t>
        </is>
      </c>
      <c r="AV704" s="5" t="inlineStr">
        <is>
          <t>No</t>
        </is>
      </c>
      <c r="AW704" s="5" t="inlineStr">
        <is>
          <t>No</t>
        </is>
      </c>
      <c r="AX704" s="5" t="inlineStr">
        <is>
          <t>No</t>
        </is>
      </c>
      <c r="AY704" s="5" t="inlineStr">
        <is>
          <t>Verified directory</t>
        </is>
      </c>
      <c r="AZ704" s="5" t="inlineStr">
        <is>
          <t>Not Found</t>
        </is>
      </c>
      <c r="BA704" s="5" t="inlineStr">
        <is>
          <t>2026-09-17</t>
        </is>
      </c>
      <c r="BB704" s="5" t="inlineStr">
        <is>
          <t>Requires Verification</t>
        </is>
      </c>
      <c r="BC704" s="5" t="inlineStr">
        <is>
          <t>Low</t>
        </is>
      </c>
      <c r="BD704" s="5" t="inlineStr"/>
      <c r="BE704" s="5" t="inlineStr">
        <is>
          <t>Business (B2B)</t>
        </is>
      </c>
      <c r="BF704" s="5" t="inlineStr">
        <is>
          <t>Legitimate interest (B2B) - assess per campaign; PECR: corporate subscribers</t>
        </is>
      </c>
      <c r="BG704" s="5" t="inlineStr"/>
      <c r="BH704" s="5" t="inlineStr">
        <is>
          <t>No</t>
        </is>
      </c>
      <c r="BI704" s="5" t="inlineStr">
        <is>
          <t>2026-09-17</t>
        </is>
      </c>
      <c r="BJ704" s="5" t="inlineStr">
        <is>
          <t>New</t>
        </is>
      </c>
      <c r="BK704" s="5" t="inlineStr">
        <is>
          <t>2026-09-17</t>
        </is>
      </c>
      <c r="BL704" s="5" t="inlineStr"/>
      <c r="BM704" s="5" t="inlineStr"/>
      <c r="BN704" s="5" t="inlineStr"/>
      <c r="BO704" s="5" t="inlineStr"/>
      <c r="BP704" s="5" t="inlineStr"/>
      <c r="BQ704" s="5" t="inlineStr"/>
    </row>
    <row r="705">
      <c r="A705" s="10" t="inlineStr">
        <is>
          <t>UK-000284</t>
        </is>
      </c>
      <c r="B705" s="10" t="inlineStr">
        <is>
          <t>UK-000284-01</t>
        </is>
      </c>
      <c r="C705" s="10" t="inlineStr"/>
      <c r="D705" s="10" t="inlineStr">
        <is>
          <t>The Vape Lounge Scunthorpe</t>
        </is>
      </c>
      <c r="E705" s="10" t="inlineStr">
        <is>
          <t>The Vape Lounge</t>
        </is>
      </c>
      <c r="F705" s="10" t="inlineStr"/>
      <c r="G705" s="10" t="inlineStr">
        <is>
          <t>Vape Shop</t>
        </is>
      </c>
      <c r="H705" s="10" t="inlineStr">
        <is>
          <t>E-liquid and hardware shop</t>
        </is>
      </c>
      <c r="I705" s="10" t="inlineStr">
        <is>
          <t>Independent</t>
        </is>
      </c>
      <c r="J705" s="10" t="inlineStr">
        <is>
          <t>1</t>
        </is>
      </c>
      <c r="K705" s="10" t="inlineStr"/>
      <c r="L705" s="10" t="inlineStr"/>
      <c r="M705" s="10" t="inlineStr"/>
      <c r="N705" s="10" t="inlineStr"/>
      <c r="O705" s="10" t="inlineStr">
        <is>
          <t>223-231 Ashby High Street</t>
        </is>
      </c>
      <c r="P705" s="10" t="inlineStr"/>
      <c r="Q705" s="10" t="inlineStr">
        <is>
          <t>Scunthorpe</t>
        </is>
      </c>
      <c r="R705" s="10" t="inlineStr">
        <is>
          <t>Lincolnshire</t>
        </is>
      </c>
      <c r="S705" s="10" t="inlineStr"/>
      <c r="T705" s="10" t="inlineStr">
        <is>
          <t>Yorkshire &amp; Humber</t>
        </is>
      </c>
      <c r="U705" s="10" t="inlineStr">
        <is>
          <t>England</t>
        </is>
      </c>
      <c r="V705" s="10" t="inlineStr">
        <is>
          <t>01724 858999</t>
        </is>
      </c>
      <c r="W705" s="10" t="inlineStr"/>
      <c r="X705" s="10" t="inlineStr"/>
      <c r="Y705" s="10" t="inlineStr"/>
      <c r="Z705" s="10" t="inlineStr"/>
      <c r="AA705" s="10" t="inlineStr"/>
      <c r="AB705" s="10" t="inlineStr"/>
      <c r="AC705" s="10" t="inlineStr"/>
      <c r="AD705" s="10" t="inlineStr"/>
      <c r="AE705" s="10" t="inlineStr"/>
      <c r="AF705" s="10" t="inlineStr"/>
      <c r="AG705" s="10" t="inlineStr"/>
      <c r="AH705" s="10" t="inlineStr"/>
      <c r="AI705" s="10" t="inlineStr"/>
      <c r="AJ705" s="10" t="inlineStr"/>
      <c r="AK705" s="10" t="inlineStr">
        <is>
          <t>e-liquids; vape hardware; disposables</t>
        </is>
      </c>
      <c r="AL705" s="10" t="inlineStr"/>
      <c r="AM705" s="10" t="inlineStr">
        <is>
          <t>Vape Shop</t>
        </is>
      </c>
      <c r="AN705" s="10" t="inlineStr"/>
      <c r="AO705" s="10" t="inlineStr">
        <is>
          <t>Independent vape shop on Ashby High Street. Sources give partial postcode (DN16) only.</t>
        </is>
      </c>
      <c r="AP705" s="10" t="inlineStr">
        <is>
          <t>Medium</t>
        </is>
      </c>
      <c r="AQ705" s="10" t="inlineStr">
        <is>
          <t>Independent retailer; Core relevant category</t>
        </is>
      </c>
      <c r="AR705" s="10" t="inlineStr">
        <is>
          <t>https://ecigdirectory.co.uk/vape-shop/listing/the-vape-lounge-scunthorpe</t>
        </is>
      </c>
      <c r="AS705" s="10" t="inlineStr"/>
      <c r="AT705" s="10" t="inlineStr">
        <is>
          <t>1</t>
        </is>
      </c>
      <c r="AU705" s="10" t="inlineStr">
        <is>
          <t>No</t>
        </is>
      </c>
      <c r="AV705" s="10" t="inlineStr">
        <is>
          <t>No</t>
        </is>
      </c>
      <c r="AW705" s="10" t="inlineStr">
        <is>
          <t>No</t>
        </is>
      </c>
      <c r="AX705" s="10" t="inlineStr">
        <is>
          <t>No</t>
        </is>
      </c>
      <c r="AY705" s="10" t="inlineStr">
        <is>
          <t>Verified directory</t>
        </is>
      </c>
      <c r="AZ705" s="10" t="inlineStr">
        <is>
          <t>Not Found</t>
        </is>
      </c>
      <c r="BA705" s="10" t="inlineStr">
        <is>
          <t>2026-09-17</t>
        </is>
      </c>
      <c r="BB705" s="10" t="inlineStr">
        <is>
          <t>Requires Verification</t>
        </is>
      </c>
      <c r="BC705" s="10" t="inlineStr">
        <is>
          <t>Low</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2026-09-16</t>
        </is>
      </c>
      <c r="BJ705" s="10" t="inlineStr">
        <is>
          <t>New</t>
        </is>
      </c>
      <c r="BK705" s="10" t="inlineStr">
        <is>
          <t>2026-09-17</t>
        </is>
      </c>
      <c r="BL705" s="10" t="inlineStr"/>
      <c r="BM705" s="10" t="inlineStr"/>
      <c r="BN705" s="10" t="inlineStr"/>
      <c r="BO705" s="10" t="inlineStr"/>
      <c r="BP705" s="10" t="inlineStr"/>
      <c r="BQ705" s="10" t="inlineStr"/>
    </row>
    <row r="706">
      <c r="A706" s="5" t="inlineStr">
        <is>
          <t>UK-000285</t>
        </is>
      </c>
      <c r="B706" s="5" t="inlineStr">
        <is>
          <t>UK-000285-01</t>
        </is>
      </c>
      <c r="C706" s="5" t="inlineStr"/>
      <c r="D706" s="5" t="inlineStr">
        <is>
          <t>The Vape Lounge Thirsk</t>
        </is>
      </c>
      <c r="E706" s="5" t="inlineStr">
        <is>
          <t>The Vape Lounge</t>
        </is>
      </c>
      <c r="F706" s="5" t="inlineStr"/>
      <c r="G706" s="5" t="inlineStr">
        <is>
          <t>Vape Shop</t>
        </is>
      </c>
      <c r="H706" s="5" t="inlineStr">
        <is>
          <t>Vape hardware &amp; e-liquid shop</t>
        </is>
      </c>
      <c r="I706" s="5" t="inlineStr">
        <is>
          <t>Independent</t>
        </is>
      </c>
      <c r="J706" s="5" t="inlineStr">
        <is>
          <t>1</t>
        </is>
      </c>
      <c r="K706" s="5" t="inlineStr"/>
      <c r="L706" s="5" t="inlineStr"/>
      <c r="M706" s="5" t="inlineStr"/>
      <c r="N706" s="5" t="inlineStr"/>
      <c r="O706" s="5" t="inlineStr">
        <is>
          <t>7 Market Place</t>
        </is>
      </c>
      <c r="P706" s="5" t="inlineStr"/>
      <c r="Q706" s="5" t="inlineStr">
        <is>
          <t>Thirsk</t>
        </is>
      </c>
      <c r="R706" s="5" t="inlineStr">
        <is>
          <t>North Yorkshire</t>
        </is>
      </c>
      <c r="S706" s="5" t="inlineStr">
        <is>
          <t>YO7 1HQ</t>
        </is>
      </c>
      <c r="T706" s="5" t="inlineStr">
        <is>
          <t>Yorkshire &amp; Humber</t>
        </is>
      </c>
      <c r="U706" s="5" t="inlineStr">
        <is>
          <t>England</t>
        </is>
      </c>
      <c r="V706" s="5" t="inlineStr">
        <is>
          <t>01845 525571</t>
        </is>
      </c>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vape hardware; e-liquids</t>
        </is>
      </c>
      <c r="AL706" s="5" t="inlineStr"/>
      <c r="AM706" s="5" t="inlineStr">
        <is>
          <t>Vape Shop</t>
        </is>
      </c>
      <c r="AN706" s="5" t="inlineStr"/>
      <c r="AO706" s="5" t="inlineStr">
        <is>
          <t>Independent vape shop on Thirsk market place (YO7 1HQ). Distinct from Vape Shop Guy Thirsk (2 Millgate). Address/phone from Crewe Chronicle directory / FindOpen / Cylex listings via search snippets.</t>
        </is>
      </c>
      <c r="AP706" s="5" t="inlineStr">
        <is>
          <t>Medium</t>
        </is>
      </c>
      <c r="AQ706" s="5" t="inlineStr">
        <is>
          <t>Independent retailer; Core relevant category</t>
        </is>
      </c>
      <c r="AR706" s="5" t="inlineStr">
        <is>
          <t>https://directory.crewechronicle.co.uk/company/742362676371456</t>
        </is>
      </c>
      <c r="AS706" s="5" t="inlineStr">
        <is>
          <t>https://ecigdirectory.co.uk/vape-shop/listing/the-vape-lounge-thirsk</t>
        </is>
      </c>
      <c r="AT706" s="5" t="inlineStr">
        <is>
          <t>2</t>
        </is>
      </c>
      <c r="AU706" s="5" t="inlineStr">
        <is>
          <t>No</t>
        </is>
      </c>
      <c r="AV706" s="5" t="inlineStr">
        <is>
          <t>No</t>
        </is>
      </c>
      <c r="AW706" s="5" t="inlineStr">
        <is>
          <t>No</t>
        </is>
      </c>
      <c r="AX706" s="5" t="inlineStr">
        <is>
          <t>No</t>
        </is>
      </c>
      <c r="AY706" s="5" t="inlineStr">
        <is>
          <t>Verified directory</t>
        </is>
      </c>
      <c r="AZ706" s="5" t="inlineStr">
        <is>
          <t>Not Found</t>
        </is>
      </c>
      <c r="BA706" s="5" t="inlineStr">
        <is>
          <t>2026-09-17</t>
        </is>
      </c>
      <c r="BB706" s="5" t="inlineStr">
        <is>
          <t>Requires Verification</t>
        </is>
      </c>
      <c r="BC706" s="5" t="inlineStr">
        <is>
          <t>Medium</t>
        </is>
      </c>
      <c r="BD706" s="5" t="inlineStr"/>
      <c r="BE706" s="5" t="inlineStr">
        <is>
          <t>Business (B2B)</t>
        </is>
      </c>
      <c r="BF706" s="5" t="inlineStr">
        <is>
          <t>Legitimate interest (B2B) - assess per campaign; PECR: corporate subscribers</t>
        </is>
      </c>
      <c r="BG706" s="5" t="inlineStr"/>
      <c r="BH706" s="5" t="inlineStr">
        <is>
          <t>No</t>
        </is>
      </c>
      <c r="BI706" s="5" t="inlineStr">
        <is>
          <t>2026-09-16</t>
        </is>
      </c>
      <c r="BJ706" s="5" t="inlineStr">
        <is>
          <t>New</t>
        </is>
      </c>
      <c r="BK706" s="5" t="inlineStr">
        <is>
          <t>2026-09-17</t>
        </is>
      </c>
      <c r="BL706" s="5" t="inlineStr"/>
      <c r="BM706" s="5" t="inlineStr"/>
      <c r="BN706" s="5" t="inlineStr"/>
      <c r="BO706" s="5" t="inlineStr"/>
      <c r="BP706" s="5" t="inlineStr"/>
      <c r="BQ706" s="5" t="inlineStr"/>
    </row>
    <row r="707">
      <c r="A707" s="10" t="inlineStr">
        <is>
          <t>UK-000524</t>
        </is>
      </c>
      <c r="B707" s="10" t="inlineStr">
        <is>
          <t>UK-000524-01</t>
        </is>
      </c>
      <c r="C707" s="10" t="inlineStr"/>
      <c r="D707" s="10" t="inlineStr">
        <is>
          <t>The Vape Shack - Acocks Green</t>
        </is>
      </c>
      <c r="E707" s="10" t="inlineStr">
        <is>
          <t>Vape Shack</t>
        </is>
      </c>
      <c r="F707" s="10" t="inlineStr"/>
      <c r="G707" s="10" t="inlineStr">
        <is>
          <t>Vape Shop</t>
        </is>
      </c>
      <c r="H707" s="10" t="inlineStr">
        <is>
          <t>Vape hardware and e-liquid retailer</t>
        </is>
      </c>
      <c r="I707" s="10" t="inlineStr">
        <is>
          <t>Independent</t>
        </is>
      </c>
      <c r="J707" s="10" t="inlineStr">
        <is>
          <t>1</t>
        </is>
      </c>
      <c r="K707" s="10" t="inlineStr"/>
      <c r="L707" s="10" t="inlineStr"/>
      <c r="M707" s="10" t="inlineStr"/>
      <c r="N707" s="10" t="inlineStr"/>
      <c r="O707" s="10" t="inlineStr">
        <is>
          <t>1a Shirley Road</t>
        </is>
      </c>
      <c r="P707" s="10" t="inlineStr">
        <is>
          <t>Acocks Green</t>
        </is>
      </c>
      <c r="Q707" s="10" t="inlineStr">
        <is>
          <t>Birmingham</t>
        </is>
      </c>
      <c r="R707" s="10" t="inlineStr">
        <is>
          <t>West Midlands</t>
        </is>
      </c>
      <c r="S707" s="10" t="inlineStr">
        <is>
          <t>B27 7XU</t>
        </is>
      </c>
      <c r="T707" s="10" t="inlineStr">
        <is>
          <t>West Midlands</t>
        </is>
      </c>
      <c r="U707" s="10" t="inlineStr">
        <is>
          <t>England</t>
        </is>
      </c>
      <c r="V707" s="10" t="inlineStr">
        <is>
          <t>0121 792 9004</t>
        </is>
      </c>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vape hardware; e-liquids</t>
        </is>
      </c>
      <c r="AL707" s="10" t="inlineStr"/>
      <c r="AM707" s="10" t="inlineStr">
        <is>
          <t>Vape Shop</t>
        </is>
      </c>
      <c r="AN707" s="10" t="inlineStr"/>
      <c r="AO707" s="10" t="inlineStr">
        <is>
          <t>Vape Shack on Shirley Road, Acocks Green.</t>
        </is>
      </c>
      <c r="AP707" s="10" t="inlineStr">
        <is>
          <t>Medium</t>
        </is>
      </c>
      <c r="AQ707" s="10" t="inlineStr">
        <is>
          <t>Independent retailer; Core relevant category</t>
        </is>
      </c>
      <c r="AR707" s="10" t="inlineStr">
        <is>
          <t>https://www.bizseek.co.uk/vape-shack-acocks-green</t>
        </is>
      </c>
      <c r="AS707" s="10" t="inlineStr"/>
      <c r="AT707" s="10" t="inlineStr">
        <is>
          <t>1</t>
        </is>
      </c>
      <c r="AU707" s="10" t="inlineStr">
        <is>
          <t>No</t>
        </is>
      </c>
      <c r="AV707" s="10" t="inlineStr">
        <is>
          <t>No</t>
        </is>
      </c>
      <c r="AW707" s="10" t="inlineStr">
        <is>
          <t>No</t>
        </is>
      </c>
      <c r="AX707" s="10" t="inlineStr">
        <is>
          <t>No</t>
        </is>
      </c>
      <c r="AY707" s="10" t="inlineStr">
        <is>
          <t>Verified directory</t>
        </is>
      </c>
      <c r="AZ707" s="10" t="inlineStr">
        <is>
          <t>Not Found</t>
        </is>
      </c>
      <c r="BA707" s="10" t="inlineStr">
        <is>
          <t>2026-09-17</t>
        </is>
      </c>
      <c r="BB707" s="10" t="inlineStr">
        <is>
          <t>Requires Verification</t>
        </is>
      </c>
      <c r="BC707" s="10" t="inlineStr">
        <is>
          <t>Low</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2026-09-17</t>
        </is>
      </c>
      <c r="BJ707" s="10" t="inlineStr">
        <is>
          <t>New</t>
        </is>
      </c>
      <c r="BK707" s="10" t="inlineStr">
        <is>
          <t>2026-09-17</t>
        </is>
      </c>
      <c r="BL707" s="10" t="inlineStr"/>
      <c r="BM707" s="10" t="inlineStr"/>
      <c r="BN707" s="10" t="inlineStr"/>
      <c r="BO707" s="10" t="inlineStr"/>
      <c r="BP707" s="10" t="inlineStr"/>
      <c r="BQ707" s="10" t="inlineStr"/>
    </row>
    <row r="708">
      <c r="A708" s="5" t="inlineStr">
        <is>
          <t>UK-000827</t>
        </is>
      </c>
      <c r="B708" s="5" t="inlineStr">
        <is>
          <t>UK-000827-01</t>
        </is>
      </c>
      <c r="C708" s="5" t="inlineStr"/>
      <c r="D708" s="5" t="inlineStr">
        <is>
          <t>The Vape Shop (Huyton)</t>
        </is>
      </c>
      <c r="E708" s="5" t="inlineStr">
        <is>
          <t>The Vape Shop</t>
        </is>
      </c>
      <c r="F708" s="5" t="inlineStr"/>
      <c r="G708" s="5" t="inlineStr">
        <is>
          <t>Vape Shop</t>
        </is>
      </c>
      <c r="H708" s="5" t="inlineStr">
        <is>
          <t>Vape &amp; e-liquid retailer</t>
        </is>
      </c>
      <c r="I708" s="5" t="inlineStr">
        <is>
          <t>Independent</t>
        </is>
      </c>
      <c r="J708" s="5" t="inlineStr">
        <is>
          <t>1</t>
        </is>
      </c>
      <c r="K708" s="5" t="inlineStr"/>
      <c r="L708" s="5" t="inlineStr"/>
      <c r="M708" s="5" t="inlineStr"/>
      <c r="N708" s="5" t="inlineStr"/>
      <c r="O708" s="5" t="inlineStr">
        <is>
          <t>86 Liverpool Road</t>
        </is>
      </c>
      <c r="P708" s="5" t="inlineStr">
        <is>
          <t>Huyton</t>
        </is>
      </c>
      <c r="Q708" s="5" t="inlineStr">
        <is>
          <t>Liverpool</t>
        </is>
      </c>
      <c r="R708" s="5" t="inlineStr">
        <is>
          <t>Merseyside</t>
        </is>
      </c>
      <c r="S708" s="5" t="inlineStr">
        <is>
          <t>L36 3RF</t>
        </is>
      </c>
      <c r="T708" s="5" t="inlineStr">
        <is>
          <t>North West</t>
        </is>
      </c>
      <c r="U708" s="5" t="inlineStr">
        <is>
          <t>England</t>
        </is>
      </c>
      <c r="V708" s="5" t="inlineStr">
        <is>
          <t>07894 970122</t>
        </is>
      </c>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vape hardware; e-liquids; accessories</t>
        </is>
      </c>
      <c r="AL708" s="5" t="inlineStr"/>
      <c r="AM708" s="5" t="inlineStr">
        <is>
          <t>Vape Shop</t>
        </is>
      </c>
      <c r="AN708" s="5" t="inlineStr"/>
      <c r="AO708" s="5" t="inlineStr">
        <is>
          <t>Independent vape shop on Liverpool Road, Huyton (Knowsley).</t>
        </is>
      </c>
      <c r="AP708" s="5" t="inlineStr">
        <is>
          <t>Medium</t>
        </is>
      </c>
      <c r="AQ708" s="5" t="inlineStr">
        <is>
          <t>Independent retailer; Core relevant category</t>
        </is>
      </c>
      <c r="AR708" s="5" t="inlineStr">
        <is>
          <t>https://www.yell.com/s/tobacconists-huyton.html</t>
        </is>
      </c>
      <c r="AS708" s="5" t="inlineStr"/>
      <c r="AT708" s="5" t="inlineStr">
        <is>
          <t>1</t>
        </is>
      </c>
      <c r="AU708" s="5" t="inlineStr">
        <is>
          <t>No</t>
        </is>
      </c>
      <c r="AV708" s="5" t="inlineStr">
        <is>
          <t>No</t>
        </is>
      </c>
      <c r="AW708" s="5" t="inlineStr">
        <is>
          <t>No</t>
        </is>
      </c>
      <c r="AX708" s="5" t="inlineStr">
        <is>
          <t>No</t>
        </is>
      </c>
      <c r="AY708" s="5" t="inlineStr">
        <is>
          <t>Verified directory</t>
        </is>
      </c>
      <c r="AZ708" s="5" t="inlineStr">
        <is>
          <t>Not Found</t>
        </is>
      </c>
      <c r="BA708" s="5" t="inlineStr">
        <is>
          <t>2026-09-17</t>
        </is>
      </c>
      <c r="BB708" s="5" t="inlineStr">
        <is>
          <t>Requires Verification</t>
        </is>
      </c>
      <c r="BC708" s="5" t="inlineStr">
        <is>
          <t>Low</t>
        </is>
      </c>
      <c r="BD708" s="5" t="inlineStr"/>
      <c r="BE708" s="5" t="inlineStr">
        <is>
          <t>Business (B2B)</t>
        </is>
      </c>
      <c r="BF708" s="5" t="inlineStr">
        <is>
          <t>Legitimate interest (B2B) - assess per campaign; PECR: corporate subscribers</t>
        </is>
      </c>
      <c r="BG708" s="5" t="inlineStr"/>
      <c r="BH708" s="5" t="inlineStr">
        <is>
          <t>No</t>
        </is>
      </c>
      <c r="BI708" s="5" t="inlineStr">
        <is>
          <t>2026-09-17</t>
        </is>
      </c>
      <c r="BJ708" s="5" t="inlineStr">
        <is>
          <t>New</t>
        </is>
      </c>
      <c r="BK708" s="5" t="inlineStr">
        <is>
          <t>2026-09-17</t>
        </is>
      </c>
      <c r="BL708" s="5" t="inlineStr"/>
      <c r="BM708" s="5" t="inlineStr"/>
      <c r="BN708" s="5" t="inlineStr"/>
      <c r="BO708" s="5" t="inlineStr"/>
      <c r="BP708" s="5" t="inlineStr"/>
      <c r="BQ708" s="5" t="inlineStr"/>
    </row>
    <row r="709">
      <c r="A709" s="10" t="inlineStr">
        <is>
          <t>WY-0162</t>
        </is>
      </c>
      <c r="B709" s="10" t="inlineStr">
        <is>
          <t>WY-0162-01</t>
        </is>
      </c>
      <c r="C709" s="10" t="inlineStr"/>
      <c r="D709" s="10" t="inlineStr">
        <is>
          <t>The Vape Shop Wakefield</t>
        </is>
      </c>
      <c r="E709" s="10" t="inlineStr">
        <is>
          <t>The Vape Shop</t>
        </is>
      </c>
      <c r="F709" s="10" t="inlineStr"/>
      <c r="G709" s="10" t="inlineStr">
        <is>
          <t>Vape Shop</t>
        </is>
      </c>
      <c r="H709" s="10" t="inlineStr">
        <is>
          <t>E-cigarettes and e-liquids (American and British ranges)</t>
        </is>
      </c>
      <c r="I709" s="10" t="inlineStr">
        <is>
          <t>Independent</t>
        </is>
      </c>
      <c r="J709" s="10" t="inlineStr">
        <is>
          <t>1</t>
        </is>
      </c>
      <c r="K709" s="10" t="inlineStr"/>
      <c r="L709" s="10" t="inlineStr">
        <is>
          <t>https://www.facebook.com/vapeshopwakefield.uk/</t>
        </is>
      </c>
      <c r="M709" s="10" t="inlineStr"/>
      <c r="N709" s="10" t="inlineStr"/>
      <c r="O709" s="10" t="inlineStr">
        <is>
          <t>Horbury Road</t>
        </is>
      </c>
      <c r="P709" s="10" t="inlineStr"/>
      <c r="Q709" s="10" t="inlineStr">
        <is>
          <t>Wakefield</t>
        </is>
      </c>
      <c r="R709" s="10" t="inlineStr">
        <is>
          <t>West Yorkshire</t>
        </is>
      </c>
      <c r="S709" s="10" t="inlineStr"/>
      <c r="T709" s="10" t="inlineStr">
        <is>
          <t>Yorkshire &amp; Humber</t>
        </is>
      </c>
      <c r="U709" s="10" t="inlineStr">
        <is>
          <t>England</t>
        </is>
      </c>
      <c r="V709" s="10" t="inlineStr"/>
      <c r="W709" s="10" t="inlineStr"/>
      <c r="X709" s="10" t="inlineStr"/>
      <c r="Y709" s="10" t="inlineStr"/>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e-cigarettes; e-liquids</t>
        </is>
      </c>
      <c r="AL709" s="10" t="inlineStr"/>
      <c r="AM709" s="10" t="inlineStr">
        <is>
          <t>Vape Shop</t>
        </is>
      </c>
      <c r="AN709" s="10" t="inlineStr"/>
      <c r="AO709" s="10" t="inlineStr">
        <is>
          <t>Facebook page describes a popular, well-established e-cig shop on the outskirts of Wakefield city centre; Cylex lists it on Horbury Road. Street number not captured.</t>
        </is>
      </c>
      <c r="AP709" s="10" t="inlineStr">
        <is>
          <t>Medium</t>
        </is>
      </c>
      <c r="AQ709" s="10" t="inlineStr">
        <is>
          <t>Independent retailer; Core relevant category; Social presence</t>
        </is>
      </c>
      <c r="AR709" s="10" t="inlineStr">
        <is>
          <t>https://www.facebook.com/vapeshopwakefield.uk/</t>
        </is>
      </c>
      <c r="AS709" s="10" t="inlineStr">
        <is>
          <t>https://wakefield.cylex-uk.co.uk/company/the-vape-shop-26780276.html</t>
        </is>
      </c>
      <c r="AT709" s="10" t="inlineStr">
        <is>
          <t>2</t>
        </is>
      </c>
      <c r="AU709" s="10" t="inlineStr">
        <is>
          <t>No</t>
        </is>
      </c>
      <c r="AV709" s="10" t="inlineStr">
        <is>
          <t>No</t>
        </is>
      </c>
      <c r="AW709" s="10" t="inlineStr">
        <is>
          <t>No</t>
        </is>
      </c>
      <c r="AX709" s="10" t="inlineStr">
        <is>
          <t>No</t>
        </is>
      </c>
      <c r="AY709" s="10" t="inlineStr">
        <is>
          <t>Not Found</t>
        </is>
      </c>
      <c r="AZ709" s="10" t="inlineStr">
        <is>
          <t>Not Found</t>
        </is>
      </c>
      <c r="BA709" s="10" t="inlineStr">
        <is>
          <t>2026-09-17</t>
        </is>
      </c>
      <c r="BB709" s="10" t="inlineStr">
        <is>
          <t>Requires Verification</t>
        </is>
      </c>
      <c r="BC709" s="10" t="inlineStr">
        <is>
          <t>Low</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2026-09-16</t>
        </is>
      </c>
      <c r="BJ709" s="10" t="inlineStr">
        <is>
          <t>New</t>
        </is>
      </c>
      <c r="BK709" s="10" t="inlineStr">
        <is>
          <t>2026-09-17</t>
        </is>
      </c>
      <c r="BL709" s="10" t="inlineStr"/>
      <c r="BM709" s="10" t="inlineStr"/>
      <c r="BN709" s="10" t="inlineStr"/>
      <c r="BO709" s="10" t="inlineStr"/>
      <c r="BP709" s="10" t="inlineStr"/>
      <c r="BQ709" s="10" t="inlineStr"/>
    </row>
    <row r="710">
      <c r="A710" s="5" t="inlineStr">
        <is>
          <t>UK-000389</t>
        </is>
      </c>
      <c r="B710" s="5" t="inlineStr">
        <is>
          <t>UK-000389-01</t>
        </is>
      </c>
      <c r="C710" s="5" t="inlineStr"/>
      <c r="D710" s="5" t="inlineStr">
        <is>
          <t>The Vape Store (Sale, Trafford)</t>
        </is>
      </c>
      <c r="E710" s="5" t="inlineStr">
        <is>
          <t>The Vape Store</t>
        </is>
      </c>
      <c r="F710" s="5" t="inlineStr">
        <is>
          <t>The Vape Store (Manchester) Ltd</t>
        </is>
      </c>
      <c r="G710" s="5" t="inlineStr">
        <is>
          <t>Vape Shop</t>
        </is>
      </c>
      <c r="H710" s="5" t="inlineStr">
        <is>
          <t>Vape hardware, e-liquids &amp; disposables</t>
        </is>
      </c>
      <c r="I710" s="5" t="inlineStr">
        <is>
          <t>Independent</t>
        </is>
      </c>
      <c r="J710" s="5" t="inlineStr">
        <is>
          <t>1</t>
        </is>
      </c>
      <c r="K710" s="5" t="inlineStr"/>
      <c r="L710" s="5" t="inlineStr"/>
      <c r="M710" s="5" t="inlineStr"/>
      <c r="N710" s="5" t="inlineStr"/>
      <c r="O710" s="5" t="inlineStr">
        <is>
          <t>72 Marsland Road</t>
        </is>
      </c>
      <c r="P710" s="5" t="inlineStr">
        <is>
          <t>Sale</t>
        </is>
      </c>
      <c r="Q710" s="5" t="inlineStr">
        <is>
          <t>Sale</t>
        </is>
      </c>
      <c r="R710" s="5" t="inlineStr">
        <is>
          <t>Greater Manchester</t>
        </is>
      </c>
      <c r="S710" s="5" t="inlineStr">
        <is>
          <t>M33 3HG</t>
        </is>
      </c>
      <c r="T710" s="5" t="inlineStr">
        <is>
          <t>North West</t>
        </is>
      </c>
      <c r="U710" s="5" t="inlineStr">
        <is>
          <t>England</t>
        </is>
      </c>
      <c r="V710" s="5" t="inlineStr"/>
      <c r="W710" s="5" t="inlineStr"/>
      <c r="X710" s="5" t="inlineStr"/>
      <c r="Y710" s="5" t="inlineStr"/>
      <c r="Z710" s="5" t="inlineStr"/>
      <c r="AA710" s="5" t="inlineStr"/>
      <c r="AB710" s="5" t="inlineStr"/>
      <c r="AC710" s="5" t="inlineStr"/>
      <c r="AD710" s="5" t="inlineStr"/>
      <c r="AE710" s="5" t="inlineStr">
        <is>
          <t>10937677</t>
        </is>
      </c>
      <c r="AF710" s="5" t="inlineStr">
        <is>
          <t>Active (per Companies House listing)</t>
        </is>
      </c>
      <c r="AG710" s="5" t="inlineStr">
        <is>
          <t>THE VAPE STORE (MANCHESTER) LTD</t>
        </is>
      </c>
      <c r="AH710" s="5" t="inlineStr">
        <is>
          <t>72 Marsland Road, Sale, England, M33 3HG</t>
        </is>
      </c>
      <c r="AI710" s="5" t="inlineStr">
        <is>
          <t>2017-08-30</t>
        </is>
      </c>
      <c r="AJ710" s="5" t="inlineStr"/>
      <c r="AK710" s="5" t="inlineStr">
        <is>
          <t>vape hardware; e-liquids; disposables</t>
        </is>
      </c>
      <c r="AL710" s="5" t="inlineStr"/>
      <c r="AM710" s="5" t="inlineStr">
        <is>
          <t>Vape Shop</t>
        </is>
      </c>
      <c r="AN710" s="5" t="inlineStr"/>
      <c r="AO710" s="5" t="inlineStr">
        <is>
          <t>Sale independent vape shop; registered entity confirmed at Companies House (no. 10937677, incorporated 30 Aug 2017). Phone not found in accessible snippet.</t>
        </is>
      </c>
      <c r="AP710" s="5" t="inlineStr">
        <is>
          <t>Medium</t>
        </is>
      </c>
      <c r="AQ710" s="5" t="inlineStr">
        <is>
          <t>Independent retailer; Core relevant category</t>
        </is>
      </c>
      <c r="AR710" s="5" t="inlineStr">
        <is>
          <t>https://find-and-update.company-information.service.gov.uk/company/10937677</t>
        </is>
      </c>
      <c r="AS710" s="5" t="inlineStr"/>
      <c r="AT710" s="5" t="inlineStr">
        <is>
          <t>1</t>
        </is>
      </c>
      <c r="AU710" s="5" t="inlineStr">
        <is>
          <t>No</t>
        </is>
      </c>
      <c r="AV710" s="5" t="inlineStr">
        <is>
          <t>No</t>
        </is>
      </c>
      <c r="AW710" s="5" t="inlineStr">
        <is>
          <t>No</t>
        </is>
      </c>
      <c r="AX710" s="5" t="inlineStr">
        <is>
          <t>Yes</t>
        </is>
      </c>
      <c r="AY710" s="5" t="inlineStr">
        <is>
          <t>Not Found</t>
        </is>
      </c>
      <c r="AZ710" s="5" t="inlineStr">
        <is>
          <t>Not Found</t>
        </is>
      </c>
      <c r="BA710" s="5" t="inlineStr">
        <is>
          <t>2026-09-17</t>
        </is>
      </c>
      <c r="BB710" s="5" t="inlineStr">
        <is>
          <t>Partially Verified</t>
        </is>
      </c>
      <c r="BC710" s="5" t="inlineStr">
        <is>
          <t>Medium</t>
        </is>
      </c>
      <c r="BD710" s="5" t="inlineStr"/>
      <c r="BE710" s="5" t="inlineStr">
        <is>
          <t>Business (B2B)</t>
        </is>
      </c>
      <c r="BF710" s="5" t="inlineStr">
        <is>
          <t>Legitimate interest (B2B) - assess per campaign; PECR: corporate subscribers</t>
        </is>
      </c>
      <c r="BG710" s="5" t="inlineStr"/>
      <c r="BH710" s="5" t="inlineStr">
        <is>
          <t>No</t>
        </is>
      </c>
      <c r="BI710" s="5" t="inlineStr">
        <is>
          <t>2026-09-17</t>
        </is>
      </c>
      <c r="BJ710" s="5" t="inlineStr">
        <is>
          <t>New</t>
        </is>
      </c>
      <c r="BK710" s="5" t="inlineStr">
        <is>
          <t>2026-09-17</t>
        </is>
      </c>
      <c r="BL710" s="5" t="inlineStr"/>
      <c r="BM710" s="5" t="inlineStr"/>
      <c r="BN710" s="5" t="inlineStr"/>
      <c r="BO710" s="5" t="inlineStr"/>
      <c r="BP710" s="5" t="inlineStr"/>
      <c r="BQ710" s="5" t="inlineStr"/>
    </row>
    <row r="711">
      <c r="A711" s="10" t="inlineStr">
        <is>
          <t>UK-000390</t>
        </is>
      </c>
      <c r="B711" s="10" t="inlineStr">
        <is>
          <t>UK-000390-01</t>
        </is>
      </c>
      <c r="C711" s="10" t="inlineStr"/>
      <c r="D711" s="10" t="inlineStr">
        <is>
          <t>The Vape Store (Urmston, Trafford)</t>
        </is>
      </c>
      <c r="E711" s="10" t="inlineStr">
        <is>
          <t>The Vape Store</t>
        </is>
      </c>
      <c r="F711" s="10" t="inlineStr"/>
      <c r="G711" s="10" t="inlineStr">
        <is>
          <t>Vape Shop</t>
        </is>
      </c>
      <c r="H711" s="10" t="inlineStr">
        <is>
          <t>Vape hardware, e-liquids &amp; disposables</t>
        </is>
      </c>
      <c r="I711" s="10" t="inlineStr">
        <is>
          <t>Independent</t>
        </is>
      </c>
      <c r="J711" s="10" t="inlineStr">
        <is>
          <t>1</t>
        </is>
      </c>
      <c r="K711" s="10" t="inlineStr"/>
      <c r="L711" s="10" t="inlineStr"/>
      <c r="M711" s="10" t="inlineStr"/>
      <c r="N711" s="10" t="inlineStr"/>
      <c r="O711" s="10" t="inlineStr">
        <is>
          <t>144 Flixton Road</t>
        </is>
      </c>
      <c r="P711" s="10" t="inlineStr">
        <is>
          <t>Urmston</t>
        </is>
      </c>
      <c r="Q711" s="10" t="inlineStr">
        <is>
          <t>Urmston</t>
        </is>
      </c>
      <c r="R711" s="10" t="inlineStr">
        <is>
          <t>Greater Manchester</t>
        </is>
      </c>
      <c r="S711" s="10" t="inlineStr">
        <is>
          <t>M41 5BG</t>
        </is>
      </c>
      <c r="T711" s="10" t="inlineStr">
        <is>
          <t>North West</t>
        </is>
      </c>
      <c r="U711" s="10" t="inlineStr">
        <is>
          <t>England</t>
        </is>
      </c>
      <c r="V711" s="10" t="inlineStr">
        <is>
          <t>0161 637 5051</t>
        </is>
      </c>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vape hardware; e-liquids; disposables</t>
        </is>
      </c>
      <c r="AL711" s="10" t="inlineStr"/>
      <c r="AM711" s="10" t="inlineStr">
        <is>
          <t>Vape Shop</t>
        </is>
      </c>
      <c r="AN711" s="10" t="inlineStr"/>
      <c r="AO711" s="10" t="inlineStr">
        <is>
          <t>Urmston independent vape shop (also listed as trading location of 'Electro Vapours' at same address). Listed on Local Exposure NW / Locality Biz.</t>
        </is>
      </c>
      <c r="AP711" s="10" t="inlineStr">
        <is>
          <t>Medium</t>
        </is>
      </c>
      <c r="AQ711" s="10" t="inlineStr">
        <is>
          <t>Independent retailer; Core relevant category</t>
        </is>
      </c>
      <c r="AR711" s="10" t="inlineStr">
        <is>
          <t>https://www.localexposurenw.co.uk/extra/11387/the-vape-store-vaporiser-shop-in-urmston</t>
        </is>
      </c>
      <c r="AS711" s="10" t="inlineStr"/>
      <c r="AT711" s="10" t="inlineStr">
        <is>
          <t>1</t>
        </is>
      </c>
      <c r="AU711" s="10" t="inlineStr">
        <is>
          <t>No</t>
        </is>
      </c>
      <c r="AV711" s="10" t="inlineStr">
        <is>
          <t>No</t>
        </is>
      </c>
      <c r="AW711" s="10" t="inlineStr">
        <is>
          <t>No</t>
        </is>
      </c>
      <c r="AX711" s="10" t="inlineStr">
        <is>
          <t>No</t>
        </is>
      </c>
      <c r="AY711" s="10" t="inlineStr">
        <is>
          <t>Verified directory</t>
        </is>
      </c>
      <c r="AZ711" s="10" t="inlineStr">
        <is>
          <t>Not Found</t>
        </is>
      </c>
      <c r="BA711" s="10" t="inlineStr">
        <is>
          <t>2026-09-17</t>
        </is>
      </c>
      <c r="BB711" s="10" t="inlineStr">
        <is>
          <t>Requires Verification</t>
        </is>
      </c>
      <c r="BC711" s="10" t="inlineStr">
        <is>
          <t>Low</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2026-09-17</t>
        </is>
      </c>
      <c r="BJ711" s="10" t="inlineStr">
        <is>
          <t>New</t>
        </is>
      </c>
      <c r="BK711" s="10" t="inlineStr">
        <is>
          <t>2026-09-17</t>
        </is>
      </c>
      <c r="BL711" s="10" t="inlineStr"/>
      <c r="BM711" s="10" t="inlineStr"/>
      <c r="BN711" s="10" t="inlineStr"/>
      <c r="BO711" s="10" t="inlineStr"/>
      <c r="BP711" s="10" t="inlineStr"/>
      <c r="BQ711" s="10" t="inlineStr"/>
    </row>
    <row r="712">
      <c r="A712" s="5" t="inlineStr">
        <is>
          <t>UK-000391</t>
        </is>
      </c>
      <c r="B712" s="5" t="inlineStr">
        <is>
          <t>UK-000391-01</t>
        </is>
      </c>
      <c r="C712" s="5" t="inlineStr"/>
      <c r="D712" s="5" t="inlineStr">
        <is>
          <t>The Vape Store Bolton</t>
        </is>
      </c>
      <c r="E712" s="5" t="inlineStr">
        <is>
          <t>The Vape Store</t>
        </is>
      </c>
      <c r="F712" s="5" t="inlineStr">
        <is>
          <t>The Vape Store Bolton Ltd</t>
        </is>
      </c>
      <c r="G712" s="5" t="inlineStr">
        <is>
          <t>Vape Shop</t>
        </is>
      </c>
      <c r="H712" s="5" t="inlineStr">
        <is>
          <t>E-cigarette and e-liquid shop</t>
        </is>
      </c>
      <c r="I712" s="5" t="inlineStr">
        <is>
          <t>Independent</t>
        </is>
      </c>
      <c r="J712" s="5" t="inlineStr">
        <is>
          <t>1</t>
        </is>
      </c>
      <c r="K712" s="5" t="inlineStr"/>
      <c r="L712" s="5" t="inlineStr"/>
      <c r="M712" s="5" t="inlineStr">
        <is>
          <t>https://www.instagram.com/vapestorebolton/</t>
        </is>
      </c>
      <c r="N712" s="5" t="inlineStr"/>
      <c r="O712" s="5" t="inlineStr">
        <is>
          <t>319 Derby Street</t>
        </is>
      </c>
      <c r="P712" s="5" t="inlineStr">
        <is>
          <t>Rumworth</t>
        </is>
      </c>
      <c r="Q712" s="5" t="inlineStr">
        <is>
          <t>Bolton</t>
        </is>
      </c>
      <c r="R712" s="5" t="inlineStr">
        <is>
          <t>Greater Manchester</t>
        </is>
      </c>
      <c r="S712" s="5" t="inlineStr"/>
      <c r="T712" s="5" t="inlineStr">
        <is>
          <t>North West</t>
        </is>
      </c>
      <c r="U712" s="5" t="inlineStr">
        <is>
          <t>England</t>
        </is>
      </c>
      <c r="V712" s="5" t="inlineStr">
        <is>
          <t>07784 983386</t>
        </is>
      </c>
      <c r="W712" s="5" t="inlineStr"/>
      <c r="X712" s="5" t="inlineStr"/>
      <c r="Y712" s="5" t="inlineStr"/>
      <c r="Z712" s="5" t="inlineStr"/>
      <c r="AA712" s="5" t="inlineStr"/>
      <c r="AB712" s="5" t="inlineStr"/>
      <c r="AC712" s="5" t="inlineStr"/>
      <c r="AD712" s="5" t="inlineStr"/>
      <c r="AE712" s="5" t="inlineStr">
        <is>
          <t>10227451</t>
        </is>
      </c>
      <c r="AF712" s="5" t="inlineStr"/>
      <c r="AG712" s="5" t="inlineStr">
        <is>
          <t>THE VAPE STORE BOLTON LTD</t>
        </is>
      </c>
      <c r="AH712" s="5" t="inlineStr"/>
      <c r="AI712" s="5" t="inlineStr"/>
      <c r="AJ712" s="5" t="inlineStr"/>
      <c r="AK712" s="5" t="inlineStr">
        <is>
          <t>vape hardware; e-liquids</t>
        </is>
      </c>
      <c r="AL712" s="5" t="inlineStr"/>
      <c r="AM712" s="5" t="inlineStr">
        <is>
          <t>Vape Shop</t>
        </is>
      </c>
      <c r="AN712" s="5" t="inlineStr"/>
      <c r="AO712" s="5" t="inlineStr">
        <is>
          <t>Independent vape shop on Derby Street. Companies House number confirms registered entity THE VAPE STORE BOLTON LTD (10227451). Postcode not confirmed in search snippets.</t>
        </is>
      </c>
      <c r="AP712" s="5" t="inlineStr">
        <is>
          <t>Medium</t>
        </is>
      </c>
      <c r="AQ712" s="5" t="inlineStr">
        <is>
          <t>Independent retailer; Core relevant category; Social presence</t>
        </is>
      </c>
      <c r="AR712" s="5" t="inlineStr">
        <is>
          <t>https://find-and-update.company-information.service.gov.uk/company/10227451</t>
        </is>
      </c>
      <c r="AS712" s="5" t="inlineStr">
        <is>
          <t>https://www.instagram.com/vapestorebolton/</t>
        </is>
      </c>
      <c r="AT712" s="5" t="inlineStr">
        <is>
          <t>3</t>
        </is>
      </c>
      <c r="AU712" s="5" t="inlineStr">
        <is>
          <t>No</t>
        </is>
      </c>
      <c r="AV712" s="5" t="inlineStr">
        <is>
          <t>No</t>
        </is>
      </c>
      <c r="AW712" s="5" t="inlineStr">
        <is>
          <t>No</t>
        </is>
      </c>
      <c r="AX712" s="5" t="inlineStr">
        <is>
          <t>No</t>
        </is>
      </c>
      <c r="AY712" s="5" t="inlineStr">
        <is>
          <t>Verified directory</t>
        </is>
      </c>
      <c r="AZ712" s="5" t="inlineStr">
        <is>
          <t>Not Found</t>
        </is>
      </c>
      <c r="BA712" s="5" t="inlineStr">
        <is>
          <t>2026-09-17</t>
        </is>
      </c>
      <c r="BB712" s="5" t="inlineStr">
        <is>
          <t>Requires Verification</t>
        </is>
      </c>
      <c r="BC712" s="5" t="inlineStr">
        <is>
          <t>Medium</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UK-000392</t>
        </is>
      </c>
      <c r="B713" s="10" t="inlineStr">
        <is>
          <t>UK-000392-01</t>
        </is>
      </c>
      <c r="C713" s="10" t="inlineStr"/>
      <c r="D713" s="10" t="inlineStr">
        <is>
          <t>The Vape Store Oldham</t>
        </is>
      </c>
      <c r="E713" s="10" t="inlineStr">
        <is>
          <t>The Vape Store Oldham</t>
        </is>
      </c>
      <c r="F713" s="10" t="inlineStr"/>
      <c r="G713" s="10" t="inlineStr">
        <is>
          <t>Vape Shop</t>
        </is>
      </c>
      <c r="H713" s="10" t="inlineStr"/>
      <c r="I713" s="10" t="inlineStr">
        <is>
          <t>Independent</t>
        </is>
      </c>
      <c r="J713" s="10" t="inlineStr">
        <is>
          <t>1</t>
        </is>
      </c>
      <c r="K713" s="10" t="inlineStr"/>
      <c r="L713" s="10" t="inlineStr">
        <is>
          <t>https://www.facebook.com/Thevapestoreoldham1/</t>
        </is>
      </c>
      <c r="M713" s="10" t="inlineStr"/>
      <c r="N713" s="10" t="inlineStr"/>
      <c r="O713" s="10" t="inlineStr">
        <is>
          <t>200 Hollins Road</t>
        </is>
      </c>
      <c r="P713" s="10" t="inlineStr"/>
      <c r="Q713" s="10" t="inlineStr">
        <is>
          <t>Oldham</t>
        </is>
      </c>
      <c r="R713" s="10" t="inlineStr">
        <is>
          <t>Greater Manchester</t>
        </is>
      </c>
      <c r="S713" s="10" t="inlineStr"/>
      <c r="T713" s="10" t="inlineStr">
        <is>
          <t>North West</t>
        </is>
      </c>
      <c r="U713" s="10" t="inlineStr">
        <is>
          <t>England</t>
        </is>
      </c>
      <c r="V713" s="10" t="inlineStr">
        <is>
          <t>0161 258 8289</t>
        </is>
      </c>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c r="AK713" s="10" t="inlineStr">
        <is>
          <t>e-liquids; vape hardware; disposables</t>
        </is>
      </c>
      <c r="AL713" s="10" t="inlineStr"/>
      <c r="AM713" s="10" t="inlineStr">
        <is>
          <t>Vape Shop</t>
        </is>
      </c>
      <c r="AN713" s="10" t="inlineStr"/>
      <c r="AO713" s="10" t="inlineStr">
        <is>
          <t>Independent vape shop on Hollins Road, Oldham. Postcode not confirmed in sources.</t>
        </is>
      </c>
      <c r="AP713" s="10" t="inlineStr">
        <is>
          <t>Medium</t>
        </is>
      </c>
      <c r="AQ713" s="10" t="inlineStr">
        <is>
          <t>Independent retailer; Core relevant category; Social presence</t>
        </is>
      </c>
      <c r="AR713" s="10" t="inlineStr">
        <is>
          <t>https://www.facebook.com/Thevapestoreoldham1/</t>
        </is>
      </c>
      <c r="AS713" s="10" t="inlineStr"/>
      <c r="AT713" s="10" t="inlineStr">
        <is>
          <t>1</t>
        </is>
      </c>
      <c r="AU713" s="10" t="inlineStr">
        <is>
          <t>No</t>
        </is>
      </c>
      <c r="AV713" s="10" t="inlineStr">
        <is>
          <t>No</t>
        </is>
      </c>
      <c r="AW713" s="10" t="inlineStr">
        <is>
          <t>No</t>
        </is>
      </c>
      <c r="AX713" s="10" t="inlineStr">
        <is>
          <t>No</t>
        </is>
      </c>
      <c r="AY713" s="10" t="inlineStr">
        <is>
          <t>Verified directory</t>
        </is>
      </c>
      <c r="AZ713" s="10" t="inlineStr">
        <is>
          <t>Not Found</t>
        </is>
      </c>
      <c r="BA713" s="10" t="inlineStr">
        <is>
          <t>2026-09-17</t>
        </is>
      </c>
      <c r="BB713" s="10" t="inlineStr">
        <is>
          <t>Requires Verification</t>
        </is>
      </c>
      <c r="BC713" s="10" t="inlineStr">
        <is>
          <t>Low</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2026-09-17</t>
        </is>
      </c>
      <c r="BJ713" s="10" t="inlineStr">
        <is>
          <t>New</t>
        </is>
      </c>
      <c r="BK713" s="10" t="inlineStr">
        <is>
          <t>2026-09-17</t>
        </is>
      </c>
      <c r="BL713" s="10" t="inlineStr"/>
      <c r="BM713" s="10" t="inlineStr"/>
      <c r="BN713" s="10" t="inlineStr"/>
      <c r="BO713" s="10" t="inlineStr"/>
      <c r="BP713" s="10" t="inlineStr"/>
      <c r="BQ713" s="10" t="inlineStr"/>
    </row>
    <row r="714">
      <c r="A714" s="5" t="inlineStr">
        <is>
          <t>UK-000286</t>
        </is>
      </c>
      <c r="B714" s="5" t="inlineStr">
        <is>
          <t>UK-000286-01</t>
        </is>
      </c>
      <c r="C714" s="5" t="inlineStr"/>
      <c r="D714" s="5" t="inlineStr">
        <is>
          <t>The Vape Supermarket</t>
        </is>
      </c>
      <c r="E714" s="5" t="inlineStr">
        <is>
          <t>The Vape Supermarket</t>
        </is>
      </c>
      <c r="F714" s="5" t="inlineStr"/>
      <c r="G714" s="5" t="inlineStr">
        <is>
          <t>Vape Shop</t>
        </is>
      </c>
      <c r="H714" s="5" t="inlineStr">
        <is>
          <t>Vape shop</t>
        </is>
      </c>
      <c r="I714" s="5" t="inlineStr">
        <is>
          <t>Independent</t>
        </is>
      </c>
      <c r="J714" s="5" t="inlineStr">
        <is>
          <t>1</t>
        </is>
      </c>
      <c r="K714" s="5" t="inlineStr"/>
      <c r="L714" s="5" t="inlineStr">
        <is>
          <t>https://www.facebook.com/TheVapeSupermarket/</t>
        </is>
      </c>
      <c r="M714" s="5" t="inlineStr"/>
      <c r="N714" s="5" t="inlineStr"/>
      <c r="O714" s="5" t="inlineStr"/>
      <c r="P714" s="5" t="inlineStr"/>
      <c r="Q714" s="5" t="inlineStr">
        <is>
          <t>Barnsley</t>
        </is>
      </c>
      <c r="R714" s="5" t="inlineStr">
        <is>
          <t>South Yorkshire</t>
        </is>
      </c>
      <c r="S714" s="5" t="inlineStr"/>
      <c r="T714" s="5" t="inlineStr">
        <is>
          <t>Yorkshire &amp; Humber</t>
        </is>
      </c>
      <c r="U714" s="5" t="inlineStr">
        <is>
          <t>England</t>
        </is>
      </c>
      <c r="V714" s="5" t="inlineStr"/>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coils; e-liquids; devices; disposables</t>
        </is>
      </c>
      <c r="AL714" s="5" t="inlineStr"/>
      <c r="AM714" s="5" t="inlineStr">
        <is>
          <t>Vape Shop</t>
        </is>
      </c>
      <c r="AN714" s="5" t="inlineStr"/>
      <c r="AO714" s="5" t="inlineStr">
        <is>
          <t>Independent vape shop in Barnsley; Facebook page found. Street address/postcode not captured from search results.</t>
        </is>
      </c>
      <c r="AP714" s="5" t="inlineStr">
        <is>
          <t>Medium</t>
        </is>
      </c>
      <c r="AQ714" s="5" t="inlineStr">
        <is>
          <t>Independent retailer; Core relevant category; Social presence</t>
        </is>
      </c>
      <c r="AR714" s="5" t="inlineStr">
        <is>
          <t>https://www.facebook.com/TheVapeSupermarket/</t>
        </is>
      </c>
      <c r="AS714" s="5" t="inlineStr"/>
      <c r="AT714" s="5" t="inlineStr">
        <is>
          <t>1</t>
        </is>
      </c>
      <c r="AU714" s="5" t="inlineStr">
        <is>
          <t>No</t>
        </is>
      </c>
      <c r="AV714" s="5" t="inlineStr">
        <is>
          <t>No</t>
        </is>
      </c>
      <c r="AW714" s="5" t="inlineStr">
        <is>
          <t>No</t>
        </is>
      </c>
      <c r="AX714" s="5" t="inlineStr">
        <is>
          <t>No</t>
        </is>
      </c>
      <c r="AY714" s="5" t="inlineStr">
        <is>
          <t>Not Found</t>
        </is>
      </c>
      <c r="AZ714" s="5" t="inlineStr">
        <is>
          <t>Not Found</t>
        </is>
      </c>
      <c r="BA714" s="5" t="inlineStr">
        <is>
          <t>2026-09-17</t>
        </is>
      </c>
      <c r="BB714" s="5" t="inlineStr">
        <is>
          <t>Requires Verification</t>
        </is>
      </c>
      <c r="BC714" s="5" t="inlineStr">
        <is>
          <t>Low</t>
        </is>
      </c>
      <c r="BD714" s="5" t="inlineStr"/>
      <c r="BE714" s="5" t="inlineStr">
        <is>
          <t>Business (B2B)</t>
        </is>
      </c>
      <c r="BF714" s="5" t="inlineStr">
        <is>
          <t>Legitimate interest (B2B) - assess per campaign; PECR: corporate subscribers</t>
        </is>
      </c>
      <c r="BG714" s="5" t="inlineStr"/>
      <c r="BH714" s="5" t="inlineStr">
        <is>
          <t>No</t>
        </is>
      </c>
      <c r="BI714" s="5" t="inlineStr">
        <is>
          <t>2026-09-16</t>
        </is>
      </c>
      <c r="BJ714" s="5" t="inlineStr">
        <is>
          <t>New</t>
        </is>
      </c>
      <c r="BK714" s="5" t="inlineStr">
        <is>
          <t>2026-09-17</t>
        </is>
      </c>
      <c r="BL714" s="5" t="inlineStr"/>
      <c r="BM714" s="5" t="inlineStr"/>
      <c r="BN714" s="5" t="inlineStr"/>
      <c r="BO714" s="5" t="inlineStr"/>
      <c r="BP714" s="5" t="inlineStr"/>
      <c r="BQ714" s="5" t="inlineStr"/>
    </row>
    <row r="715">
      <c r="A715" s="10" t="inlineStr">
        <is>
          <t>UK-000393</t>
        </is>
      </c>
      <c r="B715" s="10" t="inlineStr">
        <is>
          <t>UK-000393-01</t>
        </is>
      </c>
      <c r="C715" s="10" t="inlineStr"/>
      <c r="D715" s="10" t="inlineStr">
        <is>
          <t>The Vape Tavern Stalybridge</t>
        </is>
      </c>
      <c r="E715" s="10" t="inlineStr">
        <is>
          <t>The Vape Tavern</t>
        </is>
      </c>
      <c r="F715" s="10" t="inlineStr">
        <is>
          <t>The Vape Tavern LTD</t>
        </is>
      </c>
      <c r="G715" s="10" t="inlineStr">
        <is>
          <t>Vape Shop</t>
        </is>
      </c>
      <c r="H715" s="10" t="inlineStr"/>
      <c r="I715" s="10" t="inlineStr">
        <is>
          <t>Independent</t>
        </is>
      </c>
      <c r="J715" s="10" t="inlineStr">
        <is>
          <t>1</t>
        </is>
      </c>
      <c r="K715" s="10" t="inlineStr">
        <is>
          <t>https://www.thevapetavernstalybridge.com/</t>
        </is>
      </c>
      <c r="L715" s="10" t="inlineStr"/>
      <c r="M715" s="10" t="inlineStr"/>
      <c r="N715" s="10" t="inlineStr"/>
      <c r="O715" s="10" t="inlineStr"/>
      <c r="P715" s="10" t="inlineStr"/>
      <c r="Q715" s="10" t="inlineStr">
        <is>
          <t>Stalybridge</t>
        </is>
      </c>
      <c r="R715" s="10" t="inlineStr">
        <is>
          <t>Greater Manchester</t>
        </is>
      </c>
      <c r="S715" s="10" t="inlineStr"/>
      <c r="T715" s="10" t="inlineStr">
        <is>
          <t>North West</t>
        </is>
      </c>
      <c r="U715" s="10" t="inlineStr">
        <is>
          <t>England</t>
        </is>
      </c>
      <c r="V715" s="10" t="inlineStr"/>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e-liquids; vape hardware; disposables</t>
        </is>
      </c>
      <c r="AL715" s="10" t="inlineStr"/>
      <c r="AM715" s="10" t="inlineStr">
        <is>
          <t>Vape Shop</t>
        </is>
      </c>
      <c r="AN715" s="10" t="inlineStr"/>
      <c r="AO715" s="10" t="inlineStr">
        <is>
          <t>Independent e-cigarette and e-liquid shop near Stalybridge train station. Street address/postcode not captured from source.</t>
        </is>
      </c>
      <c r="AP715" s="10" t="inlineStr">
        <is>
          <t>Medium</t>
        </is>
      </c>
      <c r="AQ715" s="10" t="inlineStr">
        <is>
          <t>Independent retailer; Core relevant category; Active website</t>
        </is>
      </c>
      <c r="AR715" s="10" t="inlineStr">
        <is>
          <t>https://www.thevapetavernstalybridge.com/</t>
        </is>
      </c>
      <c r="AS715" s="10" t="inlineStr"/>
      <c r="AT715" s="10" t="inlineStr">
        <is>
          <t>1</t>
        </is>
      </c>
      <c r="AU715" s="10" t="inlineStr">
        <is>
          <t>No</t>
        </is>
      </c>
      <c r="AV715" s="10" t="inlineStr">
        <is>
          <t>No</t>
        </is>
      </c>
      <c r="AW715" s="10" t="inlineStr">
        <is>
          <t>No</t>
        </is>
      </c>
      <c r="AX715" s="10" t="inlineStr">
        <is>
          <t>No</t>
        </is>
      </c>
      <c r="AY715" s="10" t="inlineStr">
        <is>
          <t>Not Found</t>
        </is>
      </c>
      <c r="AZ715" s="10" t="inlineStr">
        <is>
          <t>Website Found</t>
        </is>
      </c>
      <c r="BA715" s="10" t="inlineStr">
        <is>
          <t>2026-09-17</t>
        </is>
      </c>
      <c r="BB715" s="10" t="inlineStr">
        <is>
          <t>Requires Verification</t>
        </is>
      </c>
      <c r="BC715" s="10" t="inlineStr">
        <is>
          <t>Low</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UK-000394</t>
        </is>
      </c>
      <c r="B716" s="5" t="inlineStr">
        <is>
          <t>UK-000394-01</t>
        </is>
      </c>
      <c r="C716" s="5" t="inlineStr"/>
      <c r="D716" s="5" t="inlineStr">
        <is>
          <t>The Vape Volt Farnworth</t>
        </is>
      </c>
      <c r="E716" s="5" t="inlineStr">
        <is>
          <t>The Vape Volt</t>
        </is>
      </c>
      <c r="F716" s="5" t="inlineStr"/>
      <c r="G716" s="5" t="inlineStr">
        <is>
          <t>Vape Shop</t>
        </is>
      </c>
      <c r="H716" s="5" t="inlineStr"/>
      <c r="I716" s="5" t="inlineStr">
        <is>
          <t>Independent</t>
        </is>
      </c>
      <c r="J716" s="5" t="inlineStr">
        <is>
          <t>1</t>
        </is>
      </c>
      <c r="K716" s="5" t="inlineStr"/>
      <c r="L716" s="5" t="inlineStr">
        <is>
          <t>https://www.facebook.com/VapeVoltFarnworth/</t>
        </is>
      </c>
      <c r="M716" s="5" t="inlineStr"/>
      <c r="N716" s="5" t="inlineStr"/>
      <c r="O716" s="5" t="inlineStr">
        <is>
          <t>32A Brackley Street</t>
        </is>
      </c>
      <c r="P716" s="5" t="inlineStr">
        <is>
          <t>Farnworth</t>
        </is>
      </c>
      <c r="Q716" s="5" t="inlineStr">
        <is>
          <t>Bolton</t>
        </is>
      </c>
      <c r="R716" s="5" t="inlineStr">
        <is>
          <t>Greater Manchester</t>
        </is>
      </c>
      <c r="S716" s="5" t="inlineStr">
        <is>
          <t>BL4 9DR</t>
        </is>
      </c>
      <c r="T716" s="5" t="inlineStr">
        <is>
          <t>North West</t>
        </is>
      </c>
      <c r="U716" s="5" t="inlineStr">
        <is>
          <t>England</t>
        </is>
      </c>
      <c r="V716" s="5" t="inlineStr"/>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vape hardware; e-liquids</t>
        </is>
      </c>
      <c r="AL716" s="5" t="inlineStr"/>
      <c r="AM716" s="5" t="inlineStr">
        <is>
          <t>Vape Shop</t>
        </is>
      </c>
      <c r="AN716" s="5" t="inlineStr"/>
      <c r="AO716" s="5" t="inlineStr">
        <is>
          <t>Independent vape shop on Brackley Street, Farnworth, with active Facebook page.</t>
        </is>
      </c>
      <c r="AP716" s="5" t="inlineStr">
        <is>
          <t>Medium</t>
        </is>
      </c>
      <c r="AQ716" s="5" t="inlineStr">
        <is>
          <t>Independent retailer; Core relevant category; Social presence</t>
        </is>
      </c>
      <c r="AR716" s="5" t="inlineStr">
        <is>
          <t>https://www.facebook.com/VapeVoltFarnworth/</t>
        </is>
      </c>
      <c r="AS716" s="5" t="inlineStr"/>
      <c r="AT716" s="5" t="inlineStr">
        <is>
          <t>1</t>
        </is>
      </c>
      <c r="AU716" s="5" t="inlineStr">
        <is>
          <t>No</t>
        </is>
      </c>
      <c r="AV716" s="5" t="inlineStr">
        <is>
          <t>No</t>
        </is>
      </c>
      <c r="AW716" s="5" t="inlineStr">
        <is>
          <t>No</t>
        </is>
      </c>
      <c r="AX716" s="5" t="inlineStr">
        <is>
          <t>No</t>
        </is>
      </c>
      <c r="AY716" s="5" t="inlineStr">
        <is>
          <t>Not Found</t>
        </is>
      </c>
      <c r="AZ716" s="5" t="inlineStr">
        <is>
          <t>Not Found</t>
        </is>
      </c>
      <c r="BA716" s="5" t="inlineStr">
        <is>
          <t>2026-09-17</t>
        </is>
      </c>
      <c r="BB716" s="5" t="inlineStr">
        <is>
          <t>Requires Verification</t>
        </is>
      </c>
      <c r="BC716" s="5" t="inlineStr">
        <is>
          <t>Low</t>
        </is>
      </c>
      <c r="BD716" s="5" t="inlineStr"/>
      <c r="BE716" s="5" t="inlineStr">
        <is>
          <t>Business (B2B)</t>
        </is>
      </c>
      <c r="BF716" s="5" t="inlineStr">
        <is>
          <t>Legitimate interest (B2B) - assess per campaign; PECR: corporate subscribers</t>
        </is>
      </c>
      <c r="BG716" s="5" t="inlineStr"/>
      <c r="BH716" s="5" t="inlineStr">
        <is>
          <t>No</t>
        </is>
      </c>
      <c r="BI716" s="5" t="inlineStr">
        <is>
          <t>2026-09-17</t>
        </is>
      </c>
      <c r="BJ716" s="5" t="inlineStr">
        <is>
          <t>New</t>
        </is>
      </c>
      <c r="BK716" s="5" t="inlineStr">
        <is>
          <t>2026-09-17</t>
        </is>
      </c>
      <c r="BL716" s="5" t="inlineStr"/>
      <c r="BM716" s="5" t="inlineStr"/>
      <c r="BN716" s="5" t="inlineStr"/>
      <c r="BO716" s="5" t="inlineStr"/>
      <c r="BP716" s="5" t="inlineStr"/>
      <c r="BQ716" s="5" t="inlineStr"/>
    </row>
    <row r="717">
      <c r="A717" s="10" t="inlineStr">
        <is>
          <t>UK-000667</t>
        </is>
      </c>
      <c r="B717" s="10" t="inlineStr">
        <is>
          <t>UK-000667-01</t>
        </is>
      </c>
      <c r="C717" s="10" t="inlineStr"/>
      <c r="D717" s="10" t="inlineStr">
        <is>
          <t>The Vaper</t>
        </is>
      </c>
      <c r="E717" s="10" t="inlineStr">
        <is>
          <t>The Vaper</t>
        </is>
      </c>
      <c r="F717" s="10" t="inlineStr"/>
      <c r="G717" s="10" t="inlineStr">
        <is>
          <t>Vape Shop</t>
        </is>
      </c>
      <c r="H717" s="10" t="inlineStr"/>
      <c r="I717" s="10" t="inlineStr">
        <is>
          <t>Independent</t>
        </is>
      </c>
      <c r="J717" s="10" t="inlineStr">
        <is>
          <t>1</t>
        </is>
      </c>
      <c r="K717" s="10" t="inlineStr"/>
      <c r="L717" s="10" t="inlineStr"/>
      <c r="M717" s="10" t="inlineStr"/>
      <c r="N717" s="10" t="inlineStr"/>
      <c r="O717" s="10" t="inlineStr">
        <is>
          <t>374a Streatham High Road</t>
        </is>
      </c>
      <c r="P717" s="10" t="inlineStr"/>
      <c r="Q717" s="10" t="inlineStr">
        <is>
          <t>London</t>
        </is>
      </c>
      <c r="R717" s="10" t="inlineStr">
        <is>
          <t>Greater London</t>
        </is>
      </c>
      <c r="S717" s="10" t="inlineStr">
        <is>
          <t>SW16 6HP</t>
        </is>
      </c>
      <c r="T717" s="10" t="inlineStr">
        <is>
          <t>London</t>
        </is>
      </c>
      <c r="U717" s="10" t="inlineStr">
        <is>
          <t>England</t>
        </is>
      </c>
      <c r="V717" s="10" t="inlineStr"/>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vape hardware; e-liquids; accessories</t>
        </is>
      </c>
      <c r="AL717" s="10" t="inlineStr"/>
      <c r="AM717" s="10" t="inlineStr">
        <is>
          <t>Vape Shop</t>
        </is>
      </c>
      <c r="AN717" s="10" t="inlineStr"/>
      <c r="AO717" s="10" t="inlineStr">
        <is>
          <t>Independent vape shop on Streatham High Road. Address from Yell listing.</t>
        </is>
      </c>
      <c r="AP717" s="10" t="inlineStr">
        <is>
          <t>Medium</t>
        </is>
      </c>
      <c r="AQ717" s="10" t="inlineStr">
        <is>
          <t>Independent retailer; Core relevant category</t>
        </is>
      </c>
      <c r="AR717" s="10" t="inlineStr">
        <is>
          <t>https://www.yell.com/biz/the-vaper-london-8913915/</t>
        </is>
      </c>
      <c r="AS717" s="10" t="inlineStr"/>
      <c r="AT717" s="10" t="inlineStr">
        <is>
          <t>1</t>
        </is>
      </c>
      <c r="AU717" s="10" t="inlineStr">
        <is>
          <t>No</t>
        </is>
      </c>
      <c r="AV717" s="10" t="inlineStr">
        <is>
          <t>No</t>
        </is>
      </c>
      <c r="AW717" s="10" t="inlineStr">
        <is>
          <t>No</t>
        </is>
      </c>
      <c r="AX717" s="10" t="inlineStr">
        <is>
          <t>No</t>
        </is>
      </c>
      <c r="AY717" s="10" t="inlineStr">
        <is>
          <t>Not Found</t>
        </is>
      </c>
      <c r="AZ717" s="10" t="inlineStr">
        <is>
          <t>Not Found</t>
        </is>
      </c>
      <c r="BA717" s="10" t="inlineStr">
        <is>
          <t>2026-09-17</t>
        </is>
      </c>
      <c r="BB717" s="10" t="inlineStr">
        <is>
          <t>Requires Verification</t>
        </is>
      </c>
      <c r="BC717" s="10" t="inlineStr">
        <is>
          <t>Low</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2026-09-17</t>
        </is>
      </c>
      <c r="BJ717" s="10" t="inlineStr">
        <is>
          <t>New</t>
        </is>
      </c>
      <c r="BK717" s="10" t="inlineStr">
        <is>
          <t>2026-09-17</t>
        </is>
      </c>
      <c r="BL717" s="10" t="inlineStr"/>
      <c r="BM717" s="10" t="inlineStr"/>
      <c r="BN717" s="10" t="inlineStr"/>
      <c r="BO717" s="10" t="inlineStr"/>
      <c r="BP717" s="10" t="inlineStr"/>
      <c r="BQ717" s="10" t="inlineStr"/>
    </row>
    <row r="718">
      <c r="A718" s="5" t="inlineStr">
        <is>
          <t>UK-000287</t>
        </is>
      </c>
      <c r="B718" s="5" t="inlineStr">
        <is>
          <t>UK-000287-01</t>
        </is>
      </c>
      <c r="C718" s="5" t="inlineStr"/>
      <c r="D718" s="5" t="inlineStr">
        <is>
          <t>The Vapers Guild</t>
        </is>
      </c>
      <c r="E718" s="5" t="inlineStr">
        <is>
          <t>The Vapers Guild</t>
        </is>
      </c>
      <c r="F718" s="5" t="inlineStr"/>
      <c r="G718" s="5" t="inlineStr">
        <is>
          <t>Vape Shop</t>
        </is>
      </c>
      <c r="H718" s="5" t="inlineStr">
        <is>
          <t>E-cigarette and e-liquid shop</t>
        </is>
      </c>
      <c r="I718" s="5" t="inlineStr">
        <is>
          <t>Independent</t>
        </is>
      </c>
      <c r="J718" s="5" t="inlineStr">
        <is>
          <t>1</t>
        </is>
      </c>
      <c r="K718" s="5" t="inlineStr"/>
      <c r="L718" s="5" t="inlineStr"/>
      <c r="M718" s="5" t="inlineStr"/>
      <c r="N718" s="5" t="inlineStr"/>
      <c r="O718" s="5" t="inlineStr"/>
      <c r="P718" s="5" t="inlineStr"/>
      <c r="Q718" s="5" t="inlineStr">
        <is>
          <t>Kingston upon Hull</t>
        </is>
      </c>
      <c r="R718" s="5" t="inlineStr">
        <is>
          <t>East Riding of Yorkshire</t>
        </is>
      </c>
      <c r="S718" s="5" t="inlineStr"/>
      <c r="T718" s="5" t="inlineStr">
        <is>
          <t>Yorkshire &amp; Humber</t>
        </is>
      </c>
      <c r="U718" s="5" t="inlineStr">
        <is>
          <t>England</t>
        </is>
      </c>
      <c r="V718" s="5" t="inlineStr"/>
      <c r="W718" s="5" t="inlineStr"/>
      <c r="X718" s="5" t="inlineStr"/>
      <c r="Y718" s="5" t="inlineStr"/>
      <c r="Z718" s="5" t="inlineStr"/>
      <c r="AA718" s="5" t="inlineStr"/>
      <c r="AB718" s="5" t="inlineStr"/>
      <c r="AC718" s="5" t="inlineStr"/>
      <c r="AD718" s="5" t="inlineStr"/>
      <c r="AE718" s="5" t="inlineStr"/>
      <c r="AF718" s="5" t="inlineStr"/>
      <c r="AG718" s="5" t="inlineStr"/>
      <c r="AH718" s="5" t="inlineStr"/>
      <c r="AI718" s="5" t="inlineStr"/>
      <c r="AJ718" s="5" t="inlineStr"/>
      <c r="AK718" s="5" t="inlineStr">
        <is>
          <t>e-liquids; mods; starter kits; tanks</t>
        </is>
      </c>
      <c r="AL718" s="5" t="inlineStr"/>
      <c r="AM718" s="5" t="inlineStr">
        <is>
          <t>Vape Shop</t>
        </is>
      </c>
      <c r="AN718" s="5" t="inlineStr"/>
      <c r="AO718" s="5" t="inlineStr">
        <is>
          <t>Independent e-cig store within walking distance of Hull city centre per eCig Directory. No street address/phone in search results.</t>
        </is>
      </c>
      <c r="AP718" s="5" t="inlineStr">
        <is>
          <t>Medium</t>
        </is>
      </c>
      <c r="AQ718" s="5" t="inlineStr">
        <is>
          <t>Independent retailer; Core relevant category</t>
        </is>
      </c>
      <c r="AR718" s="5" t="inlineStr">
        <is>
          <t>https://ecigdirectory.co.uk/vape-shop/listing/the-vapers-guild-hull</t>
        </is>
      </c>
      <c r="AS718" s="5" t="inlineStr"/>
      <c r="AT718" s="5" t="inlineStr">
        <is>
          <t>1</t>
        </is>
      </c>
      <c r="AU718" s="5" t="inlineStr">
        <is>
          <t>No</t>
        </is>
      </c>
      <c r="AV718" s="5" t="inlineStr">
        <is>
          <t>No</t>
        </is>
      </c>
      <c r="AW718" s="5" t="inlineStr">
        <is>
          <t>No</t>
        </is>
      </c>
      <c r="AX718" s="5" t="inlineStr">
        <is>
          <t>No</t>
        </is>
      </c>
      <c r="AY718" s="5" t="inlineStr">
        <is>
          <t>Not Found</t>
        </is>
      </c>
      <c r="AZ718" s="5" t="inlineStr">
        <is>
          <t>Not Found</t>
        </is>
      </c>
      <c r="BA718" s="5" t="inlineStr">
        <is>
          <t>2026-09-17</t>
        </is>
      </c>
      <c r="BB718" s="5" t="inlineStr">
        <is>
          <t>Requires Verification</t>
        </is>
      </c>
      <c r="BC718" s="5" t="inlineStr">
        <is>
          <t>Low</t>
        </is>
      </c>
      <c r="BD718" s="5" t="inlineStr"/>
      <c r="BE718" s="5" t="inlineStr">
        <is>
          <t>Business (B2B)</t>
        </is>
      </c>
      <c r="BF718" s="5" t="inlineStr">
        <is>
          <t>Legitimate interest (B2B) - assess per campaign; PECR: corporate subscribers</t>
        </is>
      </c>
      <c r="BG718" s="5" t="inlineStr"/>
      <c r="BH718" s="5" t="inlineStr">
        <is>
          <t>No</t>
        </is>
      </c>
      <c r="BI718" s="5" t="inlineStr">
        <is>
          <t>2026-09-16</t>
        </is>
      </c>
      <c r="BJ718" s="5" t="inlineStr">
        <is>
          <t>New</t>
        </is>
      </c>
      <c r="BK718" s="5" t="inlineStr">
        <is>
          <t>2026-09-17</t>
        </is>
      </c>
      <c r="BL718" s="5" t="inlineStr"/>
      <c r="BM718" s="5" t="inlineStr"/>
      <c r="BN718" s="5" t="inlineStr"/>
      <c r="BO718" s="5" t="inlineStr"/>
      <c r="BP718" s="5" t="inlineStr"/>
      <c r="BQ718" s="5" t="inlineStr"/>
    </row>
    <row r="719">
      <c r="A719" s="10" t="inlineStr">
        <is>
          <t>UK-000828</t>
        </is>
      </c>
      <c r="B719" s="10" t="inlineStr">
        <is>
          <t>UK-000828-01</t>
        </is>
      </c>
      <c r="C719" s="10" t="inlineStr"/>
      <c r="D719" s="10" t="inlineStr">
        <is>
          <t>The Vapour Shop Paisley</t>
        </is>
      </c>
      <c r="E719" s="10" t="inlineStr">
        <is>
          <t>The Vapour Shop</t>
        </is>
      </c>
      <c r="F719" s="10" t="inlineStr"/>
      <c r="G719" s="10" t="inlineStr">
        <is>
          <t>Vape Shop</t>
        </is>
      </c>
      <c r="H719" s="10" t="inlineStr">
        <is>
          <t>Vape shop</t>
        </is>
      </c>
      <c r="I719" s="10" t="inlineStr">
        <is>
          <t>Independent</t>
        </is>
      </c>
      <c r="J719" s="10" t="inlineStr">
        <is>
          <t>1</t>
        </is>
      </c>
      <c r="K719" s="10" t="inlineStr"/>
      <c r="L719" s="10" t="inlineStr"/>
      <c r="M719" s="10" t="inlineStr"/>
      <c r="N719" s="10" t="inlineStr"/>
      <c r="O719" s="10" t="inlineStr">
        <is>
          <t>3A Moss Street</t>
        </is>
      </c>
      <c r="P719" s="10" t="inlineStr"/>
      <c r="Q719" s="10" t="inlineStr">
        <is>
          <t>Paisley</t>
        </is>
      </c>
      <c r="R719" s="10" t="inlineStr">
        <is>
          <t>Renfrewshire</t>
        </is>
      </c>
      <c r="S719" s="10" t="inlineStr"/>
      <c r="T719" s="10" t="inlineStr">
        <is>
          <t>Scotland</t>
        </is>
      </c>
      <c r="U719" s="10" t="inlineStr">
        <is>
          <t>Scotland</t>
        </is>
      </c>
      <c r="V719" s="10" t="inlineStr"/>
      <c r="W719" s="10" t="inlineStr"/>
      <c r="X719" s="10" t="inlineStr"/>
      <c r="Y719" s="10" t="inlineStr"/>
      <c r="Z719" s="10" t="inlineStr"/>
      <c r="AA719" s="10" t="inlineStr"/>
      <c r="AB719" s="10" t="inlineStr"/>
      <c r="AC719" s="10" t="inlineStr"/>
      <c r="AD719" s="10" t="inlineStr"/>
      <c r="AE719" s="10" t="inlineStr"/>
      <c r="AF719" s="10" t="inlineStr"/>
      <c r="AG719" s="10" t="inlineStr"/>
      <c r="AH719" s="10" t="inlineStr"/>
      <c r="AI719" s="10" t="inlineStr"/>
      <c r="AJ719" s="10" t="inlineStr"/>
      <c r="AK719" s="10" t="inlineStr">
        <is>
          <t>vape hardware; e-liquids</t>
        </is>
      </c>
      <c r="AL719" s="10" t="inlineStr"/>
      <c r="AM719" s="10" t="inlineStr">
        <is>
          <t>Vape Shop</t>
        </is>
      </c>
      <c r="AN719" s="10" t="inlineStr"/>
      <c r="AO719" s="10" t="inlineStr">
        <is>
          <t>Independent vape shop at 3A Moss Street, Paisley (near King Vape). Listed on Yelp; phone and postcode not confirmed in snippets.</t>
        </is>
      </c>
      <c r="AP719" s="10" t="inlineStr">
        <is>
          <t>Medium</t>
        </is>
      </c>
      <c r="AQ719" s="10" t="inlineStr">
        <is>
          <t>Independent retailer; Core relevant category</t>
        </is>
      </c>
      <c r="AR719" s="10" t="inlineStr">
        <is>
          <t>https://m.yelp.com/biz/the-vapour-shop-paisley</t>
        </is>
      </c>
      <c r="AS719" s="10" t="inlineStr"/>
      <c r="AT719" s="10" t="inlineStr">
        <is>
          <t>1</t>
        </is>
      </c>
      <c r="AU719" s="10" t="inlineStr">
        <is>
          <t>No</t>
        </is>
      </c>
      <c r="AV719" s="10" t="inlineStr">
        <is>
          <t>No</t>
        </is>
      </c>
      <c r="AW719" s="10" t="inlineStr">
        <is>
          <t>No</t>
        </is>
      </c>
      <c r="AX719" s="10" t="inlineStr">
        <is>
          <t>No</t>
        </is>
      </c>
      <c r="AY719" s="10" t="inlineStr">
        <is>
          <t>Not Found</t>
        </is>
      </c>
      <c r="AZ719" s="10" t="inlineStr">
        <is>
          <t>Not Found</t>
        </is>
      </c>
      <c r="BA719" s="10" t="inlineStr">
        <is>
          <t>2026-09-17</t>
        </is>
      </c>
      <c r="BB719" s="10" t="inlineStr">
        <is>
          <t>Requires Verification</t>
        </is>
      </c>
      <c r="BC719" s="10" t="inlineStr">
        <is>
          <t>Low</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2026-09-17</t>
        </is>
      </c>
      <c r="BJ719" s="10" t="inlineStr">
        <is>
          <t>New</t>
        </is>
      </c>
      <c r="BK719" s="10" t="inlineStr">
        <is>
          <t>2026-09-17</t>
        </is>
      </c>
      <c r="BL719" s="10" t="inlineStr"/>
      <c r="BM719" s="10" t="inlineStr"/>
      <c r="BN719" s="10" t="inlineStr"/>
      <c r="BO719" s="10" t="inlineStr"/>
      <c r="BP719" s="10" t="inlineStr"/>
      <c r="BQ719" s="10" t="inlineStr"/>
    </row>
    <row r="720">
      <c r="A720" s="5" t="inlineStr">
        <is>
          <t>UK-000395</t>
        </is>
      </c>
      <c r="B720" s="5" t="inlineStr">
        <is>
          <t>UK-000395-01</t>
        </is>
      </c>
      <c r="C720" s="5" t="inlineStr"/>
      <c r="D720" s="5" t="inlineStr">
        <is>
          <t>The Village Convenience Store</t>
        </is>
      </c>
      <c r="E720" s="5" t="inlineStr">
        <is>
          <t>The Village Convenience Store</t>
        </is>
      </c>
      <c r="F720" s="5" t="inlineStr"/>
      <c r="G720" s="5" t="inlineStr">
        <is>
          <t>Convenience Store</t>
        </is>
      </c>
      <c r="H720" s="5" t="inlineStr">
        <is>
          <t>Convenience &amp; off-licence</t>
        </is>
      </c>
      <c r="I720" s="5" t="inlineStr">
        <is>
          <t>Independent</t>
        </is>
      </c>
      <c r="J720" s="5" t="inlineStr">
        <is>
          <t>1</t>
        </is>
      </c>
      <c r="K720" s="5" t="inlineStr"/>
      <c r="L720" s="5" t="inlineStr"/>
      <c r="M720" s="5" t="inlineStr"/>
      <c r="N720" s="5" t="inlineStr"/>
      <c r="O720" s="5" t="inlineStr">
        <is>
          <t>728-730 Manchester Road</t>
        </is>
      </c>
      <c r="P720" s="5" t="inlineStr"/>
      <c r="Q720" s="5" t="inlineStr">
        <is>
          <t>Rochdale</t>
        </is>
      </c>
      <c r="R720" s="5" t="inlineStr">
        <is>
          <t>Greater Manchester</t>
        </is>
      </c>
      <c r="S720" s="5" t="inlineStr">
        <is>
          <t>OL11 3AQ</t>
        </is>
      </c>
      <c r="T720" s="5" t="inlineStr">
        <is>
          <t>North West</t>
        </is>
      </c>
      <c r="U720" s="5" t="inlineStr">
        <is>
          <t>England</t>
        </is>
      </c>
      <c r="V720" s="5" t="inlineStr"/>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convenience; alcohol; groceries</t>
        </is>
      </c>
      <c r="AL720" s="5" t="inlineStr"/>
      <c r="AM720" s="5" t="inlineStr">
        <is>
          <t>Convenience Store</t>
        </is>
      </c>
      <c r="AN720" s="5" t="inlineStr"/>
      <c r="AO720" s="5" t="inlineStr">
        <is>
          <t>Independent convenience store / off-licence on Manchester Road, Rochdale (Castleton).</t>
        </is>
      </c>
      <c r="AP720" s="5" t="inlineStr">
        <is>
          <t>Low</t>
        </is>
      </c>
      <c r="AQ720" s="5" t="inlineStr">
        <is>
          <t>Independent retailer; Relevant category</t>
        </is>
      </c>
      <c r="AR720" s="5" t="inlineStr">
        <is>
          <t>https://heywood.cylex-uk.co.uk/company/the-village-convenience-store-14674727.html</t>
        </is>
      </c>
      <c r="AS720" s="5" t="inlineStr"/>
      <c r="AT720" s="5" t="inlineStr">
        <is>
          <t>1</t>
        </is>
      </c>
      <c r="AU720" s="5" t="inlineStr">
        <is>
          <t>No</t>
        </is>
      </c>
      <c r="AV720" s="5" t="inlineStr">
        <is>
          <t>No</t>
        </is>
      </c>
      <c r="AW720" s="5" t="inlineStr">
        <is>
          <t>No</t>
        </is>
      </c>
      <c r="AX720" s="5" t="inlineStr">
        <is>
          <t>No</t>
        </is>
      </c>
      <c r="AY720" s="5" t="inlineStr">
        <is>
          <t>Not Found</t>
        </is>
      </c>
      <c r="AZ720" s="5" t="inlineStr">
        <is>
          <t>Not Found</t>
        </is>
      </c>
      <c r="BA720" s="5" t="inlineStr">
        <is>
          <t>2026-09-17</t>
        </is>
      </c>
      <c r="BB720" s="5" t="inlineStr">
        <is>
          <t>Requires Verification</t>
        </is>
      </c>
      <c r="BC720" s="5" t="inlineStr">
        <is>
          <t>Low</t>
        </is>
      </c>
      <c r="BD720" s="5" t="inlineStr"/>
      <c r="BE720" s="5" t="inlineStr">
        <is>
          <t>Business (B2B)</t>
        </is>
      </c>
      <c r="BF720" s="5" t="inlineStr">
        <is>
          <t>Legitimate interest (B2B) - assess per campaign; PECR: corporate subscribers</t>
        </is>
      </c>
      <c r="BG720" s="5" t="inlineStr"/>
      <c r="BH720" s="5" t="inlineStr">
        <is>
          <t>No</t>
        </is>
      </c>
      <c r="BI720" s="5" t="inlineStr">
        <is>
          <t>2026-09-17</t>
        </is>
      </c>
      <c r="BJ720" s="5" t="inlineStr">
        <is>
          <t>New</t>
        </is>
      </c>
      <c r="BK720" s="5" t="inlineStr">
        <is>
          <t>2026-09-17</t>
        </is>
      </c>
      <c r="BL720" s="5" t="inlineStr"/>
      <c r="BM720" s="5" t="inlineStr"/>
      <c r="BN720" s="5" t="inlineStr"/>
      <c r="BO720" s="5" t="inlineStr"/>
      <c r="BP720" s="5" t="inlineStr"/>
      <c r="BQ720" s="5" t="inlineStr"/>
    </row>
    <row r="721">
      <c r="A721" s="10" t="inlineStr">
        <is>
          <t>WY-0163</t>
        </is>
      </c>
      <c r="B721" s="10" t="inlineStr">
        <is>
          <t>WY-0163-01</t>
        </is>
      </c>
      <c r="C721" s="10" t="inlineStr"/>
      <c r="D721" s="10" t="inlineStr">
        <is>
          <t>The Vintage Vapour Co</t>
        </is>
      </c>
      <c r="E721" s="10" t="inlineStr">
        <is>
          <t>The Vintage Vapour Co</t>
        </is>
      </c>
      <c r="F721" s="10" t="inlineStr">
        <is>
          <t>The Vintage Vapour Co Ltd</t>
        </is>
      </c>
      <c r="G721" s="10" t="inlineStr">
        <is>
          <t>Vape Shop</t>
        </is>
      </c>
      <c r="H721" s="10" t="inlineStr">
        <is>
          <t>Vape retailer</t>
        </is>
      </c>
      <c r="I721" s="10" t="inlineStr">
        <is>
          <t>Independent</t>
        </is>
      </c>
      <c r="J721" s="10" t="inlineStr">
        <is>
          <t>1</t>
        </is>
      </c>
      <c r="K721" s="10" t="inlineStr"/>
      <c r="L721" s="10" t="inlineStr"/>
      <c r="M721" s="10" t="inlineStr"/>
      <c r="N721" s="10" t="inlineStr"/>
      <c r="O721" s="10" t="inlineStr">
        <is>
          <t>12 Town End</t>
        </is>
      </c>
      <c r="P721" s="10" t="inlineStr"/>
      <c r="Q721" s="10" t="inlineStr">
        <is>
          <t>Ossett</t>
        </is>
      </c>
      <c r="R721" s="10" t="inlineStr">
        <is>
          <t>West Yorkshire</t>
        </is>
      </c>
      <c r="S721" s="10" t="inlineStr">
        <is>
          <t>WF5 8BJ</t>
        </is>
      </c>
      <c r="T721" s="10" t="inlineStr">
        <is>
          <t>Yorkshire &amp; Humber</t>
        </is>
      </c>
      <c r="U721" s="10" t="inlineStr">
        <is>
          <t>England</t>
        </is>
      </c>
      <c r="V721" s="10" t="inlineStr"/>
      <c r="W721" s="10" t="inlineStr"/>
      <c r="X721" s="10" t="inlineStr"/>
      <c r="Y721" s="10" t="inlineStr"/>
      <c r="Z721" s="10" t="inlineStr"/>
      <c r="AA721" s="10" t="inlineStr"/>
      <c r="AB721" s="10" t="inlineStr"/>
      <c r="AC721" s="10" t="inlineStr"/>
      <c r="AD721" s="10" t="inlineStr"/>
      <c r="AE721" s="10" t="inlineStr"/>
      <c r="AF721" s="10" t="inlineStr"/>
      <c r="AG721" s="10" t="inlineStr"/>
      <c r="AH721" s="10" t="inlineStr"/>
      <c r="AI721" s="10" t="inlineStr"/>
      <c r="AJ721" s="10" t="inlineStr"/>
      <c r="AK721" s="10" t="inlineStr">
        <is>
          <t>vape hardware; e-liquids</t>
        </is>
      </c>
      <c r="AL721" s="10" t="inlineStr"/>
      <c r="AM721" s="10" t="inlineStr">
        <is>
          <t>Vape Shop</t>
        </is>
      </c>
      <c r="AN721" s="10" t="inlineStr"/>
      <c r="AO721" s="10" t="inlineStr">
        <is>
          <t>Listed in Vape Geezer West Yorkshire directory as 'The Vintage Vapour Co Ltd' - limited company suffix from the directory listing; Companies House record not yet verified.</t>
        </is>
      </c>
      <c r="AP721" s="10" t="inlineStr">
        <is>
          <t>Medium</t>
        </is>
      </c>
      <c r="AQ721" s="10" t="inlineStr">
        <is>
          <t>Independent retailer; Core relevant category</t>
        </is>
      </c>
      <c r="AR721" s="10" t="inlineStr">
        <is>
          <t>https://vapegeezer.co.uk/vape-shop-directory/locations/west-yorkshire/</t>
        </is>
      </c>
      <c r="AS721" s="10" t="inlineStr"/>
      <c r="AT721" s="10" t="inlineStr">
        <is>
          <t>1</t>
        </is>
      </c>
      <c r="AU721" s="10" t="inlineStr">
        <is>
          <t>No</t>
        </is>
      </c>
      <c r="AV721" s="10" t="inlineStr">
        <is>
          <t>No</t>
        </is>
      </c>
      <c r="AW721" s="10" t="inlineStr">
        <is>
          <t>No</t>
        </is>
      </c>
      <c r="AX721" s="10" t="inlineStr">
        <is>
          <t>No</t>
        </is>
      </c>
      <c r="AY721" s="10" t="inlineStr">
        <is>
          <t>Not Found</t>
        </is>
      </c>
      <c r="AZ721" s="10" t="inlineStr">
        <is>
          <t>Not Found</t>
        </is>
      </c>
      <c r="BA721" s="10" t="inlineStr">
        <is>
          <t>2026-09-17</t>
        </is>
      </c>
      <c r="BB721" s="10" t="inlineStr">
        <is>
          <t>Requires Verification</t>
        </is>
      </c>
      <c r="BC721" s="10" t="inlineStr">
        <is>
          <t>Low</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2026-09-16</t>
        </is>
      </c>
      <c r="BJ721" s="10" t="inlineStr">
        <is>
          <t>New</t>
        </is>
      </c>
      <c r="BK721" s="10" t="inlineStr">
        <is>
          <t>2026-09-17</t>
        </is>
      </c>
      <c r="BL721" s="10" t="inlineStr"/>
      <c r="BM721" s="10" t="inlineStr"/>
      <c r="BN721" s="10" t="inlineStr"/>
      <c r="BO721" s="10" t="inlineStr"/>
      <c r="BP721" s="10" t="inlineStr"/>
      <c r="BQ721" s="10" t="inlineStr"/>
    </row>
    <row r="722">
      <c r="A722" s="5" t="inlineStr">
        <is>
          <t>UK-000668</t>
        </is>
      </c>
      <c r="B722" s="5" t="inlineStr">
        <is>
          <t>UK-000668-01</t>
        </is>
      </c>
      <c r="C722" s="5" t="inlineStr"/>
      <c r="D722" s="5" t="inlineStr">
        <is>
          <t>The Vintner</t>
        </is>
      </c>
      <c r="E722" s="5" t="inlineStr">
        <is>
          <t>The Vintner</t>
        </is>
      </c>
      <c r="F722" s="5" t="inlineStr"/>
      <c r="G722" s="5" t="inlineStr">
        <is>
          <t>Off-Licence</t>
        </is>
      </c>
      <c r="H722" s="5" t="inlineStr">
        <is>
          <t>Off-licence / wine merchant</t>
        </is>
      </c>
      <c r="I722" s="5" t="inlineStr">
        <is>
          <t>Independent</t>
        </is>
      </c>
      <c r="J722" s="5" t="inlineStr">
        <is>
          <t>1</t>
        </is>
      </c>
      <c r="K722" s="5" t="inlineStr"/>
      <c r="L722" s="5" t="inlineStr"/>
      <c r="M722" s="5" t="inlineStr"/>
      <c r="N722" s="5" t="inlineStr"/>
      <c r="O722" s="5" t="inlineStr">
        <is>
          <t>208 Fulham Palace Road</t>
        </is>
      </c>
      <c r="P722" s="5" t="inlineStr"/>
      <c r="Q722" s="5" t="inlineStr">
        <is>
          <t>London</t>
        </is>
      </c>
      <c r="R722" s="5" t="inlineStr">
        <is>
          <t>Greater London</t>
        </is>
      </c>
      <c r="S722" s="5" t="inlineStr">
        <is>
          <t>W6 9NT</t>
        </is>
      </c>
      <c r="T722" s="5" t="inlineStr">
        <is>
          <t>London</t>
        </is>
      </c>
      <c r="U722" s="5" t="inlineStr">
        <is>
          <t>England</t>
        </is>
      </c>
      <c r="V722" s="5" t="inlineStr">
        <is>
          <t>020 7385 4436</t>
        </is>
      </c>
      <c r="W722" s="5" t="inlineStr"/>
      <c r="X722" s="5" t="inlineStr"/>
      <c r="Y722" s="5" t="inlineStr"/>
      <c r="Z722" s="5" t="inlineStr"/>
      <c r="AA722" s="5" t="inlineStr"/>
      <c r="AB722" s="5" t="inlineStr"/>
      <c r="AC722" s="5" t="inlineStr"/>
      <c r="AD722" s="5" t="inlineStr"/>
      <c r="AE722" s="5" t="inlineStr"/>
      <c r="AF722" s="5" t="inlineStr"/>
      <c r="AG722" s="5" t="inlineStr"/>
      <c r="AH722" s="5" t="inlineStr"/>
      <c r="AI722" s="5" t="inlineStr"/>
      <c r="AJ722" s="5" t="inlineStr"/>
      <c r="AK722" s="5" t="inlineStr">
        <is>
          <t>wine; beer; spirits</t>
        </is>
      </c>
      <c r="AL722" s="5" t="inlineStr"/>
      <c r="AM722" s="5" t="inlineStr">
        <is>
          <t>Off-Licence</t>
        </is>
      </c>
      <c r="AN722" s="5" t="inlineStr"/>
      <c r="AO722" s="5" t="inlineStr">
        <is>
          <t>Independent off-licence/wine shop on Fulham Palace Road. Address/postcode/phone from Yell Fulham off-licences listing snippet.</t>
        </is>
      </c>
      <c r="AP722" s="5" t="inlineStr">
        <is>
          <t>Low</t>
        </is>
      </c>
      <c r="AQ722" s="5" t="inlineStr">
        <is>
          <t>Independent retailer; Relevant category</t>
        </is>
      </c>
      <c r="AR722" s="5" t="inlineStr">
        <is>
          <t>https://www.yell.com/s/off+licences-fulham-london.html</t>
        </is>
      </c>
      <c r="AS722" s="5" t="inlineStr"/>
      <c r="AT722" s="5" t="inlineStr">
        <is>
          <t>1</t>
        </is>
      </c>
      <c r="AU722" s="5" t="inlineStr">
        <is>
          <t>No</t>
        </is>
      </c>
      <c r="AV722" s="5" t="inlineStr">
        <is>
          <t>No</t>
        </is>
      </c>
      <c r="AW722" s="5" t="inlineStr">
        <is>
          <t>No</t>
        </is>
      </c>
      <c r="AX722" s="5" t="inlineStr">
        <is>
          <t>No</t>
        </is>
      </c>
      <c r="AY722" s="5" t="inlineStr">
        <is>
          <t>Verified directory</t>
        </is>
      </c>
      <c r="AZ722" s="5" t="inlineStr">
        <is>
          <t>Not Found</t>
        </is>
      </c>
      <c r="BA722" s="5" t="inlineStr">
        <is>
          <t>2026-09-17</t>
        </is>
      </c>
      <c r="BB722" s="5" t="inlineStr">
        <is>
          <t>Requires Verification</t>
        </is>
      </c>
      <c r="BC722" s="5" t="inlineStr">
        <is>
          <t>Medium</t>
        </is>
      </c>
      <c r="BD722" s="5" t="inlineStr"/>
      <c r="BE722" s="5" t="inlineStr">
        <is>
          <t>Business (B2B)</t>
        </is>
      </c>
      <c r="BF722" s="5" t="inlineStr">
        <is>
          <t>Legitimate interest (B2B) - assess per campaign; PECR: corporate subscribers</t>
        </is>
      </c>
      <c r="BG722" s="5" t="inlineStr"/>
      <c r="BH722" s="5" t="inlineStr">
        <is>
          <t>No</t>
        </is>
      </c>
      <c r="BI722" s="5" t="inlineStr">
        <is>
          <t>2026-09-17</t>
        </is>
      </c>
      <c r="BJ722" s="5" t="inlineStr">
        <is>
          <t>New</t>
        </is>
      </c>
      <c r="BK722" s="5" t="inlineStr">
        <is>
          <t>2026-09-17</t>
        </is>
      </c>
      <c r="BL722" s="5" t="inlineStr"/>
      <c r="BM722" s="5" t="inlineStr"/>
      <c r="BN722" s="5" t="inlineStr"/>
      <c r="BO722" s="5" t="inlineStr"/>
      <c r="BP722" s="5" t="inlineStr"/>
      <c r="BQ722" s="5" t="inlineStr"/>
    </row>
    <row r="723">
      <c r="A723" s="10" t="inlineStr">
        <is>
          <t>UK-000829</t>
        </is>
      </c>
      <c r="B723" s="10" t="inlineStr">
        <is>
          <t>UK-000829-01</t>
        </is>
      </c>
      <c r="C723" s="10" t="inlineStr"/>
      <c r="D723" s="10" t="inlineStr">
        <is>
          <t>The Wine Lodge</t>
        </is>
      </c>
      <c r="E723" s="10" t="inlineStr">
        <is>
          <t>The Wine Lodge</t>
        </is>
      </c>
      <c r="F723" s="10" t="inlineStr"/>
      <c r="G723" s="10" t="inlineStr">
        <is>
          <t>Off-Licence</t>
        </is>
      </c>
      <c r="H723" s="10" t="inlineStr">
        <is>
          <t>Off-licence / wines &amp; spirits</t>
        </is>
      </c>
      <c r="I723" s="10" t="inlineStr">
        <is>
          <t>Independent</t>
        </is>
      </c>
      <c r="J723" s="10" t="inlineStr">
        <is>
          <t>1</t>
        </is>
      </c>
      <c r="K723" s="10" t="inlineStr"/>
      <c r="L723" s="10" t="inlineStr"/>
      <c r="M723" s="10" t="inlineStr"/>
      <c r="N723" s="10" t="inlineStr"/>
      <c r="O723" s="10" t="inlineStr">
        <is>
          <t>159-161 Lodge Lane</t>
        </is>
      </c>
      <c r="P723" s="10" t="inlineStr">
        <is>
          <t>Toxteth</t>
        </is>
      </c>
      <c r="Q723" s="10" t="inlineStr">
        <is>
          <t>Liverpool</t>
        </is>
      </c>
      <c r="R723" s="10" t="inlineStr">
        <is>
          <t>Merseyside</t>
        </is>
      </c>
      <c r="S723" s="10" t="inlineStr">
        <is>
          <t>L8 0QQ</t>
        </is>
      </c>
      <c r="T723" s="10" t="inlineStr">
        <is>
          <t>North West</t>
        </is>
      </c>
      <c r="U723" s="10" t="inlineStr">
        <is>
          <t>England</t>
        </is>
      </c>
      <c r="V723" s="10" t="inlineStr"/>
      <c r="W723" s="10" t="inlineStr"/>
      <c r="X723" s="10" t="inlineStr"/>
      <c r="Y723" s="10" t="inlineStr"/>
      <c r="Z723" s="10" t="inlineStr"/>
      <c r="AA723" s="10" t="inlineStr"/>
      <c r="AB723" s="10" t="inlineStr"/>
      <c r="AC723" s="10" t="inlineStr"/>
      <c r="AD723" s="10" t="inlineStr"/>
      <c r="AE723" s="10" t="inlineStr"/>
      <c r="AF723" s="10" t="inlineStr"/>
      <c r="AG723" s="10" t="inlineStr"/>
      <c r="AH723" s="10" t="inlineStr"/>
      <c r="AI723" s="10" t="inlineStr"/>
      <c r="AJ723" s="10" t="inlineStr"/>
      <c r="AK723" s="10" t="inlineStr">
        <is>
          <t>wines; beers; spirits; confectionery; smokers requisites</t>
        </is>
      </c>
      <c r="AL723" s="10" t="inlineStr"/>
      <c r="AM723" s="10" t="inlineStr">
        <is>
          <t>Off-Licence</t>
        </is>
      </c>
      <c r="AN723" s="10" t="inlineStr"/>
      <c r="AO723" s="10" t="inlineStr">
        <is>
          <t>Independent off-licence on Lodge Lane, Toxteth (L8). Sells wines, beers and spirits from around the world plus confectionery and smokers requisites.</t>
        </is>
      </c>
      <c r="AP723" s="10" t="inlineStr">
        <is>
          <t>Low</t>
        </is>
      </c>
      <c r="AQ723" s="10" t="inlineStr">
        <is>
          <t>Independent retailer; Relevant category</t>
        </is>
      </c>
      <c r="AR723" s="10" t="inlineStr">
        <is>
          <t>https://www.yell.com/biz/the-wine-lodge-liverpool-1268926/</t>
        </is>
      </c>
      <c r="AS723" s="10" t="inlineStr"/>
      <c r="AT723" s="10" t="inlineStr">
        <is>
          <t>1</t>
        </is>
      </c>
      <c r="AU723" s="10" t="inlineStr">
        <is>
          <t>No</t>
        </is>
      </c>
      <c r="AV723" s="10" t="inlineStr">
        <is>
          <t>No</t>
        </is>
      </c>
      <c r="AW723" s="10" t="inlineStr">
        <is>
          <t>No</t>
        </is>
      </c>
      <c r="AX723" s="10" t="inlineStr">
        <is>
          <t>No</t>
        </is>
      </c>
      <c r="AY723" s="10" t="inlineStr">
        <is>
          <t>Not Found</t>
        </is>
      </c>
      <c r="AZ723" s="10" t="inlineStr">
        <is>
          <t>Not Found</t>
        </is>
      </c>
      <c r="BA723" s="10" t="inlineStr">
        <is>
          <t>2026-09-17</t>
        </is>
      </c>
      <c r="BB723" s="10" t="inlineStr">
        <is>
          <t>Requires Verification</t>
        </is>
      </c>
      <c r="BC723" s="10" t="inlineStr">
        <is>
          <t>Low</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2026-09-17</t>
        </is>
      </c>
      <c r="BJ723" s="10" t="inlineStr">
        <is>
          <t>New</t>
        </is>
      </c>
      <c r="BK723" s="10" t="inlineStr">
        <is>
          <t>2026-09-17</t>
        </is>
      </c>
      <c r="BL723" s="10" t="inlineStr"/>
      <c r="BM723" s="10" t="inlineStr"/>
      <c r="BN723" s="10" t="inlineStr"/>
      <c r="BO723" s="10" t="inlineStr"/>
      <c r="BP723" s="10" t="inlineStr"/>
      <c r="BQ723" s="10" t="inlineStr"/>
    </row>
    <row r="724">
      <c r="A724" s="5" t="inlineStr">
        <is>
          <t>UK-000525</t>
        </is>
      </c>
      <c r="B724" s="5" t="inlineStr">
        <is>
          <t>UK-000525-01</t>
        </is>
      </c>
      <c r="C724" s="5" t="inlineStr"/>
      <c r="D724" s="5" t="inlineStr">
        <is>
          <t>The Wine Shop</t>
        </is>
      </c>
      <c r="E724" s="5" t="inlineStr">
        <is>
          <t>The Wine Shop</t>
        </is>
      </c>
      <c r="F724" s="5" t="inlineStr"/>
      <c r="G724" s="5" t="inlineStr">
        <is>
          <t>Off-Licence</t>
        </is>
      </c>
      <c r="H724" s="5" t="inlineStr">
        <is>
          <t>Off-licence &amp; convenience</t>
        </is>
      </c>
      <c r="I724" s="5" t="inlineStr">
        <is>
          <t>Independent</t>
        </is>
      </c>
      <c r="J724" s="5" t="inlineStr">
        <is>
          <t>1</t>
        </is>
      </c>
      <c r="K724" s="5" t="inlineStr"/>
      <c r="L724" s="5" t="inlineStr">
        <is>
          <t>https://www.facebook.com/p/The-WINE-SHOP-100054376846673/</t>
        </is>
      </c>
      <c r="M724" s="5" t="inlineStr"/>
      <c r="N724" s="5" t="inlineStr"/>
      <c r="O724" s="5" t="inlineStr">
        <is>
          <t>79 Evans Street</t>
        </is>
      </c>
      <c r="P724" s="5" t="inlineStr">
        <is>
          <t>Whitmore Reans</t>
        </is>
      </c>
      <c r="Q724" s="5" t="inlineStr">
        <is>
          <t>Wolverhampton</t>
        </is>
      </c>
      <c r="R724" s="5" t="inlineStr">
        <is>
          <t>West Midlands</t>
        </is>
      </c>
      <c r="S724" s="5" t="inlineStr"/>
      <c r="T724" s="5" t="inlineStr">
        <is>
          <t>West Midlands</t>
        </is>
      </c>
      <c r="U724" s="5" t="inlineStr">
        <is>
          <t>England</t>
        </is>
      </c>
      <c r="V724" s="5" t="inlineStr">
        <is>
          <t>01902 656833</t>
        </is>
      </c>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wines; spirits; beers; convenience</t>
        </is>
      </c>
      <c r="AL724" s="5" t="inlineStr"/>
      <c r="AM724" s="5" t="inlineStr">
        <is>
          <t>Off-Licence</t>
        </is>
      </c>
      <c r="AN724" s="5" t="inlineStr"/>
      <c r="AO724" s="5" t="inlineStr">
        <is>
          <t>Independent off-licence and convenience store in Whitmore Reans (Evans Street), Wolverhampton. Postcode not confirmed in snippets.</t>
        </is>
      </c>
      <c r="AP724" s="5" t="inlineStr">
        <is>
          <t>Medium</t>
        </is>
      </c>
      <c r="AQ724" s="5" t="inlineStr">
        <is>
          <t>Independent retailer; Relevant category; Social presence</t>
        </is>
      </c>
      <c r="AR724" s="5" t="inlineStr">
        <is>
          <t>https://www.facebook.com/p/The-WINE-SHOP-100054376846673/</t>
        </is>
      </c>
      <c r="AS724" s="5" t="inlineStr"/>
      <c r="AT724" s="5" t="inlineStr">
        <is>
          <t>1</t>
        </is>
      </c>
      <c r="AU724" s="5" t="inlineStr">
        <is>
          <t>No</t>
        </is>
      </c>
      <c r="AV724" s="5" t="inlineStr">
        <is>
          <t>No</t>
        </is>
      </c>
      <c r="AW724" s="5" t="inlineStr">
        <is>
          <t>No</t>
        </is>
      </c>
      <c r="AX724" s="5" t="inlineStr">
        <is>
          <t>No</t>
        </is>
      </c>
      <c r="AY724" s="5" t="inlineStr">
        <is>
          <t>Verified directory</t>
        </is>
      </c>
      <c r="AZ724" s="5" t="inlineStr">
        <is>
          <t>Not Found</t>
        </is>
      </c>
      <c r="BA724" s="5" t="inlineStr">
        <is>
          <t>2026-09-17</t>
        </is>
      </c>
      <c r="BB724" s="5" t="inlineStr">
        <is>
          <t>Requires Verification</t>
        </is>
      </c>
      <c r="BC724" s="5" t="inlineStr">
        <is>
          <t>Low</t>
        </is>
      </c>
      <c r="BD724" s="5" t="inlineStr"/>
      <c r="BE724" s="5" t="inlineStr">
        <is>
          <t>Business (B2B)</t>
        </is>
      </c>
      <c r="BF724" s="5" t="inlineStr">
        <is>
          <t>Legitimate interest (B2B) - assess per campaign; PECR: corporate subscribers</t>
        </is>
      </c>
      <c r="BG724" s="5" t="inlineStr"/>
      <c r="BH724" s="5" t="inlineStr">
        <is>
          <t>No</t>
        </is>
      </c>
      <c r="BI724" s="5" t="inlineStr">
        <is>
          <t>2026-09-17</t>
        </is>
      </c>
      <c r="BJ724" s="5" t="inlineStr">
        <is>
          <t>New</t>
        </is>
      </c>
      <c r="BK724" s="5" t="inlineStr">
        <is>
          <t>2026-09-17</t>
        </is>
      </c>
      <c r="BL724" s="5" t="inlineStr"/>
      <c r="BM724" s="5" t="inlineStr"/>
      <c r="BN724" s="5" t="inlineStr"/>
      <c r="BO724" s="5" t="inlineStr"/>
      <c r="BP724" s="5" t="inlineStr"/>
      <c r="BQ724" s="5" t="inlineStr"/>
    </row>
    <row r="725">
      <c r="A725" s="10" t="inlineStr">
        <is>
          <t>WY-0164</t>
        </is>
      </c>
      <c r="B725" s="10" t="inlineStr">
        <is>
          <t>WY-0164-01</t>
        </is>
      </c>
      <c r="C725" s="10" t="inlineStr"/>
      <c r="D725" s="10" t="inlineStr">
        <is>
          <t>Thornhill Convenience Store</t>
        </is>
      </c>
      <c r="E725" s="10" t="inlineStr">
        <is>
          <t>Thornhill Convenience Store</t>
        </is>
      </c>
      <c r="F725" s="10" t="inlineStr"/>
      <c r="G725" s="10" t="inlineStr">
        <is>
          <t>Convenience Store</t>
        </is>
      </c>
      <c r="H725" s="10" t="inlineStr">
        <is>
          <t>Convenience store</t>
        </is>
      </c>
      <c r="I725" s="10" t="inlineStr">
        <is>
          <t>Independent</t>
        </is>
      </c>
      <c r="J725" s="10" t="inlineStr">
        <is>
          <t>1</t>
        </is>
      </c>
      <c r="K725" s="10" t="inlineStr"/>
      <c r="L725" s="10" t="inlineStr"/>
      <c r="M725" s="10" t="inlineStr"/>
      <c r="N725" s="10" t="inlineStr"/>
      <c r="O725" s="10" t="inlineStr">
        <is>
          <t>1b Brewery Lane</t>
        </is>
      </c>
      <c r="P725" s="10" t="inlineStr">
        <is>
          <t>Thornhill</t>
        </is>
      </c>
      <c r="Q725" s="10" t="inlineStr">
        <is>
          <t>Dewsbury</t>
        </is>
      </c>
      <c r="R725" s="10" t="inlineStr">
        <is>
          <t>West Yorkshire</t>
        </is>
      </c>
      <c r="S725" s="10" t="inlineStr">
        <is>
          <t>WF12 9DZ</t>
        </is>
      </c>
      <c r="T725" s="10" t="inlineStr">
        <is>
          <t>Yorkshire &amp; Humber</t>
        </is>
      </c>
      <c r="U725" s="10" t="inlineStr">
        <is>
          <t>England</t>
        </is>
      </c>
      <c r="V725" s="10" t="inlineStr">
        <is>
          <t>01924 462478</t>
        </is>
      </c>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convenience goods; groceries; tobacco</t>
        </is>
      </c>
      <c r="AL725" s="10" t="inlineStr"/>
      <c r="AM725" s="10" t="inlineStr">
        <is>
          <t>Convenience Store</t>
        </is>
      </c>
      <c r="AN725" s="10" t="inlineStr"/>
      <c r="AO725" s="10" t="inlineStr"/>
      <c r="AP725" s="10" t="inlineStr">
        <is>
          <t>Low</t>
        </is>
      </c>
      <c r="AQ725" s="10" t="inlineStr">
        <is>
          <t>Independent retailer; Relevant category</t>
        </is>
      </c>
      <c r="AR725" s="10" t="inlineStr">
        <is>
          <t>https://dewsbury.cylex-uk.co.uk/company/thornhill-convenience-store-28660320.html</t>
        </is>
      </c>
      <c r="AS725" s="10" t="inlineStr"/>
      <c r="AT725" s="10" t="inlineStr">
        <is>
          <t>1</t>
        </is>
      </c>
      <c r="AU725" s="10" t="inlineStr">
        <is>
          <t>No</t>
        </is>
      </c>
      <c r="AV725" s="10" t="inlineStr">
        <is>
          <t>No</t>
        </is>
      </c>
      <c r="AW725" s="10" t="inlineStr">
        <is>
          <t>No</t>
        </is>
      </c>
      <c r="AX725" s="10" t="inlineStr">
        <is>
          <t>No</t>
        </is>
      </c>
      <c r="AY725" s="10" t="inlineStr">
        <is>
          <t>Verified directory</t>
        </is>
      </c>
      <c r="AZ725" s="10" t="inlineStr">
        <is>
          <t>Not Found</t>
        </is>
      </c>
      <c r="BA725" s="10" t="inlineStr">
        <is>
          <t>2026-09-17</t>
        </is>
      </c>
      <c r="BB725" s="10" t="inlineStr">
        <is>
          <t>Requires Verification</t>
        </is>
      </c>
      <c r="BC725" s="10" t="inlineStr">
        <is>
          <t>Medium</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2026-09-16</t>
        </is>
      </c>
      <c r="BJ725" s="10" t="inlineStr">
        <is>
          <t>New</t>
        </is>
      </c>
      <c r="BK725" s="10" t="inlineStr">
        <is>
          <t>2026-09-17</t>
        </is>
      </c>
      <c r="BL725" s="10" t="inlineStr"/>
      <c r="BM725" s="10" t="inlineStr"/>
      <c r="BN725" s="10" t="inlineStr"/>
      <c r="BO725" s="10" t="inlineStr"/>
      <c r="BP725" s="10" t="inlineStr"/>
      <c r="BQ725" s="10" t="inlineStr"/>
    </row>
    <row r="726">
      <c r="A726" s="5" t="inlineStr">
        <is>
          <t>WY-0165</t>
        </is>
      </c>
      <c r="B726" s="5" t="inlineStr">
        <is>
          <t>WY-0165-01</t>
        </is>
      </c>
      <c r="C726" s="5" t="inlineStr"/>
      <c r="D726" s="5" t="inlineStr">
        <is>
          <t>Todmorden Newscentre</t>
        </is>
      </c>
      <c r="E726" s="5" t="inlineStr">
        <is>
          <t>Todmorden Newscentre (formerly Cryers News)</t>
        </is>
      </c>
      <c r="F726" s="5" t="inlineStr">
        <is>
          <t>TODMORDEN NEWS CENTRE LIMITED</t>
        </is>
      </c>
      <c r="G726" s="5" t="inlineStr">
        <is>
          <t>Newsagent</t>
        </is>
      </c>
      <c r="H726" s="5" t="inlineStr">
        <is>
          <t>Newsagent with Amazon Counter parcel service</t>
        </is>
      </c>
      <c r="I726" s="5" t="inlineStr">
        <is>
          <t>Independent</t>
        </is>
      </c>
      <c r="J726" s="5" t="inlineStr">
        <is>
          <t>1</t>
        </is>
      </c>
      <c r="K726" s="5" t="inlineStr"/>
      <c r="L726" s="5" t="inlineStr"/>
      <c r="M726" s="5" t="inlineStr"/>
      <c r="N726" s="5" t="inlineStr"/>
      <c r="O726" s="5" t="inlineStr">
        <is>
          <t>15 Bridge Street</t>
        </is>
      </c>
      <c r="P726" s="5" t="inlineStr"/>
      <c r="Q726" s="5" t="inlineStr">
        <is>
          <t>Todmorden</t>
        </is>
      </c>
      <c r="R726" s="5" t="inlineStr">
        <is>
          <t>West Yorkshire</t>
        </is>
      </c>
      <c r="S726" s="5" t="inlineStr">
        <is>
          <t>OL14 5AQ</t>
        </is>
      </c>
      <c r="T726" s="5" t="inlineStr">
        <is>
          <t>Yorkshire &amp; Humber</t>
        </is>
      </c>
      <c r="U726" s="5" t="inlineStr">
        <is>
          <t>England</t>
        </is>
      </c>
      <c r="V726" s="5" t="inlineStr">
        <is>
          <t>01706 819889</t>
        </is>
      </c>
      <c r="W726" s="5" t="inlineStr"/>
      <c r="X726" s="5" t="inlineStr"/>
      <c r="Y726" s="5" t="inlineStr"/>
      <c r="Z726" s="5" t="inlineStr"/>
      <c r="AA726" s="5" t="inlineStr"/>
      <c r="AB726" s="5" t="inlineStr"/>
      <c r="AC726" s="5" t="inlineStr"/>
      <c r="AD726" s="5" t="inlineStr"/>
      <c r="AE726" s="5" t="inlineStr">
        <is>
          <t>07292504</t>
        </is>
      </c>
      <c r="AF726" s="5" t="inlineStr">
        <is>
          <t>Active</t>
        </is>
      </c>
      <c r="AG726" s="5" t="inlineStr">
        <is>
          <t>TODMORDEN NEWS CENTRE LIMITED</t>
        </is>
      </c>
      <c r="AH726" s="5" t="inlineStr">
        <is>
          <t>15 Bridge Street, Todmorden, Lancashire, OL14 5AQ</t>
        </is>
      </c>
      <c r="AI726" s="5" t="inlineStr">
        <is>
          <t>2010-06-22</t>
        </is>
      </c>
      <c r="AJ726" s="5" t="inlineStr"/>
      <c r="AK726" s="5" t="inlineStr">
        <is>
          <t>news; tobacco; confectionery; convenience</t>
        </is>
      </c>
      <c r="AL726" s="5" t="inlineStr"/>
      <c r="AM726" s="5" t="inlineStr">
        <is>
          <t>Newsagent</t>
        </is>
      </c>
      <c r="AN726" s="5" t="inlineStr"/>
      <c r="AO726" s="5" t="inlineStr">
        <is>
          <t>SIC: retail sale in non-specialised stores with food, beverages or tobacco predominating. Micro company. Registered office address uses the historic 'Lancashire' postal county; the town is in Calderdale, West Yorkshire.</t>
        </is>
      </c>
      <c r="AP726" s="5" t="inlineStr">
        <is>
          <t>Low</t>
        </is>
      </c>
      <c r="AQ726" s="5" t="inlineStr">
        <is>
          <t>Independent retailer; Relevant category</t>
        </is>
      </c>
      <c r="AR726" s="5" t="inlineStr">
        <is>
          <t>https://find-and-update.company-information.service.gov.uk/company/07292504</t>
        </is>
      </c>
      <c r="AS726" s="5" t="inlineStr">
        <is>
          <t>https://www.yell.com/biz/todmorden-newscentre-ltd-formerly-cryers-news-todmorden-1105850/</t>
        </is>
      </c>
      <c r="AT726" s="5" t="inlineStr">
        <is>
          <t>3</t>
        </is>
      </c>
      <c r="AU726" s="5" t="inlineStr">
        <is>
          <t>No</t>
        </is>
      </c>
      <c r="AV726" s="5" t="inlineStr">
        <is>
          <t>No</t>
        </is>
      </c>
      <c r="AW726" s="5" t="inlineStr">
        <is>
          <t>No</t>
        </is>
      </c>
      <c r="AX726" s="5" t="inlineStr">
        <is>
          <t>Yes</t>
        </is>
      </c>
      <c r="AY726" s="5" t="inlineStr">
        <is>
          <t>Verified directory</t>
        </is>
      </c>
      <c r="AZ726" s="5" t="inlineStr">
        <is>
          <t>Not Found</t>
        </is>
      </c>
      <c r="BA726" s="5" t="inlineStr">
        <is>
          <t>2026-09-17</t>
        </is>
      </c>
      <c r="BB726" s="5" t="inlineStr">
        <is>
          <t>Partially Verified</t>
        </is>
      </c>
      <c r="BC726" s="5" t="inlineStr">
        <is>
          <t>Medium</t>
        </is>
      </c>
      <c r="BD726" s="5" t="inlineStr"/>
      <c r="BE726" s="5" t="inlineStr">
        <is>
          <t>Business (B2B)</t>
        </is>
      </c>
      <c r="BF726" s="5" t="inlineStr">
        <is>
          <t>Legitimate interest (B2B) - assess per campaign; PECR: corporate subscribers</t>
        </is>
      </c>
      <c r="BG726" s="5" t="inlineStr"/>
      <c r="BH726" s="5" t="inlineStr">
        <is>
          <t>No</t>
        </is>
      </c>
      <c r="BI726" s="5" t="inlineStr">
        <is>
          <t>2026-09-16</t>
        </is>
      </c>
      <c r="BJ726" s="5" t="inlineStr">
        <is>
          <t>New</t>
        </is>
      </c>
      <c r="BK726" s="5" t="inlineStr">
        <is>
          <t>2026-09-17</t>
        </is>
      </c>
      <c r="BL726" s="5" t="inlineStr"/>
      <c r="BM726" s="5" t="inlineStr"/>
      <c r="BN726" s="5" t="inlineStr"/>
      <c r="BO726" s="5" t="inlineStr"/>
      <c r="BP726" s="5" t="inlineStr"/>
      <c r="BQ726" s="5" t="inlineStr"/>
    </row>
    <row r="727">
      <c r="A727" s="10" t="inlineStr">
        <is>
          <t>WY-0166</t>
        </is>
      </c>
      <c r="B727" s="10" t="inlineStr">
        <is>
          <t>WY-0166-01</t>
        </is>
      </c>
      <c r="C727" s="10" t="inlineStr"/>
      <c r="D727" s="10" t="inlineStr">
        <is>
          <t>Told Vape Co</t>
        </is>
      </c>
      <c r="E727" s="10" t="inlineStr">
        <is>
          <t>Told Vape Co</t>
        </is>
      </c>
      <c r="F727" s="10" t="inlineStr"/>
      <c r="G727" s="10" t="inlineStr">
        <is>
          <t>Vape Shop</t>
        </is>
      </c>
      <c r="H727" s="10" t="inlineStr">
        <is>
          <t>Vape retailer</t>
        </is>
      </c>
      <c r="I727" s="10" t="inlineStr">
        <is>
          <t>Independent</t>
        </is>
      </c>
      <c r="J727" s="10" t="inlineStr">
        <is>
          <t>1</t>
        </is>
      </c>
      <c r="K727" s="10" t="inlineStr"/>
      <c r="L727" s="10" t="inlineStr"/>
      <c r="M727" s="10" t="inlineStr"/>
      <c r="N727" s="10" t="inlineStr"/>
      <c r="O727" s="10" t="inlineStr">
        <is>
          <t>29 Queen Street</t>
        </is>
      </c>
      <c r="P727" s="10" t="inlineStr"/>
      <c r="Q727" s="10" t="inlineStr">
        <is>
          <t>Horbury</t>
        </is>
      </c>
      <c r="R727" s="10" t="inlineStr">
        <is>
          <t>West Yorkshire</t>
        </is>
      </c>
      <c r="S727" s="10" t="inlineStr">
        <is>
          <t>WF4 6LP</t>
        </is>
      </c>
      <c r="T727" s="10" t="inlineStr">
        <is>
          <t>Yorkshire &amp; Humber</t>
        </is>
      </c>
      <c r="U727" s="10" t="inlineStr">
        <is>
          <t>England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vape hardware; e-liquids</t>
        </is>
      </c>
      <c r="AL727" s="10" t="inlineStr"/>
      <c r="AM727" s="10" t="inlineStr">
        <is>
          <t>Vape Shop</t>
        </is>
      </c>
      <c r="AN727" s="10" t="inlineStr"/>
      <c r="AO727" s="10" t="inlineStr">
        <is>
          <t>Independent vape shop on Horbury high street (Queen Street).</t>
        </is>
      </c>
      <c r="AP727" s="10" t="inlineStr">
        <is>
          <t>Medium</t>
        </is>
      </c>
      <c r="AQ727" s="10" t="inlineStr">
        <is>
          <t>Independent retailer; Core relevant category</t>
        </is>
      </c>
      <c r="AR727" s="10" t="inlineStr">
        <is>
          <t>https://ecigdirectory.co.uk/vape-shop/listing/told-vape-co</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Not Found</t>
        </is>
      </c>
      <c r="BA727" s="10" t="inlineStr">
        <is>
          <t>2026-09-17</t>
        </is>
      </c>
      <c r="BB727" s="10" t="inlineStr">
        <is>
          <t>Requires Verification</t>
        </is>
      </c>
      <c r="BC727" s="10" t="inlineStr">
        <is>
          <t>Medium</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2026-09-16</t>
        </is>
      </c>
      <c r="BJ727" s="10" t="inlineStr">
        <is>
          <t>New</t>
        </is>
      </c>
      <c r="BK727" s="10" t="inlineStr">
        <is>
          <t>2026-09-17</t>
        </is>
      </c>
      <c r="BL727" s="10" t="inlineStr"/>
      <c r="BM727" s="10" t="inlineStr"/>
      <c r="BN727" s="10" t="inlineStr"/>
      <c r="BO727" s="10" t="inlineStr"/>
      <c r="BP727" s="10" t="inlineStr"/>
      <c r="BQ727" s="10" t="inlineStr"/>
    </row>
    <row r="728">
      <c r="A728" s="5" t="inlineStr">
        <is>
          <t>UK-000526</t>
        </is>
      </c>
      <c r="B728" s="5" t="inlineStr">
        <is>
          <t>UK-000526-01</t>
        </is>
      </c>
      <c r="C728" s="5" t="inlineStr"/>
      <c r="D728" s="5" t="inlineStr">
        <is>
          <t>Toor Supermarket</t>
        </is>
      </c>
      <c r="E728" s="5" t="inlineStr">
        <is>
          <t>Toor Supermarket</t>
        </is>
      </c>
      <c r="F728" s="5" t="inlineStr"/>
      <c r="G728" s="5" t="inlineStr">
        <is>
          <t>Independent Supermarket</t>
        </is>
      </c>
      <c r="H728" s="5" t="inlineStr">
        <is>
          <t>South Asian / world food supermarket</t>
        </is>
      </c>
      <c r="I728" s="5" t="inlineStr">
        <is>
          <t>Independent</t>
        </is>
      </c>
      <c r="J728" s="5" t="inlineStr">
        <is>
          <t>1</t>
        </is>
      </c>
      <c r="K728" s="5" t="inlineStr"/>
      <c r="L728" s="5" t="inlineStr"/>
      <c r="M728" s="5" t="inlineStr"/>
      <c r="N728" s="5" t="inlineStr"/>
      <c r="O728" s="5" t="inlineStr"/>
      <c r="P728" s="5" t="inlineStr"/>
      <c r="Q728" s="5" t="inlineStr">
        <is>
          <t>Smethwick</t>
        </is>
      </c>
      <c r="R728" s="5" t="inlineStr">
        <is>
          <t>West Midlands</t>
        </is>
      </c>
      <c r="S728" s="5" t="inlineStr"/>
      <c r="T728" s="5" t="inlineStr">
        <is>
          <t>West Midlands</t>
        </is>
      </c>
      <c r="U728" s="5" t="inlineStr">
        <is>
          <t>England</t>
        </is>
      </c>
      <c r="V728" s="5" t="inlineStr"/>
      <c r="W728" s="5" t="inlineStr"/>
      <c r="X728" s="5" t="inlineStr"/>
      <c r="Y728" s="5" t="inlineStr"/>
      <c r="Z728" s="5" t="inlineStr"/>
      <c r="AA728" s="5" t="inlineStr"/>
      <c r="AB728" s="5" t="inlineStr"/>
      <c r="AC728" s="5" t="inlineStr"/>
      <c r="AD728" s="5" t="inlineStr"/>
      <c r="AE728" s="5" t="inlineStr"/>
      <c r="AF728" s="5" t="inlineStr"/>
      <c r="AG728" s="5" t="inlineStr"/>
      <c r="AH728" s="5" t="inlineStr"/>
      <c r="AI728" s="5" t="inlineStr"/>
      <c r="AJ728" s="5" t="inlineStr"/>
      <c r="AK728" s="5" t="inlineStr">
        <is>
          <t>fruit &amp; vegetables; groceries; South Asian foods; in-store butcher</t>
        </is>
      </c>
      <c r="AL728" s="5" t="inlineStr"/>
      <c r="AM728" s="5" t="inlineStr">
        <is>
          <t>Independent Supermarket</t>
        </is>
      </c>
      <c r="AN728" s="5" t="inlineStr"/>
      <c r="AO728" s="5" t="inlineStr">
        <is>
          <t>Independent family-run South Asian supermarket in Smethwick with fresh produce, general groceries, South-Asian foods and an in-store butcher. Located via Yelp Smethwick Asian supermarket listings; exact address not in snippet.</t>
        </is>
      </c>
      <c r="AP728" s="5" t="inlineStr">
        <is>
          <t>Low</t>
        </is>
      </c>
      <c r="AQ728" s="5" t="inlineStr">
        <is>
          <t>Independent retailer; Relevant category</t>
        </is>
      </c>
      <c r="AR728" s="5" t="inlineStr">
        <is>
          <t>https://www.yelp.com/search?find_desc=Asian+Supermarket&amp;find_loc=Smethwick%2C+West+Midlands</t>
        </is>
      </c>
      <c r="AS728" s="5" t="inlineStr"/>
      <c r="AT728" s="5" t="inlineStr">
        <is>
          <t>1</t>
        </is>
      </c>
      <c r="AU728" s="5" t="inlineStr">
        <is>
          <t>No</t>
        </is>
      </c>
      <c r="AV728" s="5" t="inlineStr">
        <is>
          <t>No</t>
        </is>
      </c>
      <c r="AW728" s="5" t="inlineStr">
        <is>
          <t>No</t>
        </is>
      </c>
      <c r="AX728" s="5" t="inlineStr">
        <is>
          <t>No</t>
        </is>
      </c>
      <c r="AY728" s="5" t="inlineStr">
        <is>
          <t>Not Found</t>
        </is>
      </c>
      <c r="AZ728" s="5" t="inlineStr">
        <is>
          <t>Not Found</t>
        </is>
      </c>
      <c r="BA728" s="5" t="inlineStr">
        <is>
          <t>2026-09-17</t>
        </is>
      </c>
      <c r="BB728" s="5" t="inlineStr">
        <is>
          <t>Requires Verification</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UK-000669</t>
        </is>
      </c>
      <c r="B729" s="10" t="inlineStr">
        <is>
          <t>UK-000669-01</t>
        </is>
      </c>
      <c r="C729" s="10" t="inlineStr"/>
      <c r="D729" s="10" t="inlineStr">
        <is>
          <t>Tooting Food &amp; Wine</t>
        </is>
      </c>
      <c r="E729" s="10" t="inlineStr">
        <is>
          <t>Tooting Food &amp; Wine</t>
        </is>
      </c>
      <c r="F729" s="10" t="inlineStr"/>
      <c r="G729" s="10" t="inlineStr">
        <is>
          <t>Off-Licence</t>
        </is>
      </c>
      <c r="H729" s="10" t="inlineStr"/>
      <c r="I729" s="10" t="inlineStr">
        <is>
          <t>Independent</t>
        </is>
      </c>
      <c r="J729" s="10" t="inlineStr">
        <is>
          <t>1</t>
        </is>
      </c>
      <c r="K729" s="10" t="inlineStr"/>
      <c r="L729" s="10" t="inlineStr"/>
      <c r="M729" s="10" t="inlineStr"/>
      <c r="N729" s="10" t="inlineStr"/>
      <c r="O729" s="10" t="inlineStr">
        <is>
          <t>32 London Road</t>
        </is>
      </c>
      <c r="P729" s="10" t="inlineStr"/>
      <c r="Q729" s="10" t="inlineStr">
        <is>
          <t>London</t>
        </is>
      </c>
      <c r="R729" s="10" t="inlineStr">
        <is>
          <t>Greater London</t>
        </is>
      </c>
      <c r="S729" s="10" t="inlineStr">
        <is>
          <t>SW17 9HP</t>
        </is>
      </c>
      <c r="T729" s="10" t="inlineStr">
        <is>
          <t>London</t>
        </is>
      </c>
      <c r="U729" s="10" t="inlineStr">
        <is>
          <t>England</t>
        </is>
      </c>
      <c r="V729" s="10" t="inlineStr">
        <is>
          <t>07534 741161</t>
        </is>
      </c>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beers; wines; spirits; grocery; convenience</t>
        </is>
      </c>
      <c r="AL729" s="10" t="inlineStr"/>
      <c r="AM729" s="10" t="inlineStr">
        <is>
          <t>Off-Licence</t>
        </is>
      </c>
      <c r="AN729" s="10" t="inlineStr"/>
      <c r="AO729" s="10" t="inlineStr">
        <is>
          <t>Independent off-licence / convenience store, Tooting. Address and phone from Yell directory.</t>
        </is>
      </c>
      <c r="AP729" s="10" t="inlineStr">
        <is>
          <t>Low</t>
        </is>
      </c>
      <c r="AQ729" s="10" t="inlineStr">
        <is>
          <t>Independent retailer; Relevant category</t>
        </is>
      </c>
      <c r="AR729" s="10" t="inlineStr">
        <is>
          <t>https://www.yell.com/s/off+licences-tooting-south+west+london.html</t>
        </is>
      </c>
      <c r="AS729" s="10" t="inlineStr"/>
      <c r="AT729" s="10" t="inlineStr">
        <is>
          <t>1</t>
        </is>
      </c>
      <c r="AU729" s="10" t="inlineStr">
        <is>
          <t>No</t>
        </is>
      </c>
      <c r="AV729" s="10" t="inlineStr">
        <is>
          <t>No</t>
        </is>
      </c>
      <c r="AW729" s="10" t="inlineStr">
        <is>
          <t>No</t>
        </is>
      </c>
      <c r="AX729" s="10" t="inlineStr">
        <is>
          <t>No</t>
        </is>
      </c>
      <c r="AY729" s="10" t="inlineStr">
        <is>
          <t>Verified directory</t>
        </is>
      </c>
      <c r="AZ729" s="10" t="inlineStr">
        <is>
          <t>Not Found</t>
        </is>
      </c>
      <c r="BA729" s="10" t="inlineStr">
        <is>
          <t>2026-09-17</t>
        </is>
      </c>
      <c r="BB729" s="10" t="inlineStr">
        <is>
          <t>Requires Verification</t>
        </is>
      </c>
      <c r="BC729" s="10" t="inlineStr">
        <is>
          <t>Medium</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2026-09-17</t>
        </is>
      </c>
      <c r="BJ729" s="10" t="inlineStr">
        <is>
          <t>New</t>
        </is>
      </c>
      <c r="BK729" s="10" t="inlineStr">
        <is>
          <t>2026-09-17</t>
        </is>
      </c>
      <c r="BL729" s="10" t="inlineStr"/>
      <c r="BM729" s="10" t="inlineStr"/>
      <c r="BN729" s="10" t="inlineStr"/>
      <c r="BO729" s="10" t="inlineStr"/>
      <c r="BP729" s="10" t="inlineStr"/>
      <c r="BQ729" s="10" t="inlineStr"/>
    </row>
    <row r="730">
      <c r="A730" s="5" t="inlineStr">
        <is>
          <t>WY-0167</t>
        </is>
      </c>
      <c r="B730" s="5" t="inlineStr">
        <is>
          <t>WY-0167-01</t>
        </is>
      </c>
      <c r="C730" s="5" t="inlineStr"/>
      <c r="D730" s="5" t="inlineStr">
        <is>
          <t>Top Shelf Off Licence</t>
        </is>
      </c>
      <c r="E730" s="5" t="inlineStr">
        <is>
          <t>Top Shelf Off Licence</t>
        </is>
      </c>
      <c r="F730" s="5" t="inlineStr"/>
      <c r="G730" s="5" t="inlineStr">
        <is>
          <t>Off-Licence</t>
        </is>
      </c>
      <c r="H730" s="5" t="inlineStr">
        <is>
          <t>Off-licence</t>
        </is>
      </c>
      <c r="I730" s="5" t="inlineStr">
        <is>
          <t>Independent</t>
        </is>
      </c>
      <c r="J730" s="5" t="inlineStr">
        <is>
          <t>1</t>
        </is>
      </c>
      <c r="K730" s="5" t="inlineStr"/>
      <c r="L730" s="5" t="inlineStr"/>
      <c r="M730" s="5" t="inlineStr"/>
      <c r="N730" s="5" t="inlineStr"/>
      <c r="O730" s="5" t="inlineStr">
        <is>
          <t>557 Leeds Road</t>
        </is>
      </c>
      <c r="P730" s="5" t="inlineStr">
        <is>
          <t>Outwood</t>
        </is>
      </c>
      <c r="Q730" s="5" t="inlineStr">
        <is>
          <t>Wakefield</t>
        </is>
      </c>
      <c r="R730" s="5" t="inlineStr">
        <is>
          <t>West Yorkshire</t>
        </is>
      </c>
      <c r="S730" s="5" t="inlineStr">
        <is>
          <t>WF1 2JL</t>
        </is>
      </c>
      <c r="T730" s="5" t="inlineStr">
        <is>
          <t>Yorkshire &amp; Humber</t>
        </is>
      </c>
      <c r="U730" s="5" t="inlineStr">
        <is>
          <t>England</t>
        </is>
      </c>
      <c r="V730" s="5" t="inlineStr"/>
      <c r="W730" s="5" t="inlineStr"/>
      <c r="X730" s="5" t="inlineStr"/>
      <c r="Y730" s="5" t="inlineStr"/>
      <c r="Z730" s="5" t="inlineStr"/>
      <c r="AA730" s="5" t="inlineStr"/>
      <c r="AB730" s="5" t="inlineStr"/>
      <c r="AC730" s="5" t="inlineStr"/>
      <c r="AD730" s="5" t="inlineStr"/>
      <c r="AE730" s="5" t="inlineStr"/>
      <c r="AF730" s="5" t="inlineStr"/>
      <c r="AG730" s="5" t="inlineStr"/>
      <c r="AH730" s="5" t="inlineStr"/>
      <c r="AI730" s="5" t="inlineStr"/>
      <c r="AJ730" s="5" t="inlineStr"/>
      <c r="AK730" s="5" t="inlineStr">
        <is>
          <t>alcohol; tobacco; convenience</t>
        </is>
      </c>
      <c r="AL730" s="5" t="inlineStr"/>
      <c r="AM730" s="5" t="inlineStr">
        <is>
          <t>Off-Licence</t>
        </is>
      </c>
      <c r="AN730" s="5" t="inlineStr"/>
      <c r="AO730" s="5" t="inlineStr">
        <is>
          <t>Address surfaced from Wakefield Council food-hygiene-derived listings in search results.</t>
        </is>
      </c>
      <c r="AP730" s="5" t="inlineStr">
        <is>
          <t>Low</t>
        </is>
      </c>
      <c r="AQ730" s="5" t="inlineStr">
        <is>
          <t>Independent retailer; Relevant category</t>
        </is>
      </c>
      <c r="AR730" s="5" t="inlineStr">
        <is>
          <t>https://www.foodhygienerankings.co.uk/authorities/wakefield</t>
        </is>
      </c>
      <c r="AS730" s="5" t="inlineStr"/>
      <c r="AT730" s="5" t="inlineStr">
        <is>
          <t>1</t>
        </is>
      </c>
      <c r="AU730" s="5" t="inlineStr">
        <is>
          <t>No</t>
        </is>
      </c>
      <c r="AV730" s="5" t="inlineStr">
        <is>
          <t>No</t>
        </is>
      </c>
      <c r="AW730" s="5" t="inlineStr">
        <is>
          <t>No</t>
        </is>
      </c>
      <c r="AX730" s="5" t="inlineStr">
        <is>
          <t>No</t>
        </is>
      </c>
      <c r="AY730" s="5" t="inlineStr">
        <is>
          <t>Not Found</t>
        </is>
      </c>
      <c r="AZ730" s="5" t="inlineStr">
        <is>
          <t>Not Found</t>
        </is>
      </c>
      <c r="BA730" s="5" t="inlineStr">
        <is>
          <t>2026-09-17</t>
        </is>
      </c>
      <c r="BB730" s="5" t="inlineStr">
        <is>
          <t>Requires Verification</t>
        </is>
      </c>
      <c r="BC730" s="5" t="inlineStr">
        <is>
          <t>Low</t>
        </is>
      </c>
      <c r="BD730" s="5" t="inlineStr"/>
      <c r="BE730" s="5" t="inlineStr">
        <is>
          <t>Business (B2B)</t>
        </is>
      </c>
      <c r="BF730" s="5" t="inlineStr">
        <is>
          <t>Legitimate interest (B2B) - assess per campaign; PECR: corporate subscribers</t>
        </is>
      </c>
      <c r="BG730" s="5" t="inlineStr"/>
      <c r="BH730" s="5" t="inlineStr">
        <is>
          <t>No</t>
        </is>
      </c>
      <c r="BI730" s="5" t="inlineStr">
        <is>
          <t>2026-09-16</t>
        </is>
      </c>
      <c r="BJ730" s="5" t="inlineStr">
        <is>
          <t>New</t>
        </is>
      </c>
      <c r="BK730" s="5" t="inlineStr">
        <is>
          <t>2026-09-17</t>
        </is>
      </c>
      <c r="BL730" s="5" t="inlineStr"/>
      <c r="BM730" s="5" t="inlineStr"/>
      <c r="BN730" s="5" t="inlineStr"/>
      <c r="BO730" s="5" t="inlineStr"/>
      <c r="BP730" s="5" t="inlineStr"/>
      <c r="BQ730" s="5" t="inlineStr"/>
    </row>
    <row r="731">
      <c r="A731" s="10" t="inlineStr">
        <is>
          <t>UK-000670</t>
        </is>
      </c>
      <c r="B731" s="10" t="inlineStr">
        <is>
          <t>UK-000670-01</t>
        </is>
      </c>
      <c r="C731" s="10" t="inlineStr"/>
      <c r="D731" s="10" t="inlineStr">
        <is>
          <t>Turkish Food Market</t>
        </is>
      </c>
      <c r="E731" s="10" t="inlineStr">
        <is>
          <t>Turkish Food Market</t>
        </is>
      </c>
      <c r="F731" s="10" t="inlineStr"/>
      <c r="G731" s="10" t="inlineStr">
        <is>
          <t>Independent Supermarket</t>
        </is>
      </c>
      <c r="H731" s="10" t="inlineStr">
        <is>
          <t>Turkish / world-food supermarket</t>
        </is>
      </c>
      <c r="I731" s="10" t="inlineStr">
        <is>
          <t>Independent</t>
        </is>
      </c>
      <c r="J731" s="10" t="inlineStr">
        <is>
          <t>1</t>
        </is>
      </c>
      <c r="K731" s="10" t="inlineStr"/>
      <c r="L731" s="10" t="inlineStr"/>
      <c r="M731" s="10" t="inlineStr"/>
      <c r="N731" s="10" t="inlineStr"/>
      <c r="O731" s="10" t="inlineStr">
        <is>
          <t>385-387 Green Lanes</t>
        </is>
      </c>
      <c r="P731" s="10" t="inlineStr"/>
      <c r="Q731" s="10" t="inlineStr">
        <is>
          <t>Harringay</t>
        </is>
      </c>
      <c r="R731" s="10" t="inlineStr">
        <is>
          <t>Greater London</t>
        </is>
      </c>
      <c r="S731" s="10" t="inlineStr">
        <is>
          <t>N4 1EU</t>
        </is>
      </c>
      <c r="T731" s="10" t="inlineStr">
        <is>
          <t>London</t>
        </is>
      </c>
      <c r="U731" s="10" t="inlineStr">
        <is>
          <t>England</t>
        </is>
      </c>
      <c r="V731" s="10" t="inlineStr">
        <is>
          <t>020 8340 4547</t>
        </is>
      </c>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Turkish groceries; world foods; fresh produce</t>
        </is>
      </c>
      <c r="AL731" s="10" t="inlineStr"/>
      <c r="AM731" s="10" t="inlineStr">
        <is>
          <t>Independent Supermarket</t>
        </is>
      </c>
      <c r="AN731" s="10" t="inlineStr"/>
      <c r="AO731" s="10" t="inlineStr">
        <is>
          <t>Turkish supermarket on Green Lanes, Harringay. Address/postcode/phone from Cylex company listing.</t>
        </is>
      </c>
      <c r="AP731" s="10" t="inlineStr">
        <is>
          <t>Low</t>
        </is>
      </c>
      <c r="AQ731" s="10" t="inlineStr">
        <is>
          <t>Independent retailer; Relevant category</t>
        </is>
      </c>
      <c r="AR731" s="10" t="inlineStr">
        <is>
          <t>https://london.cylex-uk.co.uk/company/turkish-food-market-18687770.html</t>
        </is>
      </c>
      <c r="AS731" s="10" t="inlineStr"/>
      <c r="AT731" s="10" t="inlineStr">
        <is>
          <t>1</t>
        </is>
      </c>
      <c r="AU731" s="10" t="inlineStr">
        <is>
          <t>No</t>
        </is>
      </c>
      <c r="AV731" s="10" t="inlineStr">
        <is>
          <t>No</t>
        </is>
      </c>
      <c r="AW731" s="10" t="inlineStr">
        <is>
          <t>No</t>
        </is>
      </c>
      <c r="AX731" s="10" t="inlineStr">
        <is>
          <t>No</t>
        </is>
      </c>
      <c r="AY731" s="10" t="inlineStr">
        <is>
          <t>Verified directory</t>
        </is>
      </c>
      <c r="AZ731" s="10" t="inlineStr">
        <is>
          <t>Not Found</t>
        </is>
      </c>
      <c r="BA731" s="10" t="inlineStr">
        <is>
          <t>2026-09-17</t>
        </is>
      </c>
      <c r="BB731" s="10" t="inlineStr">
        <is>
          <t>Requires Verification</t>
        </is>
      </c>
      <c r="BC731" s="10" t="inlineStr">
        <is>
          <t>Medium</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2026-09-17</t>
        </is>
      </c>
      <c r="BJ731" s="10" t="inlineStr">
        <is>
          <t>New</t>
        </is>
      </c>
      <c r="BK731" s="10" t="inlineStr">
        <is>
          <t>2026-09-17</t>
        </is>
      </c>
      <c r="BL731" s="10" t="inlineStr"/>
      <c r="BM731" s="10" t="inlineStr"/>
      <c r="BN731" s="10" t="inlineStr"/>
      <c r="BO731" s="10" t="inlineStr"/>
      <c r="BP731" s="10" t="inlineStr"/>
      <c r="BQ731" s="10" t="inlineStr"/>
    </row>
    <row r="732">
      <c r="A732" s="5" t="inlineStr">
        <is>
          <t>WY-0168</t>
        </is>
      </c>
      <c r="B732" s="5" t="inlineStr">
        <is>
          <t>WY-0168-01</t>
        </is>
      </c>
      <c r="C732" s="5" t="inlineStr"/>
      <c r="D732" s="5" t="inlineStr">
        <is>
          <t>Turners Food &amp; Wine</t>
        </is>
      </c>
      <c r="E732" s="5" t="inlineStr">
        <is>
          <t>Turners Food &amp; Wine</t>
        </is>
      </c>
      <c r="F732" s="5" t="inlineStr">
        <is>
          <t>Turners Food &amp; Wine Ltd</t>
        </is>
      </c>
      <c r="G732" s="5" t="inlineStr">
        <is>
          <t>Convenience Store</t>
        </is>
      </c>
      <c r="H732" s="5" t="inlineStr">
        <is>
          <t>Convenience store with off-licence</t>
        </is>
      </c>
      <c r="I732" s="5" t="inlineStr">
        <is>
          <t>Independent</t>
        </is>
      </c>
      <c r="J732" s="5" t="inlineStr">
        <is>
          <t>1</t>
        </is>
      </c>
      <c r="K732" s="5" t="inlineStr"/>
      <c r="L732" s="5" t="inlineStr"/>
      <c r="M732" s="5" t="inlineStr"/>
      <c r="N732" s="5" t="inlineStr"/>
      <c r="O732" s="5" t="inlineStr"/>
      <c r="P732" s="5" t="inlineStr">
        <is>
          <t>Beeston</t>
        </is>
      </c>
      <c r="Q732" s="5" t="inlineStr">
        <is>
          <t>Leeds</t>
        </is>
      </c>
      <c r="R732" s="5" t="inlineStr">
        <is>
          <t>West Yorkshire</t>
        </is>
      </c>
      <c r="S732" s="5" t="inlineStr"/>
      <c r="T732" s="5" t="inlineStr">
        <is>
          <t>Yorkshire &amp; Humber</t>
        </is>
      </c>
      <c r="U732" s="5" t="inlineStr">
        <is>
          <t>England</t>
        </is>
      </c>
      <c r="V732" s="5" t="inlineStr"/>
      <c r="W732" s="5" t="inlineStr"/>
      <c r="X732" s="5" t="inlineStr"/>
      <c r="Y732" s="5" t="inlineStr"/>
      <c r="Z732" s="5" t="inlineStr"/>
      <c r="AA732" s="5" t="inlineStr"/>
      <c r="AB732" s="5" t="inlineStr"/>
      <c r="AC732" s="5" t="inlineStr"/>
      <c r="AD732" s="5" t="inlineStr"/>
      <c r="AE732" s="5" t="inlineStr"/>
      <c r="AF732" s="5" t="inlineStr"/>
      <c r="AG732" s="5" t="inlineStr"/>
      <c r="AH732" s="5" t="inlineStr"/>
      <c r="AI732" s="5" t="inlineStr"/>
      <c r="AJ732" s="5" t="inlineStr"/>
      <c r="AK732" s="5" t="inlineStr">
        <is>
          <t>groceries; alcohol</t>
        </is>
      </c>
      <c r="AL732" s="5" t="inlineStr"/>
      <c r="AM732" s="5" t="inlineStr">
        <is>
          <t>Convenience Store</t>
        </is>
      </c>
      <c r="AN732" s="5" t="inlineStr"/>
      <c r="AO732" s="5" t="inlineStr">
        <is>
          <t>Local convenience store in Beeston listed as 'Turners Food &amp; Wine Ltd' (limited company) in Yorkshire.com off-licence listings; street address not captured - follow up.</t>
        </is>
      </c>
      <c r="AP732" s="5" t="inlineStr">
        <is>
          <t>Low</t>
        </is>
      </c>
      <c r="AQ732" s="5" t="inlineStr">
        <is>
          <t>Independent retailer; Relevant category</t>
        </is>
      </c>
      <c r="AR732" s="5" t="inlineStr">
        <is>
          <t>https://www.yorkshire.com/leeds/shopping/off-license</t>
        </is>
      </c>
      <c r="AS732" s="5" t="inlineStr"/>
      <c r="AT732" s="5" t="inlineStr">
        <is>
          <t>1</t>
        </is>
      </c>
      <c r="AU732" s="5" t="inlineStr">
        <is>
          <t>No</t>
        </is>
      </c>
      <c r="AV732" s="5" t="inlineStr">
        <is>
          <t>No</t>
        </is>
      </c>
      <c r="AW732" s="5" t="inlineStr">
        <is>
          <t>No</t>
        </is>
      </c>
      <c r="AX732" s="5" t="inlineStr">
        <is>
          <t>No</t>
        </is>
      </c>
      <c r="AY732" s="5" t="inlineStr">
        <is>
          <t>Not Found</t>
        </is>
      </c>
      <c r="AZ732" s="5" t="inlineStr">
        <is>
          <t>Not Found</t>
        </is>
      </c>
      <c r="BA732" s="5" t="inlineStr">
        <is>
          <t>2026-09-17</t>
        </is>
      </c>
      <c r="BB732" s="5" t="inlineStr">
        <is>
          <t>Requires Verification</t>
        </is>
      </c>
      <c r="BC732" s="5" t="inlineStr">
        <is>
          <t>Low</t>
        </is>
      </c>
      <c r="BD732" s="5" t="inlineStr"/>
      <c r="BE732" s="5" t="inlineStr">
        <is>
          <t>Business (B2B)</t>
        </is>
      </c>
      <c r="BF732" s="5" t="inlineStr">
        <is>
          <t>Legitimate interest (B2B) - assess per campaign; PECR: corporate subscribers</t>
        </is>
      </c>
      <c r="BG732" s="5" t="inlineStr"/>
      <c r="BH732" s="5" t="inlineStr">
        <is>
          <t>No</t>
        </is>
      </c>
      <c r="BI732" s="5" t="inlineStr">
        <is>
          <t>2026-09-16</t>
        </is>
      </c>
      <c r="BJ732" s="5" t="inlineStr">
        <is>
          <t>New</t>
        </is>
      </c>
      <c r="BK732" s="5" t="inlineStr">
        <is>
          <t>2026-09-17</t>
        </is>
      </c>
      <c r="BL732" s="5" t="inlineStr"/>
      <c r="BM732" s="5" t="inlineStr"/>
      <c r="BN732" s="5" t="inlineStr"/>
      <c r="BO732" s="5" t="inlineStr"/>
      <c r="BP732" s="5" t="inlineStr"/>
      <c r="BQ732" s="5" t="inlineStr"/>
    </row>
    <row r="733">
      <c r="A733" s="10" t="inlineStr">
        <is>
          <t>UK-000671</t>
        </is>
      </c>
      <c r="B733" s="10" t="inlineStr">
        <is>
          <t>UK-000671-01</t>
        </is>
      </c>
      <c r="C733" s="10" t="inlineStr"/>
      <c r="D733" s="10" t="inlineStr">
        <is>
          <t>Twilight2Go</t>
        </is>
      </c>
      <c r="E733" s="10" t="inlineStr">
        <is>
          <t>Twilight2Go</t>
        </is>
      </c>
      <c r="F733" s="10" t="inlineStr"/>
      <c r="G733" s="10" t="inlineStr">
        <is>
          <t>Vape Shop</t>
        </is>
      </c>
      <c r="H733" s="10" t="inlineStr">
        <is>
          <t>Vape &amp; convenience</t>
        </is>
      </c>
      <c r="I733" s="10" t="inlineStr">
        <is>
          <t>Independent</t>
        </is>
      </c>
      <c r="J733" s="10" t="inlineStr">
        <is>
          <t>1</t>
        </is>
      </c>
      <c r="K733" s="10" t="inlineStr"/>
      <c r="L733" s="10" t="inlineStr"/>
      <c r="M733" s="10" t="inlineStr"/>
      <c r="N733" s="10" t="inlineStr"/>
      <c r="O733" s="10" t="inlineStr">
        <is>
          <t>171 Seven Sisters Road</t>
        </is>
      </c>
      <c r="P733" s="10" t="inlineStr"/>
      <c r="Q733" s="10" t="inlineStr">
        <is>
          <t>Finsbury Park</t>
        </is>
      </c>
      <c r="R733" s="10" t="inlineStr">
        <is>
          <t>Greater London</t>
        </is>
      </c>
      <c r="S733" s="10" t="inlineStr">
        <is>
          <t>N4 3NS</t>
        </is>
      </c>
      <c r="T733" s="10" t="inlineStr">
        <is>
          <t>London</t>
        </is>
      </c>
      <c r="U733" s="10" t="inlineStr">
        <is>
          <t>England</t>
        </is>
      </c>
      <c r="V733" s="10" t="inlineStr">
        <is>
          <t>07950 255905</t>
        </is>
      </c>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vape hardware; e-liquids; disposables</t>
        </is>
      </c>
      <c r="AL733" s="10" t="inlineStr"/>
      <c r="AM733" s="10" t="inlineStr">
        <is>
          <t>Vape Shop</t>
        </is>
      </c>
      <c r="AN733" s="10" t="inlineStr"/>
      <c r="AO733" s="10" t="inlineStr">
        <is>
          <t>Vape/convenience retailer on Seven Sisters Road, Finsbury Park. Address/postcode/phone from Yell directory listing.</t>
        </is>
      </c>
      <c r="AP733" s="10" t="inlineStr">
        <is>
          <t>Medium</t>
        </is>
      </c>
      <c r="AQ733" s="10" t="inlineStr">
        <is>
          <t>Independent retailer; Core relevant category</t>
        </is>
      </c>
      <c r="AR733" s="10" t="inlineStr">
        <is>
          <t>https://www.yell.com/s/vape+shops-islington-central+london.html</t>
        </is>
      </c>
      <c r="AS733" s="10" t="inlineStr"/>
      <c r="AT733" s="10" t="inlineStr">
        <is>
          <t>1</t>
        </is>
      </c>
      <c r="AU733" s="10" t="inlineStr">
        <is>
          <t>No</t>
        </is>
      </c>
      <c r="AV733" s="10" t="inlineStr">
        <is>
          <t>No</t>
        </is>
      </c>
      <c r="AW733" s="10" t="inlineStr">
        <is>
          <t>No</t>
        </is>
      </c>
      <c r="AX733" s="10" t="inlineStr">
        <is>
          <t>No</t>
        </is>
      </c>
      <c r="AY733" s="10" t="inlineStr">
        <is>
          <t>Verified directory</t>
        </is>
      </c>
      <c r="AZ733" s="10" t="inlineStr">
        <is>
          <t>Not Found</t>
        </is>
      </c>
      <c r="BA733" s="10" t="inlineStr">
        <is>
          <t>2026-09-17</t>
        </is>
      </c>
      <c r="BB733" s="10" t="inlineStr">
        <is>
          <t>Requires Verification</t>
        </is>
      </c>
      <c r="BC733" s="10" t="inlineStr">
        <is>
          <t>Medium</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2026-09-17</t>
        </is>
      </c>
      <c r="BJ733" s="10" t="inlineStr">
        <is>
          <t>New</t>
        </is>
      </c>
      <c r="BK733" s="10" t="inlineStr">
        <is>
          <t>2026-09-17</t>
        </is>
      </c>
      <c r="BL733" s="10" t="inlineStr"/>
      <c r="BM733" s="10" t="inlineStr"/>
      <c r="BN733" s="10" t="inlineStr"/>
      <c r="BO733" s="10" t="inlineStr"/>
      <c r="BP733" s="10" t="inlineStr"/>
      <c r="BQ733" s="10" t="inlineStr"/>
    </row>
    <row r="734">
      <c r="A734" s="5" t="inlineStr">
        <is>
          <t>UK-000396</t>
        </is>
      </c>
      <c r="B734" s="5" t="inlineStr">
        <is>
          <t>UK-000396-01</t>
        </is>
      </c>
      <c r="C734" s="5" t="inlineStr"/>
      <c r="D734" s="5" t="inlineStr">
        <is>
          <t>Two Apples Restaurant &amp; Shisha Lounge</t>
        </is>
      </c>
      <c r="E734" s="5" t="inlineStr">
        <is>
          <t>Two Apples</t>
        </is>
      </c>
      <c r="F734" s="5" t="inlineStr"/>
      <c r="G734" s="5" t="inlineStr">
        <is>
          <t>Smoke / Shisha Shop</t>
        </is>
      </c>
      <c r="H734" s="5" t="inlineStr">
        <is>
          <t>Restaurant &amp; shisha lounge</t>
        </is>
      </c>
      <c r="I734" s="5" t="inlineStr">
        <is>
          <t>Independent</t>
        </is>
      </c>
      <c r="J734" s="5" t="inlineStr">
        <is>
          <t>1</t>
        </is>
      </c>
      <c r="K734" s="5" t="inlineStr"/>
      <c r="L734" s="5" t="inlineStr"/>
      <c r="M734" s="5" t="inlineStr"/>
      <c r="N734" s="5" t="inlineStr"/>
      <c r="O734" s="5" t="inlineStr">
        <is>
          <t>The Queens, 341 Rochdale Road</t>
        </is>
      </c>
      <c r="P734" s="5" t="inlineStr"/>
      <c r="Q734" s="5" t="inlineStr">
        <is>
          <t>Oldham</t>
        </is>
      </c>
      <c r="R734" s="5" t="inlineStr">
        <is>
          <t>Greater Manchester</t>
        </is>
      </c>
      <c r="S734" s="5" t="inlineStr">
        <is>
          <t>OL1 2HD</t>
        </is>
      </c>
      <c r="T734" s="5" t="inlineStr">
        <is>
          <t>North West</t>
        </is>
      </c>
      <c r="U734" s="5" t="inlineStr">
        <is>
          <t>England</t>
        </is>
      </c>
      <c r="V734" s="5" t="inlineStr"/>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shisha; hookah; food</t>
        </is>
      </c>
      <c r="AL734" s="5" t="inlineStr"/>
      <c r="AM734" s="5" t="inlineStr">
        <is>
          <t>Smoke / Shisha Shop</t>
        </is>
      </c>
      <c r="AN734" s="5" t="inlineStr"/>
      <c r="AO734" s="5" t="inlineStr">
        <is>
          <t>Restaurant and shisha lounge on Rochdale Road, Oldham.</t>
        </is>
      </c>
      <c r="AP734" s="5" t="inlineStr">
        <is>
          <t>Medium</t>
        </is>
      </c>
      <c r="AQ734" s="5" t="inlineStr">
        <is>
          <t>Independent retailer; Core relevant category</t>
        </is>
      </c>
      <c r="AR734" s="5" t="inlineStr">
        <is>
          <t>https://shisha.com/listing/shisha-bar-lounge-two-apples-restaurant-oldham/</t>
        </is>
      </c>
      <c r="AS734" s="5" t="inlineStr"/>
      <c r="AT734" s="5" t="inlineStr">
        <is>
          <t>1</t>
        </is>
      </c>
      <c r="AU734" s="5" t="inlineStr">
        <is>
          <t>No</t>
        </is>
      </c>
      <c r="AV734" s="5" t="inlineStr">
        <is>
          <t>No</t>
        </is>
      </c>
      <c r="AW734" s="5" t="inlineStr">
        <is>
          <t>No</t>
        </is>
      </c>
      <c r="AX734" s="5" t="inlineStr">
        <is>
          <t>No</t>
        </is>
      </c>
      <c r="AY734" s="5" t="inlineStr">
        <is>
          <t>Not Found</t>
        </is>
      </c>
      <c r="AZ734" s="5" t="inlineStr">
        <is>
          <t>Not Found</t>
        </is>
      </c>
      <c r="BA734" s="5" t="inlineStr">
        <is>
          <t>2026-09-17</t>
        </is>
      </c>
      <c r="BB734" s="5" t="inlineStr">
        <is>
          <t>Requires Verification</t>
        </is>
      </c>
      <c r="BC734" s="5" t="inlineStr">
        <is>
          <t>Low</t>
        </is>
      </c>
      <c r="BD734" s="5" t="inlineStr"/>
      <c r="BE734" s="5" t="inlineStr">
        <is>
          <t>Business (B2B)</t>
        </is>
      </c>
      <c r="BF734" s="5" t="inlineStr">
        <is>
          <t>Legitimate interest (B2B) - assess per campaign; PECR: corporate subscribers</t>
        </is>
      </c>
      <c r="BG734" s="5" t="inlineStr"/>
      <c r="BH734" s="5" t="inlineStr">
        <is>
          <t>No</t>
        </is>
      </c>
      <c r="BI734" s="5" t="inlineStr">
        <is>
          <t>2026-09-17</t>
        </is>
      </c>
      <c r="BJ734" s="5" t="inlineStr">
        <is>
          <t>New</t>
        </is>
      </c>
      <c r="BK734" s="5" t="inlineStr">
        <is>
          <t>2026-09-17</t>
        </is>
      </c>
      <c r="BL734" s="5" t="inlineStr"/>
      <c r="BM734" s="5" t="inlineStr"/>
      <c r="BN734" s="5" t="inlineStr"/>
      <c r="BO734" s="5" t="inlineStr"/>
      <c r="BP734" s="5" t="inlineStr"/>
      <c r="BQ734" s="5" t="inlineStr"/>
    </row>
    <row r="735">
      <c r="A735" s="10" t="inlineStr">
        <is>
          <t>UK-000397</t>
        </is>
      </c>
      <c r="B735" s="10" t="inlineStr">
        <is>
          <t>UK-000397-01</t>
        </is>
      </c>
      <c r="C735" s="10" t="inlineStr"/>
      <c r="D735" s="10" t="inlineStr">
        <is>
          <t>Two Apples Shisha (Cheetham Hill)</t>
        </is>
      </c>
      <c r="E735" s="10" t="inlineStr">
        <is>
          <t>Two Apples Shisha</t>
        </is>
      </c>
      <c r="F735" s="10" t="inlineStr"/>
      <c r="G735" s="10" t="inlineStr">
        <is>
          <t>Smoke / Shisha Shop</t>
        </is>
      </c>
      <c r="H735" s="10" t="inlineStr">
        <is>
          <t>Hookah bar</t>
        </is>
      </c>
      <c r="I735" s="10" t="inlineStr">
        <is>
          <t>Independent</t>
        </is>
      </c>
      <c r="J735" s="10" t="inlineStr">
        <is>
          <t>1</t>
        </is>
      </c>
      <c r="K735" s="10" t="inlineStr"/>
      <c r="L735" s="10" t="inlineStr"/>
      <c r="M735" s="10" t="inlineStr"/>
      <c r="N735" s="10" t="inlineStr"/>
      <c r="O735" s="10" t="inlineStr">
        <is>
          <t>103 Queens Road</t>
        </is>
      </c>
      <c r="P735" s="10" t="inlineStr">
        <is>
          <t>Cheetham Hill</t>
        </is>
      </c>
      <c r="Q735" s="10" t="inlineStr">
        <is>
          <t>Manchester</t>
        </is>
      </c>
      <c r="R735" s="10" t="inlineStr">
        <is>
          <t>Greater Manchester</t>
        </is>
      </c>
      <c r="S735" s="10" t="inlineStr">
        <is>
          <t>M8 8UT</t>
        </is>
      </c>
      <c r="T735" s="10" t="inlineStr">
        <is>
          <t>North West</t>
        </is>
      </c>
      <c r="U735" s="10" t="inlineStr">
        <is>
          <t>England</t>
        </is>
      </c>
      <c r="V735" s="10" t="inlineStr">
        <is>
          <t>0161 278 7264</t>
        </is>
      </c>
      <c r="W735" s="10" t="inlineStr"/>
      <c r="X735" s="10" t="inlineStr"/>
      <c r="Y735" s="10" t="inlineStr"/>
      <c r="Z735" s="10" t="inlineStr"/>
      <c r="AA735" s="10" t="inlineStr"/>
      <c r="AB735" s="10" t="inlineStr"/>
      <c r="AC735" s="10" t="inlineStr"/>
      <c r="AD735" s="10" t="inlineStr"/>
      <c r="AE735" s="10" t="inlineStr"/>
      <c r="AF735" s="10" t="inlineStr"/>
      <c r="AG735" s="10" t="inlineStr"/>
      <c r="AH735" s="10" t="inlineStr"/>
      <c r="AI735" s="10" t="inlineStr"/>
      <c r="AJ735" s="10" t="inlineStr"/>
      <c r="AK735" s="10" t="inlineStr">
        <is>
          <t>shisha/hookah; tobacco molasses; charcoal</t>
        </is>
      </c>
      <c r="AL735" s="10" t="inlineStr"/>
      <c r="AM735" s="10" t="inlineStr">
        <is>
          <t>Smoke / Shisha Shop</t>
        </is>
      </c>
      <c r="AN735" s="10" t="inlineStr"/>
      <c r="AO735" s="10" t="inlineStr">
        <is>
          <t>Cheetham Hill hookah bar; address/phone from Wheree directory (phone shown as +44 161 278 7264).</t>
        </is>
      </c>
      <c r="AP735" s="10" t="inlineStr">
        <is>
          <t>Medium</t>
        </is>
      </c>
      <c r="AQ735" s="10" t="inlineStr">
        <is>
          <t>Independent retailer; Core relevant category</t>
        </is>
      </c>
      <c r="AR735" s="10" t="inlineStr">
        <is>
          <t>https://two-apples-shisha.wheree.com/</t>
        </is>
      </c>
      <c r="AS735" s="10" t="inlineStr"/>
      <c r="AT735" s="10" t="inlineStr">
        <is>
          <t>1</t>
        </is>
      </c>
      <c r="AU735" s="10" t="inlineStr">
        <is>
          <t>No</t>
        </is>
      </c>
      <c r="AV735" s="10" t="inlineStr">
        <is>
          <t>No</t>
        </is>
      </c>
      <c r="AW735" s="10" t="inlineStr">
        <is>
          <t>No</t>
        </is>
      </c>
      <c r="AX735" s="10" t="inlineStr">
        <is>
          <t>No</t>
        </is>
      </c>
      <c r="AY735" s="10" t="inlineStr">
        <is>
          <t>Verified directory</t>
        </is>
      </c>
      <c r="AZ735" s="10" t="inlineStr">
        <is>
          <t>Not Found</t>
        </is>
      </c>
      <c r="BA735" s="10" t="inlineStr">
        <is>
          <t>2026-09-17</t>
        </is>
      </c>
      <c r="BB735" s="10" t="inlineStr">
        <is>
          <t>Requires Verification</t>
        </is>
      </c>
      <c r="BC735" s="10" t="inlineStr">
        <is>
          <t>Low</t>
        </is>
      </c>
      <c r="BD735" s="10" t="inlineStr"/>
      <c r="BE735" s="10" t="inlineStr">
        <is>
          <t>Business (B2B)</t>
        </is>
      </c>
      <c r="BF735" s="10" t="inlineStr">
        <is>
          <t>Legitimate interest (B2B) - assess per campaign; PECR: corporate subscribers</t>
        </is>
      </c>
      <c r="BG735" s="10" t="inlineStr"/>
      <c r="BH735" s="10" t="inlineStr">
        <is>
          <t>No</t>
        </is>
      </c>
      <c r="BI735" s="10" t="inlineStr">
        <is>
          <t>2026-09-17</t>
        </is>
      </c>
      <c r="BJ735" s="10" t="inlineStr">
        <is>
          <t>New</t>
        </is>
      </c>
      <c r="BK735" s="10" t="inlineStr">
        <is>
          <t>2026-09-17</t>
        </is>
      </c>
      <c r="BL735" s="10" t="inlineStr"/>
      <c r="BM735" s="10" t="inlineStr"/>
      <c r="BN735" s="10" t="inlineStr"/>
      <c r="BO735" s="10" t="inlineStr"/>
      <c r="BP735" s="10" t="inlineStr"/>
      <c r="BQ735" s="10" t="inlineStr"/>
    </row>
    <row r="736">
      <c r="A736" s="5" t="inlineStr">
        <is>
          <t>WY-0169</t>
        </is>
      </c>
      <c r="B736" s="5" t="inlineStr">
        <is>
          <t>WY-0169-01</t>
        </is>
      </c>
      <c r="C736" s="5" t="inlineStr"/>
      <c r="D736" s="5" t="inlineStr">
        <is>
          <t>Tylor's Booze</t>
        </is>
      </c>
      <c r="E736" s="5" t="inlineStr">
        <is>
          <t>Tylor's Booze</t>
        </is>
      </c>
      <c r="F736" s="5" t="inlineStr">
        <is>
          <t>Tylor Booze Shop Ltd</t>
        </is>
      </c>
      <c r="G736" s="5" t="inlineStr">
        <is>
          <t>Off-Licence</t>
        </is>
      </c>
      <c r="H736" s="5" t="inlineStr">
        <is>
          <t>Off-licence</t>
        </is>
      </c>
      <c r="I736" s="5" t="inlineStr">
        <is>
          <t>Independent</t>
        </is>
      </c>
      <c r="J736" s="5" t="inlineStr">
        <is>
          <t>1</t>
        </is>
      </c>
      <c r="K736" s="5" t="inlineStr"/>
      <c r="L736" s="5" t="inlineStr"/>
      <c r="M736" s="5" t="inlineStr"/>
      <c r="N736" s="5" t="inlineStr"/>
      <c r="O736" s="5" t="inlineStr">
        <is>
          <t>33 Albion Street</t>
        </is>
      </c>
      <c r="P736" s="5" t="inlineStr"/>
      <c r="Q736" s="5" t="inlineStr">
        <is>
          <t>Castleford</t>
        </is>
      </c>
      <c r="R736" s="5" t="inlineStr">
        <is>
          <t>West Yorkshire</t>
        </is>
      </c>
      <c r="S736" s="5" t="inlineStr">
        <is>
          <t>WF10 1EG</t>
        </is>
      </c>
      <c r="T736" s="5" t="inlineStr">
        <is>
          <t>Yorkshire &amp; Humber</t>
        </is>
      </c>
      <c r="U736" s="5" t="inlineStr">
        <is>
          <t>England</t>
        </is>
      </c>
      <c r="V736" s="5" t="inlineStr"/>
      <c r="W736" s="5" t="inlineStr"/>
      <c r="X736" s="5" t="inlineStr"/>
      <c r="Y736" s="5" t="inlineStr"/>
      <c r="Z736" s="5" t="inlineStr"/>
      <c r="AA736" s="5" t="inlineStr"/>
      <c r="AB736" s="5" t="inlineStr"/>
      <c r="AC736" s="5" t="inlineStr"/>
      <c r="AD736" s="5" t="inlineStr"/>
      <c r="AE736" s="5" t="inlineStr">
        <is>
          <t>12100725</t>
        </is>
      </c>
      <c r="AF736" s="5" t="inlineStr">
        <is>
          <t>Active</t>
        </is>
      </c>
      <c r="AG736" s="5" t="inlineStr">
        <is>
          <t>TYLOR BOOZE SHOP LTD</t>
        </is>
      </c>
      <c r="AH736" s="5" t="inlineStr"/>
      <c r="AI736" s="5" t="inlineStr">
        <is>
          <t>2019-07-12</t>
        </is>
      </c>
      <c r="AJ736" s="5" t="inlineStr"/>
      <c r="AK736" s="5" t="inlineStr">
        <is>
          <t>alcohol; spirits; convenience</t>
        </is>
      </c>
      <c r="AL736" s="5" t="inlineStr"/>
      <c r="AM736" s="5" t="inlineStr">
        <is>
          <t>Off-Licence</t>
        </is>
      </c>
      <c r="AN736" s="5" t="inlineStr"/>
      <c r="AO736"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736" s="5" t="inlineStr">
        <is>
          <t>Low</t>
        </is>
      </c>
      <c r="AQ736" s="5" t="inlineStr">
        <is>
          <t>Independent retailer; Relevant category</t>
        </is>
      </c>
      <c r="AR736" s="5" t="inlineStr">
        <is>
          <t>https://find-and-update.company-information.service.gov.uk/company/12100725</t>
        </is>
      </c>
      <c r="AS736" s="5" t="inlineStr">
        <is>
          <t>https://www.yorkshire.com/castleford/shopping/off-license/tylors-booze</t>
        </is>
      </c>
      <c r="AT736" s="5" t="inlineStr">
        <is>
          <t>4</t>
        </is>
      </c>
      <c r="AU736" s="5" t="inlineStr">
        <is>
          <t>No</t>
        </is>
      </c>
      <c r="AV736" s="5" t="inlineStr">
        <is>
          <t>No</t>
        </is>
      </c>
      <c r="AW736" s="5" t="inlineStr">
        <is>
          <t>No</t>
        </is>
      </c>
      <c r="AX736" s="5" t="inlineStr">
        <is>
          <t>Yes</t>
        </is>
      </c>
      <c r="AY736" s="5" t="inlineStr">
        <is>
          <t>Not Found</t>
        </is>
      </c>
      <c r="AZ736" s="5" t="inlineStr">
        <is>
          <t>Not Found</t>
        </is>
      </c>
      <c r="BA736" s="5" t="inlineStr">
        <is>
          <t>2026-09-17</t>
        </is>
      </c>
      <c r="BB736" s="5" t="inlineStr">
        <is>
          <t>Partially Verified</t>
        </is>
      </c>
      <c r="BC736" s="5" t="inlineStr">
        <is>
          <t>Medium</t>
        </is>
      </c>
      <c r="BD736" s="5" t="inlineStr"/>
      <c r="BE736" s="5" t="inlineStr">
        <is>
          <t>Business (B2B)</t>
        </is>
      </c>
      <c r="BF736" s="5" t="inlineStr">
        <is>
          <t>Legitimate interest (B2B) - assess per campaign; PECR: corporate subscribers</t>
        </is>
      </c>
      <c r="BG736" s="5" t="inlineStr"/>
      <c r="BH736" s="5" t="inlineStr">
        <is>
          <t>No</t>
        </is>
      </c>
      <c r="BI736" s="5" t="inlineStr">
        <is>
          <t>2026-09-16</t>
        </is>
      </c>
      <c r="BJ736" s="5" t="inlineStr">
        <is>
          <t>New</t>
        </is>
      </c>
      <c r="BK736" s="5" t="inlineStr">
        <is>
          <t>2026-09-17</t>
        </is>
      </c>
      <c r="BL736" s="5" t="inlineStr"/>
      <c r="BM736" s="5" t="inlineStr"/>
      <c r="BN736" s="5" t="inlineStr"/>
      <c r="BO736" s="5" t="inlineStr"/>
      <c r="BP736" s="5" t="inlineStr"/>
      <c r="BQ736" s="5" t="inlineStr"/>
    </row>
    <row r="737">
      <c r="A737" s="10" t="inlineStr">
        <is>
          <t>UK-000527</t>
        </is>
      </c>
      <c r="B737" s="10" t="inlineStr">
        <is>
          <t>UK-000527-01</t>
        </is>
      </c>
      <c r="C737" s="10" t="inlineStr"/>
      <c r="D737" s="10" t="inlineStr">
        <is>
          <t>U Wish Lounge</t>
        </is>
      </c>
      <c r="E737" s="10" t="inlineStr">
        <is>
          <t>U Wish Lounge</t>
        </is>
      </c>
      <c r="F737" s="10" t="inlineStr"/>
      <c r="G737" s="10" t="inlineStr">
        <is>
          <t>Smoke / Shisha Shop</t>
        </is>
      </c>
      <c r="H737" s="10" t="inlineStr">
        <is>
          <t>Shisha lounge</t>
        </is>
      </c>
      <c r="I737" s="10" t="inlineStr">
        <is>
          <t>Independent</t>
        </is>
      </c>
      <c r="J737" s="10" t="inlineStr">
        <is>
          <t>1</t>
        </is>
      </c>
      <c r="K737" s="10" t="inlineStr">
        <is>
          <t>https://uwishlounge.co.uk/</t>
        </is>
      </c>
      <c r="L737" s="10" t="inlineStr"/>
      <c r="M737" s="10" t="inlineStr"/>
      <c r="N737" s="10" t="inlineStr"/>
      <c r="O737" s="10" t="inlineStr">
        <is>
          <t>81 Eyre Street</t>
        </is>
      </c>
      <c r="P737" s="10" t="inlineStr">
        <is>
          <t>Winson Green / Ladywood</t>
        </is>
      </c>
      <c r="Q737" s="10" t="inlineStr">
        <is>
          <t>Birmingham</t>
        </is>
      </c>
      <c r="R737" s="10" t="inlineStr">
        <is>
          <t>West Midlands</t>
        </is>
      </c>
      <c r="S737" s="10" t="inlineStr"/>
      <c r="T737" s="10" t="inlineStr">
        <is>
          <t>West Midlands</t>
        </is>
      </c>
      <c r="U737" s="10" t="inlineStr">
        <is>
          <t>England</t>
        </is>
      </c>
      <c r="V737" s="10" t="inlineStr"/>
      <c r="W737" s="10" t="inlineStr"/>
      <c r="X737" s="10" t="inlineStr"/>
      <c r="Y737" s="10" t="inlineStr"/>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shisha; food &amp; drink</t>
        </is>
      </c>
      <c r="AL737" s="10" t="inlineStr"/>
      <c r="AM737" s="10" t="inlineStr">
        <is>
          <t>Smoke / Shisha Shop</t>
        </is>
      </c>
      <c r="AN737" s="10" t="inlineStr"/>
      <c r="AO737" s="10" t="inlineStr">
        <is>
          <t>Shisha lounge on Eyre Street (B18, Winson Green/Ladywood area). Postcode not captured from snippet.</t>
        </is>
      </c>
      <c r="AP737" s="10" t="inlineStr">
        <is>
          <t>Medium</t>
        </is>
      </c>
      <c r="AQ737" s="10" t="inlineStr">
        <is>
          <t>Independent retailer; Core relevant category; Active website</t>
        </is>
      </c>
      <c r="AR737" s="10" t="inlineStr">
        <is>
          <t>https://uwishlounge.co.uk/</t>
        </is>
      </c>
      <c r="AS737" s="10" t="inlineStr"/>
      <c r="AT737" s="10" t="inlineStr">
        <is>
          <t>1</t>
        </is>
      </c>
      <c r="AU737" s="10" t="inlineStr">
        <is>
          <t>No</t>
        </is>
      </c>
      <c r="AV737" s="10" t="inlineStr">
        <is>
          <t>No</t>
        </is>
      </c>
      <c r="AW737" s="10" t="inlineStr">
        <is>
          <t>No</t>
        </is>
      </c>
      <c r="AX737" s="10" t="inlineStr">
        <is>
          <t>No</t>
        </is>
      </c>
      <c r="AY737" s="10" t="inlineStr">
        <is>
          <t>Not Found</t>
        </is>
      </c>
      <c r="AZ737" s="10" t="inlineStr">
        <is>
          <t>Website Found</t>
        </is>
      </c>
      <c r="BA737" s="10" t="inlineStr">
        <is>
          <t>2026-09-17</t>
        </is>
      </c>
      <c r="BB737" s="10" t="inlineStr">
        <is>
          <t>Requires Verification</t>
        </is>
      </c>
      <c r="BC737" s="10" t="inlineStr">
        <is>
          <t>Low</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2026-09-17</t>
        </is>
      </c>
      <c r="BJ737" s="10" t="inlineStr">
        <is>
          <t>New</t>
        </is>
      </c>
      <c r="BK737" s="10" t="inlineStr">
        <is>
          <t>2026-09-17</t>
        </is>
      </c>
      <c r="BL737" s="10" t="inlineStr"/>
      <c r="BM737" s="10" t="inlineStr"/>
      <c r="BN737" s="10" t="inlineStr"/>
      <c r="BO737" s="10" t="inlineStr"/>
      <c r="BP737" s="10" t="inlineStr"/>
      <c r="BQ737" s="10" t="inlineStr"/>
    </row>
    <row r="738">
      <c r="A738" s="5" t="inlineStr">
        <is>
          <t>UK-000528</t>
        </is>
      </c>
      <c r="B738" s="5" t="inlineStr">
        <is>
          <t>UK-000528-01</t>
        </is>
      </c>
      <c r="C738" s="5" t="inlineStr"/>
      <c r="D738" s="5" t="inlineStr">
        <is>
          <t>Ultimate Vape Lounge - Stourbridge</t>
        </is>
      </c>
      <c r="E738" s="5" t="inlineStr">
        <is>
          <t>Ultimate Vape Lounge</t>
        </is>
      </c>
      <c r="F738" s="5" t="inlineStr"/>
      <c r="G738" s="5" t="inlineStr">
        <is>
          <t>Vape Shop</t>
        </is>
      </c>
      <c r="H738" s="5" t="inlineStr">
        <is>
          <t>Vape lounge, e-liquids &amp; hardware</t>
        </is>
      </c>
      <c r="I738" s="5" t="inlineStr">
        <is>
          <t>Independent</t>
        </is>
      </c>
      <c r="J738" s="5" t="inlineStr">
        <is>
          <t>1</t>
        </is>
      </c>
      <c r="K738" s="5" t="inlineStr"/>
      <c r="L738" s="5" t="inlineStr">
        <is>
          <t>https://www.facebook.com/ultimatevapeloungestourbridge/</t>
        </is>
      </c>
      <c r="M738" s="5" t="inlineStr"/>
      <c r="N738" s="5" t="inlineStr"/>
      <c r="O738" s="5" t="inlineStr"/>
      <c r="P738" s="5" t="inlineStr">
        <is>
          <t>Wollaston</t>
        </is>
      </c>
      <c r="Q738" s="5" t="inlineStr">
        <is>
          <t>Stourbridge</t>
        </is>
      </c>
      <c r="R738" s="5" t="inlineStr">
        <is>
          <t>West Midlands</t>
        </is>
      </c>
      <c r="S738" s="5" t="inlineStr"/>
      <c r="T738" s="5" t="inlineStr">
        <is>
          <t>West Midlands</t>
        </is>
      </c>
      <c r="U738" s="5" t="inlineStr">
        <is>
          <t>England</t>
        </is>
      </c>
      <c r="V738" s="5" t="inlineStr"/>
      <c r="W738" s="5" t="inlineStr"/>
      <c r="X738" s="5" t="inlineStr"/>
      <c r="Y738" s="5" t="inlineStr"/>
      <c r="Z738" s="5" t="inlineStr"/>
      <c r="AA738" s="5" t="inlineStr"/>
      <c r="AB738" s="5" t="inlineStr"/>
      <c r="AC738" s="5" t="inlineStr"/>
      <c r="AD738" s="5" t="inlineStr"/>
      <c r="AE738" s="5" t="inlineStr"/>
      <c r="AF738" s="5" t="inlineStr"/>
      <c r="AG738" s="5" t="inlineStr"/>
      <c r="AH738" s="5" t="inlineStr"/>
      <c r="AI738" s="5" t="inlineStr"/>
      <c r="AJ738" s="5" t="inlineStr"/>
      <c r="AK738" s="5" t="inlineStr">
        <is>
          <t>vape hardware; e-liquids; accessories</t>
        </is>
      </c>
      <c r="AL738" s="5" t="inlineStr"/>
      <c r="AM738" s="5" t="inlineStr">
        <is>
          <t>Vape Shop</t>
        </is>
      </c>
      <c r="AN738" s="5" t="inlineStr"/>
      <c r="AO738" s="5" t="inlineStr">
        <is>
          <t>Independent vape lounge in Wollaston, Stourbridge with a large range of e-liquids and hardware. Located via Facebook and Puffing Bird; exact street address not captured in snippets.</t>
        </is>
      </c>
      <c r="AP738" s="5" t="inlineStr">
        <is>
          <t>Medium</t>
        </is>
      </c>
      <c r="AQ738" s="5" t="inlineStr">
        <is>
          <t>Independent retailer; Core relevant category; Social presence</t>
        </is>
      </c>
      <c r="AR738" s="5" t="inlineStr">
        <is>
          <t>https://www.facebook.com/ultimatevapeloungestourbridge/</t>
        </is>
      </c>
      <c r="AS738" s="5" t="inlineStr">
        <is>
          <t>https://vapeshops.puffingbird.com/midlands/stourbridge/ultimate-vape-lounge-stourbridge</t>
        </is>
      </c>
      <c r="AT738" s="5" t="inlineStr">
        <is>
          <t>2</t>
        </is>
      </c>
      <c r="AU738" s="5" t="inlineStr">
        <is>
          <t>No</t>
        </is>
      </c>
      <c r="AV738" s="5" t="inlineStr">
        <is>
          <t>No</t>
        </is>
      </c>
      <c r="AW738" s="5" t="inlineStr">
        <is>
          <t>No</t>
        </is>
      </c>
      <c r="AX738" s="5" t="inlineStr">
        <is>
          <t>No</t>
        </is>
      </c>
      <c r="AY738" s="5" t="inlineStr">
        <is>
          <t>Not Found</t>
        </is>
      </c>
      <c r="AZ738" s="5" t="inlineStr">
        <is>
          <t>Not Found</t>
        </is>
      </c>
      <c r="BA738" s="5" t="inlineStr">
        <is>
          <t>2026-09-17</t>
        </is>
      </c>
      <c r="BB738" s="5" t="inlineStr">
        <is>
          <t>Requires Verification</t>
        </is>
      </c>
      <c r="BC738" s="5" t="inlineStr">
        <is>
          <t>Low</t>
        </is>
      </c>
      <c r="BD738" s="5" t="inlineStr"/>
      <c r="BE738" s="5" t="inlineStr">
        <is>
          <t>Business (B2B)</t>
        </is>
      </c>
      <c r="BF738" s="5" t="inlineStr">
        <is>
          <t>Legitimate interest (B2B) - assess per campaign; PECR: corporate subscribers</t>
        </is>
      </c>
      <c r="BG738" s="5" t="inlineStr"/>
      <c r="BH738" s="5" t="inlineStr">
        <is>
          <t>No</t>
        </is>
      </c>
      <c r="BI738" s="5" t="inlineStr">
        <is>
          <t>2026-09-17</t>
        </is>
      </c>
      <c r="BJ738" s="5" t="inlineStr">
        <is>
          <t>New</t>
        </is>
      </c>
      <c r="BK738" s="5" t="inlineStr">
        <is>
          <t>2026-09-17</t>
        </is>
      </c>
      <c r="BL738" s="5" t="inlineStr"/>
      <c r="BM738" s="5" t="inlineStr"/>
      <c r="BN738" s="5" t="inlineStr"/>
      <c r="BO738" s="5" t="inlineStr"/>
      <c r="BP738" s="5" t="inlineStr"/>
      <c r="BQ738" s="5" t="inlineStr"/>
    </row>
    <row r="739">
      <c r="A739" s="10" t="inlineStr">
        <is>
          <t>UK-000529</t>
        </is>
      </c>
      <c r="B739" s="10" t="inlineStr">
        <is>
          <t>UK-000529-01</t>
        </is>
      </c>
      <c r="C739" s="10" t="inlineStr"/>
      <c r="D739" s="10" t="inlineStr">
        <is>
          <t>Ultimate Vapes Acocks Green</t>
        </is>
      </c>
      <c r="E739" s="10" t="inlineStr">
        <is>
          <t>Ultimate Vapes</t>
        </is>
      </c>
      <c r="F739" s="10" t="inlineStr"/>
      <c r="G739" s="10" t="inlineStr">
        <is>
          <t>Vape Shop</t>
        </is>
      </c>
      <c r="H739" s="10" t="inlineStr">
        <is>
          <t>Vape hardware and e-liquid retailer</t>
        </is>
      </c>
      <c r="I739" s="10" t="inlineStr">
        <is>
          <t>Independent</t>
        </is>
      </c>
      <c r="J739" s="10" t="inlineStr">
        <is>
          <t>1</t>
        </is>
      </c>
      <c r="K739" s="10" t="inlineStr"/>
      <c r="L739" s="10" t="inlineStr"/>
      <c r="M739" s="10" t="inlineStr"/>
      <c r="N739" s="10" t="inlineStr"/>
      <c r="O739" s="10" t="inlineStr">
        <is>
          <t>1093 Warwick Road</t>
        </is>
      </c>
      <c r="P739" s="10" t="inlineStr">
        <is>
          <t>Acocks Green</t>
        </is>
      </c>
      <c r="Q739" s="10" t="inlineStr">
        <is>
          <t>Birmingham</t>
        </is>
      </c>
      <c r="R739" s="10" t="inlineStr">
        <is>
          <t>West Midlands</t>
        </is>
      </c>
      <c r="S739" s="10" t="inlineStr">
        <is>
          <t>B27 6QT</t>
        </is>
      </c>
      <c r="T739" s="10" t="inlineStr">
        <is>
          <t>West Midlands</t>
        </is>
      </c>
      <c r="U739" s="10" t="inlineStr">
        <is>
          <t>England</t>
        </is>
      </c>
      <c r="V739" s="10" t="inlineStr"/>
      <c r="W739" s="10" t="inlineStr"/>
      <c r="X739" s="10" t="inlineStr"/>
      <c r="Y739" s="10" t="inlineStr"/>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vape hardware; e-liquids</t>
        </is>
      </c>
      <c r="AL739" s="10" t="inlineStr"/>
      <c r="AM739" s="10" t="inlineStr">
        <is>
          <t>Vape Shop</t>
        </is>
      </c>
      <c r="AN739" s="10" t="inlineStr"/>
      <c r="AO739" s="10" t="inlineStr">
        <is>
          <t>Independent vape shop on Warwick Road, Acocks Green.</t>
        </is>
      </c>
      <c r="AP739" s="10" t="inlineStr">
        <is>
          <t>Medium</t>
        </is>
      </c>
      <c r="AQ739" s="10" t="inlineStr">
        <is>
          <t>Independent retailer; Core relevant category</t>
        </is>
      </c>
      <c r="AR739" s="10" t="inlineStr">
        <is>
          <t>https://acocks-green.cylex-uk.co.uk/company/ultimate-vapes-acocks-green-28300869.html</t>
        </is>
      </c>
      <c r="AS739" s="10" t="inlineStr"/>
      <c r="AT739" s="10" t="inlineStr">
        <is>
          <t>1</t>
        </is>
      </c>
      <c r="AU739" s="10" t="inlineStr">
        <is>
          <t>No</t>
        </is>
      </c>
      <c r="AV739" s="10" t="inlineStr">
        <is>
          <t>No</t>
        </is>
      </c>
      <c r="AW739" s="10" t="inlineStr">
        <is>
          <t>No</t>
        </is>
      </c>
      <c r="AX739" s="10" t="inlineStr">
        <is>
          <t>No</t>
        </is>
      </c>
      <c r="AY739" s="10" t="inlineStr">
        <is>
          <t>Not Found</t>
        </is>
      </c>
      <c r="AZ739" s="10" t="inlineStr">
        <is>
          <t>Not Found</t>
        </is>
      </c>
      <c r="BA739" s="10" t="inlineStr">
        <is>
          <t>2026-09-17</t>
        </is>
      </c>
      <c r="BB739" s="10" t="inlineStr">
        <is>
          <t>Requires Verification</t>
        </is>
      </c>
      <c r="BC739" s="10" t="inlineStr">
        <is>
          <t>Low</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2026-09-17</t>
        </is>
      </c>
      <c r="BJ739" s="10" t="inlineStr">
        <is>
          <t>New</t>
        </is>
      </c>
      <c r="BK739" s="10" t="inlineStr">
        <is>
          <t>2026-09-17</t>
        </is>
      </c>
      <c r="BL739" s="10" t="inlineStr"/>
      <c r="BM739" s="10" t="inlineStr"/>
      <c r="BN739" s="10" t="inlineStr"/>
      <c r="BO739" s="10" t="inlineStr"/>
      <c r="BP739" s="10" t="inlineStr"/>
      <c r="BQ739" s="10" t="inlineStr"/>
    </row>
    <row r="740">
      <c r="A740" s="5" t="inlineStr">
        <is>
          <t>WY-0170</t>
        </is>
      </c>
      <c r="B740" s="5" t="inlineStr">
        <is>
          <t>WY-0170-01</t>
        </is>
      </c>
      <c r="C740" s="5" t="inlineStr"/>
      <c r="D740" s="5" t="inlineStr">
        <is>
          <t>Umrah Supermarket</t>
        </is>
      </c>
      <c r="E740" s="5" t="inlineStr">
        <is>
          <t>Umrah Supermarket</t>
        </is>
      </c>
      <c r="F740" s="5" t="inlineStr"/>
      <c r="G740" s="5" t="inlineStr">
        <is>
          <t>Independent Supermarket</t>
        </is>
      </c>
      <c r="H740" s="5" t="inlineStr">
        <is>
          <t>South Asian, Middle Eastern and African foods supermarket</t>
        </is>
      </c>
      <c r="I740" s="5" t="inlineStr">
        <is>
          <t>Independent</t>
        </is>
      </c>
      <c r="J740" s="5" t="inlineStr">
        <is>
          <t>1</t>
        </is>
      </c>
      <c r="K740" s="5" t="inlineStr"/>
      <c r="L740" s="5" t="inlineStr">
        <is>
          <t>https://www.facebook.com/p/Umrah-Supermarket-Huddersfield-61555683256072/</t>
        </is>
      </c>
      <c r="M740" s="5" t="inlineStr"/>
      <c r="N740" s="5" t="inlineStr"/>
      <c r="O740" s="5" t="inlineStr">
        <is>
          <t>Trinity Street</t>
        </is>
      </c>
      <c r="P740" s="5" t="inlineStr"/>
      <c r="Q740" s="5" t="inlineStr">
        <is>
          <t>Huddersfield</t>
        </is>
      </c>
      <c r="R740" s="5" t="inlineStr">
        <is>
          <t>West Yorkshire</t>
        </is>
      </c>
      <c r="S740" s="5" t="inlineStr"/>
      <c r="T740" s="5" t="inlineStr">
        <is>
          <t>Yorkshire &amp; Humber</t>
        </is>
      </c>
      <c r="U740" s="5" t="inlineStr">
        <is>
          <t>England</t>
        </is>
      </c>
      <c r="V740" s="5" t="inlineStr"/>
      <c r="W740" s="5" t="inlineStr"/>
      <c r="X740" s="5" t="inlineStr"/>
      <c r="Y740" s="5" t="inlineStr"/>
      <c r="Z740" s="5" t="inlineStr"/>
      <c r="AA740" s="5" t="inlineStr"/>
      <c r="AB740" s="5" t="inlineStr"/>
      <c r="AC740" s="5" t="inlineStr"/>
      <c r="AD740" s="5" t="inlineStr"/>
      <c r="AE740" s="5" t="inlineStr"/>
      <c r="AF740" s="5" t="inlineStr"/>
      <c r="AG740" s="5" t="inlineStr"/>
      <c r="AH740" s="5" t="inlineStr"/>
      <c r="AI740" s="5" t="inlineStr"/>
      <c r="AJ740" s="5" t="inlineStr"/>
      <c r="AK740" s="5" t="inlineStr">
        <is>
          <t>South Asian, Middle Eastern and African groceries; halal foods</t>
        </is>
      </c>
      <c r="AL740" s="5" t="inlineStr"/>
      <c r="AM740" s="5" t="inlineStr">
        <is>
          <t>Independent Supermarket</t>
        </is>
      </c>
      <c r="AN740" s="5" t="inlineStr"/>
      <c r="AO740" s="5" t="inlineStr">
        <is>
          <t>Open 08:00-22:00 Mon-Sat, 12:00-21:00 Sun per Yorkshire.com; street number and phone not published in accessible sources.</t>
        </is>
      </c>
      <c r="AP740" s="5" t="inlineStr">
        <is>
          <t>Medium</t>
        </is>
      </c>
      <c r="AQ740" s="5" t="inlineStr">
        <is>
          <t>Independent retailer; Relevant category; Social presence</t>
        </is>
      </c>
      <c r="AR740" s="5" t="inlineStr">
        <is>
          <t>https://www.facebook.com/p/Umrah-Supermarket-Huddersfield-61555683256072/</t>
        </is>
      </c>
      <c r="AS740" s="5" t="inlineStr">
        <is>
          <t>https://www.yorkshire.com/huddersfield/shopping/supermarkets/umrah-supermarket-huddersfield</t>
        </is>
      </c>
      <c r="AT740" s="5" t="inlineStr">
        <is>
          <t>2</t>
        </is>
      </c>
      <c r="AU740" s="5" t="inlineStr">
        <is>
          <t>No</t>
        </is>
      </c>
      <c r="AV740" s="5" t="inlineStr">
        <is>
          <t>No</t>
        </is>
      </c>
      <c r="AW740" s="5" t="inlineStr">
        <is>
          <t>No</t>
        </is>
      </c>
      <c r="AX740" s="5" t="inlineStr">
        <is>
          <t>No</t>
        </is>
      </c>
      <c r="AY740" s="5" t="inlineStr">
        <is>
          <t>Not Found</t>
        </is>
      </c>
      <c r="AZ740" s="5" t="inlineStr">
        <is>
          <t>Not Found</t>
        </is>
      </c>
      <c r="BA740" s="5" t="inlineStr">
        <is>
          <t>2026-09-17</t>
        </is>
      </c>
      <c r="BB740" s="5" t="inlineStr">
        <is>
          <t>Requires Verification</t>
        </is>
      </c>
      <c r="BC740" s="5" t="inlineStr">
        <is>
          <t>Low</t>
        </is>
      </c>
      <c r="BD740" s="5" t="inlineStr"/>
      <c r="BE740" s="5" t="inlineStr">
        <is>
          <t>Business (B2B)</t>
        </is>
      </c>
      <c r="BF740" s="5" t="inlineStr">
        <is>
          <t>Legitimate interest (B2B) - assess per campaign; PECR: corporate subscribers</t>
        </is>
      </c>
      <c r="BG740" s="5" t="inlineStr"/>
      <c r="BH740" s="5" t="inlineStr">
        <is>
          <t>No</t>
        </is>
      </c>
      <c r="BI740" s="5" t="inlineStr">
        <is>
          <t>2026-09-16</t>
        </is>
      </c>
      <c r="BJ740" s="5" t="inlineStr">
        <is>
          <t>New</t>
        </is>
      </c>
      <c r="BK740" s="5" t="inlineStr">
        <is>
          <t>2026-09-17</t>
        </is>
      </c>
      <c r="BL740" s="5" t="inlineStr"/>
      <c r="BM740" s="5" t="inlineStr"/>
      <c r="BN740" s="5" t="inlineStr"/>
      <c r="BO740" s="5" t="inlineStr"/>
      <c r="BP740" s="5" t="inlineStr"/>
      <c r="BQ740" s="5" t="inlineStr"/>
    </row>
    <row r="741">
      <c r="A741" s="10" t="inlineStr">
        <is>
          <t>UK-000830</t>
        </is>
      </c>
      <c r="B741" s="10" t="inlineStr">
        <is>
          <t>UK-000830-01</t>
        </is>
      </c>
      <c r="C741" s="10" t="inlineStr"/>
      <c r="D741" s="10" t="inlineStr">
        <is>
          <t>Umrah Supermarket</t>
        </is>
      </c>
      <c r="E741" s="10" t="inlineStr">
        <is>
          <t>Umrah Supermarket</t>
        </is>
      </c>
      <c r="F741" s="10" t="inlineStr"/>
      <c r="G741" s="10" t="inlineStr">
        <is>
          <t>Independent Supermarket</t>
        </is>
      </c>
      <c r="H741" s="10" t="inlineStr">
        <is>
          <t>World-food / international supermarket</t>
        </is>
      </c>
      <c r="I741" s="10" t="inlineStr">
        <is>
          <t>Independent</t>
        </is>
      </c>
      <c r="J741" s="10" t="inlineStr">
        <is>
          <t>1</t>
        </is>
      </c>
      <c r="K741" s="10" t="inlineStr"/>
      <c r="L741" s="10" t="inlineStr">
        <is>
          <t>https://www.facebook.com/61552273532708/</t>
        </is>
      </c>
      <c r="M741" s="10" t="inlineStr"/>
      <c r="N741" s="10" t="inlineStr"/>
      <c r="O741" s="10" t="inlineStr">
        <is>
          <t>22 Lodge Lane</t>
        </is>
      </c>
      <c r="P741" s="10" t="inlineStr">
        <is>
          <t>Toxteth</t>
        </is>
      </c>
      <c r="Q741" s="10" t="inlineStr">
        <is>
          <t>Liverpool</t>
        </is>
      </c>
      <c r="R741" s="10" t="inlineStr">
        <is>
          <t>Merseyside</t>
        </is>
      </c>
      <c r="S741" s="10" t="inlineStr">
        <is>
          <t>L8 0QH</t>
        </is>
      </c>
      <c r="T741" s="10" t="inlineStr">
        <is>
          <t>North West</t>
        </is>
      </c>
      <c r="U741" s="10" t="inlineStr">
        <is>
          <t>England</t>
        </is>
      </c>
      <c r="V741" s="10" t="inlineStr"/>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international groceries; halal foods; world food</t>
        </is>
      </c>
      <c r="AL741" s="10" t="inlineStr"/>
      <c r="AM741" s="10" t="inlineStr">
        <is>
          <t>Independent Supermarket</t>
        </is>
      </c>
      <c r="AN741" s="10" t="inlineStr"/>
      <c r="AO741" s="10" t="inlineStr">
        <is>
          <t>Independent multicultural/international supermarket on Lodge Lane, Toxteth (L8). Facebook page self-identifies address.</t>
        </is>
      </c>
      <c r="AP741" s="10" t="inlineStr">
        <is>
          <t>Medium</t>
        </is>
      </c>
      <c r="AQ741" s="10" t="inlineStr">
        <is>
          <t>Independent retailer; Relevant category; Social presence</t>
        </is>
      </c>
      <c r="AR741" s="10" t="inlineStr">
        <is>
          <t>https://www.facebook.com/61552273532708/posts/welcome-to-your-umrah-supermarket-22-lodge-lane-liverpool-l80qh-god-bless/122130130478075784/</t>
        </is>
      </c>
      <c r="AS741" s="10" t="inlineStr"/>
      <c r="AT741" s="10" t="inlineStr">
        <is>
          <t>1</t>
        </is>
      </c>
      <c r="AU741" s="10" t="inlineStr">
        <is>
          <t>No</t>
        </is>
      </c>
      <c r="AV741" s="10" t="inlineStr">
        <is>
          <t>No</t>
        </is>
      </c>
      <c r="AW741" s="10" t="inlineStr">
        <is>
          <t>No</t>
        </is>
      </c>
      <c r="AX741" s="10" t="inlineStr">
        <is>
          <t>No</t>
        </is>
      </c>
      <c r="AY741" s="10" t="inlineStr">
        <is>
          <t>Not Found</t>
        </is>
      </c>
      <c r="AZ741" s="10" t="inlineStr">
        <is>
          <t>Not Found</t>
        </is>
      </c>
      <c r="BA741" s="10" t="inlineStr">
        <is>
          <t>2026-09-17</t>
        </is>
      </c>
      <c r="BB741" s="10" t="inlineStr">
        <is>
          <t>Requires Verification</t>
        </is>
      </c>
      <c r="BC741" s="10" t="inlineStr">
        <is>
          <t>Low</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UK-000831</t>
        </is>
      </c>
      <c r="B742" s="5" t="inlineStr">
        <is>
          <t>UK-000831-01</t>
        </is>
      </c>
      <c r="C742" s="5" t="inlineStr"/>
      <c r="D742" s="5" t="inlineStr">
        <is>
          <t>Unique Vaper</t>
        </is>
      </c>
      <c r="E742" s="5" t="inlineStr">
        <is>
          <t>Unique Vaper</t>
        </is>
      </c>
      <c r="F742" s="5" t="inlineStr"/>
      <c r="G742" s="5" t="inlineStr">
        <is>
          <t>Vape Shop</t>
        </is>
      </c>
      <c r="H742" s="5" t="inlineStr">
        <is>
          <t>Vape &amp; e-liquid retailer</t>
        </is>
      </c>
      <c r="I742" s="5" t="inlineStr">
        <is>
          <t>Independent</t>
        </is>
      </c>
      <c r="J742" s="5" t="inlineStr">
        <is>
          <t>1</t>
        </is>
      </c>
      <c r="K742" s="5" t="inlineStr"/>
      <c r="L742" s="5" t="inlineStr"/>
      <c r="M742" s="5" t="inlineStr"/>
      <c r="N742" s="5" t="inlineStr"/>
      <c r="O742" s="5" t="inlineStr">
        <is>
          <t>522 Stanley Road</t>
        </is>
      </c>
      <c r="P742" s="5" t="inlineStr"/>
      <c r="Q742" s="5" t="inlineStr">
        <is>
          <t>Bootle</t>
        </is>
      </c>
      <c r="R742" s="5" t="inlineStr">
        <is>
          <t>Merseyside</t>
        </is>
      </c>
      <c r="S742" s="5" t="inlineStr">
        <is>
          <t>L20 5DW</t>
        </is>
      </c>
      <c r="T742" s="5" t="inlineStr">
        <is>
          <t>North West</t>
        </is>
      </c>
      <c r="U742" s="5" t="inlineStr">
        <is>
          <t>England</t>
        </is>
      </c>
      <c r="V742" s="5" t="inlineStr">
        <is>
          <t>07732 381513</t>
        </is>
      </c>
      <c r="W742" s="5" t="inlineStr"/>
      <c r="X742" s="5" t="inlineStr"/>
      <c r="Y742" s="5" t="inlineStr"/>
      <c r="Z742" s="5" t="inlineStr"/>
      <c r="AA742" s="5" t="inlineStr"/>
      <c r="AB742" s="5" t="inlineStr"/>
      <c r="AC742" s="5" t="inlineStr"/>
      <c r="AD742" s="5" t="inlineStr"/>
      <c r="AE742" s="5" t="inlineStr"/>
      <c r="AF742" s="5" t="inlineStr"/>
      <c r="AG742" s="5" t="inlineStr"/>
      <c r="AH742" s="5" t="inlineStr"/>
      <c r="AI742" s="5" t="inlineStr"/>
      <c r="AJ742" s="5" t="inlineStr"/>
      <c r="AK742" s="5" t="inlineStr">
        <is>
          <t>vape hardware; e-liquids; accessories</t>
        </is>
      </c>
      <c r="AL742" s="5" t="inlineStr"/>
      <c r="AM742" s="5" t="inlineStr">
        <is>
          <t>Vape Shop</t>
        </is>
      </c>
      <c r="AN742" s="5" t="inlineStr"/>
      <c r="AO742" s="5" t="inlineStr">
        <is>
          <t>Independent vape shop on Stanley Road, Bootle.</t>
        </is>
      </c>
      <c r="AP742" s="5" t="inlineStr">
        <is>
          <t>Medium</t>
        </is>
      </c>
      <c r="AQ742" s="5" t="inlineStr">
        <is>
          <t>Independent retailer; Core relevant category</t>
        </is>
      </c>
      <c r="AR742" s="5" t="inlineStr">
        <is>
          <t>https://bootle-merseyside.cylex-uk.co.uk/vape-shops/</t>
        </is>
      </c>
      <c r="AS742" s="5" t="inlineStr"/>
      <c r="AT742" s="5" t="inlineStr">
        <is>
          <t>1</t>
        </is>
      </c>
      <c r="AU742" s="5" t="inlineStr">
        <is>
          <t>No</t>
        </is>
      </c>
      <c r="AV742" s="5" t="inlineStr">
        <is>
          <t>No</t>
        </is>
      </c>
      <c r="AW742" s="5" t="inlineStr">
        <is>
          <t>No</t>
        </is>
      </c>
      <c r="AX742" s="5" t="inlineStr">
        <is>
          <t>No</t>
        </is>
      </c>
      <c r="AY742" s="5" t="inlineStr">
        <is>
          <t>Verified directory</t>
        </is>
      </c>
      <c r="AZ742" s="5" t="inlineStr">
        <is>
          <t>Not Found</t>
        </is>
      </c>
      <c r="BA742" s="5" t="inlineStr">
        <is>
          <t>2026-09-17</t>
        </is>
      </c>
      <c r="BB742" s="5" t="inlineStr">
        <is>
          <t>Requires Verification</t>
        </is>
      </c>
      <c r="BC742" s="5" t="inlineStr">
        <is>
          <t>Low</t>
        </is>
      </c>
      <c r="BD742" s="5" t="inlineStr"/>
      <c r="BE742" s="5" t="inlineStr">
        <is>
          <t>Business (B2B)</t>
        </is>
      </c>
      <c r="BF742" s="5" t="inlineStr">
        <is>
          <t>Legitimate interest (B2B) - assess per campaign; PECR: corporate subscribers</t>
        </is>
      </c>
      <c r="BG742" s="5" t="inlineStr"/>
      <c r="BH742" s="5" t="inlineStr">
        <is>
          <t>No</t>
        </is>
      </c>
      <c r="BI742" s="5" t="inlineStr">
        <is>
          <t>2026-09-17</t>
        </is>
      </c>
      <c r="BJ742" s="5" t="inlineStr">
        <is>
          <t>New</t>
        </is>
      </c>
      <c r="BK742" s="5" t="inlineStr">
        <is>
          <t>2026-09-17</t>
        </is>
      </c>
      <c r="BL742" s="5" t="inlineStr"/>
      <c r="BM742" s="5" t="inlineStr"/>
      <c r="BN742" s="5" t="inlineStr"/>
      <c r="BO742" s="5" t="inlineStr"/>
      <c r="BP742" s="5" t="inlineStr"/>
      <c r="BQ742" s="5" t="inlineStr"/>
    </row>
    <row r="743">
      <c r="A743" s="10" t="inlineStr">
        <is>
          <t>UK-000672</t>
        </is>
      </c>
      <c r="B743" s="10" t="inlineStr">
        <is>
          <t>UK-000672-01</t>
        </is>
      </c>
      <c r="C743" s="10" t="inlineStr"/>
      <c r="D743" s="10" t="inlineStr">
        <is>
          <t>Universal Liquor Mart</t>
        </is>
      </c>
      <c r="E743" s="10" t="inlineStr">
        <is>
          <t>Universal Liquor Mart</t>
        </is>
      </c>
      <c r="F743" s="10" t="inlineStr"/>
      <c r="G743" s="10" t="inlineStr">
        <is>
          <t>Off-Licence</t>
        </is>
      </c>
      <c r="H743" s="10" t="inlineStr">
        <is>
          <t>Off-licence</t>
        </is>
      </c>
      <c r="I743" s="10" t="inlineStr">
        <is>
          <t>Independent</t>
        </is>
      </c>
      <c r="J743" s="10" t="inlineStr">
        <is>
          <t>1</t>
        </is>
      </c>
      <c r="K743" s="10" t="inlineStr"/>
      <c r="L743" s="10" t="inlineStr"/>
      <c r="M743" s="10" t="inlineStr"/>
      <c r="N743" s="10" t="inlineStr"/>
      <c r="O743" s="10" t="inlineStr">
        <is>
          <t>125 Lillie Road</t>
        </is>
      </c>
      <c r="P743" s="10" t="inlineStr"/>
      <c r="Q743" s="10" t="inlineStr">
        <is>
          <t>London</t>
        </is>
      </c>
      <c r="R743" s="10" t="inlineStr">
        <is>
          <t>Greater London</t>
        </is>
      </c>
      <c r="S743" s="10" t="inlineStr">
        <is>
          <t>SW6 7SX</t>
        </is>
      </c>
      <c r="T743" s="10" t="inlineStr">
        <is>
          <t>London</t>
        </is>
      </c>
      <c r="U743" s="10" t="inlineStr">
        <is>
          <t>England</t>
        </is>
      </c>
      <c r="V743" s="10" t="inlineStr">
        <is>
          <t>020 3080 0700</t>
        </is>
      </c>
      <c r="W743" s="10" t="inlineStr"/>
      <c r="X743" s="10" t="inlineStr"/>
      <c r="Y743" s="10" t="inlineStr"/>
      <c r="Z743" s="10" t="inlineStr"/>
      <c r="AA743" s="10" t="inlineStr"/>
      <c r="AB743" s="10" t="inlineStr"/>
      <c r="AC743" s="10" t="inlineStr"/>
      <c r="AD743" s="10" t="inlineStr"/>
      <c r="AE743" s="10" t="inlineStr"/>
      <c r="AF743" s="10" t="inlineStr"/>
      <c r="AG743" s="10" t="inlineStr"/>
      <c r="AH743" s="10" t="inlineStr"/>
      <c r="AI743" s="10" t="inlineStr"/>
      <c r="AJ743" s="10" t="inlineStr"/>
      <c r="AK743" s="10" t="inlineStr">
        <is>
          <t>wine; beer; spirits; convenience</t>
        </is>
      </c>
      <c r="AL743" s="10" t="inlineStr"/>
      <c r="AM743" s="10" t="inlineStr">
        <is>
          <t>Off-Licence</t>
        </is>
      </c>
      <c r="AN743" s="10" t="inlineStr"/>
      <c r="AO743" s="10" t="inlineStr">
        <is>
          <t>Independent off-licence on Lillie Road, Fulham. Address/postcode/phone from Yell Fulham off-licences listing snippet.</t>
        </is>
      </c>
      <c r="AP743" s="10" t="inlineStr">
        <is>
          <t>Low</t>
        </is>
      </c>
      <c r="AQ743" s="10" t="inlineStr">
        <is>
          <t>Independent retailer; Relevant category</t>
        </is>
      </c>
      <c r="AR743" s="10" t="inlineStr">
        <is>
          <t>https://www.yell.com/s/off+licences-fulham-london.html</t>
        </is>
      </c>
      <c r="AS743" s="10" t="inlineStr"/>
      <c r="AT743" s="10" t="inlineStr">
        <is>
          <t>1</t>
        </is>
      </c>
      <c r="AU743" s="10" t="inlineStr">
        <is>
          <t>No</t>
        </is>
      </c>
      <c r="AV743" s="10" t="inlineStr">
        <is>
          <t>No</t>
        </is>
      </c>
      <c r="AW743" s="10" t="inlineStr">
        <is>
          <t>No</t>
        </is>
      </c>
      <c r="AX743" s="10" t="inlineStr">
        <is>
          <t>No</t>
        </is>
      </c>
      <c r="AY743" s="10" t="inlineStr">
        <is>
          <t>Verified directory</t>
        </is>
      </c>
      <c r="AZ743" s="10" t="inlineStr">
        <is>
          <t>Not Found</t>
        </is>
      </c>
      <c r="BA743" s="10" t="inlineStr">
        <is>
          <t>2026-09-17</t>
        </is>
      </c>
      <c r="BB743" s="10" t="inlineStr">
        <is>
          <t>Requires Verification</t>
        </is>
      </c>
      <c r="BC743" s="10" t="inlineStr">
        <is>
          <t>Medium</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WY-0171</t>
        </is>
      </c>
      <c r="B744" s="5" t="inlineStr">
        <is>
          <t>WY-0171-01</t>
        </is>
      </c>
      <c r="C744" s="5" t="inlineStr"/>
      <c r="D744" s="5" t="inlineStr">
        <is>
          <t>VAPE (Heckmondwike)</t>
        </is>
      </c>
      <c r="E744" s="5" t="inlineStr">
        <is>
          <t>VAPE</t>
        </is>
      </c>
      <c r="F744" s="5" t="inlineStr"/>
      <c r="G744" s="5" t="inlineStr">
        <is>
          <t>Vape Shop</t>
        </is>
      </c>
      <c r="H744" s="5" t="inlineStr">
        <is>
          <t>Vape retailer</t>
        </is>
      </c>
      <c r="I744" s="5" t="inlineStr">
        <is>
          <t>Independent</t>
        </is>
      </c>
      <c r="J744" s="5" t="inlineStr">
        <is>
          <t>1</t>
        </is>
      </c>
      <c r="K744" s="5" t="inlineStr"/>
      <c r="L744" s="5" t="inlineStr"/>
      <c r="M744" s="5" t="inlineStr"/>
      <c r="N744" s="5" t="inlineStr"/>
      <c r="O744" s="5" t="inlineStr">
        <is>
          <t>36 Market Street</t>
        </is>
      </c>
      <c r="P744" s="5" t="inlineStr"/>
      <c r="Q744" s="5" t="inlineStr">
        <is>
          <t>Heckmondwike</t>
        </is>
      </c>
      <c r="R744" s="5" t="inlineStr">
        <is>
          <t>West Yorkshire</t>
        </is>
      </c>
      <c r="S744" s="5" t="inlineStr">
        <is>
          <t>WF16 0JG</t>
        </is>
      </c>
      <c r="T744" s="5" t="inlineStr">
        <is>
          <t>Yorkshire &amp; Humber</t>
        </is>
      </c>
      <c r="U744" s="5" t="inlineStr">
        <is>
          <t>England</t>
        </is>
      </c>
      <c r="V744" s="5" t="inlineStr">
        <is>
          <t>01924 650140</t>
        </is>
      </c>
      <c r="W744" s="5" t="inlineStr"/>
      <c r="X744" s="5" t="inlineStr"/>
      <c r="Y744" s="5" t="inlineStr"/>
      <c r="Z744" s="5" t="inlineStr"/>
      <c r="AA744" s="5" t="inlineStr"/>
      <c r="AB744" s="5" t="inlineStr"/>
      <c r="AC744" s="5" t="inlineStr"/>
      <c r="AD744" s="5" t="inlineStr"/>
      <c r="AE744" s="5" t="inlineStr"/>
      <c r="AF744" s="5" t="inlineStr"/>
      <c r="AG744" s="5" t="inlineStr"/>
      <c r="AH744" s="5" t="inlineStr"/>
      <c r="AI744" s="5" t="inlineStr"/>
      <c r="AJ744" s="5" t="inlineStr"/>
      <c r="AK744" s="5" t="inlineStr">
        <is>
          <t>vape hardware; e-liquids; disposable vapes</t>
        </is>
      </c>
      <c r="AL744" s="5" t="inlineStr"/>
      <c r="AM744" s="5" t="inlineStr">
        <is>
          <t>Vape Shop</t>
        </is>
      </c>
      <c r="AN744" s="5" t="inlineStr"/>
      <c r="AO744" s="5" t="inlineStr">
        <is>
          <t>Trades simply as 'VAPE' on Market Street; listed on eCig Directory UK and The UK High Street with matching address and phone.</t>
        </is>
      </c>
      <c r="AP744" s="5" t="inlineStr">
        <is>
          <t>Medium</t>
        </is>
      </c>
      <c r="AQ744" s="5" t="inlineStr">
        <is>
          <t>Independent retailer; Core relevant category</t>
        </is>
      </c>
      <c r="AR744" s="5" t="inlineStr">
        <is>
          <t>https://ecigdirectory.co.uk/vape-shop/listing/vape-heckmondwike</t>
        </is>
      </c>
      <c r="AS744" s="5" t="inlineStr">
        <is>
          <t>https://www.theukhighstreet.com/store/0/65960/757/</t>
        </is>
      </c>
      <c r="AT744" s="5" t="inlineStr">
        <is>
          <t>2</t>
        </is>
      </c>
      <c r="AU744" s="5" t="inlineStr">
        <is>
          <t>No</t>
        </is>
      </c>
      <c r="AV744" s="5" t="inlineStr">
        <is>
          <t>No</t>
        </is>
      </c>
      <c r="AW744" s="5" t="inlineStr">
        <is>
          <t>No</t>
        </is>
      </c>
      <c r="AX744" s="5" t="inlineStr">
        <is>
          <t>No</t>
        </is>
      </c>
      <c r="AY744" s="5" t="inlineStr">
        <is>
          <t>Verified directory</t>
        </is>
      </c>
      <c r="AZ744" s="5" t="inlineStr">
        <is>
          <t>Not Found</t>
        </is>
      </c>
      <c r="BA744" s="5" t="inlineStr">
        <is>
          <t>2026-09-17</t>
        </is>
      </c>
      <c r="BB744" s="5" t="inlineStr">
        <is>
          <t>Requires Verification</t>
        </is>
      </c>
      <c r="BC744" s="5" t="inlineStr">
        <is>
          <t>Medium</t>
        </is>
      </c>
      <c r="BD744" s="5" t="inlineStr"/>
      <c r="BE744" s="5" t="inlineStr">
        <is>
          <t>Business (B2B)</t>
        </is>
      </c>
      <c r="BF744" s="5" t="inlineStr">
        <is>
          <t>Legitimate interest (B2B) - assess per campaign; PECR: corporate subscribers</t>
        </is>
      </c>
      <c r="BG744" s="5" t="inlineStr"/>
      <c r="BH744" s="5" t="inlineStr">
        <is>
          <t>No</t>
        </is>
      </c>
      <c r="BI744" s="5" t="inlineStr">
        <is>
          <t>2026-09-16</t>
        </is>
      </c>
      <c r="BJ744" s="5" t="inlineStr">
        <is>
          <t>New</t>
        </is>
      </c>
      <c r="BK744" s="5" t="inlineStr">
        <is>
          <t>2026-09-17</t>
        </is>
      </c>
      <c r="BL744" s="5" t="inlineStr"/>
      <c r="BM744" s="5" t="inlineStr"/>
      <c r="BN744" s="5" t="inlineStr"/>
      <c r="BO744" s="5" t="inlineStr"/>
      <c r="BP744" s="5" t="inlineStr"/>
      <c r="BQ744" s="5" t="inlineStr"/>
    </row>
    <row r="745">
      <c r="A745" s="10" t="inlineStr">
        <is>
          <t>UK-000673</t>
        </is>
      </c>
      <c r="B745" s="10" t="inlineStr">
        <is>
          <t>UK-000673-01</t>
        </is>
      </c>
      <c r="C745" s="10" t="inlineStr"/>
      <c r="D745" s="10" t="inlineStr">
        <is>
          <t>VAPE BAR (Paddington)</t>
        </is>
      </c>
      <c r="E745" s="10" t="inlineStr">
        <is>
          <t>Vape Bar</t>
        </is>
      </c>
      <c r="F745" s="10" t="inlineStr"/>
      <c r="G745" s="10" t="inlineStr">
        <is>
          <t>Vape Shop</t>
        </is>
      </c>
      <c r="H745" s="10" t="inlineStr">
        <is>
          <t>Vape hardware &amp; e-liquids</t>
        </is>
      </c>
      <c r="I745" s="10" t="inlineStr">
        <is>
          <t>Independent</t>
        </is>
      </c>
      <c r="J745" s="10" t="inlineStr">
        <is>
          <t>1</t>
        </is>
      </c>
      <c r="K745" s="10" t="inlineStr"/>
      <c r="L745" s="10" t="inlineStr"/>
      <c r="M745" s="10" t="inlineStr"/>
      <c r="N745" s="10" t="inlineStr"/>
      <c r="O745" s="10" t="inlineStr">
        <is>
          <t>185 Edgware Road</t>
        </is>
      </c>
      <c r="P745" s="10" t="inlineStr">
        <is>
          <t>Paddington</t>
        </is>
      </c>
      <c r="Q745" s="10" t="inlineStr">
        <is>
          <t>London</t>
        </is>
      </c>
      <c r="R745" s="10" t="inlineStr">
        <is>
          <t>Greater London</t>
        </is>
      </c>
      <c r="S745" s="10" t="inlineStr">
        <is>
          <t>W2 1ET</t>
        </is>
      </c>
      <c r="T745" s="10" t="inlineStr">
        <is>
          <t>London</t>
        </is>
      </c>
      <c r="U745" s="10" t="inlineStr">
        <is>
          <t>England</t>
        </is>
      </c>
      <c r="V745" s="10" t="inlineStr">
        <is>
          <t>07727 485503</t>
        </is>
      </c>
      <c r="W745" s="10" t="inlineStr"/>
      <c r="X745" s="10" t="inlineStr"/>
      <c r="Y745" s="10" t="inlineStr"/>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vape hardware; e-liquids</t>
        </is>
      </c>
      <c r="AL745" s="10" t="inlineStr"/>
      <c r="AM745" s="10" t="inlineStr">
        <is>
          <t>Vape Shop</t>
        </is>
      </c>
      <c r="AN745" s="10" t="inlineStr"/>
      <c r="AO745" s="10" t="inlineStr">
        <is>
          <t>Independent vape shop on the Edgware Road strip. Address/postcode/phone from Cylex London listing snippet.</t>
        </is>
      </c>
      <c r="AP745" s="10" t="inlineStr">
        <is>
          <t>Medium</t>
        </is>
      </c>
      <c r="AQ745" s="10" t="inlineStr">
        <is>
          <t>Independent retailer; Core relevant category</t>
        </is>
      </c>
      <c r="AR745" s="10" t="inlineStr">
        <is>
          <t>https://london.cylex-uk.co.uk/company/vape-bar-28775714.html</t>
        </is>
      </c>
      <c r="AS745" s="10" t="inlineStr"/>
      <c r="AT745" s="10" t="inlineStr">
        <is>
          <t>1</t>
        </is>
      </c>
      <c r="AU745" s="10" t="inlineStr">
        <is>
          <t>No</t>
        </is>
      </c>
      <c r="AV745" s="10" t="inlineStr">
        <is>
          <t>No</t>
        </is>
      </c>
      <c r="AW745" s="10" t="inlineStr">
        <is>
          <t>No</t>
        </is>
      </c>
      <c r="AX745" s="10" t="inlineStr">
        <is>
          <t>No</t>
        </is>
      </c>
      <c r="AY745" s="10" t="inlineStr">
        <is>
          <t>Verified directory</t>
        </is>
      </c>
      <c r="AZ745" s="10" t="inlineStr">
        <is>
          <t>Not Found</t>
        </is>
      </c>
      <c r="BA745" s="10" t="inlineStr">
        <is>
          <t>2026-09-17</t>
        </is>
      </c>
      <c r="BB745" s="10" t="inlineStr">
        <is>
          <t>Requires Verification</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2026-09-17</t>
        </is>
      </c>
      <c r="BJ745" s="10" t="inlineStr">
        <is>
          <t>New</t>
        </is>
      </c>
      <c r="BK745" s="10" t="inlineStr">
        <is>
          <t>2026-09-17</t>
        </is>
      </c>
      <c r="BL745" s="10" t="inlineStr"/>
      <c r="BM745" s="10" t="inlineStr"/>
      <c r="BN745" s="10" t="inlineStr"/>
      <c r="BO745" s="10" t="inlineStr"/>
      <c r="BP745" s="10" t="inlineStr"/>
      <c r="BQ745" s="10" t="inlineStr"/>
    </row>
    <row r="746">
      <c r="A746" s="5" t="inlineStr">
        <is>
          <t>UK-000398</t>
        </is>
      </c>
      <c r="B746" s="5" t="inlineStr">
        <is>
          <t>UK-000398-01</t>
        </is>
      </c>
      <c r="C746" s="5" t="inlineStr"/>
      <c r="D746" s="5" t="inlineStr">
        <is>
          <t>VAPE CITI (Mount Street, Manchester)</t>
        </is>
      </c>
      <c r="E746" s="5" t="inlineStr">
        <is>
          <t>Vape Citi</t>
        </is>
      </c>
      <c r="F746" s="5" t="inlineStr"/>
      <c r="G746" s="5" t="inlineStr">
        <is>
          <t>Vape Shop</t>
        </is>
      </c>
      <c r="H746" s="5" t="inlineStr">
        <is>
          <t>Vape hardware, e-liquids &amp; disposables</t>
        </is>
      </c>
      <c r="I746" s="5" t="inlineStr">
        <is>
          <t>Independent</t>
        </is>
      </c>
      <c r="J746" s="5" t="inlineStr">
        <is>
          <t>1</t>
        </is>
      </c>
      <c r="K746" s="5" t="inlineStr"/>
      <c r="L746" s="5" t="inlineStr"/>
      <c r="M746" s="5" t="inlineStr"/>
      <c r="N746" s="5" t="inlineStr"/>
      <c r="O746" s="5" t="inlineStr">
        <is>
          <t>10-12 Mount Street</t>
        </is>
      </c>
      <c r="P746" s="5" t="inlineStr"/>
      <c r="Q746" s="5" t="inlineStr">
        <is>
          <t>Manchester</t>
        </is>
      </c>
      <c r="R746" s="5" t="inlineStr">
        <is>
          <t>Greater Manchester</t>
        </is>
      </c>
      <c r="S746" s="5" t="inlineStr">
        <is>
          <t>M2 5NT</t>
        </is>
      </c>
      <c r="T746" s="5" t="inlineStr">
        <is>
          <t>North West</t>
        </is>
      </c>
      <c r="U746" s="5" t="inlineStr">
        <is>
          <t>England</t>
        </is>
      </c>
      <c r="V746" s="5" t="inlineStr"/>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c r="AK746" s="5" t="inlineStr">
        <is>
          <t>vape hardware; e-liquids; disposables</t>
        </is>
      </c>
      <c r="AL746" s="5" t="inlineStr"/>
      <c r="AM746" s="5" t="inlineStr">
        <is>
          <t>Vape Shop</t>
        </is>
      </c>
      <c r="AN746" s="5" t="inlineStr"/>
      <c r="AO746" s="5" t="inlineStr">
        <is>
          <t>City-centre independent vape shop listed on eCig Directory UK. Address/postcode from directory listing; phone not published in accessible snippet (direct site fetch blocked by network policy).</t>
        </is>
      </c>
      <c r="AP746" s="5" t="inlineStr">
        <is>
          <t>Medium</t>
        </is>
      </c>
      <c r="AQ746" s="5" t="inlineStr">
        <is>
          <t>Independent retailer; Core relevant category</t>
        </is>
      </c>
      <c r="AR746" s="5" t="inlineStr">
        <is>
          <t>https://ecigdirectory.co.uk/vape-shop/listing/vape-citi-oxford-street-manchester</t>
        </is>
      </c>
      <c r="AS746" s="5" t="inlineStr"/>
      <c r="AT746" s="5" t="inlineStr">
        <is>
          <t>1</t>
        </is>
      </c>
      <c r="AU746" s="5" t="inlineStr">
        <is>
          <t>No</t>
        </is>
      </c>
      <c r="AV746" s="5" t="inlineStr">
        <is>
          <t>No</t>
        </is>
      </c>
      <c r="AW746" s="5" t="inlineStr">
        <is>
          <t>No</t>
        </is>
      </c>
      <c r="AX746" s="5" t="inlineStr">
        <is>
          <t>No</t>
        </is>
      </c>
      <c r="AY746" s="5" t="inlineStr">
        <is>
          <t>Not Found</t>
        </is>
      </c>
      <c r="AZ746" s="5" t="inlineStr">
        <is>
          <t>Not Found</t>
        </is>
      </c>
      <c r="BA746" s="5" t="inlineStr">
        <is>
          <t>2026-09-17</t>
        </is>
      </c>
      <c r="BB746" s="5" t="inlineStr">
        <is>
          <t>Requires Verification</t>
        </is>
      </c>
      <c r="BC746" s="5" t="inlineStr">
        <is>
          <t>Low</t>
        </is>
      </c>
      <c r="BD746" s="5" t="inlineStr"/>
      <c r="BE746" s="5" t="inlineStr">
        <is>
          <t>Business (B2B)</t>
        </is>
      </c>
      <c r="BF746" s="5" t="inlineStr">
        <is>
          <t>Legitimate interest (B2B) - assess per campaign; PECR: corporate subscribers</t>
        </is>
      </c>
      <c r="BG746" s="5" t="inlineStr"/>
      <c r="BH746" s="5" t="inlineStr">
        <is>
          <t>No</t>
        </is>
      </c>
      <c r="BI746" s="5" t="inlineStr">
        <is>
          <t>2026-09-17</t>
        </is>
      </c>
      <c r="BJ746" s="5" t="inlineStr">
        <is>
          <t>New</t>
        </is>
      </c>
      <c r="BK746" s="5" t="inlineStr">
        <is>
          <t>2026-09-17</t>
        </is>
      </c>
      <c r="BL746" s="5" t="inlineStr"/>
      <c r="BM746" s="5" t="inlineStr"/>
      <c r="BN746" s="5" t="inlineStr"/>
      <c r="BO746" s="5" t="inlineStr"/>
      <c r="BP746" s="5" t="inlineStr"/>
      <c r="BQ746" s="5" t="inlineStr"/>
    </row>
    <row r="747">
      <c r="A747" s="10" t="inlineStr">
        <is>
          <t>UK-000530</t>
        </is>
      </c>
      <c r="B747" s="10" t="inlineStr">
        <is>
          <t>UK-000530-01</t>
        </is>
      </c>
      <c r="C747" s="10" t="inlineStr"/>
      <c r="D747" s="10" t="inlineStr">
        <is>
          <t>VT Off Licence &amp; Convenience Store</t>
        </is>
      </c>
      <c r="E747" s="10" t="inlineStr">
        <is>
          <t>VT Off Licence &amp; Convenience Store</t>
        </is>
      </c>
      <c r="F747" s="10" t="inlineStr"/>
      <c r="G747" s="10" t="inlineStr">
        <is>
          <t>Off-Licence</t>
        </is>
      </c>
      <c r="H747" s="10" t="inlineStr">
        <is>
          <t>Off-licence and convenience store</t>
        </is>
      </c>
      <c r="I747" s="10" t="inlineStr">
        <is>
          <t>Independent</t>
        </is>
      </c>
      <c r="J747" s="10" t="inlineStr">
        <is>
          <t>1</t>
        </is>
      </c>
      <c r="K747" s="10" t="inlineStr"/>
      <c r="L747" s="10" t="inlineStr"/>
      <c r="M747" s="10" t="inlineStr"/>
      <c r="N747" s="10" t="inlineStr"/>
      <c r="O747" s="10" t="inlineStr">
        <is>
          <t>10 School Road</t>
        </is>
      </c>
      <c r="P747" s="10" t="inlineStr">
        <is>
          <t>Yardley Wood</t>
        </is>
      </c>
      <c r="Q747" s="10" t="inlineStr">
        <is>
          <t>Birmingham</t>
        </is>
      </c>
      <c r="R747" s="10" t="inlineStr">
        <is>
          <t>West Midlands</t>
        </is>
      </c>
      <c r="S747" s="10" t="inlineStr">
        <is>
          <t>B14 4BJ</t>
        </is>
      </c>
      <c r="T747" s="10" t="inlineStr">
        <is>
          <t>West Midlands</t>
        </is>
      </c>
      <c r="U747" s="10" t="inlineStr">
        <is>
          <t>England</t>
        </is>
      </c>
      <c r="V747" s="10" t="inlineStr"/>
      <c r="W747" s="10" t="inlineStr"/>
      <c r="X747" s="10" t="inlineStr"/>
      <c r="Y747" s="10" t="inlineStr"/>
      <c r="Z747" s="10" t="inlineStr"/>
      <c r="AA747" s="10" t="inlineStr"/>
      <c r="AB747" s="10" t="inlineStr"/>
      <c r="AC747" s="10" t="inlineStr"/>
      <c r="AD747" s="10" t="inlineStr"/>
      <c r="AE747" s="10" t="inlineStr"/>
      <c r="AF747" s="10" t="inlineStr"/>
      <c r="AG747" s="10" t="inlineStr"/>
      <c r="AH747" s="10" t="inlineStr"/>
      <c r="AI747" s="10" t="inlineStr"/>
      <c r="AJ747" s="10" t="inlineStr"/>
      <c r="AK747" s="10" t="inlineStr">
        <is>
          <t>off-licence; convenience grocery</t>
        </is>
      </c>
      <c r="AL747" s="10" t="inlineStr"/>
      <c r="AM747" s="10" t="inlineStr">
        <is>
          <t>Off-Licence</t>
        </is>
      </c>
      <c r="AN747" s="10" t="inlineStr"/>
      <c r="AO747" s="10" t="inlineStr">
        <is>
          <t>Off-licence &amp; convenience store on School Road, Yardley Wood.</t>
        </is>
      </c>
      <c r="AP747" s="10" t="inlineStr">
        <is>
          <t>Low</t>
        </is>
      </c>
      <c r="AQ747" s="10" t="inlineStr">
        <is>
          <t>Independent retailer; Relevant category</t>
        </is>
      </c>
      <c r="AR747" s="10" t="inlineStr">
        <is>
          <t>https://birmingham.cylex-uk.co.uk/company/vt-off-licence---convenience-store-27496181.html</t>
        </is>
      </c>
      <c r="AS747" s="10" t="inlineStr"/>
      <c r="AT747" s="10" t="inlineStr">
        <is>
          <t>1</t>
        </is>
      </c>
      <c r="AU747" s="10" t="inlineStr">
        <is>
          <t>No</t>
        </is>
      </c>
      <c r="AV747" s="10" t="inlineStr">
        <is>
          <t>No</t>
        </is>
      </c>
      <c r="AW747" s="10" t="inlineStr">
        <is>
          <t>No</t>
        </is>
      </c>
      <c r="AX747" s="10" t="inlineStr">
        <is>
          <t>No</t>
        </is>
      </c>
      <c r="AY747" s="10" t="inlineStr">
        <is>
          <t>Not Found</t>
        </is>
      </c>
      <c r="AZ747" s="10" t="inlineStr">
        <is>
          <t>Not Found</t>
        </is>
      </c>
      <c r="BA747" s="10" t="inlineStr">
        <is>
          <t>2026-09-17</t>
        </is>
      </c>
      <c r="BB747" s="10" t="inlineStr">
        <is>
          <t>Requires Verification</t>
        </is>
      </c>
      <c r="BC747" s="10" t="inlineStr">
        <is>
          <t>Low</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2026-09-17</t>
        </is>
      </c>
      <c r="BJ747" s="10" t="inlineStr">
        <is>
          <t>New</t>
        </is>
      </c>
      <c r="BK747" s="10" t="inlineStr">
        <is>
          <t>2026-09-17</t>
        </is>
      </c>
      <c r="BL747" s="10" t="inlineStr"/>
      <c r="BM747" s="10" t="inlineStr"/>
      <c r="BN747" s="10" t="inlineStr"/>
      <c r="BO747" s="10" t="inlineStr"/>
      <c r="BP747" s="10" t="inlineStr"/>
      <c r="BQ747" s="10" t="inlineStr"/>
    </row>
    <row r="748">
      <c r="A748" s="5" t="inlineStr">
        <is>
          <t>UK-000531</t>
        </is>
      </c>
      <c r="B748" s="5" t="inlineStr">
        <is>
          <t>UK-000531-01</t>
        </is>
      </c>
      <c r="C748" s="5" t="inlineStr"/>
      <c r="D748" s="5" t="inlineStr">
        <is>
          <t>VVAPES</t>
        </is>
      </c>
      <c r="E748" s="5" t="inlineStr">
        <is>
          <t>VVAPES</t>
        </is>
      </c>
      <c r="F748" s="5" t="inlineStr">
        <is>
          <t>VVAPES Limited</t>
        </is>
      </c>
      <c r="G748" s="5" t="inlineStr">
        <is>
          <t>Vape Shop</t>
        </is>
      </c>
      <c r="H748" s="5" t="inlineStr">
        <is>
          <t>Vape hardware and e-liquid retailer</t>
        </is>
      </c>
      <c r="I748" s="5" t="inlineStr">
        <is>
          <t>Independent</t>
        </is>
      </c>
      <c r="J748" s="5" t="inlineStr">
        <is>
          <t>1</t>
        </is>
      </c>
      <c r="K748" s="5" t="inlineStr">
        <is>
          <t>https://vvapes.co.uk/</t>
        </is>
      </c>
      <c r="L748" s="5" t="inlineStr"/>
      <c r="M748" s="5" t="inlineStr"/>
      <c r="N748" s="5" t="inlineStr"/>
      <c r="O748" s="5" t="inlineStr">
        <is>
          <t>23 Central Square</t>
        </is>
      </c>
      <c r="P748" s="5" t="inlineStr">
        <is>
          <t>High Street, Erdington</t>
        </is>
      </c>
      <c r="Q748" s="5" t="inlineStr">
        <is>
          <t>Birmingham</t>
        </is>
      </c>
      <c r="R748" s="5" t="inlineStr">
        <is>
          <t>West Midlands</t>
        </is>
      </c>
      <c r="S748" s="5" t="inlineStr">
        <is>
          <t>B23 6RY</t>
        </is>
      </c>
      <c r="T748" s="5" t="inlineStr">
        <is>
          <t>West Midlands</t>
        </is>
      </c>
      <c r="U748" s="5" t="inlineStr">
        <is>
          <t>England</t>
        </is>
      </c>
      <c r="V748" s="5" t="inlineStr"/>
      <c r="W748" s="5" t="inlineStr"/>
      <c r="X748" s="5" t="inlineStr"/>
      <c r="Y748" s="5" t="inlineStr">
        <is>
          <t>info@vvapes.co.uk</t>
        </is>
      </c>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vape hardware; e-liquids</t>
        </is>
      </c>
      <c r="AL748" s="5" t="inlineStr"/>
      <c r="AM748" s="5" t="inlineStr">
        <is>
          <t>Vape Shop</t>
        </is>
      </c>
      <c r="AN748" s="5" t="inlineStr"/>
      <c r="AO748" s="5" t="inlineStr">
        <is>
          <t>Erdington vape shop; info@vvapes.co.uk listed on their own contact page. 'Limited' suffix suggests a registered company (not verified at Companies House - site fetch blocked).</t>
        </is>
      </c>
      <c r="AP748" s="5" t="inlineStr">
        <is>
          <t>Medium</t>
        </is>
      </c>
      <c r="AQ748" s="5" t="inlineStr">
        <is>
          <t>Independent retailer; Core relevant category; Public email available; Active website</t>
        </is>
      </c>
      <c r="AR748" s="5" t="inlineStr">
        <is>
          <t>https://vvapes.co.uk/pages/contact-us</t>
        </is>
      </c>
      <c r="AS748" s="5" t="inlineStr"/>
      <c r="AT748" s="5" t="inlineStr">
        <is>
          <t>1</t>
        </is>
      </c>
      <c r="AU748" s="5" t="inlineStr">
        <is>
          <t>No</t>
        </is>
      </c>
      <c r="AV748" s="5" t="inlineStr">
        <is>
          <t>No</t>
        </is>
      </c>
      <c r="AW748" s="5" t="inlineStr">
        <is>
          <t>No</t>
        </is>
      </c>
      <c r="AX748" s="5" t="inlineStr">
        <is>
          <t>No</t>
        </is>
      </c>
      <c r="AY748" s="5" t="inlineStr">
        <is>
          <t>Not Found</t>
        </is>
      </c>
      <c r="AZ748" s="5" t="inlineStr">
        <is>
          <t>Publicly Listed</t>
        </is>
      </c>
      <c r="BA748" s="5" t="inlineStr">
        <is>
          <t>2026-09-17</t>
        </is>
      </c>
      <c r="BB748" s="5" t="inlineStr">
        <is>
          <t>Requires Verification</t>
        </is>
      </c>
      <c r="BC748" s="5" t="inlineStr">
        <is>
          <t>Medium</t>
        </is>
      </c>
      <c r="BD748" s="5" t="inlineStr"/>
      <c r="BE748" s="5" t="inlineStr">
        <is>
          <t>Business (B2B)</t>
        </is>
      </c>
      <c r="BF748" s="5" t="inlineStr">
        <is>
          <t>Legitimate interest (B2B) - assess per campaign; PECR: corporate subscribers</t>
        </is>
      </c>
      <c r="BG748" s="5" t="inlineStr"/>
      <c r="BH748" s="5" t="inlineStr">
        <is>
          <t>No</t>
        </is>
      </c>
      <c r="BI748" s="5" t="inlineStr">
        <is>
          <t>2026-09-17</t>
        </is>
      </c>
      <c r="BJ748" s="5" t="inlineStr">
        <is>
          <t>New</t>
        </is>
      </c>
      <c r="BK748" s="5" t="inlineStr">
        <is>
          <t>2026-09-17</t>
        </is>
      </c>
      <c r="BL748" s="5" t="inlineStr"/>
      <c r="BM748" s="5" t="inlineStr"/>
      <c r="BN748" s="5" t="inlineStr"/>
      <c r="BO748" s="5" t="inlineStr"/>
      <c r="BP748" s="5" t="inlineStr"/>
      <c r="BQ748" s="5" t="inlineStr"/>
    </row>
    <row r="749">
      <c r="A749" s="10" t="inlineStr">
        <is>
          <t>UK-000532</t>
        </is>
      </c>
      <c r="B749" s="10" t="inlineStr">
        <is>
          <t>UK-000532-01</t>
        </is>
      </c>
      <c r="C749" s="10" t="inlineStr"/>
      <c r="D749" s="10" t="inlineStr">
        <is>
          <t>Value Vapes</t>
        </is>
      </c>
      <c r="E749" s="10" t="inlineStr">
        <is>
          <t>Value Vapes</t>
        </is>
      </c>
      <c r="F749" s="10" t="inlineStr"/>
      <c r="G749" s="10" t="inlineStr">
        <is>
          <t>Vape Shop</t>
        </is>
      </c>
      <c r="H749" s="10" t="inlineStr">
        <is>
          <t>Vape hardware and e-liquid retailer</t>
        </is>
      </c>
      <c r="I749" s="10" t="inlineStr">
        <is>
          <t>Independent</t>
        </is>
      </c>
      <c r="J749" s="10" t="inlineStr">
        <is>
          <t>1</t>
        </is>
      </c>
      <c r="K749" s="10" t="inlineStr"/>
      <c r="L749" s="10" t="inlineStr"/>
      <c r="M749" s="10" t="inlineStr"/>
      <c r="N749" s="10" t="inlineStr"/>
      <c r="O749" s="10" t="inlineStr">
        <is>
          <t>278 Vicarage Road</t>
        </is>
      </c>
      <c r="P749" s="10" t="inlineStr">
        <is>
          <t>Kings Heath</t>
        </is>
      </c>
      <c r="Q749" s="10" t="inlineStr">
        <is>
          <t>Birmingham</t>
        </is>
      </c>
      <c r="R749" s="10" t="inlineStr">
        <is>
          <t>West Midlands</t>
        </is>
      </c>
      <c r="S749" s="10" t="inlineStr">
        <is>
          <t>B14 7NH</t>
        </is>
      </c>
      <c r="T749" s="10" t="inlineStr">
        <is>
          <t>West Midlands</t>
        </is>
      </c>
      <c r="U749" s="10" t="inlineStr">
        <is>
          <t>England</t>
        </is>
      </c>
      <c r="V749" s="10" t="inlineStr"/>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vape hardware; e-liquids</t>
        </is>
      </c>
      <c r="AL749" s="10" t="inlineStr"/>
      <c r="AM749" s="10" t="inlineStr">
        <is>
          <t>Vape Shop</t>
        </is>
      </c>
      <c r="AN749" s="10" t="inlineStr"/>
      <c r="AO749" s="10" t="inlineStr">
        <is>
          <t>Listed on Yell as tobacconists/vape shop, Vicarage Road, Kings Heath.</t>
        </is>
      </c>
      <c r="AP749" s="10" t="inlineStr">
        <is>
          <t>Medium</t>
        </is>
      </c>
      <c r="AQ749" s="10" t="inlineStr">
        <is>
          <t>Independent retailer; Core relevant category</t>
        </is>
      </c>
      <c r="AR749" s="10" t="inlineStr">
        <is>
          <t>https://www.yell.com/biz/value-vapes-birmingham-10450779/</t>
        </is>
      </c>
      <c r="AS749" s="10" t="inlineStr"/>
      <c r="AT749" s="10" t="inlineStr">
        <is>
          <t>1</t>
        </is>
      </c>
      <c r="AU749" s="10" t="inlineStr">
        <is>
          <t>No</t>
        </is>
      </c>
      <c r="AV749" s="10" t="inlineStr">
        <is>
          <t>No</t>
        </is>
      </c>
      <c r="AW749" s="10" t="inlineStr">
        <is>
          <t>No</t>
        </is>
      </c>
      <c r="AX749" s="10" t="inlineStr">
        <is>
          <t>No</t>
        </is>
      </c>
      <c r="AY749" s="10" t="inlineStr">
        <is>
          <t>Not Found</t>
        </is>
      </c>
      <c r="AZ749" s="10" t="inlineStr">
        <is>
          <t>Not Found</t>
        </is>
      </c>
      <c r="BA749" s="10" t="inlineStr">
        <is>
          <t>2026-09-17</t>
        </is>
      </c>
      <c r="BB749" s="10" t="inlineStr">
        <is>
          <t>Requires Verification</t>
        </is>
      </c>
      <c r="BC749" s="10" t="inlineStr">
        <is>
          <t>Low</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UK-000399</t>
        </is>
      </c>
      <c r="B750" s="5" t="inlineStr">
        <is>
          <t>UK-000399-01</t>
        </is>
      </c>
      <c r="C750" s="5" t="inlineStr"/>
      <c r="D750" s="5" t="inlineStr">
        <is>
          <t>Vape &amp; Mobiles (Fallowfield, Manchester)</t>
        </is>
      </c>
      <c r="E750" s="5" t="inlineStr">
        <is>
          <t>Vape &amp; Mobiles</t>
        </is>
      </c>
      <c r="F750" s="5" t="inlineStr"/>
      <c r="G750" s="5" t="inlineStr">
        <is>
          <t>Vape Shop</t>
        </is>
      </c>
      <c r="H750" s="5" t="inlineStr">
        <is>
          <t>Vape &amp; mobile phone accessories</t>
        </is>
      </c>
      <c r="I750" s="5" t="inlineStr">
        <is>
          <t>Independent</t>
        </is>
      </c>
      <c r="J750" s="5" t="inlineStr">
        <is>
          <t>1</t>
        </is>
      </c>
      <c r="K750" s="5" t="inlineStr"/>
      <c r="L750" s="5" t="inlineStr"/>
      <c r="M750" s="5" t="inlineStr"/>
      <c r="N750" s="5" t="inlineStr"/>
      <c r="O750" s="5" t="inlineStr">
        <is>
          <t>Sherwood Centre, 268 Wilmslow Road</t>
        </is>
      </c>
      <c r="P750" s="5" t="inlineStr">
        <is>
          <t>Fallowfield</t>
        </is>
      </c>
      <c r="Q750" s="5" t="inlineStr">
        <is>
          <t>Manchester</t>
        </is>
      </c>
      <c r="R750" s="5" t="inlineStr">
        <is>
          <t>Greater Manchester</t>
        </is>
      </c>
      <c r="S750" s="5" t="inlineStr">
        <is>
          <t>M14 6JR</t>
        </is>
      </c>
      <c r="T750" s="5" t="inlineStr">
        <is>
          <t>North West</t>
        </is>
      </c>
      <c r="U750" s="5" t="inlineStr">
        <is>
          <t>England</t>
        </is>
      </c>
      <c r="V750" s="5" t="inlineStr"/>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vape hardware; e-liquids; disposables; mobile accessories</t>
        </is>
      </c>
      <c r="AL750" s="5" t="inlineStr"/>
      <c r="AM750" s="5" t="inlineStr">
        <is>
          <t>Vape Shop</t>
        </is>
      </c>
      <c r="AN750" s="5" t="inlineStr"/>
      <c r="AO750" s="5" t="inlineStr">
        <is>
          <t>Fallowfield independent vape/mobile shop in the Sherwood student area. Listed on Wheree directory; phone not published in accessible snippet.</t>
        </is>
      </c>
      <c r="AP750" s="5" t="inlineStr">
        <is>
          <t>Medium</t>
        </is>
      </c>
      <c r="AQ750" s="5" t="inlineStr">
        <is>
          <t>Independent retailer; Core relevant category</t>
        </is>
      </c>
      <c r="AR750" s="5" t="inlineStr">
        <is>
          <t>https://vape-mobiles.wheree.com/</t>
        </is>
      </c>
      <c r="AS750" s="5" t="inlineStr"/>
      <c r="AT750" s="5" t="inlineStr">
        <is>
          <t>1</t>
        </is>
      </c>
      <c r="AU750" s="5" t="inlineStr">
        <is>
          <t>No</t>
        </is>
      </c>
      <c r="AV750" s="5" t="inlineStr">
        <is>
          <t>No</t>
        </is>
      </c>
      <c r="AW750" s="5" t="inlineStr">
        <is>
          <t>No</t>
        </is>
      </c>
      <c r="AX750" s="5" t="inlineStr">
        <is>
          <t>No</t>
        </is>
      </c>
      <c r="AY750" s="5" t="inlineStr">
        <is>
          <t>Not Found</t>
        </is>
      </c>
      <c r="AZ750" s="5" t="inlineStr">
        <is>
          <t>Not Found</t>
        </is>
      </c>
      <c r="BA750" s="5" t="inlineStr">
        <is>
          <t>2026-09-17</t>
        </is>
      </c>
      <c r="BB750" s="5" t="inlineStr">
        <is>
          <t>Requires Verification</t>
        </is>
      </c>
      <c r="BC750" s="5" t="inlineStr">
        <is>
          <t>Low</t>
        </is>
      </c>
      <c r="BD750" s="5" t="inlineStr"/>
      <c r="BE750" s="5" t="inlineStr">
        <is>
          <t>Business (B2B)</t>
        </is>
      </c>
      <c r="BF750" s="5" t="inlineStr">
        <is>
          <t>Legitimate interest (B2B) - assess per campaign; PECR: corporate subscribers</t>
        </is>
      </c>
      <c r="BG750" s="5" t="inlineStr"/>
      <c r="BH750" s="5" t="inlineStr">
        <is>
          <t>No</t>
        </is>
      </c>
      <c r="BI750" s="5" t="inlineStr">
        <is>
          <t>2026-09-17</t>
        </is>
      </c>
      <c r="BJ750" s="5" t="inlineStr">
        <is>
          <t>New</t>
        </is>
      </c>
      <c r="BK750" s="5" t="inlineStr">
        <is>
          <t>2026-09-17</t>
        </is>
      </c>
      <c r="BL750" s="5" t="inlineStr"/>
      <c r="BM750" s="5" t="inlineStr"/>
      <c r="BN750" s="5" t="inlineStr"/>
      <c r="BO750" s="5" t="inlineStr"/>
      <c r="BP750" s="5" t="inlineStr"/>
      <c r="BQ750" s="5" t="inlineStr"/>
    </row>
    <row r="751">
      <c r="A751" s="10" t="inlineStr">
        <is>
          <t>UK-000400</t>
        </is>
      </c>
      <c r="B751" s="10" t="inlineStr">
        <is>
          <t>UK-000400-01</t>
        </is>
      </c>
      <c r="C751" s="10" t="inlineStr"/>
      <c r="D751" s="10" t="inlineStr">
        <is>
          <t>Vape 360 (Withington, Manchester)</t>
        </is>
      </c>
      <c r="E751" s="10" t="inlineStr">
        <is>
          <t>Vape 360</t>
        </is>
      </c>
      <c r="F751" s="10" t="inlineStr"/>
      <c r="G751" s="10" t="inlineStr">
        <is>
          <t>Vape Shop</t>
        </is>
      </c>
      <c r="H751" s="10" t="inlineStr">
        <is>
          <t>Vape hardware, e-liquids &amp; disposables</t>
        </is>
      </c>
      <c r="I751" s="10" t="inlineStr">
        <is>
          <t>Independent</t>
        </is>
      </c>
      <c r="J751" s="10" t="inlineStr">
        <is>
          <t>1</t>
        </is>
      </c>
      <c r="K751" s="10" t="inlineStr"/>
      <c r="L751" s="10" t="inlineStr"/>
      <c r="M751" s="10" t="inlineStr"/>
      <c r="N751" s="10" t="inlineStr"/>
      <c r="O751" s="10" t="inlineStr">
        <is>
          <t>488 Wilmslow Road</t>
        </is>
      </c>
      <c r="P751" s="10" t="inlineStr">
        <is>
          <t>Withington</t>
        </is>
      </c>
      <c r="Q751" s="10" t="inlineStr">
        <is>
          <t>Manchester</t>
        </is>
      </c>
      <c r="R751" s="10" t="inlineStr">
        <is>
          <t>Greater Manchester</t>
        </is>
      </c>
      <c r="S751" s="10" t="inlineStr">
        <is>
          <t>M20 3BG</t>
        </is>
      </c>
      <c r="T751" s="10" t="inlineStr">
        <is>
          <t>North West</t>
        </is>
      </c>
      <c r="U751" s="10" t="inlineStr">
        <is>
          <t>England</t>
        </is>
      </c>
      <c r="V751" s="10" t="inlineStr"/>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vape hardware; e-liquids; disposables</t>
        </is>
      </c>
      <c r="AL751" s="10" t="inlineStr"/>
      <c r="AM751" s="10" t="inlineStr">
        <is>
          <t>Vape Shop</t>
        </is>
      </c>
      <c r="AN751" s="10" t="inlineStr"/>
      <c r="AO751" s="10" t="inlineStr">
        <is>
          <t>Withington independent vape shop listed on Cylex. Phone partially shown (07341 717...) in snippet but not fully captured, so left blank rather than guessed.</t>
        </is>
      </c>
      <c r="AP751" s="10" t="inlineStr">
        <is>
          <t>Medium</t>
        </is>
      </c>
      <c r="AQ751" s="10" t="inlineStr">
        <is>
          <t>Independent retailer; Core relevant category</t>
        </is>
      </c>
      <c r="AR751" s="10" t="inlineStr">
        <is>
          <t>https://manchester.cylex-uk.co.uk/company/vape-360-withington-manchester-28423693.html</t>
        </is>
      </c>
      <c r="AS751" s="10" t="inlineStr"/>
      <c r="AT751" s="10" t="inlineStr">
        <is>
          <t>1</t>
        </is>
      </c>
      <c r="AU751" s="10" t="inlineStr">
        <is>
          <t>No</t>
        </is>
      </c>
      <c r="AV751" s="10" t="inlineStr">
        <is>
          <t>No</t>
        </is>
      </c>
      <c r="AW751" s="10" t="inlineStr">
        <is>
          <t>No</t>
        </is>
      </c>
      <c r="AX751" s="10" t="inlineStr">
        <is>
          <t>No</t>
        </is>
      </c>
      <c r="AY751" s="10" t="inlineStr">
        <is>
          <t>Not Found</t>
        </is>
      </c>
      <c r="AZ751" s="10" t="inlineStr">
        <is>
          <t>Not Found</t>
        </is>
      </c>
      <c r="BA751" s="10" t="inlineStr">
        <is>
          <t>2026-09-17</t>
        </is>
      </c>
      <c r="BB751" s="10" t="inlineStr">
        <is>
          <t>Requires Verification</t>
        </is>
      </c>
      <c r="BC751" s="10" t="inlineStr">
        <is>
          <t>Low</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2026-09-17</t>
        </is>
      </c>
      <c r="BJ751" s="10" t="inlineStr">
        <is>
          <t>New</t>
        </is>
      </c>
      <c r="BK751" s="10" t="inlineStr">
        <is>
          <t>2026-09-17</t>
        </is>
      </c>
      <c r="BL751" s="10" t="inlineStr"/>
      <c r="BM751" s="10" t="inlineStr"/>
      <c r="BN751" s="10" t="inlineStr"/>
      <c r="BO751" s="10" t="inlineStr"/>
      <c r="BP751" s="10" t="inlineStr"/>
      <c r="BQ751" s="10" t="inlineStr"/>
    </row>
    <row r="752">
      <c r="A752" s="5" t="inlineStr">
        <is>
          <t>UK-000533</t>
        </is>
      </c>
      <c r="B752" s="5" t="inlineStr">
        <is>
          <t>UK-000533-01</t>
        </is>
      </c>
      <c r="C752" s="5" t="inlineStr"/>
      <c r="D752" s="5" t="inlineStr">
        <is>
          <t>Vape Bar Brierley Hill</t>
        </is>
      </c>
      <c r="E752" s="5" t="inlineStr">
        <is>
          <t>Vape Bar</t>
        </is>
      </c>
      <c r="F752" s="5" t="inlineStr"/>
      <c r="G752" s="5" t="inlineStr">
        <is>
          <t>Vape Shop</t>
        </is>
      </c>
      <c r="H752" s="5" t="inlineStr">
        <is>
          <t>Alternative smoking equipment &amp; vapes</t>
        </is>
      </c>
      <c r="I752" s="5" t="inlineStr">
        <is>
          <t>Independent</t>
        </is>
      </c>
      <c r="J752" s="5" t="inlineStr">
        <is>
          <t>1</t>
        </is>
      </c>
      <c r="K752" s="5" t="inlineStr"/>
      <c r="L752" s="5" t="inlineStr">
        <is>
          <t>https://www.facebook.com/Vapebarbrierleyhill/</t>
        </is>
      </c>
      <c r="M752" s="5" t="inlineStr"/>
      <c r="N752" s="5" t="inlineStr"/>
      <c r="O752" s="5" t="inlineStr"/>
      <c r="P752" s="5" t="inlineStr"/>
      <c r="Q752" s="5" t="inlineStr">
        <is>
          <t>Brierley Hill</t>
        </is>
      </c>
      <c r="R752" s="5" t="inlineStr">
        <is>
          <t>West Midlands</t>
        </is>
      </c>
      <c r="S752" s="5" t="inlineStr"/>
      <c r="T752" s="5" t="inlineStr">
        <is>
          <t>West Midlands</t>
        </is>
      </c>
      <c r="U752" s="5" t="inlineStr">
        <is>
          <t>England</t>
        </is>
      </c>
      <c r="V752" s="5" t="inlineStr"/>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vape hardware; e-liquids; smoking accessories</t>
        </is>
      </c>
      <c r="AL752" s="5" t="inlineStr"/>
      <c r="AM752" s="5" t="inlineStr">
        <is>
          <t>Vape Shop</t>
        </is>
      </c>
      <c r="AN752" s="5" t="inlineStr"/>
      <c r="AO752" s="5" t="inlineStr">
        <is>
          <t>Independent vape shop in Brierley Hill specialising in alternative smoking equipment. Located via Facebook; exact address not in snippet.</t>
        </is>
      </c>
      <c r="AP752" s="5" t="inlineStr">
        <is>
          <t>Medium</t>
        </is>
      </c>
      <c r="AQ752" s="5" t="inlineStr">
        <is>
          <t>Independent retailer; Core relevant category; Social presence</t>
        </is>
      </c>
      <c r="AR752" s="5" t="inlineStr">
        <is>
          <t>https://www.facebook.com/Vapebarbrierleyhill/</t>
        </is>
      </c>
      <c r="AS752" s="5" t="inlineStr"/>
      <c r="AT752" s="5" t="inlineStr">
        <is>
          <t>1</t>
        </is>
      </c>
      <c r="AU752" s="5" t="inlineStr">
        <is>
          <t>No</t>
        </is>
      </c>
      <c r="AV752" s="5" t="inlineStr">
        <is>
          <t>No</t>
        </is>
      </c>
      <c r="AW752" s="5" t="inlineStr">
        <is>
          <t>No</t>
        </is>
      </c>
      <c r="AX752" s="5" t="inlineStr">
        <is>
          <t>No</t>
        </is>
      </c>
      <c r="AY752" s="5" t="inlineStr">
        <is>
          <t>Not Found</t>
        </is>
      </c>
      <c r="AZ752" s="5" t="inlineStr">
        <is>
          <t>Not Found</t>
        </is>
      </c>
      <c r="BA752" s="5" t="inlineStr">
        <is>
          <t>2026-09-17</t>
        </is>
      </c>
      <c r="BB752" s="5" t="inlineStr">
        <is>
          <t>Requires Verification</t>
        </is>
      </c>
      <c r="BC752" s="5" t="inlineStr">
        <is>
          <t>Low</t>
        </is>
      </c>
      <c r="BD752" s="5" t="inlineStr"/>
      <c r="BE752" s="5" t="inlineStr">
        <is>
          <t>Business (B2B)</t>
        </is>
      </c>
      <c r="BF752" s="5" t="inlineStr">
        <is>
          <t>Legitimate interest (B2B) - assess per campaign; PECR: corporate subscribers</t>
        </is>
      </c>
      <c r="BG752" s="5" t="inlineStr"/>
      <c r="BH752" s="5" t="inlineStr">
        <is>
          <t>No</t>
        </is>
      </c>
      <c r="BI752" s="5" t="inlineStr">
        <is>
          <t>2026-09-17</t>
        </is>
      </c>
      <c r="BJ752" s="5" t="inlineStr">
        <is>
          <t>New</t>
        </is>
      </c>
      <c r="BK752" s="5" t="inlineStr">
        <is>
          <t>2026-09-17</t>
        </is>
      </c>
      <c r="BL752" s="5" t="inlineStr"/>
      <c r="BM752" s="5" t="inlineStr"/>
      <c r="BN752" s="5" t="inlineStr"/>
      <c r="BO752" s="5" t="inlineStr"/>
      <c r="BP752" s="5" t="inlineStr"/>
      <c r="BQ752" s="5" t="inlineStr"/>
    </row>
    <row r="753">
      <c r="A753" s="10" t="inlineStr">
        <is>
          <t>UK-000401</t>
        </is>
      </c>
      <c r="B753" s="10" t="inlineStr">
        <is>
          <t>UK-000401-01</t>
        </is>
      </c>
      <c r="C753" s="10" t="inlineStr"/>
      <c r="D753" s="10" t="inlineStr">
        <is>
          <t>Vape Bar Wigan</t>
        </is>
      </c>
      <c r="E753" s="10" t="inlineStr">
        <is>
          <t>Vape Bar</t>
        </is>
      </c>
      <c r="F753" s="10" t="inlineStr"/>
      <c r="G753" s="10" t="inlineStr">
        <is>
          <t>Vape Shop</t>
        </is>
      </c>
      <c r="H753" s="10" t="inlineStr"/>
      <c r="I753" s="10" t="inlineStr">
        <is>
          <t>Independent</t>
        </is>
      </c>
      <c r="J753" s="10" t="inlineStr">
        <is>
          <t>1</t>
        </is>
      </c>
      <c r="K753" s="10" t="inlineStr"/>
      <c r="L753" s="10" t="inlineStr">
        <is>
          <t>https://www.facebook.com/vapebarwigan/</t>
        </is>
      </c>
      <c r="M753" s="10" t="inlineStr"/>
      <c r="N753" s="10" t="inlineStr"/>
      <c r="O753" s="10" t="inlineStr">
        <is>
          <t>22 Wall Gate</t>
        </is>
      </c>
      <c r="P753" s="10" t="inlineStr"/>
      <c r="Q753" s="10" t="inlineStr">
        <is>
          <t>Wigan</t>
        </is>
      </c>
      <c r="R753" s="10" t="inlineStr">
        <is>
          <t>Greater Manchester</t>
        </is>
      </c>
      <c r="S753" s="10" t="inlineStr"/>
      <c r="T753" s="10" t="inlineStr">
        <is>
          <t>North West</t>
        </is>
      </c>
      <c r="U753" s="10" t="inlineStr">
        <is>
          <t>England</t>
        </is>
      </c>
      <c r="V753" s="10" t="inlineStr">
        <is>
          <t>07752 465566</t>
        </is>
      </c>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vape hardware; e-liquids</t>
        </is>
      </c>
      <c r="AL753" s="10" t="inlineStr"/>
      <c r="AM753" s="10" t="inlineStr">
        <is>
          <t>Vape Shop</t>
        </is>
      </c>
      <c r="AN753" s="10" t="inlineStr"/>
      <c r="AO753" s="10" t="inlineStr">
        <is>
          <t>Independent vape shop on Wallgate, Wigan, with active Facebook page. Postcode not confirmed in snippet.</t>
        </is>
      </c>
      <c r="AP753" s="10" t="inlineStr">
        <is>
          <t>Medium</t>
        </is>
      </c>
      <c r="AQ753" s="10" t="inlineStr">
        <is>
          <t>Independent retailer; Core relevant category; Social presence</t>
        </is>
      </c>
      <c r="AR753" s="10" t="inlineStr">
        <is>
          <t>https://www.facebook.com/vapebarwigan/</t>
        </is>
      </c>
      <c r="AS753" s="10" t="inlineStr"/>
      <c r="AT753" s="10" t="inlineStr">
        <is>
          <t>1</t>
        </is>
      </c>
      <c r="AU753" s="10" t="inlineStr">
        <is>
          <t>No</t>
        </is>
      </c>
      <c r="AV753" s="10" t="inlineStr">
        <is>
          <t>No</t>
        </is>
      </c>
      <c r="AW753" s="10" t="inlineStr">
        <is>
          <t>No</t>
        </is>
      </c>
      <c r="AX753" s="10" t="inlineStr">
        <is>
          <t>No</t>
        </is>
      </c>
      <c r="AY753" s="10" t="inlineStr">
        <is>
          <t>Verified directory</t>
        </is>
      </c>
      <c r="AZ753" s="10" t="inlineStr">
        <is>
          <t>Not Found</t>
        </is>
      </c>
      <c r="BA753" s="10" t="inlineStr">
        <is>
          <t>2026-09-17</t>
        </is>
      </c>
      <c r="BB753" s="10" t="inlineStr">
        <is>
          <t>Requires Verification</t>
        </is>
      </c>
      <c r="BC753" s="10" t="inlineStr">
        <is>
          <t>Low</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2026-09-17</t>
        </is>
      </c>
      <c r="BJ753" s="10" t="inlineStr">
        <is>
          <t>New</t>
        </is>
      </c>
      <c r="BK753" s="10" t="inlineStr">
        <is>
          <t>2026-09-17</t>
        </is>
      </c>
      <c r="BL753" s="10" t="inlineStr"/>
      <c r="BM753" s="10" t="inlineStr"/>
      <c r="BN753" s="10" t="inlineStr"/>
      <c r="BO753" s="10" t="inlineStr"/>
      <c r="BP753" s="10" t="inlineStr"/>
      <c r="BQ753" s="10" t="inlineStr"/>
    </row>
    <row r="754">
      <c r="A754" s="5" t="inlineStr">
        <is>
          <t>UK-000402</t>
        </is>
      </c>
      <c r="B754" s="5" t="inlineStr">
        <is>
          <t>UK-000402-01</t>
        </is>
      </c>
      <c r="C754" s="5" t="inlineStr"/>
      <c r="D754" s="5" t="inlineStr">
        <is>
          <t>Vape Citi Bury</t>
        </is>
      </c>
      <c r="E754" s="5" t="inlineStr">
        <is>
          <t>Vape Citi</t>
        </is>
      </c>
      <c r="F754" s="5" t="inlineStr"/>
      <c r="G754" s="5" t="inlineStr">
        <is>
          <t>Vape Shop</t>
        </is>
      </c>
      <c r="H754" s="5" t="inlineStr"/>
      <c r="I754" s="5" t="inlineStr">
        <is>
          <t>Independent</t>
        </is>
      </c>
      <c r="J754" s="5" t="inlineStr">
        <is>
          <t>1</t>
        </is>
      </c>
      <c r="K754" s="5" t="inlineStr"/>
      <c r="L754" s="5" t="inlineStr"/>
      <c r="M754" s="5" t="inlineStr"/>
      <c r="N754" s="5" t="inlineStr"/>
      <c r="O754" s="5" t="inlineStr">
        <is>
          <t>5 Market Street</t>
        </is>
      </c>
      <c r="P754" s="5" t="inlineStr"/>
      <c r="Q754" s="5" t="inlineStr">
        <is>
          <t>Bury</t>
        </is>
      </c>
      <c r="R754" s="5" t="inlineStr">
        <is>
          <t>Greater Manchester</t>
        </is>
      </c>
      <c r="S754" s="5" t="inlineStr">
        <is>
          <t>BL9 0BL</t>
        </is>
      </c>
      <c r="T754" s="5" t="inlineStr">
        <is>
          <t>North West</t>
        </is>
      </c>
      <c r="U754" s="5" t="inlineStr">
        <is>
          <t>England</t>
        </is>
      </c>
      <c r="V754" s="5" t="inlineStr"/>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vape hardware; e-liquids</t>
        </is>
      </c>
      <c r="AL754" s="5" t="inlineStr"/>
      <c r="AM754" s="5" t="inlineStr">
        <is>
          <t>Vape Shop</t>
        </is>
      </c>
      <c r="AN754" s="5" t="inlineStr"/>
      <c r="AO754" s="5" t="inlineStr">
        <is>
          <t>Independent vape shop on Market Street, Bury town centre. Listed on eCig Directory and Cylex.</t>
        </is>
      </c>
      <c r="AP754" s="5" t="inlineStr">
        <is>
          <t>Medium</t>
        </is>
      </c>
      <c r="AQ754" s="5" t="inlineStr">
        <is>
          <t>Independent retailer; Core relevant category</t>
        </is>
      </c>
      <c r="AR754" s="5" t="inlineStr">
        <is>
          <t>https://ecigdirectory.co.uk/vape-shop/listing/vape-citi-bury</t>
        </is>
      </c>
      <c r="AS754" s="5" t="inlineStr">
        <is>
          <t>https://bury.cylex-uk.co.uk/company/vape-citi-26390146.html</t>
        </is>
      </c>
      <c r="AT754" s="5" t="inlineStr">
        <is>
          <t>2</t>
        </is>
      </c>
      <c r="AU754" s="5" t="inlineStr">
        <is>
          <t>No</t>
        </is>
      </c>
      <c r="AV754" s="5" t="inlineStr">
        <is>
          <t>No</t>
        </is>
      </c>
      <c r="AW754" s="5" t="inlineStr">
        <is>
          <t>No</t>
        </is>
      </c>
      <c r="AX754" s="5" t="inlineStr">
        <is>
          <t>No</t>
        </is>
      </c>
      <c r="AY754" s="5" t="inlineStr">
        <is>
          <t>Not Found</t>
        </is>
      </c>
      <c r="AZ754" s="5" t="inlineStr">
        <is>
          <t>Not Found</t>
        </is>
      </c>
      <c r="BA754" s="5" t="inlineStr">
        <is>
          <t>2026-09-17</t>
        </is>
      </c>
      <c r="BB754" s="5" t="inlineStr">
        <is>
          <t>Requires Verification</t>
        </is>
      </c>
      <c r="BC754" s="5" t="inlineStr">
        <is>
          <t>Low</t>
        </is>
      </c>
      <c r="BD754" s="5" t="inlineStr"/>
      <c r="BE754" s="5" t="inlineStr">
        <is>
          <t>Business (B2B)</t>
        </is>
      </c>
      <c r="BF754" s="5" t="inlineStr">
        <is>
          <t>Legitimate interest (B2B) - assess per campaign; PECR: corporate subscribers</t>
        </is>
      </c>
      <c r="BG754" s="5" t="inlineStr"/>
      <c r="BH754" s="5" t="inlineStr">
        <is>
          <t>No</t>
        </is>
      </c>
      <c r="BI754" s="5" t="inlineStr">
        <is>
          <t>2026-09-17</t>
        </is>
      </c>
      <c r="BJ754" s="5" t="inlineStr">
        <is>
          <t>New</t>
        </is>
      </c>
      <c r="BK754" s="5" t="inlineStr">
        <is>
          <t>2026-09-17</t>
        </is>
      </c>
      <c r="BL754" s="5" t="inlineStr"/>
      <c r="BM754" s="5" t="inlineStr"/>
      <c r="BN754" s="5" t="inlineStr"/>
      <c r="BO754" s="5" t="inlineStr"/>
      <c r="BP754" s="5" t="inlineStr"/>
      <c r="BQ754" s="5" t="inlineStr"/>
    </row>
    <row r="755">
      <c r="A755" s="10" t="inlineStr">
        <is>
          <t>WY-0172</t>
        </is>
      </c>
      <c r="B755" s="10" t="inlineStr">
        <is>
          <t>WY-0172-01</t>
        </is>
      </c>
      <c r="C755" s="10" t="inlineStr"/>
      <c r="D755" s="10" t="inlineStr">
        <is>
          <t>Vape Dream</t>
        </is>
      </c>
      <c r="E755" s="10" t="inlineStr">
        <is>
          <t>Vape Dream</t>
        </is>
      </c>
      <c r="F755" s="10" t="inlineStr"/>
      <c r="G755" s="10" t="inlineStr">
        <is>
          <t>Vape Shop</t>
        </is>
      </c>
      <c r="H755" s="10" t="inlineStr">
        <is>
          <t>Vape retailer</t>
        </is>
      </c>
      <c r="I755" s="10" t="inlineStr">
        <is>
          <t>Independent</t>
        </is>
      </c>
      <c r="J755" s="10" t="inlineStr">
        <is>
          <t>1</t>
        </is>
      </c>
      <c r="K755" s="10" t="inlineStr"/>
      <c r="L755" s="10" t="inlineStr">
        <is>
          <t>https://www.facebook.com/p/Vape-Dream-Vape-Shop-61558567906935/</t>
        </is>
      </c>
      <c r="M755" s="10" t="inlineStr"/>
      <c r="N755" s="10" t="inlineStr"/>
      <c r="O755" s="10" t="inlineStr"/>
      <c r="P755" s="10" t="inlineStr"/>
      <c r="Q755" s="10" t="inlineStr">
        <is>
          <t>Dewsbury</t>
        </is>
      </c>
      <c r="R755" s="10" t="inlineStr">
        <is>
          <t>West Yorkshire</t>
        </is>
      </c>
      <c r="S755" s="10" t="inlineStr"/>
      <c r="T755" s="10" t="inlineStr">
        <is>
          <t>Yorkshire &amp; Humber</t>
        </is>
      </c>
      <c r="U755" s="10" t="inlineStr">
        <is>
          <t>England</t>
        </is>
      </c>
      <c r="V755" s="10" t="inlineStr"/>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vape hardware; e-liquids</t>
        </is>
      </c>
      <c r="AL755" s="10" t="inlineStr"/>
      <c r="AM755" s="10" t="inlineStr">
        <is>
          <t>Vape Shop</t>
        </is>
      </c>
      <c r="AN755" s="10" t="inlineStr"/>
      <c r="AO755" s="10" t="inlineStr">
        <is>
          <t>Active Facebook business page for a Dewsbury vape shop; street address not published in accessible sources.</t>
        </is>
      </c>
      <c r="AP755" s="10" t="inlineStr">
        <is>
          <t>Medium</t>
        </is>
      </c>
      <c r="AQ755" s="10" t="inlineStr">
        <is>
          <t>Independent retailer; Core relevant category; Social presence</t>
        </is>
      </c>
      <c r="AR755" s="10" t="inlineStr">
        <is>
          <t>https://www.facebook.com/p/Vape-Dream-Vape-Shop-61558567906935/</t>
        </is>
      </c>
      <c r="AS755" s="10" t="inlineStr"/>
      <c r="AT755" s="10" t="inlineStr">
        <is>
          <t>1</t>
        </is>
      </c>
      <c r="AU755" s="10" t="inlineStr">
        <is>
          <t>No</t>
        </is>
      </c>
      <c r="AV755" s="10" t="inlineStr">
        <is>
          <t>No</t>
        </is>
      </c>
      <c r="AW755" s="10" t="inlineStr">
        <is>
          <t>No</t>
        </is>
      </c>
      <c r="AX755" s="10" t="inlineStr">
        <is>
          <t>No</t>
        </is>
      </c>
      <c r="AY755" s="10" t="inlineStr">
        <is>
          <t>Not Found</t>
        </is>
      </c>
      <c r="AZ755" s="10" t="inlineStr">
        <is>
          <t>Not Found</t>
        </is>
      </c>
      <c r="BA755" s="10" t="inlineStr">
        <is>
          <t>2026-09-17</t>
        </is>
      </c>
      <c r="BB755" s="10" t="inlineStr">
        <is>
          <t>Requires Verification</t>
        </is>
      </c>
      <c r="BC755" s="10" t="inlineStr">
        <is>
          <t>Low</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2026-09-16</t>
        </is>
      </c>
      <c r="BJ755" s="10" t="inlineStr">
        <is>
          <t>New</t>
        </is>
      </c>
      <c r="BK755" s="10" t="inlineStr">
        <is>
          <t>2026-09-17</t>
        </is>
      </c>
      <c r="BL755" s="10" t="inlineStr"/>
      <c r="BM755" s="10" t="inlineStr"/>
      <c r="BN755" s="10" t="inlineStr"/>
      <c r="BO755" s="10" t="inlineStr"/>
      <c r="BP755" s="10" t="inlineStr"/>
      <c r="BQ755" s="10" t="inlineStr"/>
    </row>
    <row r="756">
      <c r="A756" s="5" t="inlineStr">
        <is>
          <t>UK-000288</t>
        </is>
      </c>
      <c r="B756" s="5" t="inlineStr">
        <is>
          <t>UK-000288-01</t>
        </is>
      </c>
      <c r="C756" s="5" t="inlineStr"/>
      <c r="D756" s="5" t="inlineStr">
        <is>
          <t>Vape HQ Stocksbridge</t>
        </is>
      </c>
      <c r="E756" s="5" t="inlineStr">
        <is>
          <t>Vape HQ</t>
        </is>
      </c>
      <c r="F756" s="5" t="inlineStr"/>
      <c r="G756" s="5" t="inlineStr">
        <is>
          <t>Vape Shop</t>
        </is>
      </c>
      <c r="H756" s="5" t="inlineStr">
        <is>
          <t>Vape shop</t>
        </is>
      </c>
      <c r="I756" s="5" t="inlineStr">
        <is>
          <t>Independent</t>
        </is>
      </c>
      <c r="J756" s="5" t="inlineStr">
        <is>
          <t>1</t>
        </is>
      </c>
      <c r="K756" s="5" t="inlineStr"/>
      <c r="L756" s="5" t="inlineStr">
        <is>
          <t>https://www.facebook.com/VHQStocksbridge/</t>
        </is>
      </c>
      <c r="M756" s="5" t="inlineStr"/>
      <c r="N756" s="5" t="inlineStr"/>
      <c r="O756" s="5" t="inlineStr"/>
      <c r="P756" s="5" t="inlineStr">
        <is>
          <t>Stocksbridge</t>
        </is>
      </c>
      <c r="Q756" s="5" t="inlineStr">
        <is>
          <t>Sheffield</t>
        </is>
      </c>
      <c r="R756" s="5" t="inlineStr">
        <is>
          <t>South Yorkshire</t>
        </is>
      </c>
      <c r="S756" s="5" t="inlineStr"/>
      <c r="T756" s="5" t="inlineStr">
        <is>
          <t>Yorkshire &amp; Humber</t>
        </is>
      </c>
      <c r="U756" s="5" t="inlineStr">
        <is>
          <t>England</t>
        </is>
      </c>
      <c r="V756" s="5" t="inlineStr"/>
      <c r="W756" s="5" t="inlineStr"/>
      <c r="X756" s="5" t="inlineStr"/>
      <c r="Y756" s="5" t="inlineStr"/>
      <c r="Z756" s="5" t="inlineStr"/>
      <c r="AA756" s="5" t="inlineStr"/>
      <c r="AB756" s="5" t="inlineStr"/>
      <c r="AC756" s="5" t="inlineStr"/>
      <c r="AD756" s="5" t="inlineStr"/>
      <c r="AE756" s="5" t="inlineStr"/>
      <c r="AF756" s="5" t="inlineStr"/>
      <c r="AG756" s="5" t="inlineStr"/>
      <c r="AH756" s="5" t="inlineStr"/>
      <c r="AI756" s="5" t="inlineStr"/>
      <c r="AJ756" s="5" t="inlineStr"/>
      <c r="AK756" s="5" t="inlineStr">
        <is>
          <t>vape hardware; e-liquids; disposables</t>
        </is>
      </c>
      <c r="AL756" s="5" t="inlineStr"/>
      <c r="AM756" s="5" t="inlineStr">
        <is>
          <t>Vape Shop</t>
        </is>
      </c>
      <c r="AN756" s="5" t="inlineStr"/>
      <c r="AO756" s="5" t="inlineStr">
        <is>
          <t>Independent vape shop in Stocksbridge; only a Facebook page found in search. Street address/postcode not captured.</t>
        </is>
      </c>
      <c r="AP756" s="5" t="inlineStr">
        <is>
          <t>Medium</t>
        </is>
      </c>
      <c r="AQ756" s="5" t="inlineStr">
        <is>
          <t>Independent retailer; Core relevant category; Social presence</t>
        </is>
      </c>
      <c r="AR756" s="5" t="inlineStr">
        <is>
          <t>https://www.facebook.com/VHQStocksbridge/</t>
        </is>
      </c>
      <c r="AS756" s="5" t="inlineStr"/>
      <c r="AT756" s="5" t="inlineStr">
        <is>
          <t>1</t>
        </is>
      </c>
      <c r="AU756" s="5" t="inlineStr">
        <is>
          <t>No</t>
        </is>
      </c>
      <c r="AV756" s="5" t="inlineStr">
        <is>
          <t>No</t>
        </is>
      </c>
      <c r="AW756" s="5" t="inlineStr">
        <is>
          <t>No</t>
        </is>
      </c>
      <c r="AX756" s="5" t="inlineStr">
        <is>
          <t>No</t>
        </is>
      </c>
      <c r="AY756" s="5" t="inlineStr">
        <is>
          <t>Not Found</t>
        </is>
      </c>
      <c r="AZ756" s="5" t="inlineStr">
        <is>
          <t>Not Found</t>
        </is>
      </c>
      <c r="BA756" s="5" t="inlineStr">
        <is>
          <t>2026-09-17</t>
        </is>
      </c>
      <c r="BB756" s="5" t="inlineStr">
        <is>
          <t>Requires Verification</t>
        </is>
      </c>
      <c r="BC756" s="5" t="inlineStr">
        <is>
          <t>Low</t>
        </is>
      </c>
      <c r="BD756" s="5" t="inlineStr"/>
      <c r="BE756" s="5" t="inlineStr">
        <is>
          <t>Business (B2B)</t>
        </is>
      </c>
      <c r="BF756" s="5" t="inlineStr">
        <is>
          <t>Legitimate interest (B2B) - assess per campaign; PECR: corporate subscribers</t>
        </is>
      </c>
      <c r="BG756" s="5" t="inlineStr"/>
      <c r="BH756" s="5" t="inlineStr">
        <is>
          <t>No</t>
        </is>
      </c>
      <c r="BI756" s="5" t="inlineStr">
        <is>
          <t>2026-09-16</t>
        </is>
      </c>
      <c r="BJ756" s="5" t="inlineStr">
        <is>
          <t>New</t>
        </is>
      </c>
      <c r="BK756" s="5" t="inlineStr">
        <is>
          <t>2026-09-17</t>
        </is>
      </c>
      <c r="BL756" s="5" t="inlineStr"/>
      <c r="BM756" s="5" t="inlineStr"/>
      <c r="BN756" s="5" t="inlineStr"/>
      <c r="BO756" s="5" t="inlineStr"/>
      <c r="BP756" s="5" t="inlineStr"/>
      <c r="BQ756" s="5" t="inlineStr"/>
    </row>
    <row r="757">
      <c r="A757" s="10" t="inlineStr">
        <is>
          <t>UK-000403</t>
        </is>
      </c>
      <c r="B757" s="10" t="inlineStr">
        <is>
          <t>UK-000403-01</t>
        </is>
      </c>
      <c r="C757" s="10" t="inlineStr"/>
      <c r="D757" s="10" t="inlineStr">
        <is>
          <t>Vape Huts</t>
        </is>
      </c>
      <c r="E757" s="10" t="inlineStr">
        <is>
          <t>Vape Huts</t>
        </is>
      </c>
      <c r="F757" s="10" t="inlineStr"/>
      <c r="G757" s="10" t="inlineStr">
        <is>
          <t>Vape Shop</t>
        </is>
      </c>
      <c r="H757" s="10" t="inlineStr"/>
      <c r="I757" s="10" t="inlineStr">
        <is>
          <t>Independent</t>
        </is>
      </c>
      <c r="J757" s="10" t="inlineStr">
        <is>
          <t>1</t>
        </is>
      </c>
      <c r="K757" s="10" t="inlineStr"/>
      <c r="L757" s="10" t="inlineStr"/>
      <c r="M757" s="10" t="inlineStr"/>
      <c r="N757" s="10" t="inlineStr"/>
      <c r="O757" s="10" t="inlineStr">
        <is>
          <t>451-453 Broadway</t>
        </is>
      </c>
      <c r="P757" s="10" t="inlineStr"/>
      <c r="Q757" s="10" t="inlineStr">
        <is>
          <t>Chadderton</t>
        </is>
      </c>
      <c r="R757" s="10" t="inlineStr">
        <is>
          <t>Greater Manchester</t>
        </is>
      </c>
      <c r="S757" s="10" t="inlineStr">
        <is>
          <t>OL9 8AP</t>
        </is>
      </c>
      <c r="T757" s="10" t="inlineStr">
        <is>
          <t>North West</t>
        </is>
      </c>
      <c r="U757" s="10" t="inlineStr">
        <is>
          <t>England</t>
        </is>
      </c>
      <c r="V757" s="10" t="inlineStr"/>
      <c r="W757" s="10" t="inlineStr"/>
      <c r="X757" s="10" t="inlineStr"/>
      <c r="Y757" s="10" t="inlineStr"/>
      <c r="Z757" s="10" t="inlineStr"/>
      <c r="AA757" s="10" t="inlineStr"/>
      <c r="AB757" s="10" t="inlineStr"/>
      <c r="AC757" s="10" t="inlineStr"/>
      <c r="AD757" s="10" t="inlineStr"/>
      <c r="AE757" s="10" t="inlineStr"/>
      <c r="AF757" s="10" t="inlineStr"/>
      <c r="AG757" s="10" t="inlineStr"/>
      <c r="AH757" s="10" t="inlineStr"/>
      <c r="AI757" s="10" t="inlineStr"/>
      <c r="AJ757" s="10" t="inlineStr"/>
      <c r="AK757" s="10" t="inlineStr">
        <is>
          <t>e-liquids; vape hardware; disposables</t>
        </is>
      </c>
      <c r="AL757" s="10" t="inlineStr"/>
      <c r="AM757" s="10" t="inlineStr">
        <is>
          <t>Vape Shop</t>
        </is>
      </c>
      <c r="AN757" s="10" t="inlineStr"/>
      <c r="AO757" s="10" t="inlineStr">
        <is>
          <t>Independent vape shop in Chadderton, Oldham.</t>
        </is>
      </c>
      <c r="AP757" s="10" t="inlineStr">
        <is>
          <t>Medium</t>
        </is>
      </c>
      <c r="AQ757" s="10" t="inlineStr">
        <is>
          <t>Independent retailer; Core relevant category</t>
        </is>
      </c>
      <c r="AR757" s="10" t="inlineStr">
        <is>
          <t>https://vapeshops.puffingbird.com/england/oldham</t>
        </is>
      </c>
      <c r="AS757" s="10" t="inlineStr"/>
      <c r="AT757" s="10" t="inlineStr">
        <is>
          <t>1</t>
        </is>
      </c>
      <c r="AU757" s="10" t="inlineStr">
        <is>
          <t>No</t>
        </is>
      </c>
      <c r="AV757" s="10" t="inlineStr">
        <is>
          <t>No</t>
        </is>
      </c>
      <c r="AW757" s="10" t="inlineStr">
        <is>
          <t>No</t>
        </is>
      </c>
      <c r="AX757" s="10" t="inlineStr">
        <is>
          <t>No</t>
        </is>
      </c>
      <c r="AY757" s="10" t="inlineStr">
        <is>
          <t>Not Found</t>
        </is>
      </c>
      <c r="AZ757" s="10" t="inlineStr">
        <is>
          <t>Not Found</t>
        </is>
      </c>
      <c r="BA757" s="10" t="inlineStr">
        <is>
          <t>2026-09-17</t>
        </is>
      </c>
      <c r="BB757" s="10" t="inlineStr">
        <is>
          <t>Requires Verification</t>
        </is>
      </c>
      <c r="BC757" s="10" t="inlineStr">
        <is>
          <t>Low</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2026-09-17</t>
        </is>
      </c>
      <c r="BJ757" s="10" t="inlineStr">
        <is>
          <t>New</t>
        </is>
      </c>
      <c r="BK757" s="10" t="inlineStr">
        <is>
          <t>2026-09-17</t>
        </is>
      </c>
      <c r="BL757" s="10" t="inlineStr"/>
      <c r="BM757" s="10" t="inlineStr"/>
      <c r="BN757" s="10" t="inlineStr"/>
      <c r="BO757" s="10" t="inlineStr"/>
      <c r="BP757" s="10" t="inlineStr"/>
      <c r="BQ757" s="10" t="inlineStr"/>
    </row>
    <row r="758">
      <c r="A758" s="5" t="inlineStr">
        <is>
          <t>UK-000674</t>
        </is>
      </c>
      <c r="B758" s="5" t="inlineStr">
        <is>
          <t>UK-000674-01</t>
        </is>
      </c>
      <c r="C758" s="5" t="inlineStr"/>
      <c r="D758" s="5" t="inlineStr">
        <is>
          <t>Vape Inc</t>
        </is>
      </c>
      <c r="E758" s="5" t="inlineStr">
        <is>
          <t>Vape Inc</t>
        </is>
      </c>
      <c r="F758" s="5" t="inlineStr"/>
      <c r="G758" s="5" t="inlineStr">
        <is>
          <t>Vape Shop</t>
        </is>
      </c>
      <c r="H758" s="5" t="inlineStr">
        <is>
          <t>Vape hardware, e-liquids &amp; disposables</t>
        </is>
      </c>
      <c r="I758" s="5" t="inlineStr">
        <is>
          <t>Independent</t>
        </is>
      </c>
      <c r="J758" s="5" t="inlineStr">
        <is>
          <t>1</t>
        </is>
      </c>
      <c r="K758" s="5" t="inlineStr"/>
      <c r="L758" s="5" t="inlineStr"/>
      <c r="M758" s="5" t="inlineStr"/>
      <c r="N758" s="5" t="inlineStr"/>
      <c r="O758" s="5" t="inlineStr">
        <is>
          <t>74 Hoe Street</t>
        </is>
      </c>
      <c r="P758" s="5" t="inlineStr"/>
      <c r="Q758" s="5" t="inlineStr">
        <is>
          <t>Walthamstow</t>
        </is>
      </c>
      <c r="R758" s="5" t="inlineStr">
        <is>
          <t>Greater London</t>
        </is>
      </c>
      <c r="S758" s="5" t="inlineStr">
        <is>
          <t>E17 4PG</t>
        </is>
      </c>
      <c r="T758" s="5" t="inlineStr">
        <is>
          <t>London</t>
        </is>
      </c>
      <c r="U758" s="5" t="inlineStr">
        <is>
          <t>England</t>
        </is>
      </c>
      <c r="V758" s="5" t="inlineStr">
        <is>
          <t>020 8521 9004</t>
        </is>
      </c>
      <c r="W758" s="5" t="inlineStr"/>
      <c r="X758" s="5" t="inlineStr"/>
      <c r="Y758" s="5" t="inlineStr"/>
      <c r="Z758" s="5" t="inlineStr"/>
      <c r="AA758" s="5" t="inlineStr"/>
      <c r="AB758" s="5" t="inlineStr"/>
      <c r="AC758" s="5" t="inlineStr"/>
      <c r="AD758" s="5" t="inlineStr"/>
      <c r="AE758" s="5" t="inlineStr"/>
      <c r="AF758" s="5" t="inlineStr"/>
      <c r="AG758" s="5" t="inlineStr"/>
      <c r="AH758" s="5" t="inlineStr"/>
      <c r="AI758" s="5" t="inlineStr"/>
      <c r="AJ758" s="5" t="inlineStr"/>
      <c r="AK758" s="5" t="inlineStr">
        <is>
          <t>vape hardware; e-liquids; disposables</t>
        </is>
      </c>
      <c r="AL758" s="5" t="inlineStr"/>
      <c r="AM758" s="5" t="inlineStr">
        <is>
          <t>Vape Shop</t>
        </is>
      </c>
      <c r="AN758" s="5" t="inlineStr"/>
      <c r="AO758" s="5" t="inlineStr">
        <is>
          <t>Independent vape shop on Hoe Street, Walthamstow. Address, postcode and phone from Yelp business listing.</t>
        </is>
      </c>
      <c r="AP758" s="5" t="inlineStr">
        <is>
          <t>Medium</t>
        </is>
      </c>
      <c r="AQ758" s="5" t="inlineStr">
        <is>
          <t>Independent retailer; Core relevant category</t>
        </is>
      </c>
      <c r="AR758" s="5" t="inlineStr">
        <is>
          <t>https://www.yelp.co.uk/biz/vape-inc-walthamstow</t>
        </is>
      </c>
      <c r="AS758" s="5" t="inlineStr"/>
      <c r="AT758" s="5" t="inlineStr">
        <is>
          <t>1</t>
        </is>
      </c>
      <c r="AU758" s="5" t="inlineStr">
        <is>
          <t>No</t>
        </is>
      </c>
      <c r="AV758" s="5" t="inlineStr">
        <is>
          <t>No</t>
        </is>
      </c>
      <c r="AW758" s="5" t="inlineStr">
        <is>
          <t>No</t>
        </is>
      </c>
      <c r="AX758" s="5" t="inlineStr">
        <is>
          <t>No</t>
        </is>
      </c>
      <c r="AY758" s="5" t="inlineStr">
        <is>
          <t>Verified directory</t>
        </is>
      </c>
      <c r="AZ758" s="5" t="inlineStr">
        <is>
          <t>Not Found</t>
        </is>
      </c>
      <c r="BA758" s="5" t="inlineStr">
        <is>
          <t>2026-09-17</t>
        </is>
      </c>
      <c r="BB758" s="5" t="inlineStr">
        <is>
          <t>Requires Verification</t>
        </is>
      </c>
      <c r="BC758" s="5" t="inlineStr">
        <is>
          <t>Medium</t>
        </is>
      </c>
      <c r="BD758" s="5" t="inlineStr"/>
      <c r="BE758" s="5" t="inlineStr">
        <is>
          <t>Business (B2B)</t>
        </is>
      </c>
      <c r="BF758" s="5" t="inlineStr">
        <is>
          <t>Legitimate interest (B2B) - assess per campaign; PECR: corporate subscribers</t>
        </is>
      </c>
      <c r="BG758" s="5" t="inlineStr"/>
      <c r="BH758" s="5" t="inlineStr">
        <is>
          <t>No</t>
        </is>
      </c>
      <c r="BI758" s="5" t="inlineStr">
        <is>
          <t>2026-09-17</t>
        </is>
      </c>
      <c r="BJ758" s="5" t="inlineStr">
        <is>
          <t>New</t>
        </is>
      </c>
      <c r="BK758" s="5" t="inlineStr">
        <is>
          <t>2026-09-17</t>
        </is>
      </c>
      <c r="BL758" s="5" t="inlineStr"/>
      <c r="BM758" s="5" t="inlineStr"/>
      <c r="BN758" s="5" t="inlineStr"/>
      <c r="BO758" s="5" t="inlineStr"/>
      <c r="BP758" s="5" t="inlineStr"/>
      <c r="BQ758" s="5" t="inlineStr"/>
    </row>
    <row r="759">
      <c r="A759" s="10" t="inlineStr">
        <is>
          <t>UK-000534</t>
        </is>
      </c>
      <c r="B759" s="10" t="inlineStr">
        <is>
          <t>UK-000534-01</t>
        </is>
      </c>
      <c r="C759" s="10" t="inlineStr"/>
      <c r="D759" s="10" t="inlineStr">
        <is>
          <t>Vape Inn Ltd</t>
        </is>
      </c>
      <c r="E759" s="10" t="inlineStr">
        <is>
          <t>Vape Inn</t>
        </is>
      </c>
      <c r="F759" s="10" t="inlineStr">
        <is>
          <t>Vape Inn Ltd</t>
        </is>
      </c>
      <c r="G759" s="10" t="inlineStr">
        <is>
          <t>Vape Shop</t>
        </is>
      </c>
      <c r="H759" s="10" t="inlineStr">
        <is>
          <t>Vape kits, e-liquids &amp; accessories</t>
        </is>
      </c>
      <c r="I759" s="10" t="inlineStr">
        <is>
          <t>Independent</t>
        </is>
      </c>
      <c r="J759" s="10" t="inlineStr">
        <is>
          <t>1</t>
        </is>
      </c>
      <c r="K759" s="10" t="inlineStr"/>
      <c r="L759" s="10" t="inlineStr"/>
      <c r="M759" s="10" t="inlineStr"/>
      <c r="N759" s="10" t="inlineStr"/>
      <c r="O759" s="10" t="inlineStr"/>
      <c r="P759" s="10" t="inlineStr"/>
      <c r="Q759" s="10" t="inlineStr">
        <is>
          <t>Wednesbury</t>
        </is>
      </c>
      <c r="R759" s="10" t="inlineStr">
        <is>
          <t>West Midlands</t>
        </is>
      </c>
      <c r="S759" s="10" t="inlineStr"/>
      <c r="T759" s="10" t="inlineStr">
        <is>
          <t>West Midlands</t>
        </is>
      </c>
      <c r="U759" s="10" t="inlineStr">
        <is>
          <t>England</t>
        </is>
      </c>
      <c r="V759" s="10" t="inlineStr"/>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vape hardware; e-liquids; accessories</t>
        </is>
      </c>
      <c r="AL759" s="10" t="inlineStr"/>
      <c r="AM759" s="10" t="inlineStr">
        <is>
          <t>Vape Shop</t>
        </is>
      </c>
      <c r="AN759" s="10" t="inlineStr"/>
      <c r="AO759" s="10" t="inlineStr">
        <is>
          <t>Independent vape shop in Wednesbury, described as clean and spacious with knowledgeable staff. Listed via Yell Wednesbury vape shops; exact address not in snippet.</t>
        </is>
      </c>
      <c r="AP759" s="10" t="inlineStr">
        <is>
          <t>Medium</t>
        </is>
      </c>
      <c r="AQ759" s="10" t="inlineStr">
        <is>
          <t>Independent retailer; Core relevant category</t>
        </is>
      </c>
      <c r="AR759" s="10" t="inlineStr">
        <is>
          <t>https://www.yell.com/s/vape+shops-wednesbury.html</t>
        </is>
      </c>
      <c r="AS759" s="10" t="inlineStr"/>
      <c r="AT759" s="10" t="inlineStr">
        <is>
          <t>1</t>
        </is>
      </c>
      <c r="AU759" s="10" t="inlineStr">
        <is>
          <t>No</t>
        </is>
      </c>
      <c r="AV759" s="10" t="inlineStr">
        <is>
          <t>No</t>
        </is>
      </c>
      <c r="AW759" s="10" t="inlineStr">
        <is>
          <t>No</t>
        </is>
      </c>
      <c r="AX759" s="10" t="inlineStr">
        <is>
          <t>No</t>
        </is>
      </c>
      <c r="AY759" s="10" t="inlineStr">
        <is>
          <t>Not Found</t>
        </is>
      </c>
      <c r="AZ759" s="10" t="inlineStr">
        <is>
          <t>Not Found</t>
        </is>
      </c>
      <c r="BA759" s="10" t="inlineStr">
        <is>
          <t>2026-09-17</t>
        </is>
      </c>
      <c r="BB759" s="10" t="inlineStr">
        <is>
          <t>Requires Verification</t>
        </is>
      </c>
      <c r="BC759" s="10" t="inlineStr">
        <is>
          <t>Low</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2026-09-17</t>
        </is>
      </c>
      <c r="BJ759" s="10" t="inlineStr">
        <is>
          <t>New</t>
        </is>
      </c>
      <c r="BK759" s="10" t="inlineStr">
        <is>
          <t>2026-09-17</t>
        </is>
      </c>
      <c r="BL759" s="10" t="inlineStr"/>
      <c r="BM759" s="10" t="inlineStr"/>
      <c r="BN759" s="10" t="inlineStr"/>
      <c r="BO759" s="10" t="inlineStr"/>
      <c r="BP759" s="10" t="inlineStr"/>
      <c r="BQ759" s="10" t="inlineStr"/>
    </row>
    <row r="760">
      <c r="A760" s="5" t="inlineStr">
        <is>
          <t>UK-000675</t>
        </is>
      </c>
      <c r="B760" s="5" t="inlineStr">
        <is>
          <t>UK-000675-01</t>
        </is>
      </c>
      <c r="C760" s="5" t="inlineStr"/>
      <c r="D760" s="5" t="inlineStr">
        <is>
          <t>Vape Island Ltd</t>
        </is>
      </c>
      <c r="E760" s="5" t="inlineStr">
        <is>
          <t>Vape Island</t>
        </is>
      </c>
      <c r="F760" s="5" t="inlineStr"/>
      <c r="G760" s="5" t="inlineStr">
        <is>
          <t>Vape Shop</t>
        </is>
      </c>
      <c r="H760" s="5" t="inlineStr">
        <is>
          <t>Vape hardware &amp; e-liquids</t>
        </is>
      </c>
      <c r="I760" s="5" t="inlineStr">
        <is>
          <t>Independent</t>
        </is>
      </c>
      <c r="J760" s="5" t="inlineStr">
        <is>
          <t>1</t>
        </is>
      </c>
      <c r="K760" s="5" t="inlineStr"/>
      <c r="L760" s="5" t="inlineStr"/>
      <c r="M760" s="5" t="inlineStr"/>
      <c r="N760" s="5" t="inlineStr"/>
      <c r="O760" s="5" t="inlineStr">
        <is>
          <t>26 Green Street</t>
        </is>
      </c>
      <c r="P760" s="5" t="inlineStr"/>
      <c r="Q760" s="5" t="inlineStr">
        <is>
          <t>Forest Gate</t>
        </is>
      </c>
      <c r="R760" s="5" t="inlineStr">
        <is>
          <t>Greater London</t>
        </is>
      </c>
      <c r="S760" s="5" t="inlineStr">
        <is>
          <t>E7 8BZ</t>
        </is>
      </c>
      <c r="T760" s="5" t="inlineStr">
        <is>
          <t>London</t>
        </is>
      </c>
      <c r="U760" s="5" t="inlineStr">
        <is>
          <t>England</t>
        </is>
      </c>
      <c r="V760" s="5" t="inlineStr"/>
      <c r="W760" s="5" t="inlineStr"/>
      <c r="X760" s="5" t="inlineStr"/>
      <c r="Y760" s="5" t="inlineStr"/>
      <c r="Z760" s="5" t="inlineStr"/>
      <c r="AA760" s="5" t="inlineStr"/>
      <c r="AB760" s="5" t="inlineStr"/>
      <c r="AC760" s="5" t="inlineStr"/>
      <c r="AD760" s="5" t="inlineStr"/>
      <c r="AE760" s="5" t="inlineStr"/>
      <c r="AF760" s="5" t="inlineStr"/>
      <c r="AG760" s="5" t="inlineStr"/>
      <c r="AH760" s="5" t="inlineStr"/>
      <c r="AI760" s="5" t="inlineStr"/>
      <c r="AJ760" s="5" t="inlineStr"/>
      <c r="AK760" s="5" t="inlineStr">
        <is>
          <t>vape hardware; e-liquids; disposables</t>
        </is>
      </c>
      <c r="AL760" s="5" t="inlineStr"/>
      <c r="AM760" s="5" t="inlineStr">
        <is>
          <t>Vape Shop</t>
        </is>
      </c>
      <c r="AN760" s="5" t="inlineStr"/>
      <c r="AO760" s="5" t="inlineStr">
        <is>
          <t>Independent vape shop on Green Street, Forest Gate/Upton Park. Address and postcode from Yell directory. Phone not in snippet.</t>
        </is>
      </c>
      <c r="AP760" s="5" t="inlineStr">
        <is>
          <t>Medium</t>
        </is>
      </c>
      <c r="AQ760" s="5" t="inlineStr">
        <is>
          <t>Independent retailer; Core relevant category</t>
        </is>
      </c>
      <c r="AR760" s="5" t="inlineStr">
        <is>
          <t>https://www.yell.com/s/vape+shops-stratford-east+london.html</t>
        </is>
      </c>
      <c r="AS760" s="5" t="inlineStr"/>
      <c r="AT760" s="5" t="inlineStr">
        <is>
          <t>1</t>
        </is>
      </c>
      <c r="AU760" s="5" t="inlineStr">
        <is>
          <t>No</t>
        </is>
      </c>
      <c r="AV760" s="5" t="inlineStr">
        <is>
          <t>No</t>
        </is>
      </c>
      <c r="AW760" s="5" t="inlineStr">
        <is>
          <t>No</t>
        </is>
      </c>
      <c r="AX760" s="5" t="inlineStr">
        <is>
          <t>No</t>
        </is>
      </c>
      <c r="AY760" s="5" t="inlineStr">
        <is>
          <t>Not Found</t>
        </is>
      </c>
      <c r="AZ760" s="5" t="inlineStr">
        <is>
          <t>Not Found</t>
        </is>
      </c>
      <c r="BA760" s="5" t="inlineStr">
        <is>
          <t>2026-09-17</t>
        </is>
      </c>
      <c r="BB760" s="5" t="inlineStr">
        <is>
          <t>Requires Verification</t>
        </is>
      </c>
      <c r="BC760" s="5" t="inlineStr">
        <is>
          <t>Low</t>
        </is>
      </c>
      <c r="BD760" s="5" t="inlineStr"/>
      <c r="BE760" s="5" t="inlineStr">
        <is>
          <t>Business (B2B)</t>
        </is>
      </c>
      <c r="BF760" s="5" t="inlineStr">
        <is>
          <t>Legitimate interest (B2B) - assess per campaign; PECR: corporate subscribers</t>
        </is>
      </c>
      <c r="BG760" s="5" t="inlineStr"/>
      <c r="BH760" s="5" t="inlineStr">
        <is>
          <t>No</t>
        </is>
      </c>
      <c r="BI760" s="5" t="inlineStr">
        <is>
          <t>2026-09-17</t>
        </is>
      </c>
      <c r="BJ760" s="5" t="inlineStr">
        <is>
          <t>New</t>
        </is>
      </c>
      <c r="BK760" s="5" t="inlineStr">
        <is>
          <t>2026-09-17</t>
        </is>
      </c>
      <c r="BL760" s="5" t="inlineStr"/>
      <c r="BM760" s="5" t="inlineStr"/>
      <c r="BN760" s="5" t="inlineStr"/>
      <c r="BO760" s="5" t="inlineStr"/>
      <c r="BP760" s="5" t="inlineStr"/>
      <c r="BQ760" s="5" t="inlineStr"/>
    </row>
    <row r="761">
      <c r="A761" s="10" t="inlineStr">
        <is>
          <t>UK-000832</t>
        </is>
      </c>
      <c r="B761" s="10" t="inlineStr">
        <is>
          <t>UK-000832-01</t>
        </is>
      </c>
      <c r="C761" s="10" t="inlineStr"/>
      <c r="D761" s="10" t="inlineStr">
        <is>
          <t>Vape Kingdom UK</t>
        </is>
      </c>
      <c r="E761" s="10" t="inlineStr">
        <is>
          <t>Vape Kingdom UK</t>
        </is>
      </c>
      <c r="F761" s="10" t="inlineStr">
        <is>
          <t>VAPE KINGDOM UK LTD</t>
        </is>
      </c>
      <c r="G761" s="10" t="inlineStr">
        <is>
          <t>Vape Shop</t>
        </is>
      </c>
      <c r="H761" s="10" t="inlineStr">
        <is>
          <t>Vape shop / tobacconist</t>
        </is>
      </c>
      <c r="I761" s="10" t="inlineStr">
        <is>
          <t>Independent</t>
        </is>
      </c>
      <c r="J761" s="10" t="inlineStr">
        <is>
          <t>1</t>
        </is>
      </c>
      <c r="K761" s="10" t="inlineStr"/>
      <c r="L761" s="10" t="inlineStr">
        <is>
          <t>https://www.facebook.com/vapekingdomuk/</t>
        </is>
      </c>
      <c r="M761" s="10" t="inlineStr"/>
      <c r="N761" s="10" t="inlineStr"/>
      <c r="O761" s="10" t="inlineStr">
        <is>
          <t>7 Westfield Street</t>
        </is>
      </c>
      <c r="P761" s="10" t="inlineStr"/>
      <c r="Q761" s="10" t="inlineStr">
        <is>
          <t>St Helens</t>
        </is>
      </c>
      <c r="R761" s="10" t="inlineStr">
        <is>
          <t>Merseyside</t>
        </is>
      </c>
      <c r="S761" s="10" t="inlineStr">
        <is>
          <t>WA10 1QA</t>
        </is>
      </c>
      <c r="T761" s="10" t="inlineStr">
        <is>
          <t>North West</t>
        </is>
      </c>
      <c r="U761" s="10" t="inlineStr">
        <is>
          <t>England</t>
        </is>
      </c>
      <c r="V761" s="10" t="inlineStr">
        <is>
          <t>07910 552233</t>
        </is>
      </c>
      <c r="W761" s="10" t="inlineStr"/>
      <c r="X761" s="10" t="inlineStr"/>
      <c r="Y761" s="10" t="inlineStr"/>
      <c r="Z761" s="10" t="inlineStr"/>
      <c r="AA761" s="10" t="inlineStr"/>
      <c r="AB761" s="10" t="inlineStr"/>
      <c r="AC761" s="10" t="inlineStr"/>
      <c r="AD761" s="10" t="inlineStr"/>
      <c r="AE761" s="10" t="inlineStr">
        <is>
          <t>11667721</t>
        </is>
      </c>
      <c r="AF761" s="10" t="inlineStr">
        <is>
          <t>Active</t>
        </is>
      </c>
      <c r="AG761" s="10" t="inlineStr">
        <is>
          <t>VAPE KINGDOM UK LTD</t>
        </is>
      </c>
      <c r="AH761" s="10" t="inlineStr"/>
      <c r="AI761" s="10" t="inlineStr">
        <is>
          <t>2018-11-08</t>
        </is>
      </c>
      <c r="AJ761" s="10" t="inlineStr"/>
      <c r="AK761" s="10" t="inlineStr">
        <is>
          <t>vape hardware; e-liquids; accessories</t>
        </is>
      </c>
      <c r="AL761" s="10" t="inlineStr"/>
      <c r="AM761" s="10" t="inlineStr">
        <is>
          <t>Vape Shop</t>
        </is>
      </c>
      <c r="AN761" s="10" t="inlineStr"/>
      <c r="AO761" s="10" t="inlineStr">
        <is>
          <t>Independent vape shop in St Helens town centre (Westfield Street). Companies House confirms VAPE KINGDOM UK LTD (11667721), incorporated 8 Nov 2018, active. Phone from FindOpen/Cylex listings.</t>
        </is>
      </c>
      <c r="AP761" s="10" t="inlineStr">
        <is>
          <t>Medium</t>
        </is>
      </c>
      <c r="AQ761" s="10" t="inlineStr">
        <is>
          <t>Independent retailer; Core relevant category; Social presence</t>
        </is>
      </c>
      <c r="AR761" s="10" t="inlineStr">
        <is>
          <t>https://find-and-update.company-information.service.gov.uk/company/11667721</t>
        </is>
      </c>
      <c r="AS761" s="10" t="inlineStr">
        <is>
          <t>https://find-open.co.uk/st-helens-merseyside/vape-kingdom-uk-open-7-days-a-week-2628526</t>
        </is>
      </c>
      <c r="AT761" s="10" t="inlineStr">
        <is>
          <t>2</t>
        </is>
      </c>
      <c r="AU761" s="10" t="inlineStr">
        <is>
          <t>No</t>
        </is>
      </c>
      <c r="AV761" s="10" t="inlineStr">
        <is>
          <t>No</t>
        </is>
      </c>
      <c r="AW761" s="10" t="inlineStr">
        <is>
          <t>No</t>
        </is>
      </c>
      <c r="AX761" s="10" t="inlineStr">
        <is>
          <t>No</t>
        </is>
      </c>
      <c r="AY761" s="10" t="inlineStr">
        <is>
          <t>Verified directory</t>
        </is>
      </c>
      <c r="AZ761" s="10" t="inlineStr">
        <is>
          <t>Not Found</t>
        </is>
      </c>
      <c r="BA761" s="10" t="inlineStr">
        <is>
          <t>2026-09-17</t>
        </is>
      </c>
      <c r="BB761" s="10" t="inlineStr">
        <is>
          <t>Requires Verification</t>
        </is>
      </c>
      <c r="BC761" s="10" t="inlineStr">
        <is>
          <t>High</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2026-09-17</t>
        </is>
      </c>
      <c r="BJ761" s="10" t="inlineStr">
        <is>
          <t>New</t>
        </is>
      </c>
      <c r="BK761" s="10" t="inlineStr">
        <is>
          <t>2026-09-17</t>
        </is>
      </c>
      <c r="BL761" s="10" t="inlineStr"/>
      <c r="BM761" s="10" t="inlineStr"/>
      <c r="BN761" s="10" t="inlineStr"/>
      <c r="BO761" s="10" t="inlineStr"/>
      <c r="BP761" s="10" t="inlineStr"/>
      <c r="BQ761" s="10" t="inlineStr"/>
    </row>
    <row r="762">
      <c r="A762" s="5" t="inlineStr">
        <is>
          <t>UK-000833</t>
        </is>
      </c>
      <c r="B762" s="5" t="inlineStr">
        <is>
          <t>UK-000833-01</t>
        </is>
      </c>
      <c r="C762" s="5" t="inlineStr"/>
      <c r="D762" s="5" t="inlineStr">
        <is>
          <t>Vape Made Easy</t>
        </is>
      </c>
      <c r="E762" s="5" t="inlineStr">
        <is>
          <t>Vape Made Easy</t>
        </is>
      </c>
      <c r="F762" s="5" t="inlineStr"/>
      <c r="G762" s="5" t="inlineStr">
        <is>
          <t>Vape Shop</t>
        </is>
      </c>
      <c r="H762" s="5" t="inlineStr">
        <is>
          <t>E-cigarette shop</t>
        </is>
      </c>
      <c r="I762" s="5" t="inlineStr">
        <is>
          <t>Independent</t>
        </is>
      </c>
      <c r="J762" s="5" t="inlineStr">
        <is>
          <t>1</t>
        </is>
      </c>
      <c r="K762" s="5" t="inlineStr"/>
      <c r="L762" s="5" t="inlineStr"/>
      <c r="M762" s="5" t="inlineStr"/>
      <c r="N762" s="5" t="inlineStr"/>
      <c r="O762" s="5" t="inlineStr"/>
      <c r="P762" s="5" t="inlineStr"/>
      <c r="Q762" s="5" t="inlineStr">
        <is>
          <t>Glasgow</t>
        </is>
      </c>
      <c r="R762" s="5" t="inlineStr">
        <is>
          <t>Glasgow City</t>
        </is>
      </c>
      <c r="S762" s="5" t="inlineStr"/>
      <c r="T762" s="5" t="inlineStr">
        <is>
          <t>Scotland</t>
        </is>
      </c>
      <c r="U762" s="5" t="inlineStr">
        <is>
          <t>Scotland</t>
        </is>
      </c>
      <c r="V762" s="5" t="inlineStr"/>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vape hardware; e-liquids</t>
        </is>
      </c>
      <c r="AL762" s="5" t="inlineStr"/>
      <c r="AM762" s="5" t="inlineStr">
        <is>
          <t>Vape Shop</t>
        </is>
      </c>
      <c r="AN762" s="5" t="inlineStr"/>
      <c r="AO762" s="5" t="inlineStr">
        <is>
          <t>Independent vape shop listed on Yell in Glasgow G51 (Govan area). Only a directory listing found; street address, postcode and phone not confirmed in snippets.</t>
        </is>
      </c>
      <c r="AP762" s="5" t="inlineStr">
        <is>
          <t>Medium</t>
        </is>
      </c>
      <c r="AQ762" s="5" t="inlineStr">
        <is>
          <t>Independent retailer; Core relevant category</t>
        </is>
      </c>
      <c r="AR762" s="5" t="inlineStr">
        <is>
          <t>https://www.yell.com/biz/vape-made-easy-glasgow-9257174/</t>
        </is>
      </c>
      <c r="AS762" s="5" t="inlineStr"/>
      <c r="AT762" s="5" t="inlineStr">
        <is>
          <t>1</t>
        </is>
      </c>
      <c r="AU762" s="5" t="inlineStr">
        <is>
          <t>No</t>
        </is>
      </c>
      <c r="AV762" s="5" t="inlineStr">
        <is>
          <t>No</t>
        </is>
      </c>
      <c r="AW762" s="5" t="inlineStr">
        <is>
          <t>No</t>
        </is>
      </c>
      <c r="AX762" s="5" t="inlineStr">
        <is>
          <t>No</t>
        </is>
      </c>
      <c r="AY762" s="5" t="inlineStr">
        <is>
          <t>Not Found</t>
        </is>
      </c>
      <c r="AZ762" s="5" t="inlineStr">
        <is>
          <t>Not Found</t>
        </is>
      </c>
      <c r="BA762" s="5" t="inlineStr">
        <is>
          <t>2026-09-17</t>
        </is>
      </c>
      <c r="BB762" s="5" t="inlineStr">
        <is>
          <t>Requires Verification</t>
        </is>
      </c>
      <c r="BC762" s="5" t="inlineStr">
        <is>
          <t>Low</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UK-000404</t>
        </is>
      </c>
      <c r="B763" s="10" t="inlineStr">
        <is>
          <t>UK-000404-01</t>
        </is>
      </c>
      <c r="C763" s="10" t="inlineStr"/>
      <c r="D763" s="10" t="inlineStr">
        <is>
          <t>Vape Maze Westhoughton</t>
        </is>
      </c>
      <c r="E763" s="10" t="inlineStr">
        <is>
          <t>Vape Maze</t>
        </is>
      </c>
      <c r="F763" s="10" t="inlineStr"/>
      <c r="G763" s="10" t="inlineStr">
        <is>
          <t>Vape Shop</t>
        </is>
      </c>
      <c r="H763" s="10" t="inlineStr"/>
      <c r="I763" s="10" t="inlineStr">
        <is>
          <t>Independent</t>
        </is>
      </c>
      <c r="J763" s="10" t="inlineStr">
        <is>
          <t>1</t>
        </is>
      </c>
      <c r="K763" s="10" t="inlineStr"/>
      <c r="L763" s="10" t="inlineStr"/>
      <c r="M763" s="10" t="inlineStr"/>
      <c r="N763" s="10" t="inlineStr"/>
      <c r="O763" s="10" t="inlineStr">
        <is>
          <t>13 Market Street</t>
        </is>
      </c>
      <c r="P763" s="10" t="inlineStr">
        <is>
          <t>Westhoughton</t>
        </is>
      </c>
      <c r="Q763" s="10" t="inlineStr">
        <is>
          <t>Bolton</t>
        </is>
      </c>
      <c r="R763" s="10" t="inlineStr">
        <is>
          <t>Greater Manchester</t>
        </is>
      </c>
      <c r="S763" s="10" t="inlineStr">
        <is>
          <t>BL5 3AH</t>
        </is>
      </c>
      <c r="T763" s="10" t="inlineStr">
        <is>
          <t>North West</t>
        </is>
      </c>
      <c r="U763" s="10" t="inlineStr">
        <is>
          <t>England</t>
        </is>
      </c>
      <c r="V763" s="10" t="inlineStr"/>
      <c r="W763" s="10" t="inlineStr"/>
      <c r="X763" s="10" t="inlineStr"/>
      <c r="Y763" s="10" t="inlineStr"/>
      <c r="Z763" s="10" t="inlineStr"/>
      <c r="AA763" s="10" t="inlineStr"/>
      <c r="AB763" s="10" t="inlineStr"/>
      <c r="AC763" s="10" t="inlineStr"/>
      <c r="AD763" s="10" t="inlineStr"/>
      <c r="AE763" s="10" t="inlineStr"/>
      <c r="AF763" s="10" t="inlineStr"/>
      <c r="AG763" s="10" t="inlineStr"/>
      <c r="AH763" s="10" t="inlineStr"/>
      <c r="AI763" s="10" t="inlineStr"/>
      <c r="AJ763" s="10" t="inlineStr"/>
      <c r="AK763" s="10" t="inlineStr">
        <is>
          <t>vape hardware; e-liquids</t>
        </is>
      </c>
      <c r="AL763" s="10" t="inlineStr"/>
      <c r="AM763" s="10" t="inlineStr">
        <is>
          <t>Vape Shop</t>
        </is>
      </c>
      <c r="AN763" s="10" t="inlineStr"/>
      <c r="AO763" s="10" t="inlineStr">
        <is>
          <t>Independent vape shop on Market Street, Westhoughton.</t>
        </is>
      </c>
      <c r="AP763" s="10" t="inlineStr">
        <is>
          <t>Medium</t>
        </is>
      </c>
      <c r="AQ763" s="10" t="inlineStr">
        <is>
          <t>Independent retailer; Core relevant category</t>
        </is>
      </c>
      <c r="AR763" s="10" t="inlineStr">
        <is>
          <t>https://westhoughton.cylex-uk.co.uk/vape-shops/</t>
        </is>
      </c>
      <c r="AS763" s="10" t="inlineStr"/>
      <c r="AT763" s="10" t="inlineStr">
        <is>
          <t>1</t>
        </is>
      </c>
      <c r="AU763" s="10" t="inlineStr">
        <is>
          <t>No</t>
        </is>
      </c>
      <c r="AV763" s="10" t="inlineStr">
        <is>
          <t>No</t>
        </is>
      </c>
      <c r="AW763" s="10" t="inlineStr">
        <is>
          <t>No</t>
        </is>
      </c>
      <c r="AX763" s="10" t="inlineStr">
        <is>
          <t>No</t>
        </is>
      </c>
      <c r="AY763" s="10" t="inlineStr">
        <is>
          <t>Not Found</t>
        </is>
      </c>
      <c r="AZ763" s="10" t="inlineStr">
        <is>
          <t>Not Found</t>
        </is>
      </c>
      <c r="BA763" s="10" t="inlineStr">
        <is>
          <t>2026-09-17</t>
        </is>
      </c>
      <c r="BB763" s="10" t="inlineStr">
        <is>
          <t>Requires Verification</t>
        </is>
      </c>
      <c r="BC763" s="10" t="inlineStr">
        <is>
          <t>Low</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2026-09-17</t>
        </is>
      </c>
      <c r="BJ763" s="10" t="inlineStr">
        <is>
          <t>New</t>
        </is>
      </c>
      <c r="BK763" s="10" t="inlineStr">
        <is>
          <t>2026-09-17</t>
        </is>
      </c>
      <c r="BL763" s="10" t="inlineStr"/>
      <c r="BM763" s="10" t="inlineStr"/>
      <c r="BN763" s="10" t="inlineStr"/>
      <c r="BO763" s="10" t="inlineStr"/>
      <c r="BP763" s="10" t="inlineStr"/>
      <c r="BQ763" s="10" t="inlineStr"/>
    </row>
    <row r="764">
      <c r="A764" s="5" t="inlineStr">
        <is>
          <t>UK-000405</t>
        </is>
      </c>
      <c r="B764" s="5" t="inlineStr">
        <is>
          <t>UK-000405-01</t>
        </is>
      </c>
      <c r="C764" s="5" t="inlineStr"/>
      <c r="D764" s="5" t="inlineStr">
        <is>
          <t>Vape My Day</t>
        </is>
      </c>
      <c r="E764" s="5" t="inlineStr">
        <is>
          <t>Vape My Day</t>
        </is>
      </c>
      <c r="F764" s="5" t="inlineStr"/>
      <c r="G764" s="5" t="inlineStr">
        <is>
          <t>Vape Shop</t>
        </is>
      </c>
      <c r="H764" s="5" t="inlineStr"/>
      <c r="I764" s="5" t="inlineStr">
        <is>
          <t>Independent</t>
        </is>
      </c>
      <c r="J764" s="5" t="inlineStr">
        <is>
          <t>1</t>
        </is>
      </c>
      <c r="K764" s="5" t="inlineStr"/>
      <c r="L764" s="5" t="inlineStr"/>
      <c r="M764" s="5" t="inlineStr"/>
      <c r="N764" s="5" t="inlineStr"/>
      <c r="O764" s="5" t="inlineStr">
        <is>
          <t>95a Duchess Street</t>
        </is>
      </c>
      <c r="P764" s="5" t="inlineStr"/>
      <c r="Q764" s="5" t="inlineStr">
        <is>
          <t>Shaw</t>
        </is>
      </c>
      <c r="R764" s="5" t="inlineStr">
        <is>
          <t>Greater Manchester</t>
        </is>
      </c>
      <c r="S764" s="5" t="inlineStr">
        <is>
          <t>OL2 7XD</t>
        </is>
      </c>
      <c r="T764" s="5" t="inlineStr">
        <is>
          <t>North West</t>
        </is>
      </c>
      <c r="U764" s="5" t="inlineStr">
        <is>
          <t>England</t>
        </is>
      </c>
      <c r="V764" s="5" t="inlineStr"/>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e-liquids; vape hardware; disposables</t>
        </is>
      </c>
      <c r="AL764" s="5" t="inlineStr"/>
      <c r="AM764" s="5" t="inlineStr">
        <is>
          <t>Vape Shop</t>
        </is>
      </c>
      <c r="AN764" s="5" t="inlineStr"/>
      <c r="AO764" s="5" t="inlineStr">
        <is>
          <t>Independent vape shop in Shaw, Oldham.</t>
        </is>
      </c>
      <c r="AP764" s="5" t="inlineStr">
        <is>
          <t>Medium</t>
        </is>
      </c>
      <c r="AQ764" s="5" t="inlineStr">
        <is>
          <t>Independent retailer; Core relevant category</t>
        </is>
      </c>
      <c r="AR764" s="5" t="inlineStr">
        <is>
          <t>https://ecigdirectory.co.uk/vape-shop/listing/vape-my-day</t>
        </is>
      </c>
      <c r="AS764" s="5" t="inlineStr"/>
      <c r="AT764" s="5" t="inlineStr">
        <is>
          <t>1</t>
        </is>
      </c>
      <c r="AU764" s="5" t="inlineStr">
        <is>
          <t>No</t>
        </is>
      </c>
      <c r="AV764" s="5" t="inlineStr">
        <is>
          <t>No</t>
        </is>
      </c>
      <c r="AW764" s="5" t="inlineStr">
        <is>
          <t>No</t>
        </is>
      </c>
      <c r="AX764" s="5" t="inlineStr">
        <is>
          <t>No</t>
        </is>
      </c>
      <c r="AY764" s="5" t="inlineStr">
        <is>
          <t>Not Found</t>
        </is>
      </c>
      <c r="AZ764" s="5" t="inlineStr">
        <is>
          <t>Not Found</t>
        </is>
      </c>
      <c r="BA764" s="5" t="inlineStr">
        <is>
          <t>2026-09-17</t>
        </is>
      </c>
      <c r="BB764" s="5" t="inlineStr">
        <is>
          <t>Requires Verification</t>
        </is>
      </c>
      <c r="BC764" s="5" t="inlineStr">
        <is>
          <t>Low</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UK-000535</t>
        </is>
      </c>
      <c r="B765" s="10" t="inlineStr">
        <is>
          <t>UK-000535-01</t>
        </is>
      </c>
      <c r="C765" s="10" t="inlineStr"/>
      <c r="D765" s="10" t="inlineStr">
        <is>
          <t>Vape N Chase</t>
        </is>
      </c>
      <c r="E765" s="10" t="inlineStr">
        <is>
          <t>Vape N Chase</t>
        </is>
      </c>
      <c r="F765" s="10" t="inlineStr"/>
      <c r="G765" s="10" t="inlineStr">
        <is>
          <t>Vape Shop</t>
        </is>
      </c>
      <c r="H765" s="10" t="inlineStr">
        <is>
          <t>Vape kits, e-liquids &amp; accessories</t>
        </is>
      </c>
      <c r="I765" s="10" t="inlineStr">
        <is>
          <t>Independent</t>
        </is>
      </c>
      <c r="J765" s="10" t="inlineStr">
        <is>
          <t>1</t>
        </is>
      </c>
      <c r="K765" s="10" t="inlineStr"/>
      <c r="L765" s="10" t="inlineStr">
        <is>
          <t>https://www.facebook.com/VapeNChaseUK/</t>
        </is>
      </c>
      <c r="M765" s="10" t="inlineStr"/>
      <c r="N765" s="10" t="inlineStr"/>
      <c r="O765" s="10" t="inlineStr">
        <is>
          <t>111 Hill Top</t>
        </is>
      </c>
      <c r="P765" s="10" t="inlineStr"/>
      <c r="Q765" s="10" t="inlineStr">
        <is>
          <t>West Bromwich</t>
        </is>
      </c>
      <c r="R765" s="10" t="inlineStr">
        <is>
          <t>West Midlands</t>
        </is>
      </c>
      <c r="S765" s="10" t="inlineStr"/>
      <c r="T765" s="10" t="inlineStr">
        <is>
          <t>West Midlands</t>
        </is>
      </c>
      <c r="U765" s="10" t="inlineStr">
        <is>
          <t>England</t>
        </is>
      </c>
      <c r="V765" s="10" t="inlineStr">
        <is>
          <t>0121 572 0040</t>
        </is>
      </c>
      <c r="W765" s="10" t="inlineStr"/>
      <c r="X765" s="10" t="inlineStr"/>
      <c r="Y765" s="10" t="inlineStr"/>
      <c r="Z765" s="10" t="inlineStr"/>
      <c r="AA765" s="10" t="inlineStr"/>
      <c r="AB765" s="10" t="inlineStr"/>
      <c r="AC765" s="10" t="inlineStr"/>
      <c r="AD765" s="10" t="inlineStr"/>
      <c r="AE765" s="10" t="inlineStr"/>
      <c r="AF765" s="10" t="inlineStr"/>
      <c r="AG765" s="10" t="inlineStr"/>
      <c r="AH765" s="10" t="inlineStr"/>
      <c r="AI765" s="10" t="inlineStr"/>
      <c r="AJ765" s="10" t="inlineStr"/>
      <c r="AK765" s="10" t="inlineStr">
        <is>
          <t>vape hardware; e-liquids; disposables</t>
        </is>
      </c>
      <c r="AL765" s="10" t="inlineStr"/>
      <c r="AM765" s="10" t="inlineStr">
        <is>
          <t>Vape Shop</t>
        </is>
      </c>
      <c r="AN765" s="10" t="inlineStr"/>
      <c r="AO765" s="10" t="inlineStr">
        <is>
          <t>Independent vape shop, Hill Top, West Bromwich. Name, address and phone from Facebook page snippet.</t>
        </is>
      </c>
      <c r="AP765" s="10" t="inlineStr">
        <is>
          <t>Medium</t>
        </is>
      </c>
      <c r="AQ765" s="10" t="inlineStr">
        <is>
          <t>Independent retailer; Core relevant category; Social presence</t>
        </is>
      </c>
      <c r="AR765" s="10" t="inlineStr">
        <is>
          <t>https://www.facebook.com/VapeNChaseUK/</t>
        </is>
      </c>
      <c r="AS765" s="10" t="inlineStr"/>
      <c r="AT765" s="10" t="inlineStr">
        <is>
          <t>1</t>
        </is>
      </c>
      <c r="AU765" s="10" t="inlineStr">
        <is>
          <t>No</t>
        </is>
      </c>
      <c r="AV765" s="10" t="inlineStr">
        <is>
          <t>No</t>
        </is>
      </c>
      <c r="AW765" s="10" t="inlineStr">
        <is>
          <t>No</t>
        </is>
      </c>
      <c r="AX765" s="10" t="inlineStr">
        <is>
          <t>No</t>
        </is>
      </c>
      <c r="AY765" s="10" t="inlineStr">
        <is>
          <t>Verified directory</t>
        </is>
      </c>
      <c r="AZ765" s="10" t="inlineStr">
        <is>
          <t>Not Found</t>
        </is>
      </c>
      <c r="BA765" s="10" t="inlineStr">
        <is>
          <t>2026-09-17</t>
        </is>
      </c>
      <c r="BB765" s="10" t="inlineStr">
        <is>
          <t>Requires Verification</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WY-0173</t>
        </is>
      </c>
      <c r="B766" s="5" t="inlineStr">
        <is>
          <t>WY-0173-01</t>
        </is>
      </c>
      <c r="C766" s="5" t="inlineStr"/>
      <c r="D766" s="5" t="inlineStr">
        <is>
          <t>Vape N Go</t>
        </is>
      </c>
      <c r="E766" s="5" t="inlineStr">
        <is>
          <t>Vape N Go</t>
        </is>
      </c>
      <c r="F766" s="5" t="inlineStr"/>
      <c r="G766" s="5" t="inlineStr">
        <is>
          <t>Vape Shop</t>
        </is>
      </c>
      <c r="H766" s="5" t="inlineStr"/>
      <c r="I766" s="5" t="inlineStr">
        <is>
          <t>Independent</t>
        </is>
      </c>
      <c r="J766" s="5" t="inlineStr">
        <is>
          <t>1</t>
        </is>
      </c>
      <c r="K766" s="5" t="inlineStr"/>
      <c r="L766" s="5" t="inlineStr"/>
      <c r="M766" s="5" t="inlineStr"/>
      <c r="N766" s="5" t="inlineStr"/>
      <c r="O766" s="5" t="inlineStr">
        <is>
          <t>14 The Square</t>
        </is>
      </c>
      <c r="P766" s="5" t="inlineStr">
        <is>
          <t>Woolshops Shopping Centre</t>
        </is>
      </c>
      <c r="Q766" s="5" t="inlineStr">
        <is>
          <t>Halifax</t>
        </is>
      </c>
      <c r="R766" s="5" t="inlineStr">
        <is>
          <t>West Yorkshire</t>
        </is>
      </c>
      <c r="S766" s="5" t="inlineStr">
        <is>
          <t>HX1 1RU</t>
        </is>
      </c>
      <c r="T766" s="5" t="inlineStr">
        <is>
          <t>Yorkshire &amp; Humber</t>
        </is>
      </c>
      <c r="U766" s="5" t="inlineStr">
        <is>
          <t>England</t>
        </is>
      </c>
      <c r="V766" s="5" t="inlineStr"/>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vapes; e-liquids</t>
        </is>
      </c>
      <c r="AL766" s="5" t="inlineStr"/>
      <c r="AM766" s="5" t="inlineStr">
        <is>
          <t>Vape Shop</t>
        </is>
      </c>
      <c r="AN766" s="5" t="inlineStr"/>
      <c r="AO766" s="5" t="inlineStr"/>
      <c r="AP766" s="5" t="inlineStr">
        <is>
          <t>Medium</t>
        </is>
      </c>
      <c r="AQ766" s="5" t="inlineStr">
        <is>
          <t>Independent retailer; Core relevant category</t>
        </is>
      </c>
      <c r="AR766" s="5" t="inlineStr">
        <is>
          <t>https://www.yell.com/s/tobacconists-halifax.html</t>
        </is>
      </c>
      <c r="AS766" s="5" t="inlineStr"/>
      <c r="AT766" s="5" t="inlineStr">
        <is>
          <t>1</t>
        </is>
      </c>
      <c r="AU766" s="5" t="inlineStr">
        <is>
          <t>No</t>
        </is>
      </c>
      <c r="AV766" s="5" t="inlineStr">
        <is>
          <t>No</t>
        </is>
      </c>
      <c r="AW766" s="5" t="inlineStr">
        <is>
          <t>No</t>
        </is>
      </c>
      <c r="AX766" s="5" t="inlineStr">
        <is>
          <t>No</t>
        </is>
      </c>
      <c r="AY766" s="5" t="inlineStr">
        <is>
          <t>Not Found</t>
        </is>
      </c>
      <c r="AZ766" s="5" t="inlineStr">
        <is>
          <t>Not Found</t>
        </is>
      </c>
      <c r="BA766" s="5" t="inlineStr">
        <is>
          <t>2026-09-17</t>
        </is>
      </c>
      <c r="BB766" s="5" t="inlineStr">
        <is>
          <t>Requires Verification</t>
        </is>
      </c>
      <c r="BC766" s="5" t="inlineStr">
        <is>
          <t>Low</t>
        </is>
      </c>
      <c r="BD766" s="5" t="inlineStr"/>
      <c r="BE766" s="5" t="inlineStr">
        <is>
          <t>Business (B2B)</t>
        </is>
      </c>
      <c r="BF766" s="5" t="inlineStr">
        <is>
          <t>Legitimate interest (B2B) - assess per campaign; PECR: corporate subscribers</t>
        </is>
      </c>
      <c r="BG766" s="5" t="inlineStr"/>
      <c r="BH766" s="5" t="inlineStr">
        <is>
          <t>No</t>
        </is>
      </c>
      <c r="BI766" s="5" t="inlineStr">
        <is>
          <t>2026-09-16</t>
        </is>
      </c>
      <c r="BJ766" s="5" t="inlineStr">
        <is>
          <t>New</t>
        </is>
      </c>
      <c r="BK766" s="5" t="inlineStr">
        <is>
          <t>2026-09-17</t>
        </is>
      </c>
      <c r="BL766" s="5" t="inlineStr"/>
      <c r="BM766" s="5" t="inlineStr"/>
      <c r="BN766" s="5" t="inlineStr"/>
      <c r="BO766" s="5" t="inlineStr"/>
      <c r="BP766" s="5" t="inlineStr"/>
      <c r="BQ766" s="5" t="inlineStr"/>
    </row>
    <row r="767">
      <c r="A767" s="10" t="inlineStr">
        <is>
          <t>WY-0174</t>
        </is>
      </c>
      <c r="B767" s="10" t="inlineStr">
        <is>
          <t>WY-0174-01</t>
        </is>
      </c>
      <c r="C767" s="10" t="inlineStr"/>
      <c r="D767" s="10" t="inlineStr">
        <is>
          <t>Vape Nation UK</t>
        </is>
      </c>
      <c r="E767" s="10" t="inlineStr">
        <is>
          <t>Vape Nation UK</t>
        </is>
      </c>
      <c r="F767" s="10" t="inlineStr"/>
      <c r="G767" s="10" t="inlineStr">
        <is>
          <t>Vape Shop</t>
        </is>
      </c>
      <c r="H767" s="10" t="inlineStr">
        <is>
          <t>E-cigarette / e-liquid retailer</t>
        </is>
      </c>
      <c r="I767" s="10" t="inlineStr">
        <is>
          <t>Independent</t>
        </is>
      </c>
      <c r="J767" s="10" t="inlineStr">
        <is>
          <t>1</t>
        </is>
      </c>
      <c r="K767" s="10" t="inlineStr">
        <is>
          <t>https://vapenationeshop.co.uk/</t>
        </is>
      </c>
      <c r="L767" s="10" t="inlineStr"/>
      <c r="M767" s="10" t="inlineStr"/>
      <c r="N767" s="10" t="inlineStr"/>
      <c r="O767" s="10" t="inlineStr">
        <is>
          <t>31 New Street</t>
        </is>
      </c>
      <c r="P767" s="10" t="inlineStr">
        <is>
          <t>Town Centre</t>
        </is>
      </c>
      <c r="Q767" s="10" t="inlineStr">
        <is>
          <t>Huddersfield</t>
        </is>
      </c>
      <c r="R767" s="10" t="inlineStr">
        <is>
          <t>West Yorkshire</t>
        </is>
      </c>
      <c r="S767" s="10" t="inlineStr">
        <is>
          <t>HD1 2AZ</t>
        </is>
      </c>
      <c r="T767" s="10" t="inlineStr">
        <is>
          <t>Yorkshire &amp; Humber</t>
        </is>
      </c>
      <c r="U767" s="10" t="inlineStr">
        <is>
          <t>England</t>
        </is>
      </c>
      <c r="V767" s="10" t="inlineStr">
        <is>
          <t>07809 655738</t>
        </is>
      </c>
      <c r="W767" s="10" t="inlineStr"/>
      <c r="X767" s="10" t="inlineStr"/>
      <c r="Y767" s="10" t="inlineStr">
        <is>
          <t>info@vapenationeshop.co.uk</t>
        </is>
      </c>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vape hardware; e-liquids; disposable vapes</t>
        </is>
      </c>
      <c r="AL767" s="10" t="inlineStr"/>
      <c r="AM767" s="10" t="inlineStr">
        <is>
          <t>Vape Shop</t>
        </is>
      </c>
      <c r="AN767" s="10" t="inlineStr"/>
      <c r="AO767" s="10" t="inlineStr">
        <is>
          <t>Town-centre store at the arcade entrance on New Street. Own e-shop site vapenationeshop.co.uk found in search results but could not be fetched (proxy blocked).</t>
        </is>
      </c>
      <c r="AP767" s="10" t="inlineStr">
        <is>
          <t>Medium</t>
        </is>
      </c>
      <c r="AQ767" s="10" t="inlineStr">
        <is>
          <t>Independent retailer; Core relevant category; Public email available; Active website</t>
        </is>
      </c>
      <c r="AR767" s="10" t="inlineStr">
        <is>
          <t>https://vapenationeshop.co.uk/contact-us/</t>
        </is>
      </c>
      <c r="AS767" s="10" t="inlineStr">
        <is>
          <t>https://ecigdirectory.co.uk/vape-shop/listing/vape-nation-uk-huddersfield</t>
        </is>
      </c>
      <c r="AT767" s="10" t="inlineStr">
        <is>
          <t>2</t>
        </is>
      </c>
      <c r="AU767" s="10" t="inlineStr">
        <is>
          <t>No</t>
        </is>
      </c>
      <c r="AV767" s="10" t="inlineStr">
        <is>
          <t>No</t>
        </is>
      </c>
      <c r="AW767" s="10" t="inlineStr">
        <is>
          <t>Yes</t>
        </is>
      </c>
      <c r="AX767" s="10" t="inlineStr">
        <is>
          <t>No</t>
        </is>
      </c>
      <c r="AY767" s="10" t="inlineStr">
        <is>
          <t>Verified directory</t>
        </is>
      </c>
      <c r="AZ767" s="10" t="inlineStr">
        <is>
          <t>Website Found</t>
        </is>
      </c>
      <c r="BA767" s="10" t="inlineStr">
        <is>
          <t>2026-09-17</t>
        </is>
      </c>
      <c r="BB767" s="10" t="inlineStr">
        <is>
          <t>Partially Verified</t>
        </is>
      </c>
      <c r="BC767" s="10" t="inlineStr">
        <is>
          <t>Medium</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2026-09-16</t>
        </is>
      </c>
      <c r="BJ767" s="10" t="inlineStr">
        <is>
          <t>New</t>
        </is>
      </c>
      <c r="BK767" s="10" t="inlineStr">
        <is>
          <t>2026-09-17</t>
        </is>
      </c>
      <c r="BL767" s="10" t="inlineStr"/>
      <c r="BM767" s="10" t="inlineStr"/>
      <c r="BN767" s="10" t="inlineStr"/>
      <c r="BO767" s="10" t="inlineStr"/>
      <c r="BP767" s="10" t="inlineStr"/>
      <c r="BQ767" s="10" t="inlineStr"/>
    </row>
    <row r="768">
      <c r="A768" s="5" t="inlineStr">
        <is>
          <t>UK-000289</t>
        </is>
      </c>
      <c r="B768" s="5" t="inlineStr">
        <is>
          <t>UK-000289-01</t>
        </is>
      </c>
      <c r="C768" s="5" t="inlineStr"/>
      <c r="D768" s="5" t="inlineStr">
        <is>
          <t>Vape Newland</t>
        </is>
      </c>
      <c r="E768" s="5" t="inlineStr">
        <is>
          <t>Vape Newland</t>
        </is>
      </c>
      <c r="F768" s="5" t="inlineStr"/>
      <c r="G768" s="5" t="inlineStr">
        <is>
          <t>Vape Shop</t>
        </is>
      </c>
      <c r="H768" s="5" t="inlineStr">
        <is>
          <t>E-liquid and hardware shop</t>
        </is>
      </c>
      <c r="I768" s="5" t="inlineStr">
        <is>
          <t>Independent</t>
        </is>
      </c>
      <c r="J768" s="5" t="inlineStr">
        <is>
          <t>1</t>
        </is>
      </c>
      <c r="K768" s="5" t="inlineStr"/>
      <c r="L768" s="5" t="inlineStr">
        <is>
          <t>https://www.facebook.com/p/Vape-Newland-100086500027739/</t>
        </is>
      </c>
      <c r="M768" s="5" t="inlineStr"/>
      <c r="N768" s="5" t="inlineStr"/>
      <c r="O768" s="5" t="inlineStr">
        <is>
          <t>124 Newland Avenue</t>
        </is>
      </c>
      <c r="P768" s="5" t="inlineStr"/>
      <c r="Q768" s="5" t="inlineStr">
        <is>
          <t>Kingston upon Hull</t>
        </is>
      </c>
      <c r="R768" s="5" t="inlineStr">
        <is>
          <t>East Riding of Yorkshire</t>
        </is>
      </c>
      <c r="S768" s="5" t="inlineStr"/>
      <c r="T768" s="5" t="inlineStr">
        <is>
          <t>Yorkshire &amp; Humber</t>
        </is>
      </c>
      <c r="U768" s="5" t="inlineStr">
        <is>
          <t>England</t>
        </is>
      </c>
      <c r="V768" s="5" t="inlineStr"/>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vape hardware; e-liquids; disposables</t>
        </is>
      </c>
      <c r="AL768" s="5" t="inlineStr"/>
      <c r="AM768" s="5" t="inlineStr">
        <is>
          <t>Vape Shop</t>
        </is>
      </c>
      <c r="AN768" s="5" t="inlineStr"/>
      <c r="AO768" s="5" t="inlineStr">
        <is>
          <t>Premium e-cigarette and e-liquid provider on Newland Avenue per Facebook page. No postcode/phone published in search results.</t>
        </is>
      </c>
      <c r="AP768" s="5" t="inlineStr">
        <is>
          <t>Medium</t>
        </is>
      </c>
      <c r="AQ768" s="5" t="inlineStr">
        <is>
          <t>Independent retailer; Core relevant category; Social presence</t>
        </is>
      </c>
      <c r="AR768" s="5" t="inlineStr">
        <is>
          <t>https://www.facebook.com/p/Vape-Newland-100086500027739/</t>
        </is>
      </c>
      <c r="AS768" s="5" t="inlineStr"/>
      <c r="AT768" s="5" t="inlineStr">
        <is>
          <t>1</t>
        </is>
      </c>
      <c r="AU768" s="5" t="inlineStr">
        <is>
          <t>No</t>
        </is>
      </c>
      <c r="AV768" s="5" t="inlineStr">
        <is>
          <t>No</t>
        </is>
      </c>
      <c r="AW768" s="5" t="inlineStr">
        <is>
          <t>No</t>
        </is>
      </c>
      <c r="AX768" s="5" t="inlineStr">
        <is>
          <t>No</t>
        </is>
      </c>
      <c r="AY768" s="5" t="inlineStr">
        <is>
          <t>Not Found</t>
        </is>
      </c>
      <c r="AZ768" s="5" t="inlineStr">
        <is>
          <t>Not Found</t>
        </is>
      </c>
      <c r="BA768" s="5" t="inlineStr">
        <is>
          <t>2026-09-17</t>
        </is>
      </c>
      <c r="BB768" s="5" t="inlineStr">
        <is>
          <t>Requires Verification</t>
        </is>
      </c>
      <c r="BC768" s="5" t="inlineStr">
        <is>
          <t>Low</t>
        </is>
      </c>
      <c r="BD768" s="5" t="inlineStr"/>
      <c r="BE768" s="5" t="inlineStr">
        <is>
          <t>Business (B2B)</t>
        </is>
      </c>
      <c r="BF768" s="5" t="inlineStr">
        <is>
          <t>Legitimate interest (B2B) - assess per campaign; PECR: corporate subscribers</t>
        </is>
      </c>
      <c r="BG768" s="5" t="inlineStr"/>
      <c r="BH768" s="5" t="inlineStr">
        <is>
          <t>No</t>
        </is>
      </c>
      <c r="BI768" s="5" t="inlineStr">
        <is>
          <t>2026-09-16</t>
        </is>
      </c>
      <c r="BJ768" s="5" t="inlineStr">
        <is>
          <t>New</t>
        </is>
      </c>
      <c r="BK768" s="5" t="inlineStr">
        <is>
          <t>2026-09-17</t>
        </is>
      </c>
      <c r="BL768" s="5" t="inlineStr"/>
      <c r="BM768" s="5" t="inlineStr"/>
      <c r="BN768" s="5" t="inlineStr"/>
      <c r="BO768" s="5" t="inlineStr"/>
      <c r="BP768" s="5" t="inlineStr"/>
      <c r="BQ768" s="5" t="inlineStr"/>
    </row>
    <row r="769">
      <c r="A769" s="10" t="inlineStr">
        <is>
          <t>UK-000676</t>
        </is>
      </c>
      <c r="B769" s="10" t="inlineStr">
        <is>
          <t>UK-000676-01</t>
        </is>
      </c>
      <c r="C769" s="10" t="inlineStr"/>
      <c r="D769" s="10" t="inlineStr">
        <is>
          <t>Vape Pure Ltd</t>
        </is>
      </c>
      <c r="E769" s="10" t="inlineStr">
        <is>
          <t>Vape Pure</t>
        </is>
      </c>
      <c r="F769" s="10" t="inlineStr"/>
      <c r="G769" s="10" t="inlineStr">
        <is>
          <t>Vape Shop</t>
        </is>
      </c>
      <c r="H769" s="10" t="inlineStr">
        <is>
          <t>Vape hardware &amp; e-liquids</t>
        </is>
      </c>
      <c r="I769" s="10" t="inlineStr">
        <is>
          <t>Independent</t>
        </is>
      </c>
      <c r="J769" s="10" t="inlineStr">
        <is>
          <t>1</t>
        </is>
      </c>
      <c r="K769" s="10" t="inlineStr"/>
      <c r="L769" s="10" t="inlineStr"/>
      <c r="M769" s="10" t="inlineStr"/>
      <c r="N769" s="10" t="inlineStr"/>
      <c r="O769" s="10" t="inlineStr"/>
      <c r="P769" s="10" t="inlineStr"/>
      <c r="Q769" s="10" t="inlineStr">
        <is>
          <t>Wood Green</t>
        </is>
      </c>
      <c r="R769" s="10" t="inlineStr">
        <is>
          <t>Greater London</t>
        </is>
      </c>
      <c r="S769" s="10" t="inlineStr">
        <is>
          <t>N22</t>
        </is>
      </c>
      <c r="T769" s="10" t="inlineStr">
        <is>
          <t>London</t>
        </is>
      </c>
      <c r="U769" s="10" t="inlineStr">
        <is>
          <t>England</t>
        </is>
      </c>
      <c r="V769" s="10" t="inlineStr"/>
      <c r="W769" s="10" t="inlineStr"/>
      <c r="X769" s="10" t="inlineStr"/>
      <c r="Y769" s="10" t="inlineStr"/>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vape hardware; e-liquids</t>
        </is>
      </c>
      <c r="AL769" s="10" t="inlineStr"/>
      <c r="AM769" s="10" t="inlineStr">
        <is>
          <t>Vape Shop</t>
        </is>
      </c>
      <c r="AN769" s="10" t="inlineStr"/>
      <c r="AO769" s="10" t="inlineStr">
        <is>
          <t>Independent vape/tobacconist listed on Yell for Wood Green N22. Only district postcode (N22) available in snippet; street address and phone not published.</t>
        </is>
      </c>
      <c r="AP769" s="10" t="inlineStr">
        <is>
          <t>Medium</t>
        </is>
      </c>
      <c r="AQ769" s="10" t="inlineStr">
        <is>
          <t>Independent retailer; Core relevant category</t>
        </is>
      </c>
      <c r="AR769" s="10" t="inlineStr">
        <is>
          <t>https://www.yell.com/biz/vape-pure-ltd-london-9829626/</t>
        </is>
      </c>
      <c r="AS769" s="10" t="inlineStr"/>
      <c r="AT769" s="10" t="inlineStr">
        <is>
          <t>1</t>
        </is>
      </c>
      <c r="AU769" s="10" t="inlineStr">
        <is>
          <t>No</t>
        </is>
      </c>
      <c r="AV769" s="10" t="inlineStr">
        <is>
          <t>No</t>
        </is>
      </c>
      <c r="AW769" s="10" t="inlineStr">
        <is>
          <t>No</t>
        </is>
      </c>
      <c r="AX769" s="10" t="inlineStr">
        <is>
          <t>No</t>
        </is>
      </c>
      <c r="AY769" s="10" t="inlineStr">
        <is>
          <t>Not Found</t>
        </is>
      </c>
      <c r="AZ769" s="10" t="inlineStr">
        <is>
          <t>Not Found</t>
        </is>
      </c>
      <c r="BA769" s="10" t="inlineStr">
        <is>
          <t>2026-09-17</t>
        </is>
      </c>
      <c r="BB769" s="10" t="inlineStr">
        <is>
          <t>Requires Verification</t>
        </is>
      </c>
      <c r="BC769" s="10" t="inlineStr">
        <is>
          <t>Low</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2026-09-17</t>
        </is>
      </c>
      <c r="BJ769" s="10" t="inlineStr">
        <is>
          <t>New</t>
        </is>
      </c>
      <c r="BK769" s="10" t="inlineStr">
        <is>
          <t>2026-09-17</t>
        </is>
      </c>
      <c r="BL769" s="10" t="inlineStr"/>
      <c r="BM769" s="10" t="inlineStr"/>
      <c r="BN769" s="10" t="inlineStr"/>
      <c r="BO769" s="10" t="inlineStr"/>
      <c r="BP769" s="10" t="inlineStr"/>
      <c r="BQ769" s="10" t="inlineStr"/>
    </row>
    <row r="770">
      <c r="A770" s="5" t="inlineStr">
        <is>
          <t>WY-0175</t>
        </is>
      </c>
      <c r="B770" s="5" t="inlineStr">
        <is>
          <t>WY-0175-01</t>
        </is>
      </c>
      <c r="C770" s="5" t="inlineStr"/>
      <c r="D770" s="5" t="inlineStr">
        <is>
          <t>Vape Road</t>
        </is>
      </c>
      <c r="E770" s="5" t="inlineStr">
        <is>
          <t>Vape Road</t>
        </is>
      </c>
      <c r="F770" s="5" t="inlineStr"/>
      <c r="G770" s="5" t="inlineStr">
        <is>
          <t>Vape Shop</t>
        </is>
      </c>
      <c r="H770" s="5" t="inlineStr"/>
      <c r="I770" s="5" t="inlineStr">
        <is>
          <t>Independent</t>
        </is>
      </c>
      <c r="J770" s="5" t="inlineStr">
        <is>
          <t>1</t>
        </is>
      </c>
      <c r="K770" s="5" t="inlineStr"/>
      <c r="L770" s="5" t="inlineStr"/>
      <c r="M770" s="5" t="inlineStr"/>
      <c r="N770" s="5" t="inlineStr"/>
      <c r="O770" s="5" t="inlineStr">
        <is>
          <t>66 Commercial Street</t>
        </is>
      </c>
      <c r="P770" s="5" t="inlineStr"/>
      <c r="Q770" s="5" t="inlineStr">
        <is>
          <t>Brighouse</t>
        </is>
      </c>
      <c r="R770" s="5" t="inlineStr">
        <is>
          <t>West Yorkshire</t>
        </is>
      </c>
      <c r="S770" s="5" t="inlineStr">
        <is>
          <t>HD6 1AQ</t>
        </is>
      </c>
      <c r="T770" s="5" t="inlineStr">
        <is>
          <t>Yorkshire &amp; Humber</t>
        </is>
      </c>
      <c r="U770" s="5" t="inlineStr">
        <is>
          <t>England</t>
        </is>
      </c>
      <c r="V770" s="5" t="inlineStr">
        <is>
          <t>01484 917785</t>
        </is>
      </c>
      <c r="W770" s="5" t="inlineStr"/>
      <c r="X770" s="5" t="inlineStr"/>
      <c r="Y770" s="5" t="inlineStr"/>
      <c r="Z770" s="5" t="inlineStr"/>
      <c r="AA770" s="5" t="inlineStr"/>
      <c r="AB770" s="5" t="inlineStr"/>
      <c r="AC770" s="5" t="inlineStr"/>
      <c r="AD770" s="5" t="inlineStr"/>
      <c r="AE770" s="5" t="inlineStr"/>
      <c r="AF770" s="5" t="inlineStr"/>
      <c r="AG770" s="5" t="inlineStr"/>
      <c r="AH770" s="5" t="inlineStr"/>
      <c r="AI770" s="5" t="inlineStr"/>
      <c r="AJ770" s="5" t="inlineStr"/>
      <c r="AK770" s="5" t="inlineStr">
        <is>
          <t>vape hardware; e-liquids</t>
        </is>
      </c>
      <c r="AL770" s="5" t="inlineStr"/>
      <c r="AM770" s="5" t="inlineStr">
        <is>
          <t>Vape Shop</t>
        </is>
      </c>
      <c r="AN770" s="5" t="inlineStr"/>
      <c r="AO770" s="5" t="inlineStr">
        <is>
          <t>Well-reviewed for customer service and product range per Cylex AI review summary.</t>
        </is>
      </c>
      <c r="AP770" s="5" t="inlineStr">
        <is>
          <t>Medium</t>
        </is>
      </c>
      <c r="AQ770" s="5" t="inlineStr">
        <is>
          <t>Independent retailer; Core relevant category</t>
        </is>
      </c>
      <c r="AR770" s="5" t="inlineStr">
        <is>
          <t>https://brighouse.cylex-uk.co.uk/company/vape-road-27599481.html</t>
        </is>
      </c>
      <c r="AS770" s="5" t="inlineStr">
        <is>
          <t>https://www.visitbrighouse.co.uk/directory/vape-road/</t>
        </is>
      </c>
      <c r="AT770" s="5" t="inlineStr">
        <is>
          <t>2</t>
        </is>
      </c>
      <c r="AU770" s="5" t="inlineStr">
        <is>
          <t>No</t>
        </is>
      </c>
      <c r="AV770" s="5" t="inlineStr">
        <is>
          <t>No</t>
        </is>
      </c>
      <c r="AW770" s="5" t="inlineStr">
        <is>
          <t>No</t>
        </is>
      </c>
      <c r="AX770" s="5" t="inlineStr">
        <is>
          <t>No</t>
        </is>
      </c>
      <c r="AY770" s="5" t="inlineStr">
        <is>
          <t>Verified directory</t>
        </is>
      </c>
      <c r="AZ770" s="5" t="inlineStr">
        <is>
          <t>Not Found</t>
        </is>
      </c>
      <c r="BA770" s="5" t="inlineStr">
        <is>
          <t>2026-09-17</t>
        </is>
      </c>
      <c r="BB770" s="5" t="inlineStr">
        <is>
          <t>Requires Verification</t>
        </is>
      </c>
      <c r="BC770" s="5" t="inlineStr">
        <is>
          <t>Medium</t>
        </is>
      </c>
      <c r="BD770" s="5" t="inlineStr"/>
      <c r="BE770" s="5" t="inlineStr">
        <is>
          <t>Business (B2B)</t>
        </is>
      </c>
      <c r="BF770" s="5" t="inlineStr">
        <is>
          <t>Legitimate interest (B2B) - assess per campaign; PECR: corporate subscribers</t>
        </is>
      </c>
      <c r="BG770" s="5" t="inlineStr"/>
      <c r="BH770" s="5" t="inlineStr">
        <is>
          <t>No</t>
        </is>
      </c>
      <c r="BI770" s="5" t="inlineStr">
        <is>
          <t>2026-09-16</t>
        </is>
      </c>
      <c r="BJ770" s="5" t="inlineStr">
        <is>
          <t>New</t>
        </is>
      </c>
      <c r="BK770" s="5" t="inlineStr">
        <is>
          <t>2026-09-17</t>
        </is>
      </c>
      <c r="BL770" s="5" t="inlineStr"/>
      <c r="BM770" s="5" t="inlineStr"/>
      <c r="BN770" s="5" t="inlineStr"/>
      <c r="BO770" s="5" t="inlineStr"/>
      <c r="BP770" s="5" t="inlineStr"/>
      <c r="BQ770" s="5" t="inlineStr"/>
    </row>
    <row r="771">
      <c r="A771" s="10" t="inlineStr">
        <is>
          <t>WY-0176</t>
        </is>
      </c>
      <c r="B771" s="10" t="inlineStr">
        <is>
          <t>WY-0176-01</t>
        </is>
      </c>
      <c r="C771" s="10" t="inlineStr"/>
      <c r="D771" s="10" t="inlineStr">
        <is>
          <t>Vape Road Cleckheaton</t>
        </is>
      </c>
      <c r="E771" s="10" t="inlineStr">
        <is>
          <t>Vape Road</t>
        </is>
      </c>
      <c r="F771" s="10" t="inlineStr"/>
      <c r="G771" s="10" t="inlineStr">
        <is>
          <t>Vape Shop</t>
        </is>
      </c>
      <c r="H771" s="10" t="inlineStr">
        <is>
          <t>Vape retailer</t>
        </is>
      </c>
      <c r="I771" s="10" t="inlineStr">
        <is>
          <t>Independent</t>
        </is>
      </c>
      <c r="J771" s="10" t="inlineStr">
        <is>
          <t>1</t>
        </is>
      </c>
      <c r="K771" s="10" t="inlineStr"/>
      <c r="L771" s="10" t="inlineStr"/>
      <c r="M771" s="10" t="inlineStr"/>
      <c r="N771" s="10" t="inlineStr"/>
      <c r="O771" s="10" t="inlineStr">
        <is>
          <t>Railway Street</t>
        </is>
      </c>
      <c r="P771" s="10" t="inlineStr"/>
      <c r="Q771" s="10" t="inlineStr">
        <is>
          <t>Cleckheaton</t>
        </is>
      </c>
      <c r="R771" s="10" t="inlineStr">
        <is>
          <t>West Yorkshire</t>
        </is>
      </c>
      <c r="S771" s="10" t="inlineStr"/>
      <c r="T771" s="10" t="inlineStr">
        <is>
          <t>Yorkshire &amp; Humber</t>
        </is>
      </c>
      <c r="U771" s="10" t="inlineStr">
        <is>
          <t>England</t>
        </is>
      </c>
      <c r="V771" s="10" t="inlineStr"/>
      <c r="W771" s="10" t="inlineStr"/>
      <c r="X771" s="10" t="inlineStr"/>
      <c r="Y771" s="10" t="inlineStr"/>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vape hardware; e-liquids; disposable vapes</t>
        </is>
      </c>
      <c r="AL771" s="10" t="inlineStr"/>
      <c r="AM771" s="10" t="inlineStr">
        <is>
          <t>Vape Shop</t>
        </is>
      </c>
      <c r="AN771" s="10" t="inlineStr"/>
      <c r="AO771" s="10" t="inlineStr">
        <is>
          <t>Cylex lists it on Railway Street with an 01274 398xxx number shown only in truncated form, so no phone recorded.</t>
        </is>
      </c>
      <c r="AP771" s="10" t="inlineStr">
        <is>
          <t>Medium</t>
        </is>
      </c>
      <c r="AQ771" s="10" t="inlineStr">
        <is>
          <t>Independent retailer; Core relevant category</t>
        </is>
      </c>
      <c r="AR771" s="10" t="inlineStr">
        <is>
          <t>https://cleckheaton.cylex-uk.co.uk/company/vape-road-cleckheaton-26986187.html</t>
        </is>
      </c>
      <c r="AS771" s="10" t="inlineStr"/>
      <c r="AT771" s="10" t="inlineStr">
        <is>
          <t>1</t>
        </is>
      </c>
      <c r="AU771" s="10" t="inlineStr">
        <is>
          <t>No</t>
        </is>
      </c>
      <c r="AV771" s="10" t="inlineStr">
        <is>
          <t>No</t>
        </is>
      </c>
      <c r="AW771" s="10" t="inlineStr">
        <is>
          <t>No</t>
        </is>
      </c>
      <c r="AX771" s="10" t="inlineStr">
        <is>
          <t>No</t>
        </is>
      </c>
      <c r="AY771" s="10" t="inlineStr">
        <is>
          <t>Not Found</t>
        </is>
      </c>
      <c r="AZ771" s="10" t="inlineStr">
        <is>
          <t>Not Found</t>
        </is>
      </c>
      <c r="BA771" s="10" t="inlineStr">
        <is>
          <t>2026-09-17</t>
        </is>
      </c>
      <c r="BB771" s="10" t="inlineStr">
        <is>
          <t>Requires Verification</t>
        </is>
      </c>
      <c r="BC771" s="10" t="inlineStr">
        <is>
          <t>Low</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2026-09-16</t>
        </is>
      </c>
      <c r="BJ771" s="10" t="inlineStr">
        <is>
          <t>New</t>
        </is>
      </c>
      <c r="BK771" s="10" t="inlineStr">
        <is>
          <t>2026-09-17</t>
        </is>
      </c>
      <c r="BL771" s="10" t="inlineStr"/>
      <c r="BM771" s="10" t="inlineStr"/>
      <c r="BN771" s="10" t="inlineStr"/>
      <c r="BO771" s="10" t="inlineStr"/>
      <c r="BP771" s="10" t="inlineStr"/>
      <c r="BQ771" s="10" t="inlineStr"/>
    </row>
    <row r="772">
      <c r="A772" s="5" t="inlineStr">
        <is>
          <t>UK-000290</t>
        </is>
      </c>
      <c r="B772" s="5" t="inlineStr">
        <is>
          <t>UK-000290-01</t>
        </is>
      </c>
      <c r="C772" s="5" t="inlineStr"/>
      <c r="D772" s="5" t="inlineStr">
        <is>
          <t>Vape Safe Bridlington</t>
        </is>
      </c>
      <c r="E772" s="5" t="inlineStr">
        <is>
          <t>Vape Safe</t>
        </is>
      </c>
      <c r="F772" s="5" t="inlineStr"/>
      <c r="G772" s="5" t="inlineStr">
        <is>
          <t>Vape Shop</t>
        </is>
      </c>
      <c r="H772" s="5" t="inlineStr">
        <is>
          <t>E-liquid and hardware shop</t>
        </is>
      </c>
      <c r="I772" s="5" t="inlineStr">
        <is>
          <t>Independent</t>
        </is>
      </c>
      <c r="J772" s="5" t="inlineStr">
        <is>
          <t>1</t>
        </is>
      </c>
      <c r="K772" s="5" t="inlineStr"/>
      <c r="L772" s="5" t="inlineStr"/>
      <c r="M772" s="5" t="inlineStr"/>
      <c r="N772" s="5" t="inlineStr"/>
      <c r="O772" s="5" t="inlineStr">
        <is>
          <t>4b Promenade</t>
        </is>
      </c>
      <c r="P772" s="5" t="inlineStr"/>
      <c r="Q772" s="5" t="inlineStr">
        <is>
          <t>Bridlington</t>
        </is>
      </c>
      <c r="R772" s="5" t="inlineStr">
        <is>
          <t>East Riding of Yorkshire</t>
        </is>
      </c>
      <c r="S772" s="5" t="inlineStr">
        <is>
          <t>YO15 2PX</t>
        </is>
      </c>
      <c r="T772" s="5" t="inlineStr">
        <is>
          <t>Yorkshire &amp; Humber</t>
        </is>
      </c>
      <c r="U772" s="5" t="inlineStr">
        <is>
          <t>England</t>
        </is>
      </c>
      <c r="V772" s="5" t="inlineStr"/>
      <c r="W772" s="5" t="inlineStr"/>
      <c r="X772" s="5" t="inlineStr"/>
      <c r="Y772" s="5" t="inlineStr"/>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e-liquids; pods; mods; disposables</t>
        </is>
      </c>
      <c r="AL772" s="5" t="inlineStr"/>
      <c r="AM772" s="5" t="inlineStr">
        <is>
          <t>Vape Shop</t>
        </is>
      </c>
      <c r="AN772" s="5" t="inlineStr"/>
      <c r="AO772" s="5" t="inlineStr">
        <is>
          <t>Independent vape shop on the Promenade, Bridlington. No phone published in search results.</t>
        </is>
      </c>
      <c r="AP772" s="5" t="inlineStr">
        <is>
          <t>Medium</t>
        </is>
      </c>
      <c r="AQ772" s="5" t="inlineStr">
        <is>
          <t>Independent retailer; Core relevant category</t>
        </is>
      </c>
      <c r="AR772" s="5" t="inlineStr">
        <is>
          <t>https://www.yell.com/s/vape+shops-bridlington.html</t>
        </is>
      </c>
      <c r="AS772" s="5" t="inlineStr"/>
      <c r="AT772" s="5" t="inlineStr">
        <is>
          <t>1</t>
        </is>
      </c>
      <c r="AU772" s="5" t="inlineStr">
        <is>
          <t>No</t>
        </is>
      </c>
      <c r="AV772" s="5" t="inlineStr">
        <is>
          <t>No</t>
        </is>
      </c>
      <c r="AW772" s="5" t="inlineStr">
        <is>
          <t>No</t>
        </is>
      </c>
      <c r="AX772" s="5" t="inlineStr">
        <is>
          <t>No</t>
        </is>
      </c>
      <c r="AY772" s="5" t="inlineStr">
        <is>
          <t>Not Found</t>
        </is>
      </c>
      <c r="AZ772" s="5" t="inlineStr">
        <is>
          <t>Not Found</t>
        </is>
      </c>
      <c r="BA772" s="5" t="inlineStr">
        <is>
          <t>2026-09-17</t>
        </is>
      </c>
      <c r="BB772" s="5" t="inlineStr">
        <is>
          <t>Requires Verification</t>
        </is>
      </c>
      <c r="BC772" s="5" t="inlineStr">
        <is>
          <t>Low</t>
        </is>
      </c>
      <c r="BD772" s="5" t="inlineStr"/>
      <c r="BE772" s="5" t="inlineStr">
        <is>
          <t>Business (B2B)</t>
        </is>
      </c>
      <c r="BF772" s="5" t="inlineStr">
        <is>
          <t>Legitimate interest (B2B) - assess per campaign; PECR: corporate subscribers</t>
        </is>
      </c>
      <c r="BG772" s="5" t="inlineStr"/>
      <c r="BH772" s="5" t="inlineStr">
        <is>
          <t>No</t>
        </is>
      </c>
      <c r="BI772" s="5" t="inlineStr">
        <is>
          <t>2026-09-16</t>
        </is>
      </c>
      <c r="BJ772" s="5" t="inlineStr">
        <is>
          <t>New</t>
        </is>
      </c>
      <c r="BK772" s="5" t="inlineStr">
        <is>
          <t>2026-09-17</t>
        </is>
      </c>
      <c r="BL772" s="5" t="inlineStr"/>
      <c r="BM772" s="5" t="inlineStr"/>
      <c r="BN772" s="5" t="inlineStr"/>
      <c r="BO772" s="5" t="inlineStr"/>
      <c r="BP772" s="5" t="inlineStr"/>
      <c r="BQ772" s="5" t="inlineStr"/>
    </row>
    <row r="773">
      <c r="A773" s="10" t="inlineStr">
        <is>
          <t>UK-000834</t>
        </is>
      </c>
      <c r="B773" s="10" t="inlineStr">
        <is>
          <t>UK-000834-01</t>
        </is>
      </c>
      <c r="C773" s="10" t="inlineStr"/>
      <c r="D773" s="10" t="inlineStr">
        <is>
          <t>Vape Saloon</t>
        </is>
      </c>
      <c r="E773" s="10" t="inlineStr">
        <is>
          <t>Vape Saloon</t>
        </is>
      </c>
      <c r="F773" s="10" t="inlineStr"/>
      <c r="G773" s="10" t="inlineStr">
        <is>
          <t>Vape Shop</t>
        </is>
      </c>
      <c r="H773" s="10" t="inlineStr">
        <is>
          <t>Vape kits and e-liquids</t>
        </is>
      </c>
      <c r="I773" s="10" t="inlineStr">
        <is>
          <t>Independent</t>
        </is>
      </c>
      <c r="J773" s="10" t="inlineStr">
        <is>
          <t>1</t>
        </is>
      </c>
      <c r="K773" s="10" t="inlineStr">
        <is>
          <t>https://www.vapesaloon.co.uk/</t>
        </is>
      </c>
      <c r="L773" s="10" t="inlineStr"/>
      <c r="M773" s="10" t="inlineStr"/>
      <c r="N773" s="10" t="inlineStr"/>
      <c r="O773" s="10" t="inlineStr">
        <is>
          <t>651 Lord Street</t>
        </is>
      </c>
      <c r="P773" s="10" t="inlineStr"/>
      <c r="Q773" s="10" t="inlineStr">
        <is>
          <t>Southport</t>
        </is>
      </c>
      <c r="R773" s="10" t="inlineStr">
        <is>
          <t>Merseyside</t>
        </is>
      </c>
      <c r="S773" s="10" t="inlineStr">
        <is>
          <t>PR9 0AW</t>
        </is>
      </c>
      <c r="T773" s="10" t="inlineStr">
        <is>
          <t>North West</t>
        </is>
      </c>
      <c r="U773" s="10" t="inlineStr">
        <is>
          <t>England</t>
        </is>
      </c>
      <c r="V773" s="10" t="inlineStr">
        <is>
          <t>01704 532531</t>
        </is>
      </c>
      <c r="W773" s="10" t="inlineStr"/>
      <c r="X773" s="10" t="inlineStr"/>
      <c r="Y773" s="10" t="inlineStr">
        <is>
          <t>orders@vapesaloon.co.uk</t>
        </is>
      </c>
      <c r="Z773" s="10" t="inlineStr">
        <is>
          <t>orders@vapesaloon.co.uk</t>
        </is>
      </c>
      <c r="AA773" s="10" t="inlineStr"/>
      <c r="AB773" s="10" t="inlineStr"/>
      <c r="AC773" s="10" t="inlineStr"/>
      <c r="AD773" s="10" t="inlineStr"/>
      <c r="AE773" s="10" t="inlineStr"/>
      <c r="AF773" s="10" t="inlineStr"/>
      <c r="AG773" s="10" t="inlineStr"/>
      <c r="AH773" s="10" t="inlineStr"/>
      <c r="AI773" s="10" t="inlineStr"/>
      <c r="AJ773" s="10" t="inlineStr"/>
      <c r="AK773" s="10" t="inlineStr">
        <is>
          <t>vape kits; e-liquids</t>
        </is>
      </c>
      <c r="AL773" s="10" t="inlineStr"/>
      <c r="AM773" s="10" t="inlineStr">
        <is>
          <t>Vape Shop</t>
        </is>
      </c>
      <c r="AN773" s="10" t="inlineStr"/>
      <c r="AO773" s="10" t="inlineStr">
        <is>
          <t>Independent vape shop on Lord Street, Southport, with online store. Address, phone and orders@ email from own site location page and FindOpen listing.</t>
        </is>
      </c>
      <c r="AP773" s="10" t="inlineStr">
        <is>
          <t>High</t>
        </is>
      </c>
      <c r="AQ773" s="10" t="inlineStr">
        <is>
          <t>Independent retailer; Core relevant category; Public trade/sales contact; Active website; Phone verified on official website</t>
        </is>
      </c>
      <c r="AR773" s="10" t="inlineStr">
        <is>
          <t>https://www.vapesaloon.co.uk/pages/location</t>
        </is>
      </c>
      <c r="AS773" s="10" t="inlineStr">
        <is>
          <t>https://find-open.co.uk/southport/vape-saloon-southport-1784098</t>
        </is>
      </c>
      <c r="AT773" s="10" t="inlineStr">
        <is>
          <t>2</t>
        </is>
      </c>
      <c r="AU773" s="10" t="inlineStr">
        <is>
          <t>No</t>
        </is>
      </c>
      <c r="AV773" s="10" t="inlineStr">
        <is>
          <t>No</t>
        </is>
      </c>
      <c r="AW773" s="10" t="inlineStr">
        <is>
          <t>No</t>
        </is>
      </c>
      <c r="AX773" s="10" t="inlineStr">
        <is>
          <t>No</t>
        </is>
      </c>
      <c r="AY773" s="10" t="inlineStr">
        <is>
          <t>Verified on official website</t>
        </is>
      </c>
      <c r="AZ773" s="10" t="inlineStr">
        <is>
          <t>Publicly Listed</t>
        </is>
      </c>
      <c r="BA773" s="10" t="inlineStr">
        <is>
          <t>2026-09-17</t>
        </is>
      </c>
      <c r="BB773" s="10" t="inlineStr">
        <is>
          <t>Requires Verification</t>
        </is>
      </c>
      <c r="BC773" s="10" t="inlineStr">
        <is>
          <t>High</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2026-09-17</t>
        </is>
      </c>
      <c r="BJ773" s="10" t="inlineStr">
        <is>
          <t>New</t>
        </is>
      </c>
      <c r="BK773" s="10" t="inlineStr">
        <is>
          <t>2026-09-17</t>
        </is>
      </c>
      <c r="BL773" s="10" t="inlineStr"/>
      <c r="BM773" s="10" t="inlineStr"/>
      <c r="BN773" s="10" t="inlineStr"/>
      <c r="BO773" s="10" t="inlineStr"/>
      <c r="BP773" s="10" t="inlineStr"/>
      <c r="BQ773" s="10" t="inlineStr"/>
    </row>
    <row r="774">
      <c r="A774" s="5" t="inlineStr">
        <is>
          <t>UK-000406</t>
        </is>
      </c>
      <c r="B774" s="5" t="inlineStr">
        <is>
          <t>UK-000406-01</t>
        </is>
      </c>
      <c r="C774" s="5" t="inlineStr"/>
      <c r="D774" s="5" t="inlineStr">
        <is>
          <t>Vape Saloon Leigh</t>
        </is>
      </c>
      <c r="E774" s="5" t="inlineStr">
        <is>
          <t>Vape Saloon</t>
        </is>
      </c>
      <c r="F774" s="5" t="inlineStr"/>
      <c r="G774" s="5" t="inlineStr">
        <is>
          <t>Vape Shop</t>
        </is>
      </c>
      <c r="H774" s="5" t="inlineStr"/>
      <c r="I774" s="5" t="inlineStr">
        <is>
          <t>Independent</t>
        </is>
      </c>
      <c r="J774" s="5" t="inlineStr">
        <is>
          <t>1</t>
        </is>
      </c>
      <c r="K774" s="5" t="inlineStr"/>
      <c r="L774" s="5" t="inlineStr">
        <is>
          <t>https://www.facebook.com/VapeSaloonLeigh/</t>
        </is>
      </c>
      <c r="M774" s="5" t="inlineStr"/>
      <c r="N774" s="5" t="inlineStr"/>
      <c r="O774" s="5" t="inlineStr"/>
      <c r="P774" s="5" t="inlineStr"/>
      <c r="Q774" s="5" t="inlineStr">
        <is>
          <t>Leigh</t>
        </is>
      </c>
      <c r="R774" s="5" t="inlineStr">
        <is>
          <t>Greater Manchester</t>
        </is>
      </c>
      <c r="S774" s="5" t="inlineStr"/>
      <c r="T774" s="5" t="inlineStr">
        <is>
          <t>North West</t>
        </is>
      </c>
      <c r="U774" s="5" t="inlineStr">
        <is>
          <t>England</t>
        </is>
      </c>
      <c r="V774" s="5" t="inlineStr"/>
      <c r="W774" s="5" t="inlineStr"/>
      <c r="X774" s="5" t="inlineStr"/>
      <c r="Y774" s="5" t="inlineStr"/>
      <c r="Z774" s="5" t="inlineStr"/>
      <c r="AA774" s="5" t="inlineStr"/>
      <c r="AB774" s="5" t="inlineStr"/>
      <c r="AC774" s="5" t="inlineStr"/>
      <c r="AD774" s="5" t="inlineStr"/>
      <c r="AE774" s="5" t="inlineStr"/>
      <c r="AF774" s="5" t="inlineStr"/>
      <c r="AG774" s="5" t="inlineStr"/>
      <c r="AH774" s="5" t="inlineStr"/>
      <c r="AI774" s="5" t="inlineStr"/>
      <c r="AJ774" s="5" t="inlineStr"/>
      <c r="AK774" s="5" t="inlineStr">
        <is>
          <t>vape hardware; e-liquids</t>
        </is>
      </c>
      <c r="AL774" s="5" t="inlineStr"/>
      <c r="AM774" s="5" t="inlineStr">
        <is>
          <t>Vape Shop</t>
        </is>
      </c>
      <c r="AN774" s="5" t="inlineStr"/>
      <c r="AO774" s="5" t="inlineStr">
        <is>
          <t>Independent vape shop in Leigh with active Facebook page. Street address/postcode not published in search snippets; needs verification.</t>
        </is>
      </c>
      <c r="AP774" s="5" t="inlineStr">
        <is>
          <t>Medium</t>
        </is>
      </c>
      <c r="AQ774" s="5" t="inlineStr">
        <is>
          <t>Independent retailer; Core relevant category; Social presence</t>
        </is>
      </c>
      <c r="AR774" s="5" t="inlineStr">
        <is>
          <t>https://www.facebook.com/VapeSaloonLeigh/</t>
        </is>
      </c>
      <c r="AS774" s="5" t="inlineStr"/>
      <c r="AT774" s="5" t="inlineStr">
        <is>
          <t>1</t>
        </is>
      </c>
      <c r="AU774" s="5" t="inlineStr">
        <is>
          <t>No</t>
        </is>
      </c>
      <c r="AV774" s="5" t="inlineStr">
        <is>
          <t>No</t>
        </is>
      </c>
      <c r="AW774" s="5" t="inlineStr">
        <is>
          <t>No</t>
        </is>
      </c>
      <c r="AX774" s="5" t="inlineStr">
        <is>
          <t>No</t>
        </is>
      </c>
      <c r="AY774" s="5" t="inlineStr">
        <is>
          <t>Not Found</t>
        </is>
      </c>
      <c r="AZ774" s="5" t="inlineStr">
        <is>
          <t>Not Found</t>
        </is>
      </c>
      <c r="BA774" s="5" t="inlineStr">
        <is>
          <t>2026-09-17</t>
        </is>
      </c>
      <c r="BB774" s="5" t="inlineStr">
        <is>
          <t>Requires Verification</t>
        </is>
      </c>
      <c r="BC774" s="5" t="inlineStr">
        <is>
          <t>Low</t>
        </is>
      </c>
      <c r="BD774" s="5" t="inlineStr"/>
      <c r="BE774" s="5" t="inlineStr">
        <is>
          <t>Business (B2B)</t>
        </is>
      </c>
      <c r="BF774" s="5" t="inlineStr">
        <is>
          <t>Legitimate interest (B2B) - assess per campaign; PECR: corporate subscribers</t>
        </is>
      </c>
      <c r="BG774" s="5" t="inlineStr"/>
      <c r="BH774" s="5" t="inlineStr">
        <is>
          <t>No</t>
        </is>
      </c>
      <c r="BI774" s="5" t="inlineStr">
        <is>
          <t>2026-09-17</t>
        </is>
      </c>
      <c r="BJ774" s="5" t="inlineStr">
        <is>
          <t>New</t>
        </is>
      </c>
      <c r="BK774" s="5" t="inlineStr">
        <is>
          <t>2026-09-17</t>
        </is>
      </c>
      <c r="BL774" s="5" t="inlineStr"/>
      <c r="BM774" s="5" t="inlineStr"/>
      <c r="BN774" s="5" t="inlineStr"/>
      <c r="BO774" s="5" t="inlineStr"/>
      <c r="BP774" s="5" t="inlineStr"/>
      <c r="BQ774" s="5" t="inlineStr"/>
    </row>
    <row r="775">
      <c r="A775" s="10" t="inlineStr">
        <is>
          <t>UK-000407</t>
        </is>
      </c>
      <c r="B775" s="10" t="inlineStr">
        <is>
          <t>UK-000407-01</t>
        </is>
      </c>
      <c r="C775" s="10" t="inlineStr"/>
      <c r="D775" s="10" t="inlineStr">
        <is>
          <t>Vape Spot Bury</t>
        </is>
      </c>
      <c r="E775" s="10" t="inlineStr">
        <is>
          <t>Vape Spot</t>
        </is>
      </c>
      <c r="F775" s="10" t="inlineStr"/>
      <c r="G775" s="10" t="inlineStr">
        <is>
          <t>Vape Shop</t>
        </is>
      </c>
      <c r="H775" s="10" t="inlineStr"/>
      <c r="I775" s="10" t="inlineStr">
        <is>
          <t>Independent</t>
        </is>
      </c>
      <c r="J775" s="10" t="inlineStr">
        <is>
          <t>1</t>
        </is>
      </c>
      <c r="K775" s="10" t="inlineStr"/>
      <c r="L775" s="10" t="inlineStr"/>
      <c r="M775" s="10" t="inlineStr"/>
      <c r="N775" s="10" t="inlineStr"/>
      <c r="O775" s="10" t="inlineStr">
        <is>
          <t>182 Walmersley Road</t>
        </is>
      </c>
      <c r="P775" s="10" t="inlineStr"/>
      <c r="Q775" s="10" t="inlineStr">
        <is>
          <t>Bury</t>
        </is>
      </c>
      <c r="R775" s="10" t="inlineStr">
        <is>
          <t>Greater Manchester</t>
        </is>
      </c>
      <c r="S775" s="10" t="inlineStr">
        <is>
          <t>BL9 6LL</t>
        </is>
      </c>
      <c r="T775" s="10" t="inlineStr">
        <is>
          <t>North West</t>
        </is>
      </c>
      <c r="U775" s="10" t="inlineStr">
        <is>
          <t>England</t>
        </is>
      </c>
      <c r="V775" s="10" t="inlineStr">
        <is>
          <t>07478 496993</t>
        </is>
      </c>
      <c r="W775" s="10" t="inlineStr"/>
      <c r="X775" s="10" t="inlineStr"/>
      <c r="Y775" s="10" t="inlineStr"/>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vape hardware; e-liquids</t>
        </is>
      </c>
      <c r="AL775" s="10" t="inlineStr"/>
      <c r="AM775" s="10" t="inlineStr">
        <is>
          <t>Vape Shop</t>
        </is>
      </c>
      <c r="AN775" s="10" t="inlineStr"/>
      <c r="AO775" s="10" t="inlineStr">
        <is>
          <t>Independent vape shop on Walmersley Road, Bury.</t>
        </is>
      </c>
      <c r="AP775" s="10" t="inlineStr">
        <is>
          <t>Medium</t>
        </is>
      </c>
      <c r="AQ775" s="10" t="inlineStr">
        <is>
          <t>Independent retailer; Core relevant category</t>
        </is>
      </c>
      <c r="AR775" s="10" t="inlineStr">
        <is>
          <t>https://www.wheree.com/Vape_Shops-c124-g2119118-Bury</t>
        </is>
      </c>
      <c r="AS775" s="10" t="inlineStr"/>
      <c r="AT775" s="10" t="inlineStr">
        <is>
          <t>1</t>
        </is>
      </c>
      <c r="AU775" s="10" t="inlineStr">
        <is>
          <t>No</t>
        </is>
      </c>
      <c r="AV775" s="10" t="inlineStr">
        <is>
          <t>No</t>
        </is>
      </c>
      <c r="AW775" s="10" t="inlineStr">
        <is>
          <t>No</t>
        </is>
      </c>
      <c r="AX775" s="10" t="inlineStr">
        <is>
          <t>No</t>
        </is>
      </c>
      <c r="AY775" s="10" t="inlineStr">
        <is>
          <t>Verified directory</t>
        </is>
      </c>
      <c r="AZ775" s="10" t="inlineStr">
        <is>
          <t>Not Found</t>
        </is>
      </c>
      <c r="BA775" s="10" t="inlineStr">
        <is>
          <t>2026-09-17</t>
        </is>
      </c>
      <c r="BB775" s="10" t="inlineStr">
        <is>
          <t>Requires Verification</t>
        </is>
      </c>
      <c r="BC775" s="10" t="inlineStr">
        <is>
          <t>Low</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2026-09-17</t>
        </is>
      </c>
      <c r="BJ775" s="10" t="inlineStr">
        <is>
          <t>New</t>
        </is>
      </c>
      <c r="BK775" s="10" t="inlineStr">
        <is>
          <t>2026-09-17</t>
        </is>
      </c>
      <c r="BL775" s="10" t="inlineStr"/>
      <c r="BM775" s="10" t="inlineStr"/>
      <c r="BN775" s="10" t="inlineStr"/>
      <c r="BO775" s="10" t="inlineStr"/>
      <c r="BP775" s="10" t="inlineStr"/>
      <c r="BQ775" s="10" t="inlineStr"/>
    </row>
    <row r="776">
      <c r="A776" s="5" t="inlineStr">
        <is>
          <t>UK-000291</t>
        </is>
      </c>
      <c r="B776" s="5" t="inlineStr">
        <is>
          <t>UK-000291-01</t>
        </is>
      </c>
      <c r="C776" s="5" t="inlineStr"/>
      <c r="D776" s="5" t="inlineStr">
        <is>
          <t>Vape Store &amp; Bargains Galore</t>
        </is>
      </c>
      <c r="E776" s="5" t="inlineStr">
        <is>
          <t>Vape Store &amp; Bargains Galore</t>
        </is>
      </c>
      <c r="F776" s="5" t="inlineStr"/>
      <c r="G776" s="5" t="inlineStr">
        <is>
          <t>Vape Shop</t>
        </is>
      </c>
      <c r="H776" s="5" t="inlineStr">
        <is>
          <t>Vape shop and discount store</t>
        </is>
      </c>
      <c r="I776" s="5" t="inlineStr">
        <is>
          <t>Independent</t>
        </is>
      </c>
      <c r="J776" s="5" t="inlineStr">
        <is>
          <t>1</t>
        </is>
      </c>
      <c r="K776" s="5" t="inlineStr"/>
      <c r="L776" s="5" t="inlineStr">
        <is>
          <t>https://www.facebook.com/VapeStorebarnsley/</t>
        </is>
      </c>
      <c r="M776" s="5" t="inlineStr"/>
      <c r="N776" s="5" t="inlineStr"/>
      <c r="O776" s="5" t="inlineStr"/>
      <c r="P776" s="5" t="inlineStr"/>
      <c r="Q776" s="5" t="inlineStr">
        <is>
          <t>Barnsley</t>
        </is>
      </c>
      <c r="R776" s="5" t="inlineStr">
        <is>
          <t>South Yorkshire</t>
        </is>
      </c>
      <c r="S776" s="5" t="inlineStr"/>
      <c r="T776" s="5" t="inlineStr">
        <is>
          <t>Yorkshire &amp; Humber</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e-liquids; mods; tanks; disposables; CBD; coils</t>
        </is>
      </c>
      <c r="AL776" s="5" t="inlineStr"/>
      <c r="AM776" s="5" t="inlineStr">
        <is>
          <t>Vape Shop</t>
        </is>
      </c>
      <c r="AN776" s="5" t="inlineStr"/>
      <c r="AO776" s="5" t="inlineStr">
        <is>
          <t>Independent vape shop with 'Barnsley's biggest range of juices'. Listed on Yell and Facebook; street address/postcode not captured from search results.</t>
        </is>
      </c>
      <c r="AP776" s="5" t="inlineStr">
        <is>
          <t>Medium</t>
        </is>
      </c>
      <c r="AQ776" s="5" t="inlineStr">
        <is>
          <t>Independent retailer; Core relevant category; Social presence</t>
        </is>
      </c>
      <c r="AR776" s="5" t="inlineStr">
        <is>
          <t>https://www.yell.com/biz/vape-store-and-bargains-galore-barnsley-10072936/</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2026-09-16</t>
        </is>
      </c>
      <c r="BJ776" s="5" t="inlineStr">
        <is>
          <t>New</t>
        </is>
      </c>
      <c r="BK776" s="5" t="inlineStr">
        <is>
          <t>2026-09-17</t>
        </is>
      </c>
      <c r="BL776" s="5" t="inlineStr"/>
      <c r="BM776" s="5" t="inlineStr"/>
      <c r="BN776" s="5" t="inlineStr"/>
      <c r="BO776" s="5" t="inlineStr"/>
      <c r="BP776" s="5" t="inlineStr"/>
      <c r="BQ776" s="5" t="inlineStr"/>
    </row>
    <row r="777">
      <c r="A777" s="10" t="inlineStr">
        <is>
          <t>WY-0177</t>
        </is>
      </c>
      <c r="B777" s="10" t="inlineStr">
        <is>
          <t>WY-0177-01</t>
        </is>
      </c>
      <c r="C777" s="10" t="inlineStr"/>
      <c r="D777" s="10" t="inlineStr">
        <is>
          <t>Vape Suite</t>
        </is>
      </c>
      <c r="E777" s="10" t="inlineStr">
        <is>
          <t>Vape Suite</t>
        </is>
      </c>
      <c r="F777" s="10" t="inlineStr">
        <is>
          <t>Vape Suite (Huddersfield) Ltd</t>
        </is>
      </c>
      <c r="G777" s="10" t="inlineStr">
        <is>
          <t>Vape Shop</t>
        </is>
      </c>
      <c r="H777" s="10" t="inlineStr">
        <is>
          <t>E-cigarette / e-liquid / disposables retailer</t>
        </is>
      </c>
      <c r="I777" s="10" t="inlineStr">
        <is>
          <t>Independent</t>
        </is>
      </c>
      <c r="J777" s="10" t="inlineStr">
        <is>
          <t>1</t>
        </is>
      </c>
      <c r="K777" s="10" t="inlineStr"/>
      <c r="L777" s="10" t="inlineStr"/>
      <c r="M777" s="10" t="inlineStr"/>
      <c r="N777" s="10" t="inlineStr"/>
      <c r="O777" s="10" t="inlineStr">
        <is>
          <t>7 King Street</t>
        </is>
      </c>
      <c r="P777" s="10" t="inlineStr">
        <is>
          <t>Town Centre</t>
        </is>
      </c>
      <c r="Q777" s="10" t="inlineStr">
        <is>
          <t>Huddersfield</t>
        </is>
      </c>
      <c r="R777" s="10" t="inlineStr">
        <is>
          <t>West Yorkshire</t>
        </is>
      </c>
      <c r="S777" s="10" t="inlineStr">
        <is>
          <t>HD1 2QD</t>
        </is>
      </c>
      <c r="T777" s="10" t="inlineStr">
        <is>
          <t>Yorkshire &amp; Humber</t>
        </is>
      </c>
      <c r="U777" s="10" t="inlineStr">
        <is>
          <t>England</t>
        </is>
      </c>
      <c r="V777" s="10" t="inlineStr">
        <is>
          <t>01484 312366</t>
        </is>
      </c>
      <c r="W777" s="10" t="inlineStr"/>
      <c r="X777" s="10" t="inlineStr"/>
      <c r="Y777" s="10" t="inlineStr"/>
      <c r="Z777" s="10" t="inlineStr"/>
      <c r="AA777" s="10" t="inlineStr"/>
      <c r="AB777" s="10" t="inlineStr"/>
      <c r="AC777" s="10" t="inlineStr"/>
      <c r="AD777" s="10" t="inlineStr"/>
      <c r="AE777" s="10" t="inlineStr">
        <is>
          <t>13476013</t>
        </is>
      </c>
      <c r="AF777" s="10" t="inlineStr"/>
      <c r="AG777" s="10" t="inlineStr">
        <is>
          <t>VAPE SUITE (HUDDERSFIELD) LTD</t>
        </is>
      </c>
      <c r="AH777" s="10" t="inlineStr"/>
      <c r="AI777" s="10" t="inlineStr"/>
      <c r="AJ777" s="10" t="inlineStr"/>
      <c r="AK777" s="10" t="inlineStr">
        <is>
          <t>vape hardware; e-liquids; disposable vapes</t>
        </is>
      </c>
      <c r="AL777" s="10" t="inlineStr"/>
      <c r="AM777" s="10" t="inlineStr">
        <is>
          <t>Vape Shop</t>
        </is>
      </c>
      <c r="AN777" s="10" t="inlineStr"/>
      <c r="AO777" s="10" t="inlineStr">
        <is>
          <t>Well-reviewed town-centre vape shop. Companies House match VAPE SUITE (HUDDERSFIELD) LTD found in search results; company page not opened, so status/incorporation not recorded.</t>
        </is>
      </c>
      <c r="AP777" s="10" t="inlineStr">
        <is>
          <t>Medium</t>
        </is>
      </c>
      <c r="AQ777" s="10" t="inlineStr">
        <is>
          <t>Independent retailer; Core relevant category</t>
        </is>
      </c>
      <c r="AR777" s="10" t="inlineStr">
        <is>
          <t>https://find-and-update.company-information.service.gov.uk/company/13476013</t>
        </is>
      </c>
      <c r="AS777" s="10" t="inlineStr">
        <is>
          <t>https://www.yell.com/biz/vape-suite-huddersfield-9317660/</t>
        </is>
      </c>
      <c r="AT777" s="10" t="inlineStr">
        <is>
          <t>4</t>
        </is>
      </c>
      <c r="AU777" s="10" t="inlineStr">
        <is>
          <t>No</t>
        </is>
      </c>
      <c r="AV777" s="10" t="inlineStr">
        <is>
          <t>No</t>
        </is>
      </c>
      <c r="AW777" s="10" t="inlineStr">
        <is>
          <t>No</t>
        </is>
      </c>
      <c r="AX777" s="10" t="inlineStr">
        <is>
          <t>No</t>
        </is>
      </c>
      <c r="AY777" s="10" t="inlineStr">
        <is>
          <t>Verified directory</t>
        </is>
      </c>
      <c r="AZ777" s="10" t="inlineStr">
        <is>
          <t>Not Found</t>
        </is>
      </c>
      <c r="BA777" s="10" t="inlineStr">
        <is>
          <t>2026-09-17</t>
        </is>
      </c>
      <c r="BB777" s="10" t="inlineStr">
        <is>
          <t>Requires Verification</t>
        </is>
      </c>
      <c r="BC777" s="10" t="inlineStr">
        <is>
          <t>Medium</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2026-09-16</t>
        </is>
      </c>
      <c r="BJ777" s="10" t="inlineStr">
        <is>
          <t>New</t>
        </is>
      </c>
      <c r="BK777" s="10" t="inlineStr">
        <is>
          <t>2026-09-17</t>
        </is>
      </c>
      <c r="BL777" s="10" t="inlineStr"/>
      <c r="BM777" s="10" t="inlineStr"/>
      <c r="BN777" s="10" t="inlineStr"/>
      <c r="BO777" s="10" t="inlineStr"/>
      <c r="BP777" s="10" t="inlineStr"/>
      <c r="BQ777" s="10" t="inlineStr"/>
    </row>
    <row r="778">
      <c r="A778" s="5" t="inlineStr">
        <is>
          <t>UK-000536</t>
        </is>
      </c>
      <c r="B778" s="5" t="inlineStr">
        <is>
          <t>UK-000536-01</t>
        </is>
      </c>
      <c r="C778" s="5" t="inlineStr"/>
      <c r="D778" s="5" t="inlineStr">
        <is>
          <t>Vape Vision Gornal</t>
        </is>
      </c>
      <c r="E778" s="5" t="inlineStr">
        <is>
          <t>Vape Vision</t>
        </is>
      </c>
      <c r="F778" s="5" t="inlineStr"/>
      <c r="G778" s="5" t="inlineStr">
        <is>
          <t>Vape Shop</t>
        </is>
      </c>
      <c r="H778" s="5" t="inlineStr">
        <is>
          <t>Vape kits, e-liquids &amp; accessories</t>
        </is>
      </c>
      <c r="I778" s="5" t="inlineStr">
        <is>
          <t>Independent</t>
        </is>
      </c>
      <c r="J778" s="5" t="inlineStr">
        <is>
          <t>1</t>
        </is>
      </c>
      <c r="K778" s="5" t="inlineStr"/>
      <c r="L778" s="5" t="inlineStr"/>
      <c r="M778" s="5" t="inlineStr"/>
      <c r="N778" s="5" t="inlineStr"/>
      <c r="O778" s="5" t="inlineStr">
        <is>
          <t>44 Louise Street</t>
        </is>
      </c>
      <c r="P778" s="5" t="inlineStr">
        <is>
          <t>Lower Gornal</t>
        </is>
      </c>
      <c r="Q778" s="5" t="inlineStr">
        <is>
          <t>Dudley</t>
        </is>
      </c>
      <c r="R778" s="5" t="inlineStr">
        <is>
          <t>West Midlands</t>
        </is>
      </c>
      <c r="S778" s="5" t="inlineStr">
        <is>
          <t>DY3 2UB</t>
        </is>
      </c>
      <c r="T778" s="5" t="inlineStr">
        <is>
          <t>West Midlands</t>
        </is>
      </c>
      <c r="U778" s="5" t="inlineStr">
        <is>
          <t>England</t>
        </is>
      </c>
      <c r="V778" s="5" t="inlineStr"/>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vape hardware; e-liquids; disposables</t>
        </is>
      </c>
      <c r="AL778" s="5" t="inlineStr"/>
      <c r="AM778" s="5" t="inlineStr">
        <is>
          <t>Vape Shop</t>
        </is>
      </c>
      <c r="AN778" s="5" t="inlineStr"/>
      <c r="AO778" s="5" t="inlineStr">
        <is>
          <t>Independent vape shop in Lower Gornal, Dudley. Address from Yelp Dudley vape shops listing snippet.</t>
        </is>
      </c>
      <c r="AP778" s="5" t="inlineStr">
        <is>
          <t>Medium</t>
        </is>
      </c>
      <c r="AQ778" s="5" t="inlineStr">
        <is>
          <t>Independent retailer; Core relevant category</t>
        </is>
      </c>
      <c r="AR778" s="5" t="inlineStr">
        <is>
          <t>https://www.yelp.com/search?cflt=vapeshops&amp;find_loc=Dudley%2C+West+Midlands</t>
        </is>
      </c>
      <c r="AS778" s="5" t="inlineStr"/>
      <c r="AT778" s="5" t="inlineStr">
        <is>
          <t>1</t>
        </is>
      </c>
      <c r="AU778" s="5" t="inlineStr">
        <is>
          <t>No</t>
        </is>
      </c>
      <c r="AV778" s="5" t="inlineStr">
        <is>
          <t>No</t>
        </is>
      </c>
      <c r="AW778" s="5" t="inlineStr">
        <is>
          <t>No</t>
        </is>
      </c>
      <c r="AX778" s="5" t="inlineStr">
        <is>
          <t>No</t>
        </is>
      </c>
      <c r="AY778" s="5" t="inlineStr">
        <is>
          <t>Not Found</t>
        </is>
      </c>
      <c r="AZ778" s="5" t="inlineStr">
        <is>
          <t>Not Found</t>
        </is>
      </c>
      <c r="BA778" s="5" t="inlineStr">
        <is>
          <t>2026-09-17</t>
        </is>
      </c>
      <c r="BB778" s="5" t="inlineStr">
        <is>
          <t>Requires Verification</t>
        </is>
      </c>
      <c r="BC778" s="5" t="inlineStr">
        <is>
          <t>Low</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UK-000408</t>
        </is>
      </c>
      <c r="B779" s="10" t="inlineStr">
        <is>
          <t>UK-000408-01</t>
        </is>
      </c>
      <c r="C779" s="10" t="inlineStr"/>
      <c r="D779" s="10" t="inlineStr">
        <is>
          <t>Vape World (Eccles, Salford)</t>
        </is>
      </c>
      <c r="E779" s="10" t="inlineStr">
        <is>
          <t>Vape World</t>
        </is>
      </c>
      <c r="F779" s="10" t="inlineStr"/>
      <c r="G779" s="10" t="inlineStr">
        <is>
          <t>Vape Shop</t>
        </is>
      </c>
      <c r="H779" s="10" t="inlineStr">
        <is>
          <t>Vape hardware, e-liquids &amp; disposables</t>
        </is>
      </c>
      <c r="I779" s="10" t="inlineStr">
        <is>
          <t>Independent</t>
        </is>
      </c>
      <c r="J779" s="10" t="inlineStr">
        <is>
          <t>1</t>
        </is>
      </c>
      <c r="K779" s="10" t="inlineStr"/>
      <c r="L779" s="10" t="inlineStr"/>
      <c r="M779" s="10" t="inlineStr"/>
      <c r="N779" s="10" t="inlineStr"/>
      <c r="O779" s="10" t="inlineStr">
        <is>
          <t>120 Liverpool Road</t>
        </is>
      </c>
      <c r="P779" s="10" t="inlineStr">
        <is>
          <t>Eccles</t>
        </is>
      </c>
      <c r="Q779" s="10" t="inlineStr">
        <is>
          <t>Eccles</t>
        </is>
      </c>
      <c r="R779" s="10" t="inlineStr">
        <is>
          <t>Greater Manchester</t>
        </is>
      </c>
      <c r="S779" s="10" t="inlineStr">
        <is>
          <t>M30 0WZ</t>
        </is>
      </c>
      <c r="T779" s="10" t="inlineStr">
        <is>
          <t>North West</t>
        </is>
      </c>
      <c r="U779" s="10" t="inlineStr">
        <is>
          <t>England</t>
        </is>
      </c>
      <c r="V779" s="10" t="inlineStr"/>
      <c r="W779" s="10" t="inlineStr"/>
      <c r="X779" s="10" t="inlineStr"/>
      <c r="Y779" s="10" t="inlineStr"/>
      <c r="Z779" s="10" t="inlineStr"/>
      <c r="AA779" s="10" t="inlineStr"/>
      <c r="AB779" s="10" t="inlineStr"/>
      <c r="AC779" s="10" t="inlineStr"/>
      <c r="AD779" s="10" t="inlineStr"/>
      <c r="AE779" s="10" t="inlineStr"/>
      <c r="AF779" s="10" t="inlineStr"/>
      <c r="AG779" s="10" t="inlineStr"/>
      <c r="AH779" s="10" t="inlineStr"/>
      <c r="AI779" s="10" t="inlineStr"/>
      <c r="AJ779" s="10" t="inlineStr"/>
      <c r="AK779" s="10" t="inlineStr">
        <is>
          <t>vape hardware; e-liquids; disposables</t>
        </is>
      </c>
      <c r="AL779" s="10" t="inlineStr"/>
      <c r="AM779" s="10" t="inlineStr">
        <is>
          <t>Vape Shop</t>
        </is>
      </c>
      <c r="AN779" s="10" t="inlineStr"/>
      <c r="AO779" s="10" t="inlineStr">
        <is>
          <t>Eccles independent vape shop listed on Cylex/Yelp Eccles. Phone not published in accessible snippet.</t>
        </is>
      </c>
      <c r="AP779" s="10" t="inlineStr">
        <is>
          <t>Medium</t>
        </is>
      </c>
      <c r="AQ779" s="10" t="inlineStr">
        <is>
          <t>Independent retailer; Core relevant category</t>
        </is>
      </c>
      <c r="AR779" s="10" t="inlineStr">
        <is>
          <t>https://eccles-city-of-salford.cylex-uk.co.uk/vape-shops/</t>
        </is>
      </c>
      <c r="AS779" s="10" t="inlineStr"/>
      <c r="AT779" s="10" t="inlineStr">
        <is>
          <t>1</t>
        </is>
      </c>
      <c r="AU779" s="10" t="inlineStr">
        <is>
          <t>No</t>
        </is>
      </c>
      <c r="AV779" s="10" t="inlineStr">
        <is>
          <t>No</t>
        </is>
      </c>
      <c r="AW779" s="10" t="inlineStr">
        <is>
          <t>No</t>
        </is>
      </c>
      <c r="AX779" s="10" t="inlineStr">
        <is>
          <t>No</t>
        </is>
      </c>
      <c r="AY779" s="10" t="inlineStr">
        <is>
          <t>Not Found</t>
        </is>
      </c>
      <c r="AZ779" s="10" t="inlineStr">
        <is>
          <t>Not Found</t>
        </is>
      </c>
      <c r="BA779" s="10" t="inlineStr">
        <is>
          <t>2026-09-17</t>
        </is>
      </c>
      <c r="BB779" s="10" t="inlineStr">
        <is>
          <t>Requires Verification</t>
        </is>
      </c>
      <c r="BC779" s="10" t="inlineStr">
        <is>
          <t>Low</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2026-09-17</t>
        </is>
      </c>
      <c r="BJ779" s="10" t="inlineStr">
        <is>
          <t>New</t>
        </is>
      </c>
      <c r="BK779" s="10" t="inlineStr">
        <is>
          <t>2026-09-17</t>
        </is>
      </c>
      <c r="BL779" s="10" t="inlineStr"/>
      <c r="BM779" s="10" t="inlineStr"/>
      <c r="BN779" s="10" t="inlineStr"/>
      <c r="BO779" s="10" t="inlineStr"/>
      <c r="BP779" s="10" t="inlineStr"/>
      <c r="BQ779" s="10" t="inlineStr"/>
    </row>
    <row r="780">
      <c r="A780" s="5" t="inlineStr">
        <is>
          <t>WY-0178</t>
        </is>
      </c>
      <c r="B780" s="5" t="inlineStr">
        <is>
          <t>WY-0178-01</t>
        </is>
      </c>
      <c r="C780" s="5" t="inlineStr"/>
      <c r="D780" s="5" t="inlineStr">
        <is>
          <t>Vape and Wine Village</t>
        </is>
      </c>
      <c r="E780" s="5" t="inlineStr">
        <is>
          <t>Vape and Wine Village</t>
        </is>
      </c>
      <c r="F780" s="5" t="inlineStr"/>
      <c r="G780" s="5" t="inlineStr">
        <is>
          <t>Off-Licence</t>
        </is>
      </c>
      <c r="H780" s="5" t="inlineStr">
        <is>
          <t>Off-licence and vape shop</t>
        </is>
      </c>
      <c r="I780" s="5" t="inlineStr">
        <is>
          <t>Independent</t>
        </is>
      </c>
      <c r="J780" s="5" t="inlineStr">
        <is>
          <t>1</t>
        </is>
      </c>
      <c r="K780" s="5" t="inlineStr"/>
      <c r="L780" s="5" t="inlineStr"/>
      <c r="M780" s="5" t="inlineStr"/>
      <c r="N780" s="5" t="inlineStr"/>
      <c r="O780" s="5" t="inlineStr">
        <is>
          <t>13-15 Hyde Park Road</t>
        </is>
      </c>
      <c r="P780" s="5" t="inlineStr">
        <is>
          <t>Hyde Park / Burley</t>
        </is>
      </c>
      <c r="Q780" s="5" t="inlineStr">
        <is>
          <t>Leeds</t>
        </is>
      </c>
      <c r="R780" s="5" t="inlineStr">
        <is>
          <t>West Yorkshire</t>
        </is>
      </c>
      <c r="S780" s="5" t="inlineStr">
        <is>
          <t>LS6 1PY</t>
        </is>
      </c>
      <c r="T780" s="5" t="inlineStr">
        <is>
          <t>Yorkshire &amp; Humber</t>
        </is>
      </c>
      <c r="U780" s="5" t="inlineStr">
        <is>
          <t>England</t>
        </is>
      </c>
      <c r="V780" s="5" t="inlineStr"/>
      <c r="W780" s="5" t="inlineStr"/>
      <c r="X780" s="5" t="inlineStr"/>
      <c r="Y780" s="5" t="inlineStr"/>
      <c r="Z780" s="5" t="inlineStr"/>
      <c r="AA780" s="5" t="inlineStr"/>
      <c r="AB780" s="5" t="inlineStr"/>
      <c r="AC780" s="5" t="inlineStr"/>
      <c r="AD780" s="5" t="inlineStr"/>
      <c r="AE780" s="5" t="inlineStr"/>
      <c r="AF780" s="5" t="inlineStr"/>
      <c r="AG780" s="5" t="inlineStr"/>
      <c r="AH780" s="5" t="inlineStr"/>
      <c r="AI780" s="5" t="inlineStr"/>
      <c r="AJ780" s="5" t="inlineStr"/>
      <c r="AK780" s="5" t="inlineStr">
        <is>
          <t>wine; beer; spirits; vapes</t>
        </is>
      </c>
      <c r="AL780" s="5" t="inlineStr"/>
      <c r="AM780" s="5" t="inlineStr">
        <is>
          <t>Off-Licence</t>
        </is>
      </c>
      <c r="AN780" s="5" t="inlineStr"/>
      <c r="AO780" s="5" t="inlineStr">
        <is>
          <t>Combined off-licence and vape retailer serving the Hyde Park student area.</t>
        </is>
      </c>
      <c r="AP780" s="5" t="inlineStr">
        <is>
          <t>Low</t>
        </is>
      </c>
      <c r="AQ780" s="5" t="inlineStr">
        <is>
          <t>Independent retailer; Relevant category</t>
        </is>
      </c>
      <c r="AR780" s="5" t="inlineStr">
        <is>
          <t>https://www.yorkshire.com/leeds/shopping/off-license</t>
        </is>
      </c>
      <c r="AS780" s="5" t="inlineStr"/>
      <c r="AT780" s="5" t="inlineStr">
        <is>
          <t>1</t>
        </is>
      </c>
      <c r="AU780" s="5" t="inlineStr">
        <is>
          <t>No</t>
        </is>
      </c>
      <c r="AV780" s="5" t="inlineStr">
        <is>
          <t>No</t>
        </is>
      </c>
      <c r="AW780" s="5" t="inlineStr">
        <is>
          <t>No</t>
        </is>
      </c>
      <c r="AX780" s="5" t="inlineStr">
        <is>
          <t>No</t>
        </is>
      </c>
      <c r="AY780" s="5" t="inlineStr">
        <is>
          <t>Not Found</t>
        </is>
      </c>
      <c r="AZ780" s="5" t="inlineStr">
        <is>
          <t>Not Found</t>
        </is>
      </c>
      <c r="BA780" s="5" t="inlineStr">
        <is>
          <t>2026-09-17</t>
        </is>
      </c>
      <c r="BB780" s="5" t="inlineStr">
        <is>
          <t>Requires Verification</t>
        </is>
      </c>
      <c r="BC780" s="5" t="inlineStr">
        <is>
          <t>Low</t>
        </is>
      </c>
      <c r="BD780" s="5" t="inlineStr"/>
      <c r="BE780" s="5" t="inlineStr">
        <is>
          <t>Business (B2B)</t>
        </is>
      </c>
      <c r="BF780" s="5" t="inlineStr">
        <is>
          <t>Legitimate interest (B2B) - assess per campaign; PECR: corporate subscribers</t>
        </is>
      </c>
      <c r="BG780" s="5" t="inlineStr"/>
      <c r="BH780" s="5" t="inlineStr">
        <is>
          <t>No</t>
        </is>
      </c>
      <c r="BI780" s="5" t="inlineStr">
        <is>
          <t>2026-09-16</t>
        </is>
      </c>
      <c r="BJ780" s="5" t="inlineStr">
        <is>
          <t>New</t>
        </is>
      </c>
      <c r="BK780" s="5" t="inlineStr">
        <is>
          <t>2026-09-17</t>
        </is>
      </c>
      <c r="BL780" s="5" t="inlineStr"/>
      <c r="BM780" s="5" t="inlineStr"/>
      <c r="BN780" s="5" t="inlineStr"/>
      <c r="BO780" s="5" t="inlineStr"/>
      <c r="BP780" s="5" t="inlineStr"/>
      <c r="BQ780" s="5" t="inlineStr"/>
    </row>
    <row r="781">
      <c r="A781" s="10" t="inlineStr">
        <is>
          <t>UK-000292</t>
        </is>
      </c>
      <c r="B781" s="10" t="inlineStr">
        <is>
          <t>UK-000292-01</t>
        </is>
      </c>
      <c r="C781" s="10" t="inlineStr"/>
      <c r="D781" s="10" t="inlineStr">
        <is>
          <t>Vape with Us Northallerton</t>
        </is>
      </c>
      <c r="E781" s="10" t="inlineStr">
        <is>
          <t>Vape with Us</t>
        </is>
      </c>
      <c r="F781" s="10" t="inlineStr">
        <is>
          <t>Vape With Us Northallerton Ltd</t>
        </is>
      </c>
      <c r="G781" s="10" t="inlineStr">
        <is>
          <t>Vape Shop</t>
        </is>
      </c>
      <c r="H781" s="10" t="inlineStr">
        <is>
          <t>E-cigarette &amp; e-liquid retailer</t>
        </is>
      </c>
      <c r="I781" s="10" t="inlineStr">
        <is>
          <t>Independent</t>
        </is>
      </c>
      <c r="J781" s="10" t="inlineStr">
        <is>
          <t>1</t>
        </is>
      </c>
      <c r="K781" s="10" t="inlineStr"/>
      <c r="L781" s="10" t="inlineStr">
        <is>
          <t>https://www.facebook.com/VAPEWITHUSNorthallerton/</t>
        </is>
      </c>
      <c r="M781" s="10" t="inlineStr"/>
      <c r="N781" s="10" t="inlineStr"/>
      <c r="O781" s="10" t="inlineStr">
        <is>
          <t>162 High Street</t>
        </is>
      </c>
      <c r="P781" s="10" t="inlineStr"/>
      <c r="Q781" s="10" t="inlineStr">
        <is>
          <t>Northallerton</t>
        </is>
      </c>
      <c r="R781" s="10" t="inlineStr">
        <is>
          <t>North Yorkshire</t>
        </is>
      </c>
      <c r="S781" s="10" t="inlineStr">
        <is>
          <t>DL7 8JZ</t>
        </is>
      </c>
      <c r="T781" s="10" t="inlineStr">
        <is>
          <t>Yorkshire &amp; Humber</t>
        </is>
      </c>
      <c r="U781" s="10" t="inlineStr">
        <is>
          <t>England</t>
        </is>
      </c>
      <c r="V781" s="10" t="inlineStr">
        <is>
          <t>01609 772799</t>
        </is>
      </c>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vape hardware; e-liquids; disposables</t>
        </is>
      </c>
      <c r="AL781" s="10" t="inlineStr"/>
      <c r="AM781" s="10" t="inlineStr">
        <is>
          <t>Vape Shop</t>
        </is>
      </c>
      <c r="AN781" s="10" t="inlineStr"/>
      <c r="AO781" s="10" t="inlineStr">
        <is>
          <t>Independent Northallerton High Street vape shop. Legal name 'Vape With Us Northallerton Ltd' referenced on a vaping forum thread (not verified at Companies House). Address/phone from Love Northallerton directory and Facebook via search snippets.</t>
        </is>
      </c>
      <c r="AP781" s="10" t="inlineStr">
        <is>
          <t>Medium</t>
        </is>
      </c>
      <c r="AQ781" s="10" t="inlineStr">
        <is>
          <t>Independent retailer; Core relevant category; Social presence</t>
        </is>
      </c>
      <c r="AR781" s="10" t="inlineStr">
        <is>
          <t>https://www.facebook.com/VAPEWITHUSNorthallerton/</t>
        </is>
      </c>
      <c r="AS781" s="10" t="inlineStr">
        <is>
          <t>https://www.lovenorthallerton.com/business-directory/vape-with-us/</t>
        </is>
      </c>
      <c r="AT781" s="10" t="inlineStr">
        <is>
          <t>2</t>
        </is>
      </c>
      <c r="AU781" s="10" t="inlineStr">
        <is>
          <t>No</t>
        </is>
      </c>
      <c r="AV781" s="10" t="inlineStr">
        <is>
          <t>No</t>
        </is>
      </c>
      <c r="AW781" s="10" t="inlineStr">
        <is>
          <t>No</t>
        </is>
      </c>
      <c r="AX781" s="10" t="inlineStr">
        <is>
          <t>No</t>
        </is>
      </c>
      <c r="AY781" s="10" t="inlineStr">
        <is>
          <t>Verified directory</t>
        </is>
      </c>
      <c r="AZ781" s="10" t="inlineStr">
        <is>
          <t>Not Found</t>
        </is>
      </c>
      <c r="BA781" s="10" t="inlineStr">
        <is>
          <t>2026-09-17</t>
        </is>
      </c>
      <c r="BB781" s="10" t="inlineStr">
        <is>
          <t>Requires Verification</t>
        </is>
      </c>
      <c r="BC781" s="10" t="inlineStr">
        <is>
          <t>Medium</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2026-09-16</t>
        </is>
      </c>
      <c r="BJ781" s="10" t="inlineStr">
        <is>
          <t>New</t>
        </is>
      </c>
      <c r="BK781" s="10" t="inlineStr">
        <is>
          <t>2026-09-17</t>
        </is>
      </c>
      <c r="BL781" s="10" t="inlineStr"/>
      <c r="BM781" s="10" t="inlineStr"/>
      <c r="BN781" s="10" t="inlineStr"/>
      <c r="BO781" s="10" t="inlineStr"/>
      <c r="BP781" s="10" t="inlineStr"/>
      <c r="BQ781" s="10" t="inlineStr"/>
    </row>
    <row r="782">
      <c r="A782" s="5" t="inlineStr">
        <is>
          <t>UK-000537</t>
        </is>
      </c>
      <c r="B782" s="5" t="inlineStr">
        <is>
          <t>UK-000537-01</t>
        </is>
      </c>
      <c r="C782" s="5" t="inlineStr"/>
      <c r="D782" s="5" t="inlineStr">
        <is>
          <t>VapeSense Kingswinford</t>
        </is>
      </c>
      <c r="E782" s="5" t="inlineStr">
        <is>
          <t>VapeSense</t>
        </is>
      </c>
      <c r="F782" s="5" t="inlineStr"/>
      <c r="G782" s="5" t="inlineStr">
        <is>
          <t>Vape Shop</t>
        </is>
      </c>
      <c r="H782" s="5" t="inlineStr">
        <is>
          <t>Vape kits, e-liquids &amp; accessories</t>
        </is>
      </c>
      <c r="I782" s="5" t="inlineStr">
        <is>
          <t>Independent</t>
        </is>
      </c>
      <c r="J782" s="5" t="inlineStr">
        <is>
          <t>1</t>
        </is>
      </c>
      <c r="K782" s="5" t="inlineStr"/>
      <c r="L782" s="5" t="inlineStr"/>
      <c r="M782" s="5" t="inlineStr"/>
      <c r="N782" s="5" t="inlineStr"/>
      <c r="O782" s="5" t="inlineStr">
        <is>
          <t>27 Market Street</t>
        </is>
      </c>
      <c r="P782" s="5" t="inlineStr"/>
      <c r="Q782" s="5" t="inlineStr">
        <is>
          <t>Kingswinford</t>
        </is>
      </c>
      <c r="R782" s="5" t="inlineStr">
        <is>
          <t>West Midlands</t>
        </is>
      </c>
      <c r="S782" s="5" t="inlineStr">
        <is>
          <t>DY6 9JS</t>
        </is>
      </c>
      <c r="T782" s="5" t="inlineStr">
        <is>
          <t>West Midlands</t>
        </is>
      </c>
      <c r="U782" s="5" t="inlineStr">
        <is>
          <t>England</t>
        </is>
      </c>
      <c r="V782" s="5" t="inlineStr">
        <is>
          <t>01384 918900</t>
        </is>
      </c>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vape hardware; e-liquids; coils; accessories</t>
        </is>
      </c>
      <c r="AL782" s="5" t="inlineStr"/>
      <c r="AM782" s="5" t="inlineStr">
        <is>
          <t>Vape Shop</t>
        </is>
      </c>
      <c r="AN782" s="5" t="inlineStr"/>
      <c r="AO782" s="5" t="inlineStr">
        <is>
          <t>Independent vape shop, 27 Market Street, Kingswinford. Address and phone from Cylex listing snippet.</t>
        </is>
      </c>
      <c r="AP782" s="5" t="inlineStr">
        <is>
          <t>Medium</t>
        </is>
      </c>
      <c r="AQ782" s="5" t="inlineStr">
        <is>
          <t>Independent retailer; Core relevant category</t>
        </is>
      </c>
      <c r="AR782" s="5" t="inlineStr">
        <is>
          <t>https://kingswinford.cylex-uk.co.uk/company/vapesense-27078228.html</t>
        </is>
      </c>
      <c r="AS782" s="5" t="inlineStr"/>
      <c r="AT782" s="5" t="inlineStr">
        <is>
          <t>1</t>
        </is>
      </c>
      <c r="AU782" s="5" t="inlineStr">
        <is>
          <t>No</t>
        </is>
      </c>
      <c r="AV782" s="5" t="inlineStr">
        <is>
          <t>No</t>
        </is>
      </c>
      <c r="AW782" s="5" t="inlineStr">
        <is>
          <t>No</t>
        </is>
      </c>
      <c r="AX782" s="5" t="inlineStr">
        <is>
          <t>No</t>
        </is>
      </c>
      <c r="AY782" s="5" t="inlineStr">
        <is>
          <t>Verified directory</t>
        </is>
      </c>
      <c r="AZ782" s="5" t="inlineStr">
        <is>
          <t>Not Found</t>
        </is>
      </c>
      <c r="BA782" s="5" t="inlineStr">
        <is>
          <t>2026-09-17</t>
        </is>
      </c>
      <c r="BB782" s="5" t="inlineStr">
        <is>
          <t>Requires Verification</t>
        </is>
      </c>
      <c r="BC782" s="5" t="inlineStr">
        <is>
          <t>Medium</t>
        </is>
      </c>
      <c r="BD782" s="5" t="inlineStr"/>
      <c r="BE782" s="5" t="inlineStr">
        <is>
          <t>Business (B2B)</t>
        </is>
      </c>
      <c r="BF782" s="5" t="inlineStr">
        <is>
          <t>Legitimate interest (B2B) - assess per campaign; PECR: corporate subscribers</t>
        </is>
      </c>
      <c r="BG782" s="5" t="inlineStr"/>
      <c r="BH782" s="5" t="inlineStr">
        <is>
          <t>No</t>
        </is>
      </c>
      <c r="BI782" s="5" t="inlineStr">
        <is>
          <t>2026-09-17</t>
        </is>
      </c>
      <c r="BJ782" s="5" t="inlineStr">
        <is>
          <t>New</t>
        </is>
      </c>
      <c r="BK782" s="5" t="inlineStr">
        <is>
          <t>2026-09-17</t>
        </is>
      </c>
      <c r="BL782" s="5" t="inlineStr"/>
      <c r="BM782" s="5" t="inlineStr"/>
      <c r="BN782" s="5" t="inlineStr"/>
      <c r="BO782" s="5" t="inlineStr"/>
      <c r="BP782" s="5" t="inlineStr"/>
      <c r="BQ782" s="5" t="inlineStr"/>
    </row>
    <row r="783">
      <c r="A783" s="10" t="inlineStr">
        <is>
          <t>WY-0179</t>
        </is>
      </c>
      <c r="B783" s="10" t="inlineStr">
        <is>
          <t>WY-0179-01</t>
        </is>
      </c>
      <c r="C783" s="10" t="inlineStr"/>
      <c r="D783" s="10" t="inlineStr">
        <is>
          <t>VapeShop Leeds</t>
        </is>
      </c>
      <c r="E783" s="10" t="inlineStr">
        <is>
          <t>VapeShop Leeds</t>
        </is>
      </c>
      <c r="F783" s="10" t="inlineStr"/>
      <c r="G783" s="10" t="inlineStr">
        <is>
          <t>Vape Shop</t>
        </is>
      </c>
      <c r="H783" s="10" t="inlineStr">
        <is>
          <t>E-cigarette specialist</t>
        </is>
      </c>
      <c r="I783" s="10" t="inlineStr">
        <is>
          <t>Independent</t>
        </is>
      </c>
      <c r="J783" s="10" t="inlineStr">
        <is>
          <t>1</t>
        </is>
      </c>
      <c r="K783" s="10" t="inlineStr"/>
      <c r="L783" s="10" t="inlineStr"/>
      <c r="M783" s="10" t="inlineStr"/>
      <c r="N783" s="10" t="inlineStr"/>
      <c r="O783" s="10" t="inlineStr">
        <is>
          <t>229 Selby Road</t>
        </is>
      </c>
      <c r="P783" s="10" t="inlineStr">
        <is>
          <t>Halton</t>
        </is>
      </c>
      <c r="Q783" s="10" t="inlineStr">
        <is>
          <t>Leeds</t>
        </is>
      </c>
      <c r="R783" s="10" t="inlineStr">
        <is>
          <t>West Yorkshire</t>
        </is>
      </c>
      <c r="S783" s="10" t="inlineStr">
        <is>
          <t>LS15 7HW</t>
        </is>
      </c>
      <c r="T783" s="10" t="inlineStr">
        <is>
          <t>Yorkshire &amp; Humber</t>
        </is>
      </c>
      <c r="U783" s="10" t="inlineStr">
        <is>
          <t>England</t>
        </is>
      </c>
      <c r="V783" s="10" t="inlineStr"/>
      <c r="W783" s="10" t="inlineStr"/>
      <c r="X783" s="10" t="inlineStr"/>
      <c r="Y783" s="10" t="inlineStr"/>
      <c r="Z783" s="10" t="inlineStr"/>
      <c r="AA783" s="10" t="inlineStr"/>
      <c r="AB783" s="10" t="inlineStr"/>
      <c r="AC783" s="10" t="inlineStr"/>
      <c r="AD783" s="10" t="inlineStr"/>
      <c r="AE783" s="10" t="inlineStr"/>
      <c r="AF783" s="10" t="inlineStr"/>
      <c r="AG783" s="10" t="inlineStr"/>
      <c r="AH783" s="10" t="inlineStr"/>
      <c r="AI783" s="10" t="inlineStr"/>
      <c r="AJ783" s="10" t="inlineStr"/>
      <c r="AK783" s="10" t="inlineStr">
        <is>
          <t>e-cigarettes; tanks; mods; e-liquids</t>
        </is>
      </c>
      <c r="AL783" s="10" t="inlineStr"/>
      <c r="AM783" s="10" t="inlineStr">
        <is>
          <t>Vape Shop</t>
        </is>
      </c>
      <c r="AN783" s="10" t="inlineStr"/>
      <c r="AO783" s="10" t="inlineStr">
        <is>
          <t>Independent e-cig specialist with free parking; newly refurbished per directory listing.</t>
        </is>
      </c>
      <c r="AP783" s="10" t="inlineStr">
        <is>
          <t>Medium</t>
        </is>
      </c>
      <c r="AQ783" s="10" t="inlineStr">
        <is>
          <t>Independent retailer; Core relevant category</t>
        </is>
      </c>
      <c r="AR783" s="10" t="inlineStr">
        <is>
          <t>https://ecigdirectory.co.uk/vape-shop/listing/vapeshop-leeds</t>
        </is>
      </c>
      <c r="AS783" s="10" t="inlineStr"/>
      <c r="AT783" s="10" t="inlineStr">
        <is>
          <t>1</t>
        </is>
      </c>
      <c r="AU783" s="10" t="inlineStr">
        <is>
          <t>No</t>
        </is>
      </c>
      <c r="AV783" s="10" t="inlineStr">
        <is>
          <t>No</t>
        </is>
      </c>
      <c r="AW783" s="10" t="inlineStr">
        <is>
          <t>No</t>
        </is>
      </c>
      <c r="AX783" s="10" t="inlineStr">
        <is>
          <t>No</t>
        </is>
      </c>
      <c r="AY783" s="10" t="inlineStr">
        <is>
          <t>Not Found</t>
        </is>
      </c>
      <c r="AZ783" s="10" t="inlineStr">
        <is>
          <t>Not Found</t>
        </is>
      </c>
      <c r="BA783" s="10" t="inlineStr">
        <is>
          <t>2026-09-17</t>
        </is>
      </c>
      <c r="BB783" s="10" t="inlineStr">
        <is>
          <t>Requires Verification</t>
        </is>
      </c>
      <c r="BC783" s="10" t="inlineStr">
        <is>
          <t>Low</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2026-09-16</t>
        </is>
      </c>
      <c r="BJ783" s="10" t="inlineStr">
        <is>
          <t>New</t>
        </is>
      </c>
      <c r="BK783" s="10" t="inlineStr">
        <is>
          <t>2026-09-17</t>
        </is>
      </c>
      <c r="BL783" s="10" t="inlineStr"/>
      <c r="BM783" s="10" t="inlineStr"/>
      <c r="BN783" s="10" t="inlineStr"/>
      <c r="BO783" s="10" t="inlineStr"/>
      <c r="BP783" s="10" t="inlineStr"/>
      <c r="BQ783" s="10" t="inlineStr"/>
    </row>
    <row r="784">
      <c r="A784" s="5" t="inlineStr">
        <is>
          <t>UK-000677</t>
        </is>
      </c>
      <c r="B784" s="5" t="inlineStr">
        <is>
          <t>UK-000677-01</t>
        </is>
      </c>
      <c r="C784" s="5" t="inlineStr"/>
      <c r="D784" s="5" t="inlineStr">
        <is>
          <t>Vapecore (Ladbroke Grove)</t>
        </is>
      </c>
      <c r="E784" s="5" t="inlineStr">
        <is>
          <t>Vapecore</t>
        </is>
      </c>
      <c r="F784" s="5" t="inlineStr"/>
      <c r="G784" s="5" t="inlineStr">
        <is>
          <t>Vape Shop</t>
        </is>
      </c>
      <c r="H784" s="5" t="inlineStr">
        <is>
          <t>Vape hardware &amp; e-liquids</t>
        </is>
      </c>
      <c r="I784" s="5" t="inlineStr">
        <is>
          <t>Independent</t>
        </is>
      </c>
      <c r="J784" s="5" t="inlineStr">
        <is>
          <t>1</t>
        </is>
      </c>
      <c r="K784" s="5" t="inlineStr"/>
      <c r="L784" s="5" t="inlineStr"/>
      <c r="M784" s="5" t="inlineStr"/>
      <c r="N784" s="5" t="inlineStr"/>
      <c r="O784" s="5" t="inlineStr">
        <is>
          <t>6 Ladbroke Grove</t>
        </is>
      </c>
      <c r="P784" s="5" t="inlineStr">
        <is>
          <t>Notting Hill</t>
        </is>
      </c>
      <c r="Q784" s="5" t="inlineStr">
        <is>
          <t>London</t>
        </is>
      </c>
      <c r="R784" s="5" t="inlineStr">
        <is>
          <t>Greater London</t>
        </is>
      </c>
      <c r="S784" s="5" t="inlineStr">
        <is>
          <t>W11 3BG</t>
        </is>
      </c>
      <c r="T784" s="5" t="inlineStr">
        <is>
          <t>London</t>
        </is>
      </c>
      <c r="U784" s="5" t="inlineStr">
        <is>
          <t>England</t>
        </is>
      </c>
      <c r="V784" s="5" t="inlineStr">
        <is>
          <t>0333 305 2822</t>
        </is>
      </c>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vape hardware; e-liquids</t>
        </is>
      </c>
      <c r="AL784" s="5" t="inlineStr"/>
      <c r="AM784" s="5" t="inlineStr">
        <is>
          <t>Vape Shop</t>
        </is>
      </c>
      <c r="AN784" s="5" t="inlineStr"/>
      <c r="AO784" s="5" t="inlineStr">
        <is>
          <t>Independent vape shop on Ladbroke Grove, Notting Hill. Address/postcode/phone from Yell listing snippet. Phone 0333 305 2822 also appears against 'Camden Vape' (Chalk Farm Road) in listings - possible shared operator/multi-site; not confirmed.</t>
        </is>
      </c>
      <c r="AP784" s="5" t="inlineStr">
        <is>
          <t>Medium</t>
        </is>
      </c>
      <c r="AQ784" s="5" t="inlineStr">
        <is>
          <t>Independent retailer; Core relevant category</t>
        </is>
      </c>
      <c r="AR784" s="5" t="inlineStr">
        <is>
          <t>https://www.yell.com/s/tobacconists-ladbroke+grove-west+london.html</t>
        </is>
      </c>
      <c r="AS784" s="5" t="inlineStr"/>
      <c r="AT784" s="5" t="inlineStr">
        <is>
          <t>1</t>
        </is>
      </c>
      <c r="AU784" s="5" t="inlineStr">
        <is>
          <t>No</t>
        </is>
      </c>
      <c r="AV784" s="5" t="inlineStr">
        <is>
          <t>No</t>
        </is>
      </c>
      <c r="AW784" s="5" t="inlineStr">
        <is>
          <t>No</t>
        </is>
      </c>
      <c r="AX784" s="5" t="inlineStr">
        <is>
          <t>No</t>
        </is>
      </c>
      <c r="AY784" s="5" t="inlineStr">
        <is>
          <t>Verified directory</t>
        </is>
      </c>
      <c r="AZ784" s="5" t="inlineStr">
        <is>
          <t>Not Found</t>
        </is>
      </c>
      <c r="BA784" s="5" t="inlineStr">
        <is>
          <t>2026-09-17</t>
        </is>
      </c>
      <c r="BB784" s="5" t="inlineStr">
        <is>
          <t>Requires Verification</t>
        </is>
      </c>
      <c r="BC784" s="5" t="inlineStr">
        <is>
          <t>Low</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UK-000835</t>
        </is>
      </c>
      <c r="B785" s="10" t="inlineStr">
        <is>
          <t>UK-000835-01</t>
        </is>
      </c>
      <c r="C785" s="10" t="inlineStr"/>
      <c r="D785" s="10" t="inlineStr">
        <is>
          <t>Vapedrop</t>
        </is>
      </c>
      <c r="E785" s="10" t="inlineStr">
        <is>
          <t>Vapedrop</t>
        </is>
      </c>
      <c r="F785" s="10" t="inlineStr"/>
      <c r="G785" s="10" t="inlineStr">
        <is>
          <t>Vape Shop</t>
        </is>
      </c>
      <c r="H785" s="10" t="inlineStr">
        <is>
          <t>Vape shop / e-liquids</t>
        </is>
      </c>
      <c r="I785" s="10" t="inlineStr">
        <is>
          <t>Independent</t>
        </is>
      </c>
      <c r="J785" s="10" t="inlineStr">
        <is>
          <t>1</t>
        </is>
      </c>
      <c r="K785" s="10" t="inlineStr"/>
      <c r="L785" s="10" t="inlineStr"/>
      <c r="M785" s="10" t="inlineStr"/>
      <c r="N785" s="10" t="inlineStr"/>
      <c r="O785" s="10" t="inlineStr">
        <is>
          <t>15 Great Junction Street</t>
        </is>
      </c>
      <c r="P785" s="10" t="inlineStr">
        <is>
          <t>Leith</t>
        </is>
      </c>
      <c r="Q785" s="10" t="inlineStr">
        <is>
          <t>Edinburgh</t>
        </is>
      </c>
      <c r="R785" s="10" t="inlineStr">
        <is>
          <t>City of Edinburgh</t>
        </is>
      </c>
      <c r="S785" s="10" t="inlineStr">
        <is>
          <t>EH6 5HX</t>
        </is>
      </c>
      <c r="T785" s="10" t="inlineStr">
        <is>
          <t>Scotland</t>
        </is>
      </c>
      <c r="U785" s="10" t="inlineStr">
        <is>
          <t>Scotland</t>
        </is>
      </c>
      <c r="V785" s="10" t="inlineStr">
        <is>
          <t>0131 281 6507</t>
        </is>
      </c>
      <c r="W785" s="10" t="inlineStr"/>
      <c r="X785" s="10" t="inlineStr"/>
      <c r="Y785" s="10" t="inlineStr"/>
      <c r="Z785" s="10" t="inlineStr"/>
      <c r="AA785" s="10" t="inlineStr"/>
      <c r="AB785" s="10" t="inlineStr"/>
      <c r="AC785" s="10" t="inlineStr"/>
      <c r="AD785" s="10" t="inlineStr"/>
      <c r="AE785" s="10" t="inlineStr"/>
      <c r="AF785" s="10" t="inlineStr"/>
      <c r="AG785" s="10" t="inlineStr"/>
      <c r="AH785" s="10" t="inlineStr"/>
      <c r="AI785" s="10" t="inlineStr"/>
      <c r="AJ785" s="10" t="inlineStr"/>
      <c r="AK785" s="10" t="inlineStr">
        <is>
          <t>vape hardware; e-liquids</t>
        </is>
      </c>
      <c r="AL785" s="10" t="inlineStr"/>
      <c r="AM785" s="10" t="inlineStr">
        <is>
          <t>Vape Shop</t>
        </is>
      </c>
      <c r="AN785" s="10" t="inlineStr"/>
      <c r="AO785" s="10" t="inlineStr">
        <is>
          <t>Independent vape shop in Leith (Great Junction Street). Listed on both Cylex and Yell (Vapedrop, Edinburgh). Details from directory snippet.</t>
        </is>
      </c>
      <c r="AP785" s="10" t="inlineStr">
        <is>
          <t>Medium</t>
        </is>
      </c>
      <c r="AQ785" s="10" t="inlineStr">
        <is>
          <t>Independent retailer; Core relevant category</t>
        </is>
      </c>
      <c r="AR785" s="10" t="inlineStr">
        <is>
          <t>https://www.yell.com/biz/vapedrop-edinburgh-9306354/</t>
        </is>
      </c>
      <c r="AS785" s="10" t="inlineStr">
        <is>
          <t>https://edinburgh.cylex-uk.co.uk/company/vapedrop-26862922.html</t>
        </is>
      </c>
      <c r="AT785" s="10" t="inlineStr">
        <is>
          <t>2</t>
        </is>
      </c>
      <c r="AU785" s="10" t="inlineStr">
        <is>
          <t>No</t>
        </is>
      </c>
      <c r="AV785" s="10" t="inlineStr">
        <is>
          <t>No</t>
        </is>
      </c>
      <c r="AW785" s="10" t="inlineStr">
        <is>
          <t>No</t>
        </is>
      </c>
      <c r="AX785" s="10" t="inlineStr">
        <is>
          <t>No</t>
        </is>
      </c>
      <c r="AY785" s="10" t="inlineStr">
        <is>
          <t>Verified directory</t>
        </is>
      </c>
      <c r="AZ785" s="10" t="inlineStr">
        <is>
          <t>Not Found</t>
        </is>
      </c>
      <c r="BA785" s="10" t="inlineStr">
        <is>
          <t>2026-09-17</t>
        </is>
      </c>
      <c r="BB785" s="10" t="inlineStr">
        <is>
          <t>Requires Verification</t>
        </is>
      </c>
      <c r="BC785" s="10" t="inlineStr">
        <is>
          <t>Medium</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2026-09-17</t>
        </is>
      </c>
      <c r="BJ785" s="10" t="inlineStr">
        <is>
          <t>New</t>
        </is>
      </c>
      <c r="BK785" s="10" t="inlineStr">
        <is>
          <t>2026-09-17</t>
        </is>
      </c>
      <c r="BL785" s="10" t="inlineStr"/>
      <c r="BM785" s="10" t="inlineStr"/>
      <c r="BN785" s="10" t="inlineStr"/>
      <c r="BO785" s="10" t="inlineStr"/>
      <c r="BP785" s="10" t="inlineStr"/>
      <c r="BQ785" s="10" t="inlineStr"/>
    </row>
    <row r="786">
      <c r="A786" s="5" t="inlineStr">
        <is>
          <t>UK-000409</t>
        </is>
      </c>
      <c r="B786" s="5" t="inlineStr">
        <is>
          <t>UK-000409-01</t>
        </is>
      </c>
      <c r="C786" s="5" t="inlineStr"/>
      <c r="D786" s="5" t="inlineStr">
        <is>
          <t>Vapenation Hindley</t>
        </is>
      </c>
      <c r="E786" s="5" t="inlineStr">
        <is>
          <t>Vapenation</t>
        </is>
      </c>
      <c r="F786" s="5" t="inlineStr"/>
      <c r="G786" s="5" t="inlineStr">
        <is>
          <t>Vape Shop</t>
        </is>
      </c>
      <c r="H786" s="5" t="inlineStr"/>
      <c r="I786" s="5" t="inlineStr">
        <is>
          <t>Independent</t>
        </is>
      </c>
      <c r="J786" s="5" t="inlineStr">
        <is>
          <t>1</t>
        </is>
      </c>
      <c r="K786" s="5" t="inlineStr"/>
      <c r="L786" s="5" t="inlineStr"/>
      <c r="M786" s="5" t="inlineStr"/>
      <c r="N786" s="5" t="inlineStr"/>
      <c r="O786" s="5" t="inlineStr">
        <is>
          <t>Atherton Road</t>
        </is>
      </c>
      <c r="P786" s="5" t="inlineStr">
        <is>
          <t>Hindley</t>
        </is>
      </c>
      <c r="Q786" s="5" t="inlineStr">
        <is>
          <t>Wigan</t>
        </is>
      </c>
      <c r="R786" s="5" t="inlineStr">
        <is>
          <t>Greater Manchester</t>
        </is>
      </c>
      <c r="S786" s="5" t="inlineStr"/>
      <c r="T786" s="5" t="inlineStr">
        <is>
          <t>North West</t>
        </is>
      </c>
      <c r="U786" s="5" t="inlineStr">
        <is>
          <t>England</t>
        </is>
      </c>
      <c r="V786" s="5" t="inlineStr"/>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vape hardware; e-liquids</t>
        </is>
      </c>
      <c r="AL786" s="5" t="inlineStr"/>
      <c r="AM786" s="5" t="inlineStr">
        <is>
          <t>Vape Shop</t>
        </is>
      </c>
      <c r="AN786" s="5" t="inlineStr"/>
      <c r="AO786" s="5" t="inlineStr">
        <is>
          <t>Independent vape shop on Atherton Road, Hindley. Directory snippet truncated the phone number so it is left blank rather than guessed.</t>
        </is>
      </c>
      <c r="AP786" s="5" t="inlineStr">
        <is>
          <t>Medium</t>
        </is>
      </c>
      <c r="AQ786" s="5" t="inlineStr">
        <is>
          <t>Independent retailer; Core relevant category</t>
        </is>
      </c>
      <c r="AR786" s="5" t="inlineStr">
        <is>
          <t>https://hindley.cylex-uk.co.uk/company/vapenation-27279730.html</t>
        </is>
      </c>
      <c r="AS786" s="5" t="inlineStr"/>
      <c r="AT786" s="5" t="inlineStr">
        <is>
          <t>1</t>
        </is>
      </c>
      <c r="AU786" s="5" t="inlineStr">
        <is>
          <t>No</t>
        </is>
      </c>
      <c r="AV786" s="5" t="inlineStr">
        <is>
          <t>No</t>
        </is>
      </c>
      <c r="AW786" s="5" t="inlineStr">
        <is>
          <t>No</t>
        </is>
      </c>
      <c r="AX786" s="5" t="inlineStr">
        <is>
          <t>No</t>
        </is>
      </c>
      <c r="AY786" s="5" t="inlineStr">
        <is>
          <t>Not Found</t>
        </is>
      </c>
      <c r="AZ786" s="5" t="inlineStr">
        <is>
          <t>Not Found</t>
        </is>
      </c>
      <c r="BA786" s="5" t="inlineStr">
        <is>
          <t>2026-09-17</t>
        </is>
      </c>
      <c r="BB786" s="5" t="inlineStr">
        <is>
          <t>Requires Verification</t>
        </is>
      </c>
      <c r="BC786" s="5" t="inlineStr">
        <is>
          <t>Low</t>
        </is>
      </c>
      <c r="BD786" s="5" t="inlineStr"/>
      <c r="BE786" s="5" t="inlineStr">
        <is>
          <t>Business (B2B)</t>
        </is>
      </c>
      <c r="BF786" s="5" t="inlineStr">
        <is>
          <t>Legitimate interest (B2B) - assess per campaign; PECR: corporate subscribers</t>
        </is>
      </c>
      <c r="BG786" s="5" t="inlineStr"/>
      <c r="BH786" s="5" t="inlineStr">
        <is>
          <t>No</t>
        </is>
      </c>
      <c r="BI786" s="5" t="inlineStr">
        <is>
          <t>2026-09-17</t>
        </is>
      </c>
      <c r="BJ786" s="5" t="inlineStr">
        <is>
          <t>New</t>
        </is>
      </c>
      <c r="BK786" s="5" t="inlineStr">
        <is>
          <t>2026-09-17</t>
        </is>
      </c>
      <c r="BL786" s="5" t="inlineStr"/>
      <c r="BM786" s="5" t="inlineStr"/>
      <c r="BN786" s="5" t="inlineStr"/>
      <c r="BO786" s="5" t="inlineStr"/>
      <c r="BP786" s="5" t="inlineStr"/>
      <c r="BQ786" s="5" t="inlineStr"/>
    </row>
    <row r="787">
      <c r="A787" s="10" t="inlineStr">
        <is>
          <t>UK-000678</t>
        </is>
      </c>
      <c r="B787" s="10" t="inlineStr">
        <is>
          <t>UK-000678-01</t>
        </is>
      </c>
      <c r="C787" s="10" t="inlineStr"/>
      <c r="D787" s="10" t="inlineStr">
        <is>
          <t>Vapeology (Leyton)</t>
        </is>
      </c>
      <c r="E787" s="10" t="inlineStr">
        <is>
          <t>Vapeology</t>
        </is>
      </c>
      <c r="F787" s="10" t="inlineStr"/>
      <c r="G787" s="10" t="inlineStr">
        <is>
          <t>Vape Shop</t>
        </is>
      </c>
      <c r="H787" s="10" t="inlineStr">
        <is>
          <t>Vape hardware &amp; e-liquids</t>
        </is>
      </c>
      <c r="I787" s="10" t="inlineStr">
        <is>
          <t>Independent</t>
        </is>
      </c>
      <c r="J787" s="10" t="inlineStr">
        <is>
          <t>1</t>
        </is>
      </c>
      <c r="K787" s="10" t="inlineStr"/>
      <c r="L787" s="10" t="inlineStr"/>
      <c r="M787" s="10" t="inlineStr"/>
      <c r="N787" s="10" t="inlineStr"/>
      <c r="O787" s="10" t="inlineStr">
        <is>
          <t>622 Lea Bridge Road</t>
        </is>
      </c>
      <c r="P787" s="10" t="inlineStr"/>
      <c r="Q787" s="10" t="inlineStr">
        <is>
          <t>Leyton</t>
        </is>
      </c>
      <c r="R787" s="10" t="inlineStr">
        <is>
          <t>Greater London</t>
        </is>
      </c>
      <c r="S787" s="10" t="inlineStr">
        <is>
          <t>E10 6AP</t>
        </is>
      </c>
      <c r="T787" s="10" t="inlineStr">
        <is>
          <t>London</t>
        </is>
      </c>
      <c r="U787" s="10" t="inlineStr">
        <is>
          <t>England</t>
        </is>
      </c>
      <c r="V787" s="10" t="inlineStr"/>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vape hardware; e-liquids; disposables</t>
        </is>
      </c>
      <c r="AL787" s="10" t="inlineStr"/>
      <c r="AM787" s="10" t="inlineStr">
        <is>
          <t>Vape Shop</t>
        </is>
      </c>
      <c r="AN787" s="10" t="inlineStr"/>
      <c r="AO787" s="10" t="inlineStr">
        <is>
          <t>Independent vape shop on Lea Bridge Road, listed on eCig Directory UK. Phone not published in accessible snippet.</t>
        </is>
      </c>
      <c r="AP787" s="10" t="inlineStr">
        <is>
          <t>Medium</t>
        </is>
      </c>
      <c r="AQ787" s="10" t="inlineStr">
        <is>
          <t>Independent retailer; Core relevant category</t>
        </is>
      </c>
      <c r="AR787" s="10" t="inlineStr">
        <is>
          <t>https://ecigdirectory.co.uk/vape-shop/listing/vapeology-leytonstone</t>
        </is>
      </c>
      <c r="AS787" s="10" t="inlineStr"/>
      <c r="AT787" s="10" t="inlineStr">
        <is>
          <t>1</t>
        </is>
      </c>
      <c r="AU787" s="10" t="inlineStr">
        <is>
          <t>No</t>
        </is>
      </c>
      <c r="AV787" s="10" t="inlineStr">
        <is>
          <t>No</t>
        </is>
      </c>
      <c r="AW787" s="10" t="inlineStr">
        <is>
          <t>No</t>
        </is>
      </c>
      <c r="AX787" s="10" t="inlineStr">
        <is>
          <t>No</t>
        </is>
      </c>
      <c r="AY787" s="10" t="inlineStr">
        <is>
          <t>Not Found</t>
        </is>
      </c>
      <c r="AZ787" s="10" t="inlineStr">
        <is>
          <t>Not Found</t>
        </is>
      </c>
      <c r="BA787" s="10" t="inlineStr">
        <is>
          <t>2026-09-17</t>
        </is>
      </c>
      <c r="BB787" s="10" t="inlineStr">
        <is>
          <t>Requires Verification</t>
        </is>
      </c>
      <c r="BC787" s="10" t="inlineStr">
        <is>
          <t>Medium</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2026-09-17</t>
        </is>
      </c>
      <c r="BJ787" s="10" t="inlineStr">
        <is>
          <t>New</t>
        </is>
      </c>
      <c r="BK787" s="10" t="inlineStr">
        <is>
          <t>2026-09-17</t>
        </is>
      </c>
      <c r="BL787" s="10" t="inlineStr"/>
      <c r="BM787" s="10" t="inlineStr"/>
      <c r="BN787" s="10" t="inlineStr"/>
      <c r="BO787" s="10" t="inlineStr"/>
      <c r="BP787" s="10" t="inlineStr"/>
      <c r="BQ787" s="10" t="inlineStr"/>
    </row>
    <row r="788">
      <c r="A788" s="5" t="inlineStr">
        <is>
          <t>WY-0180</t>
        </is>
      </c>
      <c r="B788" s="5" t="inlineStr">
        <is>
          <t>WY-0180-01</t>
        </is>
      </c>
      <c r="C788" s="5" t="inlineStr"/>
      <c r="D788" s="5" t="inlineStr">
        <is>
          <t>Vaperites</t>
        </is>
      </c>
      <c r="E788" s="5" t="inlineStr">
        <is>
          <t>Vaperites</t>
        </is>
      </c>
      <c r="F788" s="5" t="inlineStr"/>
      <c r="G788" s="5" t="inlineStr">
        <is>
          <t>Vape Shop</t>
        </is>
      </c>
      <c r="H788" s="5" t="inlineStr">
        <is>
          <t>Vape retailer and wholesaler</t>
        </is>
      </c>
      <c r="I788" s="5" t="inlineStr">
        <is>
          <t>Independent</t>
        </is>
      </c>
      <c r="J788" s="5" t="inlineStr">
        <is>
          <t>1</t>
        </is>
      </c>
      <c r="K788" s="5" t="inlineStr">
        <is>
          <t>https://vaperites.co.uk</t>
        </is>
      </c>
      <c r="L788" s="5" t="inlineStr">
        <is>
          <t>https://www.facebook.com/TheVapePeople/</t>
        </is>
      </c>
      <c r="M788" s="5" t="inlineStr"/>
      <c r="N788" s="5" t="inlineStr"/>
      <c r="O788" s="5" t="inlineStr">
        <is>
          <t>9 Horse Fair</t>
        </is>
      </c>
      <c r="P788" s="5" t="inlineStr"/>
      <c r="Q788" s="5" t="inlineStr">
        <is>
          <t>Pontefract</t>
        </is>
      </c>
      <c r="R788" s="5" t="inlineStr">
        <is>
          <t>West Yorkshire</t>
        </is>
      </c>
      <c r="S788" s="5" t="inlineStr">
        <is>
          <t>WF8 1PE</t>
        </is>
      </c>
      <c r="T788" s="5" t="inlineStr">
        <is>
          <t>Yorkshire &amp; Humber</t>
        </is>
      </c>
      <c r="U788" s="5" t="inlineStr">
        <is>
          <t>England</t>
        </is>
      </c>
      <c r="V788" s="5" t="inlineStr">
        <is>
          <t>01977 278484</t>
        </is>
      </c>
      <c r="W788" s="5" t="inlineStr"/>
      <c r="X788" s="5" t="inlineStr"/>
      <c r="Y788" s="5" t="inlineStr">
        <is>
          <t>vaperite@gmail.com</t>
        </is>
      </c>
      <c r="Z788" s="5" t="inlineStr"/>
      <c r="AA788" s="5" t="inlineStr"/>
      <c r="AB788" s="5" t="inlineStr"/>
      <c r="AC788" s="5" t="inlineStr"/>
      <c r="AD788" s="5" t="inlineStr"/>
      <c r="AE788" s="5" t="inlineStr"/>
      <c r="AF788" s="5" t="inlineStr"/>
      <c r="AG788" s="5" t="inlineStr"/>
      <c r="AH788" s="5" t="inlineStr"/>
      <c r="AI788" s="5" t="inlineStr"/>
      <c r="AJ788" s="5" t="inlineStr"/>
      <c r="AK788" s="5" t="inlineStr">
        <is>
          <t>e-cigarettes; e-liquids; disposables</t>
        </is>
      </c>
      <c r="AL788" s="5" t="inlineStr"/>
      <c r="AM788" s="5" t="inlineStr">
        <is>
          <t>Vape Shop</t>
        </is>
      </c>
      <c r="AN788" s="5" t="inlineStr">
        <is>
          <t>Acts as both retailer and wholesaler of e-cigarettes, e-liquids and disposables</t>
        </is>
      </c>
      <c r="AO788" s="5" t="inlineStr">
        <is>
          <t>Postcode WF8 1PE confirmed from the shop's own Facebook opening-times post. Directly opposite Pontefract bus station area (Horse Fair).</t>
        </is>
      </c>
      <c r="AP788" s="5" t="inlineStr">
        <is>
          <t>High</t>
        </is>
      </c>
      <c r="AQ788" s="5" t="inlineStr">
        <is>
          <t>Independent retailer; Core relevant category; Public email available; Active website; Social presence</t>
        </is>
      </c>
      <c r="AR788" s="5" t="inlineStr">
        <is>
          <t>https://www.facebook.com/TheVapePeople/posts/new-opening-times9-horsefair-pontefract-wf8-1pe/417671657263981/</t>
        </is>
      </c>
      <c r="AS788" s="5" t="inlineStr">
        <is>
          <t>https://vapeshops.puffingbird.com/yorkshire-and-the-humber/pontefract/vaperites-e-cigarette-store</t>
        </is>
      </c>
      <c r="AT788" s="5" t="inlineStr">
        <is>
          <t>2</t>
        </is>
      </c>
      <c r="AU788" s="5" t="inlineStr">
        <is>
          <t>No</t>
        </is>
      </c>
      <c r="AV788" s="5" t="inlineStr">
        <is>
          <t>No</t>
        </is>
      </c>
      <c r="AW788" s="5" t="inlineStr">
        <is>
          <t>No</t>
        </is>
      </c>
      <c r="AX788" s="5" t="inlineStr">
        <is>
          <t>No</t>
        </is>
      </c>
      <c r="AY788" s="5" t="inlineStr">
        <is>
          <t>Verified directory</t>
        </is>
      </c>
      <c r="AZ788" s="5" t="inlineStr">
        <is>
          <t>Unverified</t>
        </is>
      </c>
      <c r="BA788" s="5" t="inlineStr">
        <is>
          <t>2026-09-17</t>
        </is>
      </c>
      <c r="BB788" s="5" t="inlineStr">
        <is>
          <t>Requires Verification</t>
        </is>
      </c>
      <c r="BC788" s="5" t="inlineStr">
        <is>
          <t>Medium</t>
        </is>
      </c>
      <c r="BD788" s="5" t="inlineStr"/>
      <c r="BE788" s="5" t="inlineStr">
        <is>
          <t>Business (B2B)</t>
        </is>
      </c>
      <c r="BF788" s="5" t="inlineStr">
        <is>
          <t>Legitimate interest (B2B) - assess per campaign; PECR: corporate subscribers</t>
        </is>
      </c>
      <c r="BG788" s="5" t="inlineStr"/>
      <c r="BH788" s="5" t="inlineStr">
        <is>
          <t>No</t>
        </is>
      </c>
      <c r="BI788" s="5" t="inlineStr">
        <is>
          <t>2026-09-16</t>
        </is>
      </c>
      <c r="BJ788" s="5" t="inlineStr">
        <is>
          <t>New</t>
        </is>
      </c>
      <c r="BK788" s="5" t="inlineStr">
        <is>
          <t>2026-09-17</t>
        </is>
      </c>
      <c r="BL788" s="5" t="inlineStr"/>
      <c r="BM788" s="5" t="inlineStr"/>
      <c r="BN788" s="5" t="inlineStr"/>
      <c r="BO788" s="5" t="inlineStr"/>
      <c r="BP788" s="5" t="inlineStr"/>
      <c r="BQ788" s="5" t="inlineStr"/>
    </row>
    <row r="789">
      <c r="A789" s="10" t="inlineStr">
        <is>
          <t>UK-000679</t>
        </is>
      </c>
      <c r="B789" s="10" t="inlineStr">
        <is>
          <t>UK-000679-01</t>
        </is>
      </c>
      <c r="C789" s="10" t="inlineStr"/>
      <c r="D789" s="10" t="inlineStr">
        <is>
          <t>Vapers City</t>
        </is>
      </c>
      <c r="E789" s="10" t="inlineStr">
        <is>
          <t>Vapers City</t>
        </is>
      </c>
      <c r="F789" s="10" t="inlineStr"/>
      <c r="G789" s="10" t="inlineStr">
        <is>
          <t>Vape Shop</t>
        </is>
      </c>
      <c r="H789" s="10" t="inlineStr">
        <is>
          <t>Vape hardware &amp; e-liquids</t>
        </is>
      </c>
      <c r="I789" s="10" t="inlineStr">
        <is>
          <t>Independent</t>
        </is>
      </c>
      <c r="J789" s="10" t="inlineStr">
        <is>
          <t>1</t>
        </is>
      </c>
      <c r="K789" s="10" t="inlineStr"/>
      <c r="L789" s="10" t="inlineStr"/>
      <c r="M789" s="10" t="inlineStr"/>
      <c r="N789" s="10" t="inlineStr"/>
      <c r="O789" s="10" t="inlineStr">
        <is>
          <t>202 Uxbridge Road</t>
        </is>
      </c>
      <c r="P789" s="10" t="inlineStr">
        <is>
          <t>Shepherd's Bush</t>
        </is>
      </c>
      <c r="Q789" s="10" t="inlineStr">
        <is>
          <t>London</t>
        </is>
      </c>
      <c r="R789" s="10" t="inlineStr">
        <is>
          <t>Greater London</t>
        </is>
      </c>
      <c r="S789" s="10" t="inlineStr">
        <is>
          <t>W12 7JP</t>
        </is>
      </c>
      <c r="T789" s="10" t="inlineStr">
        <is>
          <t>London</t>
        </is>
      </c>
      <c r="U789" s="10" t="inlineStr">
        <is>
          <t>England</t>
        </is>
      </c>
      <c r="V789" s="10" t="inlineStr"/>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vape hardware; e-liquids</t>
        </is>
      </c>
      <c r="AL789" s="10" t="inlineStr"/>
      <c r="AM789" s="10" t="inlineStr">
        <is>
          <t>Vape Shop</t>
        </is>
      </c>
      <c r="AN789" s="10" t="inlineStr"/>
      <c r="AO789" s="10" t="inlineStr">
        <is>
          <t>Independent vape shop on Uxbridge Road, Shepherd's Bush. Address/postcode from Yell listing snippet; phone not published in accessible snippet.</t>
        </is>
      </c>
      <c r="AP789" s="10" t="inlineStr">
        <is>
          <t>Medium</t>
        </is>
      </c>
      <c r="AQ789" s="10" t="inlineStr">
        <is>
          <t>Independent retailer; Core relevant category</t>
        </is>
      </c>
      <c r="AR789" s="10" t="inlineStr">
        <is>
          <t>https://www.yell.com/biz/vapers-city-london-9724114/</t>
        </is>
      </c>
      <c r="AS789" s="10" t="inlineStr"/>
      <c r="AT789" s="10" t="inlineStr">
        <is>
          <t>1</t>
        </is>
      </c>
      <c r="AU789" s="10" t="inlineStr">
        <is>
          <t>No</t>
        </is>
      </c>
      <c r="AV789" s="10" t="inlineStr">
        <is>
          <t>No</t>
        </is>
      </c>
      <c r="AW789" s="10" t="inlineStr">
        <is>
          <t>No</t>
        </is>
      </c>
      <c r="AX789" s="10" t="inlineStr">
        <is>
          <t>No</t>
        </is>
      </c>
      <c r="AY789" s="10" t="inlineStr">
        <is>
          <t>Not Found</t>
        </is>
      </c>
      <c r="AZ789" s="10" t="inlineStr">
        <is>
          <t>Not Found</t>
        </is>
      </c>
      <c r="BA789" s="10" t="inlineStr">
        <is>
          <t>2026-09-17</t>
        </is>
      </c>
      <c r="BB789" s="10" t="inlineStr">
        <is>
          <t>Requires Verification</t>
        </is>
      </c>
      <c r="BC789" s="10" t="inlineStr">
        <is>
          <t>Low</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2026-09-17</t>
        </is>
      </c>
      <c r="BJ789" s="10" t="inlineStr">
        <is>
          <t>New</t>
        </is>
      </c>
      <c r="BK789" s="10" t="inlineStr">
        <is>
          <t>2026-09-17</t>
        </is>
      </c>
      <c r="BL789" s="10" t="inlineStr"/>
      <c r="BM789" s="10" t="inlineStr"/>
      <c r="BN789" s="10" t="inlineStr"/>
      <c r="BO789" s="10" t="inlineStr"/>
      <c r="BP789" s="10" t="inlineStr"/>
      <c r="BQ789" s="10" t="inlineStr"/>
    </row>
    <row r="790">
      <c r="A790" s="5" t="inlineStr">
        <is>
          <t>UK-000538</t>
        </is>
      </c>
      <c r="B790" s="5" t="inlineStr">
        <is>
          <t>UK-000538-01</t>
        </is>
      </c>
      <c r="C790" s="5" t="inlineStr"/>
      <c r="D790" s="5" t="inlineStr">
        <is>
          <t>Vapers Pantry</t>
        </is>
      </c>
      <c r="E790" s="5" t="inlineStr">
        <is>
          <t>Vapers Pantry</t>
        </is>
      </c>
      <c r="F790" s="5" t="inlineStr">
        <is>
          <t>Vapers Pantry Ltd</t>
        </is>
      </c>
      <c r="G790" s="5" t="inlineStr">
        <is>
          <t>Vape Shop</t>
        </is>
      </c>
      <c r="H790" s="5" t="inlineStr">
        <is>
          <t>E-liquid &amp; kit retailer</t>
        </is>
      </c>
      <c r="I790" s="5" t="inlineStr">
        <is>
          <t>Independent</t>
        </is>
      </c>
      <c r="J790" s="5" t="inlineStr">
        <is>
          <t>1</t>
        </is>
      </c>
      <c r="K790" s="5" t="inlineStr">
        <is>
          <t>https://vaperspantry.com/</t>
        </is>
      </c>
      <c r="L790" s="5" t="inlineStr"/>
      <c r="M790" s="5" t="inlineStr"/>
      <c r="N790" s="5" t="inlineStr"/>
      <c r="O790" s="5" t="inlineStr">
        <is>
          <t>39 Birmingham New Road</t>
        </is>
      </c>
      <c r="P790" s="5" t="inlineStr"/>
      <c r="Q790" s="5" t="inlineStr">
        <is>
          <t>Wolverhampton</t>
        </is>
      </c>
      <c r="R790" s="5" t="inlineStr">
        <is>
          <t>West Midlands</t>
        </is>
      </c>
      <c r="S790" s="5" t="inlineStr">
        <is>
          <t>WV4 6BL</t>
        </is>
      </c>
      <c r="T790" s="5" t="inlineStr">
        <is>
          <t>West Midlands</t>
        </is>
      </c>
      <c r="U790" s="5" t="inlineStr">
        <is>
          <t>England</t>
        </is>
      </c>
      <c r="V790" s="5" t="inlineStr">
        <is>
          <t>01902 444090</t>
        </is>
      </c>
      <c r="W790" s="5" t="inlineStr"/>
      <c r="X790" s="5" t="inlineStr"/>
      <c r="Y790" s="5" t="inlineStr">
        <is>
          <t>sales@vaperspantry.com</t>
        </is>
      </c>
      <c r="Z790" s="5" t="inlineStr">
        <is>
          <t>sales@vaperspantry.com</t>
        </is>
      </c>
      <c r="AA790" s="5" t="inlineStr"/>
      <c r="AB790" s="5" t="inlineStr"/>
      <c r="AC790" s="5" t="inlineStr"/>
      <c r="AD790" s="5" t="inlineStr"/>
      <c r="AE790" s="5" t="inlineStr">
        <is>
          <t>12684772</t>
        </is>
      </c>
      <c r="AF790" s="5" t="inlineStr"/>
      <c r="AG790" s="5" t="inlineStr">
        <is>
          <t>VAPERS PANTRY LTD</t>
        </is>
      </c>
      <c r="AH790" s="5" t="inlineStr"/>
      <c r="AI790" s="5" t="inlineStr"/>
      <c r="AJ790" s="5" t="inlineStr"/>
      <c r="AK790" s="5" t="inlineStr">
        <is>
          <t>vape hardware; e-liquids; kits; accessories</t>
        </is>
      </c>
      <c r="AL790" s="5" t="inlineStr"/>
      <c r="AM790" s="5" t="inlineStr">
        <is>
          <t>Vape Shop</t>
        </is>
      </c>
      <c r="AN790" s="5" t="inlineStr"/>
      <c r="AO790" s="5" t="inlineStr">
        <is>
          <t>Independent vape shop on Birmingham New Road (Parkfield/Ettingshall side of Wolverhampton). Sales email published on own site.</t>
        </is>
      </c>
      <c r="AP790" s="5" t="inlineStr">
        <is>
          <t>High</t>
        </is>
      </c>
      <c r="AQ790" s="5" t="inlineStr">
        <is>
          <t>Independent retailer; Core relevant category; Public trade/sales contact; Active website</t>
        </is>
      </c>
      <c r="AR790" s="5" t="inlineStr">
        <is>
          <t>https://vaperspantry.com/contact</t>
        </is>
      </c>
      <c r="AS790" s="5" t="inlineStr">
        <is>
          <t>https://find-and-update.company-information.service.gov.uk/company/12684772</t>
        </is>
      </c>
      <c r="AT790" s="5" t="inlineStr">
        <is>
          <t>3</t>
        </is>
      </c>
      <c r="AU790" s="5" t="inlineStr">
        <is>
          <t>Yes</t>
        </is>
      </c>
      <c r="AV790" s="5" t="inlineStr">
        <is>
          <t>No</t>
        </is>
      </c>
      <c r="AW790" s="5" t="inlineStr">
        <is>
          <t>No</t>
        </is>
      </c>
      <c r="AX790" s="5" t="inlineStr">
        <is>
          <t>Yes</t>
        </is>
      </c>
      <c r="AY790" s="5" t="inlineStr">
        <is>
          <t>Verified directory</t>
        </is>
      </c>
      <c r="AZ790" s="5" t="inlineStr">
        <is>
          <t>Publicly Listed</t>
        </is>
      </c>
      <c r="BA790" s="5" t="inlineStr">
        <is>
          <t>2026-09-17</t>
        </is>
      </c>
      <c r="BB790" s="5" t="inlineStr">
        <is>
          <t>Verified (website + Companies House)</t>
        </is>
      </c>
      <c r="BC790" s="5" t="inlineStr">
        <is>
          <t>High</t>
        </is>
      </c>
      <c r="BD790" s="5" t="inlineStr"/>
      <c r="BE790" s="5" t="inlineStr">
        <is>
          <t>Business (B2B)</t>
        </is>
      </c>
      <c r="BF790" s="5" t="inlineStr">
        <is>
          <t>Legitimate interest (B2B) - assess per campaign; PECR: corporate subscribers</t>
        </is>
      </c>
      <c r="BG790" s="5" t="inlineStr"/>
      <c r="BH790" s="5" t="inlineStr">
        <is>
          <t>No</t>
        </is>
      </c>
      <c r="BI790" s="5" t="inlineStr">
        <is>
          <t>2026-09-17</t>
        </is>
      </c>
      <c r="BJ790" s="5" t="inlineStr">
        <is>
          <t>New</t>
        </is>
      </c>
      <c r="BK790" s="5" t="inlineStr">
        <is>
          <t>2026-09-17</t>
        </is>
      </c>
      <c r="BL790" s="5" t="inlineStr"/>
      <c r="BM790" s="5" t="inlineStr"/>
      <c r="BN790" s="5" t="inlineStr"/>
      <c r="BO790" s="5" t="inlineStr"/>
      <c r="BP790" s="5" t="inlineStr"/>
      <c r="BQ790" s="5" t="inlineStr"/>
    </row>
    <row r="791">
      <c r="A791" s="10" t="inlineStr">
        <is>
          <t>UK-000836</t>
        </is>
      </c>
      <c r="B791" s="10" t="inlineStr">
        <is>
          <t>UK-000836-01</t>
        </is>
      </c>
      <c r="C791" s="10" t="inlineStr"/>
      <c r="D791" s="10" t="inlineStr">
        <is>
          <t>Vapes N Shakes</t>
        </is>
      </c>
      <c r="E791" s="10" t="inlineStr">
        <is>
          <t>Vapes N Shakes</t>
        </is>
      </c>
      <c r="F791" s="10" t="inlineStr"/>
      <c r="G791" s="10" t="inlineStr">
        <is>
          <t>Vape Shop</t>
        </is>
      </c>
      <c r="H791" s="10" t="inlineStr">
        <is>
          <t>Vape shop / e-liquids</t>
        </is>
      </c>
      <c r="I791" s="10" t="inlineStr">
        <is>
          <t>Independent</t>
        </is>
      </c>
      <c r="J791" s="10" t="inlineStr">
        <is>
          <t>1</t>
        </is>
      </c>
      <c r="K791" s="10" t="inlineStr"/>
      <c r="L791" s="10" t="inlineStr"/>
      <c r="M791" s="10" t="inlineStr"/>
      <c r="N791" s="10" t="inlineStr"/>
      <c r="O791" s="10" t="inlineStr">
        <is>
          <t>Chalmers Street</t>
        </is>
      </c>
      <c r="P791" s="10" t="inlineStr"/>
      <c r="Q791" s="10" t="inlineStr">
        <is>
          <t>Dunfermline</t>
        </is>
      </c>
      <c r="R791" s="10" t="inlineStr">
        <is>
          <t>Fife</t>
        </is>
      </c>
      <c r="S791" s="10" t="inlineStr"/>
      <c r="T791" s="10" t="inlineStr">
        <is>
          <t>Scotland</t>
        </is>
      </c>
      <c r="U791" s="10" t="inlineStr">
        <is>
          <t>Scotland</t>
        </is>
      </c>
      <c r="V791" s="10" t="inlineStr">
        <is>
          <t>01383 624763</t>
        </is>
      </c>
      <c r="W791" s="10" t="inlineStr"/>
      <c r="X791" s="10" t="inlineStr"/>
      <c r="Y791" s="10" t="inlineStr"/>
      <c r="Z791" s="10" t="inlineStr"/>
      <c r="AA791" s="10" t="inlineStr"/>
      <c r="AB791" s="10" t="inlineStr"/>
      <c r="AC791" s="10" t="inlineStr"/>
      <c r="AD791" s="10" t="inlineStr"/>
      <c r="AE791" s="10" t="inlineStr"/>
      <c r="AF791" s="10" t="inlineStr"/>
      <c r="AG791" s="10" t="inlineStr"/>
      <c r="AH791" s="10" t="inlineStr"/>
      <c r="AI791" s="10" t="inlineStr"/>
      <c r="AJ791" s="10" t="inlineStr"/>
      <c r="AK791" s="10" t="inlineStr">
        <is>
          <t>vape hardware; e-liquids</t>
        </is>
      </c>
      <c r="AL791" s="10" t="inlineStr"/>
      <c r="AM791" s="10" t="inlineStr">
        <is>
          <t>Vape Shop</t>
        </is>
      </c>
      <c r="AN791" s="10" t="inlineStr"/>
      <c r="AO791" s="10" t="inlineStr">
        <is>
          <t>Independent vape shop on Chalmers Street, Dunfermline. Postcode not in snippet, left blank. Details from Cylex snippet.</t>
        </is>
      </c>
      <c r="AP791" s="10" t="inlineStr">
        <is>
          <t>Medium</t>
        </is>
      </c>
      <c r="AQ791" s="10" t="inlineStr">
        <is>
          <t>Independent retailer; Core relevant category</t>
        </is>
      </c>
      <c r="AR791" s="10" t="inlineStr">
        <is>
          <t>https://dunfermline.cylex-uk.co.uk/company/vapes-n-shakes-28010123.html</t>
        </is>
      </c>
      <c r="AS791" s="10" t="inlineStr"/>
      <c r="AT791" s="10" t="inlineStr">
        <is>
          <t>1</t>
        </is>
      </c>
      <c r="AU791" s="10" t="inlineStr">
        <is>
          <t>No</t>
        </is>
      </c>
      <c r="AV791" s="10" t="inlineStr">
        <is>
          <t>No</t>
        </is>
      </c>
      <c r="AW791" s="10" t="inlineStr">
        <is>
          <t>No</t>
        </is>
      </c>
      <c r="AX791" s="10" t="inlineStr">
        <is>
          <t>No</t>
        </is>
      </c>
      <c r="AY791" s="10" t="inlineStr">
        <is>
          <t>Verified directory</t>
        </is>
      </c>
      <c r="AZ791" s="10" t="inlineStr">
        <is>
          <t>Not Found</t>
        </is>
      </c>
      <c r="BA791" s="10" t="inlineStr">
        <is>
          <t>2026-09-17</t>
        </is>
      </c>
      <c r="BB791" s="10" t="inlineStr">
        <is>
          <t>Requires Verification</t>
        </is>
      </c>
      <c r="BC791" s="10" t="inlineStr">
        <is>
          <t>Low</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2026-09-17</t>
        </is>
      </c>
      <c r="BJ791" s="10" t="inlineStr">
        <is>
          <t>New</t>
        </is>
      </c>
      <c r="BK791" s="10" t="inlineStr">
        <is>
          <t>2026-09-17</t>
        </is>
      </c>
      <c r="BL791" s="10" t="inlineStr"/>
      <c r="BM791" s="10" t="inlineStr"/>
      <c r="BN791" s="10" t="inlineStr"/>
      <c r="BO791" s="10" t="inlineStr"/>
      <c r="BP791" s="10" t="inlineStr"/>
      <c r="BQ791" s="10" t="inlineStr"/>
    </row>
    <row r="792">
      <c r="A792" s="5" t="inlineStr">
        <is>
          <t>UK-000837</t>
        </is>
      </c>
      <c r="B792" s="5" t="inlineStr">
        <is>
          <t>UK-000837-01</t>
        </is>
      </c>
      <c r="C792" s="5" t="inlineStr"/>
      <c r="D792" s="5" t="inlineStr">
        <is>
          <t>Vapes Wirral</t>
        </is>
      </c>
      <c r="E792" s="5" t="inlineStr">
        <is>
          <t>Vapes Wirral</t>
        </is>
      </c>
      <c r="F792" s="5" t="inlineStr"/>
      <c r="G792" s="5" t="inlineStr">
        <is>
          <t>Vape Shop</t>
        </is>
      </c>
      <c r="H792" s="5" t="inlineStr">
        <is>
          <t>Vape shop</t>
        </is>
      </c>
      <c r="I792" s="5" t="inlineStr">
        <is>
          <t>Independent</t>
        </is>
      </c>
      <c r="J792" s="5" t="inlineStr">
        <is>
          <t>1</t>
        </is>
      </c>
      <c r="K792" s="5" t="inlineStr"/>
      <c r="L792" s="5" t="inlineStr"/>
      <c r="M792" s="5" t="inlineStr"/>
      <c r="N792" s="5" t="inlineStr"/>
      <c r="O792" s="5" t="inlineStr">
        <is>
          <t>60 Market Street</t>
        </is>
      </c>
      <c r="P792" s="5" t="inlineStr">
        <is>
          <t>Hoylake</t>
        </is>
      </c>
      <c r="Q792" s="5" t="inlineStr">
        <is>
          <t>Wirral</t>
        </is>
      </c>
      <c r="R792" s="5" t="inlineStr">
        <is>
          <t>Merseyside</t>
        </is>
      </c>
      <c r="S792" s="5" t="inlineStr">
        <is>
          <t>CH47 3BB</t>
        </is>
      </c>
      <c r="T792" s="5" t="inlineStr">
        <is>
          <t>North West</t>
        </is>
      </c>
      <c r="U792" s="5" t="inlineStr">
        <is>
          <t>England</t>
        </is>
      </c>
      <c r="V792" s="5" t="inlineStr"/>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vape hardware; e-liquids</t>
        </is>
      </c>
      <c r="AL792" s="5" t="inlineStr"/>
      <c r="AM792" s="5" t="inlineStr">
        <is>
          <t>Vape Shop</t>
        </is>
      </c>
      <c r="AN792" s="5" t="inlineStr"/>
      <c r="AO792" s="5" t="inlineStr">
        <is>
          <t>Independent vape shop on Market Street, Hoylake, from Puffing Bird Wirral directory listing. Phone/email not confirmed in snippets.</t>
        </is>
      </c>
      <c r="AP792" s="5" t="inlineStr">
        <is>
          <t>Medium</t>
        </is>
      </c>
      <c r="AQ792" s="5" t="inlineStr">
        <is>
          <t>Independent retailer; Core relevant category</t>
        </is>
      </c>
      <c r="AR792" s="5" t="inlineStr">
        <is>
          <t>https://vapeshops.puffingbird.com/england/wirral</t>
        </is>
      </c>
      <c r="AS792" s="5" t="inlineStr"/>
      <c r="AT792" s="5" t="inlineStr">
        <is>
          <t>1</t>
        </is>
      </c>
      <c r="AU792" s="5" t="inlineStr">
        <is>
          <t>No</t>
        </is>
      </c>
      <c r="AV792" s="5" t="inlineStr">
        <is>
          <t>No</t>
        </is>
      </c>
      <c r="AW792" s="5" t="inlineStr">
        <is>
          <t>No</t>
        </is>
      </c>
      <c r="AX792" s="5" t="inlineStr">
        <is>
          <t>No</t>
        </is>
      </c>
      <c r="AY792" s="5" t="inlineStr">
        <is>
          <t>Not Found</t>
        </is>
      </c>
      <c r="AZ792" s="5" t="inlineStr">
        <is>
          <t>Not Found</t>
        </is>
      </c>
      <c r="BA792" s="5" t="inlineStr">
        <is>
          <t>2026-09-17</t>
        </is>
      </c>
      <c r="BB792" s="5" t="inlineStr">
        <is>
          <t>Requires Verification</t>
        </is>
      </c>
      <c r="BC792" s="5" t="inlineStr">
        <is>
          <t>Low</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WY-0181</t>
        </is>
      </c>
      <c r="B793" s="10" t="inlineStr">
        <is>
          <t>WY-0181-01</t>
        </is>
      </c>
      <c r="C793" s="10" t="inlineStr"/>
      <c r="D793" s="10" t="inlineStr">
        <is>
          <t>Vapestation</t>
        </is>
      </c>
      <c r="E793" s="10" t="inlineStr">
        <is>
          <t>Vapestation</t>
        </is>
      </c>
      <c r="F793" s="10" t="inlineStr"/>
      <c r="G793" s="10" t="inlineStr">
        <is>
          <t>Vape Shop</t>
        </is>
      </c>
      <c r="H793" s="10" t="inlineStr">
        <is>
          <t>E-liquid and hardware specialist</t>
        </is>
      </c>
      <c r="I793" s="10" t="inlineStr">
        <is>
          <t>Independent</t>
        </is>
      </c>
      <c r="J793" s="10" t="inlineStr">
        <is>
          <t>1</t>
        </is>
      </c>
      <c r="K793" s="10" t="inlineStr"/>
      <c r="L793" s="10" t="inlineStr"/>
      <c r="M793" s="10" t="inlineStr"/>
      <c r="N793" s="10" t="inlineStr">
        <is>
          <t>https://nextdoor.co.uk/pages/vapestation-inc-limited-halifax-yorkshire/</t>
        </is>
      </c>
      <c r="O793" s="10" t="inlineStr">
        <is>
          <t>39a Horton Street</t>
        </is>
      </c>
      <c r="P793" s="10" t="inlineStr"/>
      <c r="Q793" s="10" t="inlineStr">
        <is>
          <t>Halifax</t>
        </is>
      </c>
      <c r="R793" s="10" t="inlineStr">
        <is>
          <t>West Yorkshire</t>
        </is>
      </c>
      <c r="S793" s="10" t="inlineStr">
        <is>
          <t>HX1 1QE</t>
        </is>
      </c>
      <c r="T793" s="10" t="inlineStr">
        <is>
          <t>Yorkshire &amp; Humber</t>
        </is>
      </c>
      <c r="U793" s="10" t="inlineStr">
        <is>
          <t>England</t>
        </is>
      </c>
      <c r="V793" s="10" t="inlineStr">
        <is>
          <t>01422 365557</t>
        </is>
      </c>
      <c r="W793" s="10" t="inlineStr"/>
      <c r="X793" s="10" t="inlineStr"/>
      <c r="Y793" s="10" t="inlineStr"/>
      <c r="Z793" s="10" t="inlineStr"/>
      <c r="AA793" s="10" t="inlineStr"/>
      <c r="AB793" s="10" t="inlineStr"/>
      <c r="AC793" s="10" t="inlineStr"/>
      <c r="AD793" s="10" t="inlineStr"/>
      <c r="AE793" s="10" t="inlineStr"/>
      <c r="AF793" s="10" t="inlineStr"/>
      <c r="AG793" s="10" t="inlineStr"/>
      <c r="AH793" s="10" t="inlineStr"/>
      <c r="AI793" s="10" t="inlineStr"/>
      <c r="AJ793" s="10" t="inlineStr">
        <is>
          <t>premium American e-juices; high-end devices and atomisers</t>
        </is>
      </c>
      <c r="AK793" s="10" t="inlineStr">
        <is>
          <t>vape hardware; e-liquids</t>
        </is>
      </c>
      <c r="AL793" s="10" t="inlineStr"/>
      <c r="AM793" s="10" t="inlineStr">
        <is>
          <t>Vape Shop</t>
        </is>
      </c>
      <c r="AN793" s="10" t="inlineStr"/>
      <c r="AO793" s="10" t="inlineStr">
        <is>
          <t>Nextdoor page is titled 'Vapestation Inc Limited', suggesting the legal name, but this was not verified at Companies House (site fetch blocked).</t>
        </is>
      </c>
      <c r="AP793" s="10" t="inlineStr">
        <is>
          <t>Medium</t>
        </is>
      </c>
      <c r="AQ793" s="10" t="inlineStr">
        <is>
          <t>Independent retailer; Core relevant category; Social presence</t>
        </is>
      </c>
      <c r="AR793" s="10" t="inlineStr">
        <is>
          <t>https://www.yell.com/biz/vape-station-halifax-8116342/</t>
        </is>
      </c>
      <c r="AS793" s="10" t="inlineStr">
        <is>
          <t>https://www.yelp.com/biz/vapestation-halifax</t>
        </is>
      </c>
      <c r="AT793" s="10" t="inlineStr">
        <is>
          <t>2</t>
        </is>
      </c>
      <c r="AU793" s="10" t="inlineStr">
        <is>
          <t>No</t>
        </is>
      </c>
      <c r="AV793" s="10" t="inlineStr">
        <is>
          <t>No</t>
        </is>
      </c>
      <c r="AW793" s="10" t="inlineStr">
        <is>
          <t>No</t>
        </is>
      </c>
      <c r="AX793" s="10" t="inlineStr">
        <is>
          <t>No</t>
        </is>
      </c>
      <c r="AY793" s="10" t="inlineStr">
        <is>
          <t>Verified directory</t>
        </is>
      </c>
      <c r="AZ793" s="10" t="inlineStr">
        <is>
          <t>Not Found</t>
        </is>
      </c>
      <c r="BA793" s="10" t="inlineStr">
        <is>
          <t>2026-09-17</t>
        </is>
      </c>
      <c r="BB793" s="10" t="inlineStr">
        <is>
          <t>Requires Verification</t>
        </is>
      </c>
      <c r="BC793" s="10" t="inlineStr">
        <is>
          <t>Medium</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2026-09-16</t>
        </is>
      </c>
      <c r="BJ793" s="10" t="inlineStr">
        <is>
          <t>New</t>
        </is>
      </c>
      <c r="BK793" s="10" t="inlineStr">
        <is>
          <t>2026-09-17</t>
        </is>
      </c>
      <c r="BL793" s="10" t="inlineStr"/>
      <c r="BM793" s="10" t="inlineStr"/>
      <c r="BN793" s="10" t="inlineStr"/>
      <c r="BO793" s="10" t="inlineStr"/>
      <c r="BP793" s="10" t="inlineStr"/>
      <c r="BQ793" s="10" t="inlineStr"/>
    </row>
    <row r="794">
      <c r="A794" s="5" t="inlineStr">
        <is>
          <t>WY-0182</t>
        </is>
      </c>
      <c r="B794" s="5" t="inlineStr">
        <is>
          <t>WY-0182-01</t>
        </is>
      </c>
      <c r="C794" s="5" t="inlineStr"/>
      <c r="D794" s="5" t="inlineStr">
        <is>
          <t>Vaping Bar Normanton</t>
        </is>
      </c>
      <c r="E794" s="5" t="inlineStr">
        <is>
          <t>Vaping Bar Normanton</t>
        </is>
      </c>
      <c r="F794" s="5" t="inlineStr"/>
      <c r="G794" s="5" t="inlineStr">
        <is>
          <t>Vape Shop</t>
        </is>
      </c>
      <c r="H794" s="5" t="inlineStr">
        <is>
          <t>Vape retailer</t>
        </is>
      </c>
      <c r="I794" s="5" t="inlineStr">
        <is>
          <t>Independent</t>
        </is>
      </c>
      <c r="J794" s="5" t="inlineStr">
        <is>
          <t>1</t>
        </is>
      </c>
      <c r="K794" s="5" t="inlineStr"/>
      <c r="L794" s="5" t="inlineStr">
        <is>
          <t>https://www.facebook.com/p/Vaping-Bar-Normanton-100063635944918/</t>
        </is>
      </c>
      <c r="M794" s="5" t="inlineStr"/>
      <c r="N794" s="5" t="inlineStr"/>
      <c r="O794" s="5" t="inlineStr"/>
      <c r="P794" s="5" t="inlineStr"/>
      <c r="Q794" s="5" t="inlineStr">
        <is>
          <t>Normanton</t>
        </is>
      </c>
      <c r="R794" s="5" t="inlineStr">
        <is>
          <t>West Yorkshire</t>
        </is>
      </c>
      <c r="S794" s="5" t="inlineStr"/>
      <c r="T794" s="5" t="inlineStr">
        <is>
          <t>Yorkshire &amp; Humber</t>
        </is>
      </c>
      <c r="U794" s="5" t="inlineStr">
        <is>
          <t>England</t>
        </is>
      </c>
      <c r="V794" s="5" t="inlineStr"/>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e-liquids; vape hardware</t>
        </is>
      </c>
      <c r="AL794" s="5" t="inlineStr"/>
      <c r="AM794" s="5" t="inlineStr">
        <is>
          <t>Vape Shop</t>
        </is>
      </c>
      <c r="AN794" s="5" t="inlineStr"/>
      <c r="AO794" s="5" t="inlineStr">
        <is>
          <t>Facebook page describes quality e-cig liquid and hardware with knowledgeable staff aimed at smokers trying to quit. Street address not found in accessible sources - needs follow-up.</t>
        </is>
      </c>
      <c r="AP794" s="5" t="inlineStr">
        <is>
          <t>Medium</t>
        </is>
      </c>
      <c r="AQ794" s="5" t="inlineStr">
        <is>
          <t>Independent retailer; Core relevant category; Social presence</t>
        </is>
      </c>
      <c r="AR794" s="5" t="inlineStr">
        <is>
          <t>https://www.facebook.com/p/Vaping-Bar-Normanton-100063635944918/</t>
        </is>
      </c>
      <c r="AS794" s="5" t="inlineStr"/>
      <c r="AT794" s="5" t="inlineStr">
        <is>
          <t>1</t>
        </is>
      </c>
      <c r="AU794" s="5" t="inlineStr">
        <is>
          <t>No</t>
        </is>
      </c>
      <c r="AV794" s="5" t="inlineStr">
        <is>
          <t>No</t>
        </is>
      </c>
      <c r="AW794" s="5" t="inlineStr">
        <is>
          <t>No</t>
        </is>
      </c>
      <c r="AX794" s="5" t="inlineStr">
        <is>
          <t>No</t>
        </is>
      </c>
      <c r="AY794" s="5" t="inlineStr">
        <is>
          <t>Not Found</t>
        </is>
      </c>
      <c r="AZ794" s="5" t="inlineStr">
        <is>
          <t>Not Found</t>
        </is>
      </c>
      <c r="BA794" s="5" t="inlineStr">
        <is>
          <t>2026-09-17</t>
        </is>
      </c>
      <c r="BB794" s="5" t="inlineStr">
        <is>
          <t>Requires Verification</t>
        </is>
      </c>
      <c r="BC794" s="5" t="inlineStr">
        <is>
          <t>Low</t>
        </is>
      </c>
      <c r="BD794" s="5" t="inlineStr"/>
      <c r="BE794" s="5" t="inlineStr">
        <is>
          <t>Business (B2B)</t>
        </is>
      </c>
      <c r="BF794" s="5" t="inlineStr">
        <is>
          <t>Legitimate interest (B2B) - assess per campaign; PECR: corporate subscribers</t>
        </is>
      </c>
      <c r="BG794" s="5" t="inlineStr"/>
      <c r="BH794" s="5" t="inlineStr">
        <is>
          <t>No</t>
        </is>
      </c>
      <c r="BI794" s="5" t="inlineStr">
        <is>
          <t>2026-09-16</t>
        </is>
      </c>
      <c r="BJ794" s="5" t="inlineStr">
        <is>
          <t>New</t>
        </is>
      </c>
      <c r="BK794" s="5" t="inlineStr">
        <is>
          <t>2026-09-17</t>
        </is>
      </c>
      <c r="BL794" s="5" t="inlineStr"/>
      <c r="BM794" s="5" t="inlineStr"/>
      <c r="BN794" s="5" t="inlineStr"/>
      <c r="BO794" s="5" t="inlineStr"/>
      <c r="BP794" s="5" t="inlineStr"/>
      <c r="BQ794" s="5" t="inlineStr"/>
    </row>
    <row r="795">
      <c r="A795" s="10" t="inlineStr">
        <is>
          <t>UK-000293</t>
        </is>
      </c>
      <c r="B795" s="10" t="inlineStr">
        <is>
          <t>UK-000293-01</t>
        </is>
      </c>
      <c r="C795" s="10" t="inlineStr"/>
      <c r="D795" s="10" t="inlineStr">
        <is>
          <t>Vaping Cloud</t>
        </is>
      </c>
      <c r="E795" s="10" t="inlineStr">
        <is>
          <t>Vaping Cloud</t>
        </is>
      </c>
      <c r="F795" s="10" t="inlineStr"/>
      <c r="G795" s="10" t="inlineStr">
        <is>
          <t>Vape Shop</t>
        </is>
      </c>
      <c r="H795" s="10" t="inlineStr">
        <is>
          <t>E-liquid shop</t>
        </is>
      </c>
      <c r="I795" s="10" t="inlineStr">
        <is>
          <t>Independent</t>
        </is>
      </c>
      <c r="J795" s="10" t="inlineStr">
        <is>
          <t>1</t>
        </is>
      </c>
      <c r="K795" s="10" t="inlineStr"/>
      <c r="L795" s="10" t="inlineStr"/>
      <c r="M795" s="10" t="inlineStr"/>
      <c r="N795" s="10" t="inlineStr"/>
      <c r="O795" s="10" t="inlineStr">
        <is>
          <t>3 Bedford Road</t>
        </is>
      </c>
      <c r="P795" s="10" t="inlineStr"/>
      <c r="Q795" s="10" t="inlineStr">
        <is>
          <t>Cleethorpes</t>
        </is>
      </c>
      <c r="R795" s="10" t="inlineStr">
        <is>
          <t>Lincolnshire</t>
        </is>
      </c>
      <c r="S795" s="10" t="inlineStr">
        <is>
          <t>DN35 0PX</t>
        </is>
      </c>
      <c r="T795" s="10" t="inlineStr">
        <is>
          <t>Yorkshire &amp; Humber</t>
        </is>
      </c>
      <c r="U795" s="10" t="inlineStr">
        <is>
          <t>England</t>
        </is>
      </c>
      <c r="V795" s="10" t="inlineStr">
        <is>
          <t>01472 488770</t>
        </is>
      </c>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e-liquids; vape hardware; disposables</t>
        </is>
      </c>
      <c r="AL795" s="10" t="inlineStr"/>
      <c r="AM795" s="10" t="inlineStr">
        <is>
          <t>Vape Shop</t>
        </is>
      </c>
      <c r="AN795" s="10" t="inlineStr"/>
      <c r="AO795" s="10" t="inlineStr">
        <is>
          <t>Independent vape shop (listed as Vaping Cloud / Vaping Lounge High Street) in Cleethorpes.</t>
        </is>
      </c>
      <c r="AP795" s="10" t="inlineStr">
        <is>
          <t>Medium</t>
        </is>
      </c>
      <c r="AQ795" s="10" t="inlineStr">
        <is>
          <t>Independent retailer; Core relevant category</t>
        </is>
      </c>
      <c r="AR795" s="10" t="inlineStr">
        <is>
          <t>https://ecigdirectory.co.uk/vape-shop/listing/vaping-lounge-high-street</t>
        </is>
      </c>
      <c r="AS795" s="10" t="inlineStr"/>
      <c r="AT795" s="10" t="inlineStr">
        <is>
          <t>1</t>
        </is>
      </c>
      <c r="AU795" s="10" t="inlineStr">
        <is>
          <t>No</t>
        </is>
      </c>
      <c r="AV795" s="10" t="inlineStr">
        <is>
          <t>No</t>
        </is>
      </c>
      <c r="AW795" s="10" t="inlineStr">
        <is>
          <t>No</t>
        </is>
      </c>
      <c r="AX795" s="10" t="inlineStr">
        <is>
          <t>No</t>
        </is>
      </c>
      <c r="AY795" s="10" t="inlineStr">
        <is>
          <t>Verified directory</t>
        </is>
      </c>
      <c r="AZ795" s="10" t="inlineStr">
        <is>
          <t>Not Found</t>
        </is>
      </c>
      <c r="BA795" s="10" t="inlineStr">
        <is>
          <t>2026-09-17</t>
        </is>
      </c>
      <c r="BB795" s="10" t="inlineStr">
        <is>
          <t>Requires Verification</t>
        </is>
      </c>
      <c r="BC795" s="10" t="inlineStr">
        <is>
          <t>Low</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2026-09-16</t>
        </is>
      </c>
      <c r="BJ795" s="10" t="inlineStr">
        <is>
          <t>New</t>
        </is>
      </c>
      <c r="BK795" s="10" t="inlineStr">
        <is>
          <t>2026-09-17</t>
        </is>
      </c>
      <c r="BL795" s="10" t="inlineStr"/>
      <c r="BM795" s="10" t="inlineStr"/>
      <c r="BN795" s="10" t="inlineStr"/>
      <c r="BO795" s="10" t="inlineStr"/>
      <c r="BP795" s="10" t="inlineStr"/>
      <c r="BQ795" s="10" t="inlineStr"/>
    </row>
    <row r="796">
      <c r="A796" s="5" t="inlineStr">
        <is>
          <t>WY-0183</t>
        </is>
      </c>
      <c r="B796" s="5" t="inlineStr">
        <is>
          <t>WY-0183-01</t>
        </is>
      </c>
      <c r="C796" s="5" t="inlineStr"/>
      <c r="D796" s="5" t="inlineStr">
        <is>
          <t>Vaporized Meanwood</t>
        </is>
      </c>
      <c r="E796" s="5" t="inlineStr">
        <is>
          <t>Vaporized</t>
        </is>
      </c>
      <c r="F796" s="5" t="inlineStr"/>
      <c r="G796" s="5" t="inlineStr">
        <is>
          <t>Vape Shop</t>
        </is>
      </c>
      <c r="H796" s="5" t="inlineStr">
        <is>
          <t>E-cigarette and e-liquid shop</t>
        </is>
      </c>
      <c r="I796" s="5" t="inlineStr">
        <is>
          <t>Unknown</t>
        </is>
      </c>
      <c r="J796" s="5" t="inlineStr">
        <is>
          <t>1</t>
        </is>
      </c>
      <c r="K796" s="5" t="inlineStr"/>
      <c r="L796" s="5" t="inlineStr"/>
      <c r="M796" s="5" t="inlineStr"/>
      <c r="N796" s="5" t="inlineStr"/>
      <c r="O796" s="5" t="inlineStr">
        <is>
          <t>16 Stonegate Road</t>
        </is>
      </c>
      <c r="P796" s="5" t="inlineStr">
        <is>
          <t>Meanwood</t>
        </is>
      </c>
      <c r="Q796" s="5" t="inlineStr">
        <is>
          <t>Leeds</t>
        </is>
      </c>
      <c r="R796" s="5" t="inlineStr">
        <is>
          <t>West Yorkshire</t>
        </is>
      </c>
      <c r="S796" s="5" t="inlineStr">
        <is>
          <t>LS6 4HY</t>
        </is>
      </c>
      <c r="T796" s="5" t="inlineStr">
        <is>
          <t>Yorkshire &amp; Humber</t>
        </is>
      </c>
      <c r="U796" s="5" t="inlineStr">
        <is>
          <t>England</t>
        </is>
      </c>
      <c r="V796" s="5" t="inlineStr">
        <is>
          <t>0113 274 8997</t>
        </is>
      </c>
      <c r="W796" s="5" t="inlineStr"/>
      <c r="X796" s="5" t="inlineStr"/>
      <c r="Y796" s="5" t="inlineStr"/>
      <c r="Z796" s="5" t="inlineStr"/>
      <c r="AA796" s="5" t="inlineStr"/>
      <c r="AB796" s="5" t="inlineStr"/>
      <c r="AC796" s="5" t="inlineStr"/>
      <c r="AD796" s="5" t="inlineStr"/>
      <c r="AE796" s="5" t="inlineStr"/>
      <c r="AF796" s="5" t="inlineStr"/>
      <c r="AG796" s="5" t="inlineStr"/>
      <c r="AH796" s="5" t="inlineStr"/>
      <c r="AI796" s="5" t="inlineStr"/>
      <c r="AJ796" s="5" t="inlineStr"/>
      <c r="AK796" s="5" t="inlineStr">
        <is>
          <t>vape hardware; e-liquids</t>
        </is>
      </c>
      <c r="AL796" s="5" t="inlineStr"/>
      <c r="AM796" s="5" t="inlineStr">
        <is>
          <t>Vape Shop</t>
        </is>
      </c>
      <c r="AN796" s="5" t="inlineStr"/>
      <c r="AO796" s="5" t="inlineStr">
        <is>
          <t>Directory sources conflict on address: 16 Stonegate Road LS6 4HY (ecigdirectory) vs 591 Meanwood Road LS6 4AY (yellowpages.net). Needs on-the-ground verification.</t>
        </is>
      </c>
      <c r="AP796" s="5" t="inlineStr">
        <is>
          <t>Low</t>
        </is>
      </c>
      <c r="AQ796" s="5" t="inlineStr">
        <is>
          <t>Core relevant category</t>
        </is>
      </c>
      <c r="AR796" s="5" t="inlineStr">
        <is>
          <t>https://ecigdirectory.co.uk/vape-shop/listing/vaporized-meanwood-leeds</t>
        </is>
      </c>
      <c r="AS796" s="5" t="inlineStr">
        <is>
          <t>https://www.yellowpages.net/phone_44-1132748997_vaporizer-store_Leeds_PL4814848.html</t>
        </is>
      </c>
      <c r="AT796" s="5" t="inlineStr">
        <is>
          <t>2</t>
        </is>
      </c>
      <c r="AU796" s="5" t="inlineStr">
        <is>
          <t>No</t>
        </is>
      </c>
      <c r="AV796" s="5" t="inlineStr">
        <is>
          <t>No</t>
        </is>
      </c>
      <c r="AW796" s="5" t="inlineStr">
        <is>
          <t>No</t>
        </is>
      </c>
      <c r="AX796" s="5" t="inlineStr">
        <is>
          <t>No</t>
        </is>
      </c>
      <c r="AY796" s="5" t="inlineStr">
        <is>
          <t>Verified directory</t>
        </is>
      </c>
      <c r="AZ796" s="5" t="inlineStr">
        <is>
          <t>Not Found</t>
        </is>
      </c>
      <c r="BA796" s="5" t="inlineStr">
        <is>
          <t>2026-09-17</t>
        </is>
      </c>
      <c r="BB796" s="5" t="inlineStr">
        <is>
          <t>Requires Verification</t>
        </is>
      </c>
      <c r="BC796" s="5" t="inlineStr">
        <is>
          <t>Low</t>
        </is>
      </c>
      <c r="BD796" s="5" t="inlineStr"/>
      <c r="BE796" s="5" t="inlineStr">
        <is>
          <t>Business (B2B)</t>
        </is>
      </c>
      <c r="BF796" s="5" t="inlineStr">
        <is>
          <t>Legitimate interest (B2B) - assess per campaign; PECR: corporate subscribers</t>
        </is>
      </c>
      <c r="BG796" s="5" t="inlineStr"/>
      <c r="BH796" s="5" t="inlineStr">
        <is>
          <t>No</t>
        </is>
      </c>
      <c r="BI796" s="5" t="inlineStr">
        <is>
          <t>2026-09-16</t>
        </is>
      </c>
      <c r="BJ796" s="5" t="inlineStr">
        <is>
          <t>New</t>
        </is>
      </c>
      <c r="BK796" s="5" t="inlineStr">
        <is>
          <t>2026-09-17</t>
        </is>
      </c>
      <c r="BL796" s="5" t="inlineStr"/>
      <c r="BM796" s="5" t="inlineStr"/>
      <c r="BN796" s="5" t="inlineStr"/>
      <c r="BO796" s="5" t="inlineStr"/>
      <c r="BP796" s="5" t="inlineStr"/>
      <c r="BQ796" s="5" t="inlineStr"/>
    </row>
    <row r="797">
      <c r="A797" s="10" t="inlineStr">
        <is>
          <t>UK-000680</t>
        </is>
      </c>
      <c r="B797" s="10" t="inlineStr">
        <is>
          <t>UK-000680-01</t>
        </is>
      </c>
      <c r="C797" s="10" t="inlineStr"/>
      <c r="D797" s="10" t="inlineStr">
        <is>
          <t>Vaporz &amp; Shisha</t>
        </is>
      </c>
      <c r="E797" s="10" t="inlineStr">
        <is>
          <t>Vaporz &amp; Shisha</t>
        </is>
      </c>
      <c r="F797" s="10" t="inlineStr"/>
      <c r="G797" s="10" t="inlineStr">
        <is>
          <t>Smoke / Shisha Shop</t>
        </is>
      </c>
      <c r="H797" s="10" t="inlineStr">
        <is>
          <t>Shisha &amp; vape retailer</t>
        </is>
      </c>
      <c r="I797" s="10" t="inlineStr">
        <is>
          <t>Independent</t>
        </is>
      </c>
      <c r="J797" s="10" t="inlineStr">
        <is>
          <t>1</t>
        </is>
      </c>
      <c r="K797" s="10" t="inlineStr"/>
      <c r="L797" s="10" t="inlineStr"/>
      <c r="M797" s="10" t="inlineStr"/>
      <c r="N797" s="10" t="inlineStr"/>
      <c r="O797" s="10" t="inlineStr">
        <is>
          <t>137 Edgware Road</t>
        </is>
      </c>
      <c r="P797" s="10" t="inlineStr"/>
      <c r="Q797" s="10" t="inlineStr">
        <is>
          <t>London</t>
        </is>
      </c>
      <c r="R797" s="10" t="inlineStr">
        <is>
          <t>Greater London</t>
        </is>
      </c>
      <c r="S797" s="10" t="inlineStr">
        <is>
          <t>W2 2DN</t>
        </is>
      </c>
      <c r="T797" s="10" t="inlineStr">
        <is>
          <t>London</t>
        </is>
      </c>
      <c r="U797" s="10" t="inlineStr">
        <is>
          <t>England</t>
        </is>
      </c>
      <c r="V797" s="10" t="inlineStr">
        <is>
          <t>07521 262536</t>
        </is>
      </c>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shisha; tobacco; vape hardware</t>
        </is>
      </c>
      <c r="AL797" s="10" t="inlineStr"/>
      <c r="AM797" s="10" t="inlineStr">
        <is>
          <t>Smoke / Shisha Shop</t>
        </is>
      </c>
      <c r="AN797" s="10" t="inlineStr"/>
      <c r="AO797" s="10" t="inlineStr">
        <is>
          <t>Independent shisha and vape retailer on the Edgware Road shisha strip (W2). Address/postcode/phone from Cylex London listing snippet.</t>
        </is>
      </c>
      <c r="AP797" s="10" t="inlineStr">
        <is>
          <t>Medium</t>
        </is>
      </c>
      <c r="AQ797" s="10" t="inlineStr">
        <is>
          <t>Independent retailer; Core relevant category</t>
        </is>
      </c>
      <c r="AR797" s="10" t="inlineStr">
        <is>
          <t>https://london.cylex-uk.co.uk/company/vaporz---shisha-28671460.html</t>
        </is>
      </c>
      <c r="AS797" s="10" t="inlineStr"/>
      <c r="AT797" s="10" t="inlineStr">
        <is>
          <t>1</t>
        </is>
      </c>
      <c r="AU797" s="10" t="inlineStr">
        <is>
          <t>No</t>
        </is>
      </c>
      <c r="AV797" s="10" t="inlineStr">
        <is>
          <t>No</t>
        </is>
      </c>
      <c r="AW797" s="10" t="inlineStr">
        <is>
          <t>No</t>
        </is>
      </c>
      <c r="AX797" s="10" t="inlineStr">
        <is>
          <t>No</t>
        </is>
      </c>
      <c r="AY797" s="10" t="inlineStr">
        <is>
          <t>Verified directory</t>
        </is>
      </c>
      <c r="AZ797" s="10" t="inlineStr">
        <is>
          <t>Not Found</t>
        </is>
      </c>
      <c r="BA797" s="10" t="inlineStr">
        <is>
          <t>2026-09-17</t>
        </is>
      </c>
      <c r="BB797" s="10" t="inlineStr">
        <is>
          <t>Requires Verification</t>
        </is>
      </c>
      <c r="BC797" s="10" t="inlineStr">
        <is>
          <t>Medium</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2026-09-17</t>
        </is>
      </c>
      <c r="BJ797" s="10" t="inlineStr">
        <is>
          <t>New</t>
        </is>
      </c>
      <c r="BK797" s="10" t="inlineStr">
        <is>
          <t>2026-09-17</t>
        </is>
      </c>
      <c r="BL797" s="10" t="inlineStr"/>
      <c r="BM797" s="10" t="inlineStr"/>
      <c r="BN797" s="10" t="inlineStr"/>
      <c r="BO797" s="10" t="inlineStr"/>
      <c r="BP797" s="10" t="inlineStr"/>
      <c r="BQ797" s="10" t="inlineStr"/>
    </row>
    <row r="798">
      <c r="A798" s="5" t="inlineStr">
        <is>
          <t>UK-000410</t>
        </is>
      </c>
      <c r="B798" s="5" t="inlineStr">
        <is>
          <t>UK-000410-01</t>
        </is>
      </c>
      <c r="C798" s="5" t="inlineStr"/>
      <c r="D798" s="5" t="inlineStr">
        <is>
          <t>Vapour Chase Farnworth</t>
        </is>
      </c>
      <c r="E798" s="5" t="inlineStr">
        <is>
          <t>Vapour Chase</t>
        </is>
      </c>
      <c r="F798" s="5" t="inlineStr"/>
      <c r="G798" s="5" t="inlineStr">
        <is>
          <t>Vape Shop</t>
        </is>
      </c>
      <c r="H798" s="5" t="inlineStr"/>
      <c r="I798" s="5" t="inlineStr">
        <is>
          <t>Independent</t>
        </is>
      </c>
      <c r="J798" s="5" t="inlineStr">
        <is>
          <t>1</t>
        </is>
      </c>
      <c r="K798" s="5" t="inlineStr"/>
      <c r="L798" s="5" t="inlineStr"/>
      <c r="M798" s="5" t="inlineStr"/>
      <c r="N798" s="5" t="inlineStr"/>
      <c r="O798" s="5" t="inlineStr">
        <is>
          <t>68 Market Street</t>
        </is>
      </c>
      <c r="P798" s="5" t="inlineStr">
        <is>
          <t>Farnworth</t>
        </is>
      </c>
      <c r="Q798" s="5" t="inlineStr">
        <is>
          <t>Bolton</t>
        </is>
      </c>
      <c r="R798" s="5" t="inlineStr">
        <is>
          <t>Greater Manchester</t>
        </is>
      </c>
      <c r="S798" s="5" t="inlineStr">
        <is>
          <t>BL4 7NY</t>
        </is>
      </c>
      <c r="T798" s="5" t="inlineStr">
        <is>
          <t>North West</t>
        </is>
      </c>
      <c r="U798" s="5" t="inlineStr">
        <is>
          <t>England</t>
        </is>
      </c>
      <c r="V798" s="5" t="inlineStr"/>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vape hardware; e-liquids</t>
        </is>
      </c>
      <c r="AL798" s="5" t="inlineStr"/>
      <c r="AM798" s="5" t="inlineStr">
        <is>
          <t>Vape Shop</t>
        </is>
      </c>
      <c r="AN798" s="5" t="inlineStr"/>
      <c r="AO798" s="5" t="inlineStr">
        <is>
          <t>Independent vape shop on Market Street, Farnworth.</t>
        </is>
      </c>
      <c r="AP798" s="5" t="inlineStr">
        <is>
          <t>Medium</t>
        </is>
      </c>
      <c r="AQ798" s="5" t="inlineStr">
        <is>
          <t>Independent retailer; Core relevant category</t>
        </is>
      </c>
      <c r="AR798" s="5" t="inlineStr">
        <is>
          <t>https://vapemaps.co/england/greater-manchester/farnworth</t>
        </is>
      </c>
      <c r="AS798" s="5" t="inlineStr"/>
      <c r="AT798" s="5" t="inlineStr">
        <is>
          <t>1</t>
        </is>
      </c>
      <c r="AU798" s="5" t="inlineStr">
        <is>
          <t>No</t>
        </is>
      </c>
      <c r="AV798" s="5" t="inlineStr">
        <is>
          <t>No</t>
        </is>
      </c>
      <c r="AW798" s="5" t="inlineStr">
        <is>
          <t>No</t>
        </is>
      </c>
      <c r="AX798" s="5" t="inlineStr">
        <is>
          <t>No</t>
        </is>
      </c>
      <c r="AY798" s="5" t="inlineStr">
        <is>
          <t>Not Found</t>
        </is>
      </c>
      <c r="AZ798" s="5" t="inlineStr">
        <is>
          <t>Not Found</t>
        </is>
      </c>
      <c r="BA798" s="5" t="inlineStr">
        <is>
          <t>2026-09-17</t>
        </is>
      </c>
      <c r="BB798" s="5" t="inlineStr">
        <is>
          <t>Requires Verification</t>
        </is>
      </c>
      <c r="BC798" s="5" t="inlineStr">
        <is>
          <t>Low</t>
        </is>
      </c>
      <c r="BD798" s="5" t="inlineStr"/>
      <c r="BE798" s="5" t="inlineStr">
        <is>
          <t>Business (B2B)</t>
        </is>
      </c>
      <c r="BF798" s="5" t="inlineStr">
        <is>
          <t>Legitimate interest (B2B) - assess per campaign; PECR: corporate subscribers</t>
        </is>
      </c>
      <c r="BG798" s="5" t="inlineStr"/>
      <c r="BH798" s="5" t="inlineStr">
        <is>
          <t>No</t>
        </is>
      </c>
      <c r="BI798" s="5" t="inlineStr">
        <is>
          <t>2026-09-17</t>
        </is>
      </c>
      <c r="BJ798" s="5" t="inlineStr">
        <is>
          <t>New</t>
        </is>
      </c>
      <c r="BK798" s="5" t="inlineStr">
        <is>
          <t>2026-09-17</t>
        </is>
      </c>
      <c r="BL798" s="5" t="inlineStr"/>
      <c r="BM798" s="5" t="inlineStr"/>
      <c r="BN798" s="5" t="inlineStr"/>
      <c r="BO798" s="5" t="inlineStr"/>
      <c r="BP798" s="5" t="inlineStr"/>
      <c r="BQ798" s="5" t="inlineStr"/>
    </row>
    <row r="799">
      <c r="A799" s="10" t="inlineStr">
        <is>
          <t>UK-000681</t>
        </is>
      </c>
      <c r="B799" s="10" t="inlineStr">
        <is>
          <t>UK-000681-01</t>
        </is>
      </c>
      <c r="C799" s="10" t="inlineStr"/>
      <c r="D799" s="10" t="inlineStr">
        <is>
          <t>Vapour Gallery (Stratford)</t>
        </is>
      </c>
      <c r="E799" s="10" t="inlineStr">
        <is>
          <t>Vapour Gallery</t>
        </is>
      </c>
      <c r="F799" s="10" t="inlineStr"/>
      <c r="G799" s="10" t="inlineStr">
        <is>
          <t>Vape Shop</t>
        </is>
      </c>
      <c r="H799" s="10" t="inlineStr">
        <is>
          <t>Vape hardware &amp; e-liquids</t>
        </is>
      </c>
      <c r="I799" s="10" t="inlineStr">
        <is>
          <t>Independent</t>
        </is>
      </c>
      <c r="J799" s="10" t="inlineStr">
        <is>
          <t>1</t>
        </is>
      </c>
      <c r="K799" s="10" t="inlineStr"/>
      <c r="L799" s="10" t="inlineStr"/>
      <c r="M799" s="10" t="inlineStr"/>
      <c r="N799" s="10" t="inlineStr"/>
      <c r="O799" s="10" t="inlineStr">
        <is>
          <t>7-9 West Ham Lane</t>
        </is>
      </c>
      <c r="P799" s="10" t="inlineStr"/>
      <c r="Q799" s="10" t="inlineStr">
        <is>
          <t>Stratford</t>
        </is>
      </c>
      <c r="R799" s="10" t="inlineStr">
        <is>
          <t>Greater London</t>
        </is>
      </c>
      <c r="S799" s="10" t="inlineStr"/>
      <c r="T799" s="10" t="inlineStr">
        <is>
          <t>London</t>
        </is>
      </c>
      <c r="U799" s="10" t="inlineStr">
        <is>
          <t>England</t>
        </is>
      </c>
      <c r="V799" s="10" t="inlineStr"/>
      <c r="W799" s="10" t="inlineStr"/>
      <c r="X799" s="10" t="inlineStr"/>
      <c r="Y799" s="10" t="inlineStr"/>
      <c r="Z799" s="10" t="inlineStr"/>
      <c r="AA799" s="10" t="inlineStr"/>
      <c r="AB799" s="10" t="inlineStr"/>
      <c r="AC799" s="10" t="inlineStr"/>
      <c r="AD799" s="10" t="inlineStr"/>
      <c r="AE799" s="10" t="inlineStr"/>
      <c r="AF799" s="10" t="inlineStr"/>
      <c r="AG799" s="10" t="inlineStr"/>
      <c r="AH799" s="10" t="inlineStr"/>
      <c r="AI799" s="10" t="inlineStr"/>
      <c r="AJ799" s="10" t="inlineStr"/>
      <c r="AK799" s="10" t="inlineStr">
        <is>
          <t>vape hardware; e-liquids</t>
        </is>
      </c>
      <c r="AL799" s="10" t="inlineStr"/>
      <c r="AM799" s="10" t="inlineStr">
        <is>
          <t>Vape Shop</t>
        </is>
      </c>
      <c r="AN799" s="10" t="inlineStr"/>
      <c r="AO799" s="10" t="inlineStr">
        <is>
          <t>Vape shop on West Ham Lane, Stratford, listed via Cylex/Yell retail listings for Stratford. Postcode and phone not in accessible snippet.</t>
        </is>
      </c>
      <c r="AP799" s="10" t="inlineStr">
        <is>
          <t>Medium</t>
        </is>
      </c>
      <c r="AQ799" s="10" t="inlineStr">
        <is>
          <t>Independent retailer; Core relevant category</t>
        </is>
      </c>
      <c r="AR799" s="10" t="inlineStr">
        <is>
          <t>https://london.cylex-uk.co.uk/stratford/retail%20shops.html</t>
        </is>
      </c>
      <c r="AS799" s="10" t="inlineStr"/>
      <c r="AT799" s="10" t="inlineStr">
        <is>
          <t>1</t>
        </is>
      </c>
      <c r="AU799" s="10" t="inlineStr">
        <is>
          <t>No</t>
        </is>
      </c>
      <c r="AV799" s="10" t="inlineStr">
        <is>
          <t>No</t>
        </is>
      </c>
      <c r="AW799" s="10" t="inlineStr">
        <is>
          <t>No</t>
        </is>
      </c>
      <c r="AX799" s="10" t="inlineStr">
        <is>
          <t>No</t>
        </is>
      </c>
      <c r="AY799" s="10" t="inlineStr">
        <is>
          <t>Not Found</t>
        </is>
      </c>
      <c r="AZ799" s="10" t="inlineStr">
        <is>
          <t>Not Found</t>
        </is>
      </c>
      <c r="BA799" s="10" t="inlineStr">
        <is>
          <t>2026-09-17</t>
        </is>
      </c>
      <c r="BB799" s="10" t="inlineStr">
        <is>
          <t>Requires Verification</t>
        </is>
      </c>
      <c r="BC799" s="10" t="inlineStr">
        <is>
          <t>Low</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2026-09-17</t>
        </is>
      </c>
      <c r="BJ799" s="10" t="inlineStr">
        <is>
          <t>New</t>
        </is>
      </c>
      <c r="BK799" s="10" t="inlineStr">
        <is>
          <t>2026-09-17</t>
        </is>
      </c>
      <c r="BL799" s="10" t="inlineStr"/>
      <c r="BM799" s="10" t="inlineStr"/>
      <c r="BN799" s="10" t="inlineStr"/>
      <c r="BO799" s="10" t="inlineStr"/>
      <c r="BP799" s="10" t="inlineStr"/>
      <c r="BQ799" s="10" t="inlineStr"/>
    </row>
    <row r="800">
      <c r="A800" s="5" t="inlineStr">
        <is>
          <t>WY-0184</t>
        </is>
      </c>
      <c r="B800" s="5" t="inlineStr">
        <is>
          <t>WY-0184-01</t>
        </is>
      </c>
      <c r="C800" s="5" t="inlineStr"/>
      <c r="D800" s="5" t="inlineStr">
        <is>
          <t>Vapour Parlour</t>
        </is>
      </c>
      <c r="E800" s="5" t="inlineStr">
        <is>
          <t>Vapour Parlour</t>
        </is>
      </c>
      <c r="F800" s="5" t="inlineStr"/>
      <c r="G800" s="5" t="inlineStr">
        <is>
          <t>Vape Shop</t>
        </is>
      </c>
      <c r="H800" s="5" t="inlineStr">
        <is>
          <t>Vape retailer</t>
        </is>
      </c>
      <c r="I800" s="5" t="inlineStr">
        <is>
          <t>Independent</t>
        </is>
      </c>
      <c r="J800" s="5" t="inlineStr">
        <is>
          <t>1</t>
        </is>
      </c>
      <c r="K800" s="5" t="inlineStr"/>
      <c r="L800" s="5" t="inlineStr"/>
      <c r="M800" s="5" t="inlineStr"/>
      <c r="N800" s="5" t="inlineStr"/>
      <c r="O800" s="5" t="inlineStr">
        <is>
          <t>83 Kirkby Road</t>
        </is>
      </c>
      <c r="P800" s="5" t="inlineStr"/>
      <c r="Q800" s="5" t="inlineStr">
        <is>
          <t>Hemsworth</t>
        </is>
      </c>
      <c r="R800" s="5" t="inlineStr">
        <is>
          <t>West Yorkshire</t>
        </is>
      </c>
      <c r="S800" s="5" t="inlineStr"/>
      <c r="T800" s="5" t="inlineStr">
        <is>
          <t>Yorkshire &amp; Humber</t>
        </is>
      </c>
      <c r="U800" s="5" t="inlineStr">
        <is>
          <t>England</t>
        </is>
      </c>
      <c r="V800" s="5" t="inlineStr"/>
      <c r="W800" s="5" t="inlineStr"/>
      <c r="X800" s="5" t="inlineStr"/>
      <c r="Y800" s="5" t="inlineStr"/>
      <c r="Z800" s="5" t="inlineStr"/>
      <c r="AA800" s="5" t="inlineStr"/>
      <c r="AB800" s="5" t="inlineStr"/>
      <c r="AC800" s="5" t="inlineStr"/>
      <c r="AD800" s="5" t="inlineStr"/>
      <c r="AE800" s="5" t="inlineStr"/>
      <c r="AF800" s="5" t="inlineStr"/>
      <c r="AG800" s="5" t="inlineStr"/>
      <c r="AH800" s="5" t="inlineStr"/>
      <c r="AI800" s="5" t="inlineStr"/>
      <c r="AJ800" s="5" t="inlineStr"/>
      <c r="AK800" s="5" t="inlineStr">
        <is>
          <t>vape hardware; e-liquids</t>
        </is>
      </c>
      <c r="AL800" s="5" t="inlineStr"/>
      <c r="AM800" s="5" t="inlineStr">
        <is>
          <t>Vape Shop</t>
        </is>
      </c>
      <c r="AN800" s="5" t="inlineStr"/>
      <c r="AO800" s="5" t="inlineStr">
        <is>
          <t>eCig Directory lists it at 83 Kirkby Road, Hemsworth, Pontefract. Some directories also associate the Vapour Parlour name with Pontefract town listings.</t>
        </is>
      </c>
      <c r="AP800" s="5" t="inlineStr">
        <is>
          <t>Medium</t>
        </is>
      </c>
      <c r="AQ800" s="5" t="inlineStr">
        <is>
          <t>Independent retailer; Core relevant category</t>
        </is>
      </c>
      <c r="AR800" s="5" t="inlineStr">
        <is>
          <t>https://ecigdirectory.co.uk/vape-shop/listing/vapour-parlour</t>
        </is>
      </c>
      <c r="AS800" s="5" t="inlineStr"/>
      <c r="AT800" s="5" t="inlineStr">
        <is>
          <t>1</t>
        </is>
      </c>
      <c r="AU800" s="5" t="inlineStr">
        <is>
          <t>No</t>
        </is>
      </c>
      <c r="AV800" s="5" t="inlineStr">
        <is>
          <t>No</t>
        </is>
      </c>
      <c r="AW800" s="5" t="inlineStr">
        <is>
          <t>No</t>
        </is>
      </c>
      <c r="AX800" s="5" t="inlineStr">
        <is>
          <t>No</t>
        </is>
      </c>
      <c r="AY800" s="5" t="inlineStr">
        <is>
          <t>Not Found</t>
        </is>
      </c>
      <c r="AZ800" s="5" t="inlineStr">
        <is>
          <t>Not Found</t>
        </is>
      </c>
      <c r="BA800" s="5" t="inlineStr">
        <is>
          <t>2026-09-17</t>
        </is>
      </c>
      <c r="BB800" s="5" t="inlineStr">
        <is>
          <t>Requires Verification</t>
        </is>
      </c>
      <c r="BC800" s="5" t="inlineStr">
        <is>
          <t>Low</t>
        </is>
      </c>
      <c r="BD800" s="5" t="inlineStr"/>
      <c r="BE800" s="5" t="inlineStr">
        <is>
          <t>Business (B2B)</t>
        </is>
      </c>
      <c r="BF800" s="5" t="inlineStr">
        <is>
          <t>Legitimate interest (B2B) - assess per campaign; PECR: corporate subscribers</t>
        </is>
      </c>
      <c r="BG800" s="5" t="inlineStr"/>
      <c r="BH800" s="5" t="inlineStr">
        <is>
          <t>No</t>
        </is>
      </c>
      <c r="BI800" s="5" t="inlineStr">
        <is>
          <t>2026-09-16</t>
        </is>
      </c>
      <c r="BJ800" s="5" t="inlineStr">
        <is>
          <t>New</t>
        </is>
      </c>
      <c r="BK800" s="5" t="inlineStr">
        <is>
          <t>2026-09-17</t>
        </is>
      </c>
      <c r="BL800" s="5" t="inlineStr"/>
      <c r="BM800" s="5" t="inlineStr"/>
      <c r="BN800" s="5" t="inlineStr"/>
      <c r="BO800" s="5" t="inlineStr"/>
      <c r="BP800" s="5" t="inlineStr"/>
      <c r="BQ800" s="5" t="inlineStr"/>
    </row>
    <row r="801">
      <c r="A801" s="10" t="inlineStr">
        <is>
          <t>UK-000294</t>
        </is>
      </c>
      <c r="B801" s="10" t="inlineStr">
        <is>
          <t>UK-000294-01</t>
        </is>
      </c>
      <c r="C801" s="10" t="inlineStr"/>
      <c r="D801" s="10" t="inlineStr">
        <is>
          <t>VapourWave Harrogate</t>
        </is>
      </c>
      <c r="E801" s="10" t="inlineStr">
        <is>
          <t>VapourWave</t>
        </is>
      </c>
      <c r="F801" s="10" t="inlineStr"/>
      <c r="G801" s="10" t="inlineStr">
        <is>
          <t>Vape Shop</t>
        </is>
      </c>
      <c r="H801" s="10" t="inlineStr">
        <is>
          <t>Pod kits, e-juice, coils &amp; shortfills</t>
        </is>
      </c>
      <c r="I801" s="10" t="inlineStr">
        <is>
          <t>Independent</t>
        </is>
      </c>
      <c r="J801" s="10" t="inlineStr">
        <is>
          <t>1</t>
        </is>
      </c>
      <c r="K801" s="10" t="inlineStr">
        <is>
          <t>https://www.vapour-wave.co.uk/</t>
        </is>
      </c>
      <c r="L801" s="10" t="inlineStr">
        <is>
          <t>https://www.facebook.com/VapourWaveHG/</t>
        </is>
      </c>
      <c r="M801" s="10" t="inlineStr"/>
      <c r="N801" s="10" t="inlineStr"/>
      <c r="O801" s="10" t="inlineStr">
        <is>
          <t>25 Regent Parade</t>
        </is>
      </c>
      <c r="P801" s="10" t="inlineStr"/>
      <c r="Q801" s="10" t="inlineStr">
        <is>
          <t>Harrogate</t>
        </is>
      </c>
      <c r="R801" s="10" t="inlineStr">
        <is>
          <t>North Yorkshire</t>
        </is>
      </c>
      <c r="S801" s="10" t="inlineStr">
        <is>
          <t>HG1 5AZ</t>
        </is>
      </c>
      <c r="T801" s="10" t="inlineStr">
        <is>
          <t>Yorkshire &amp; Humber</t>
        </is>
      </c>
      <c r="U801" s="10" t="inlineStr">
        <is>
          <t>England</t>
        </is>
      </c>
      <c r="V801" s="10" t="inlineStr">
        <is>
          <t>01423 601806</t>
        </is>
      </c>
      <c r="W801" s="10" t="inlineStr"/>
      <c r="X801" s="10" t="inlineStr"/>
      <c r="Y801" s="10" t="inlineStr"/>
      <c r="Z801" s="10" t="inlineStr"/>
      <c r="AA801" s="10" t="inlineStr"/>
      <c r="AB801" s="10" t="inlineStr"/>
      <c r="AC801" s="10" t="inlineStr"/>
      <c r="AD801" s="10" t="inlineStr"/>
      <c r="AE801" s="10" t="inlineStr"/>
      <c r="AF801" s="10" t="inlineStr"/>
      <c r="AG801" s="10" t="inlineStr"/>
      <c r="AH801" s="10" t="inlineStr"/>
      <c r="AI801" s="10" t="inlineStr"/>
      <c r="AJ801" s="10" t="inlineStr"/>
      <c r="AK801" s="10" t="inlineStr">
        <is>
          <t>pod kits; e-juice; pods; coils; nic salts; shortfills</t>
        </is>
      </c>
      <c r="AL801" s="10" t="inlineStr"/>
      <c r="AM801" s="10" t="inlineStr">
        <is>
          <t>Vape Shop</t>
        </is>
      </c>
      <c r="AN801" s="10" t="inlineStr"/>
      <c r="AO801" s="10" t="inlineStr">
        <is>
          <t>Independent Harrogate vape shop on Regent Parade. Own website vapour-wave.co.uk (and Square site). Address/phone from own location page and Cylex/Facebook listings via search snippets. Open Mon-Sat 09:00-20:00.</t>
        </is>
      </c>
      <c r="AP801" s="10" t="inlineStr">
        <is>
          <t>Medium</t>
        </is>
      </c>
      <c r="AQ801" s="10" t="inlineStr">
        <is>
          <t>Independent retailer; Core relevant category; Active website; Social presence</t>
        </is>
      </c>
      <c r="AR801" s="10" t="inlineStr">
        <is>
          <t>https://www.vapour-wave.co.uk/location</t>
        </is>
      </c>
      <c r="AS801" s="10" t="inlineStr">
        <is>
          <t>https://www.facebook.com/VapourWaveHG/</t>
        </is>
      </c>
      <c r="AT801" s="10" t="inlineStr">
        <is>
          <t>3</t>
        </is>
      </c>
      <c r="AU801" s="10" t="inlineStr">
        <is>
          <t>No</t>
        </is>
      </c>
      <c r="AV801" s="10" t="inlineStr">
        <is>
          <t>No</t>
        </is>
      </c>
      <c r="AW801" s="10" t="inlineStr">
        <is>
          <t>No</t>
        </is>
      </c>
      <c r="AX801" s="10" t="inlineStr">
        <is>
          <t>No</t>
        </is>
      </c>
      <c r="AY801" s="10" t="inlineStr">
        <is>
          <t>Verified directory</t>
        </is>
      </c>
      <c r="AZ801" s="10" t="inlineStr">
        <is>
          <t>Website Found</t>
        </is>
      </c>
      <c r="BA801" s="10" t="inlineStr">
        <is>
          <t>2026-09-17</t>
        </is>
      </c>
      <c r="BB801" s="10" t="inlineStr">
        <is>
          <t>Requires Verification</t>
        </is>
      </c>
      <c r="BC801" s="10" t="inlineStr">
        <is>
          <t>Medium</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2026-09-16</t>
        </is>
      </c>
      <c r="BJ801" s="10" t="inlineStr">
        <is>
          <t>New</t>
        </is>
      </c>
      <c r="BK801" s="10" t="inlineStr">
        <is>
          <t>2026-09-17</t>
        </is>
      </c>
      <c r="BL801" s="10" t="inlineStr"/>
      <c r="BM801" s="10" t="inlineStr"/>
      <c r="BN801" s="10" t="inlineStr"/>
      <c r="BO801" s="10" t="inlineStr"/>
      <c r="BP801" s="10" t="inlineStr"/>
      <c r="BQ801" s="10" t="inlineStr"/>
    </row>
    <row r="802">
      <c r="A802" s="5" t="inlineStr">
        <is>
          <t>UK-000838</t>
        </is>
      </c>
      <c r="B802" s="5" t="inlineStr">
        <is>
          <t>UK-000838-01</t>
        </is>
      </c>
      <c r="C802" s="5" t="inlineStr"/>
      <c r="D802" s="5" t="inlineStr">
        <is>
          <t>Vapourohm Airdrie</t>
        </is>
      </c>
      <c r="E802" s="5" t="inlineStr">
        <is>
          <t>Vapourohm</t>
        </is>
      </c>
      <c r="F802" s="5" t="inlineStr"/>
      <c r="G802" s="5" t="inlineStr">
        <is>
          <t>Vape Shop</t>
        </is>
      </c>
      <c r="H802" s="5" t="inlineStr">
        <is>
          <t>Vape shop</t>
        </is>
      </c>
      <c r="I802" s="5" t="inlineStr">
        <is>
          <t>Independent</t>
        </is>
      </c>
      <c r="J802" s="5" t="inlineStr">
        <is>
          <t>1</t>
        </is>
      </c>
      <c r="K802" s="5" t="inlineStr"/>
      <c r="L802" s="5" t="inlineStr"/>
      <c r="M802" s="5" t="inlineStr"/>
      <c r="N802" s="5" t="inlineStr"/>
      <c r="O802" s="5" t="inlineStr">
        <is>
          <t>1 Anderson Street</t>
        </is>
      </c>
      <c r="P802" s="5" t="inlineStr"/>
      <c r="Q802" s="5" t="inlineStr">
        <is>
          <t>Airdrie</t>
        </is>
      </c>
      <c r="R802" s="5" t="inlineStr">
        <is>
          <t>North Lanarkshire</t>
        </is>
      </c>
      <c r="S802" s="5" t="inlineStr">
        <is>
          <t>ML6 0AA</t>
        </is>
      </c>
      <c r="T802" s="5" t="inlineStr">
        <is>
          <t>Scotland</t>
        </is>
      </c>
      <c r="U802" s="5" t="inlineStr">
        <is>
          <t>Scotland</t>
        </is>
      </c>
      <c r="V802" s="5" t="inlineStr">
        <is>
          <t>01236 779111</t>
        </is>
      </c>
      <c r="W802" s="5" t="inlineStr"/>
      <c r="X802" s="5" t="inlineStr"/>
      <c r="Y802" s="5" t="inlineStr"/>
      <c r="Z802" s="5" t="inlineStr"/>
      <c r="AA802" s="5" t="inlineStr"/>
      <c r="AB802" s="5" t="inlineStr"/>
      <c r="AC802" s="5" t="inlineStr"/>
      <c r="AD802" s="5" t="inlineStr"/>
      <c r="AE802" s="5" t="inlineStr"/>
      <c r="AF802" s="5" t="inlineStr"/>
      <c r="AG802" s="5" t="inlineStr"/>
      <c r="AH802" s="5" t="inlineStr"/>
      <c r="AI802" s="5" t="inlineStr"/>
      <c r="AJ802" s="5" t="inlineStr"/>
      <c r="AK802" s="5" t="inlineStr">
        <is>
          <t>vape hardware; e-liquids</t>
        </is>
      </c>
      <c r="AL802" s="5" t="inlineStr"/>
      <c r="AM802" s="5" t="inlineStr">
        <is>
          <t>Vape Shop</t>
        </is>
      </c>
      <c r="AN802" s="5" t="inlineStr"/>
      <c r="AO802" s="5" t="inlineStr">
        <is>
          <t>Independent vape shop at 1 Anderson Street, Airdrie. Directories also list a Vaporized at the same address (previous tenant); verify on contact.</t>
        </is>
      </c>
      <c r="AP802" s="5" t="inlineStr">
        <is>
          <t>Medium</t>
        </is>
      </c>
      <c r="AQ802" s="5" t="inlineStr">
        <is>
          <t>Independent retailer; Core relevant category</t>
        </is>
      </c>
      <c r="AR802" s="5" t="inlineStr">
        <is>
          <t>https://coatbridge.cylex-uk.co.uk/company/vpz-26511137.html</t>
        </is>
      </c>
      <c r="AS802" s="5" t="inlineStr">
        <is>
          <t>https://vapemaps.co/scotland/north-lanarkshire/coatbridge</t>
        </is>
      </c>
      <c r="AT802" s="5" t="inlineStr">
        <is>
          <t>2</t>
        </is>
      </c>
      <c r="AU802" s="5" t="inlineStr">
        <is>
          <t>No</t>
        </is>
      </c>
      <c r="AV802" s="5" t="inlineStr">
        <is>
          <t>No</t>
        </is>
      </c>
      <c r="AW802" s="5" t="inlineStr">
        <is>
          <t>No</t>
        </is>
      </c>
      <c r="AX802" s="5" t="inlineStr">
        <is>
          <t>No</t>
        </is>
      </c>
      <c r="AY802" s="5" t="inlineStr">
        <is>
          <t>Verified directory</t>
        </is>
      </c>
      <c r="AZ802" s="5" t="inlineStr">
        <is>
          <t>Not Found</t>
        </is>
      </c>
      <c r="BA802" s="5" t="inlineStr">
        <is>
          <t>2026-09-17</t>
        </is>
      </c>
      <c r="BB802" s="5" t="inlineStr">
        <is>
          <t>Requires Verification</t>
        </is>
      </c>
      <c r="BC802" s="5" t="inlineStr">
        <is>
          <t>Low</t>
        </is>
      </c>
      <c r="BD802" s="5" t="inlineStr"/>
      <c r="BE802" s="5" t="inlineStr">
        <is>
          <t>Business (B2B)</t>
        </is>
      </c>
      <c r="BF802" s="5" t="inlineStr">
        <is>
          <t>Legitimate interest (B2B) - assess per campaign; PECR: corporate subscribers</t>
        </is>
      </c>
      <c r="BG802" s="5" t="inlineStr"/>
      <c r="BH802" s="5" t="inlineStr">
        <is>
          <t>No</t>
        </is>
      </c>
      <c r="BI802" s="5" t="inlineStr">
        <is>
          <t>2026-09-17</t>
        </is>
      </c>
      <c r="BJ802" s="5" t="inlineStr">
        <is>
          <t>New</t>
        </is>
      </c>
      <c r="BK802" s="5" t="inlineStr">
        <is>
          <t>2026-09-17</t>
        </is>
      </c>
      <c r="BL802" s="5" t="inlineStr"/>
      <c r="BM802" s="5" t="inlineStr"/>
      <c r="BN802" s="5" t="inlineStr"/>
      <c r="BO802" s="5" t="inlineStr"/>
      <c r="BP802" s="5" t="inlineStr"/>
      <c r="BQ802" s="5" t="inlineStr"/>
    </row>
    <row r="803">
      <c r="A803" s="10" t="inlineStr">
        <is>
          <t>UK-000839</t>
        </is>
      </c>
      <c r="B803" s="10" t="inlineStr">
        <is>
          <t>UK-000839-01</t>
        </is>
      </c>
      <c r="C803" s="10" t="inlineStr"/>
      <c r="D803" s="10" t="inlineStr">
        <is>
          <t>Vapourz Airdrie</t>
        </is>
      </c>
      <c r="E803" s="10" t="inlineStr">
        <is>
          <t>Vapourz</t>
        </is>
      </c>
      <c r="F803" s="10" t="inlineStr"/>
      <c r="G803" s="10" t="inlineStr">
        <is>
          <t>Vape Shop</t>
        </is>
      </c>
      <c r="H803" s="10" t="inlineStr">
        <is>
          <t>Vape shop</t>
        </is>
      </c>
      <c r="I803" s="10" t="inlineStr">
        <is>
          <t>Independent</t>
        </is>
      </c>
      <c r="J803" s="10" t="inlineStr">
        <is>
          <t>1</t>
        </is>
      </c>
      <c r="K803" s="10" t="inlineStr"/>
      <c r="L803" s="10" t="inlineStr"/>
      <c r="M803" s="10" t="inlineStr"/>
      <c r="N803" s="10" t="inlineStr"/>
      <c r="O803" s="10" t="inlineStr">
        <is>
          <t>72 Graham Street</t>
        </is>
      </c>
      <c r="P803" s="10" t="inlineStr"/>
      <c r="Q803" s="10" t="inlineStr">
        <is>
          <t>Airdrie</t>
        </is>
      </c>
      <c r="R803" s="10" t="inlineStr">
        <is>
          <t>North Lanarkshire</t>
        </is>
      </c>
      <c r="S803" s="10" t="inlineStr">
        <is>
          <t>ML6 6BU</t>
        </is>
      </c>
      <c r="T803" s="10" t="inlineStr">
        <is>
          <t>Scotland</t>
        </is>
      </c>
      <c r="U803" s="10" t="inlineStr">
        <is>
          <t>Scotland</t>
        </is>
      </c>
      <c r="V803" s="10" t="inlineStr">
        <is>
          <t>01236 763833</t>
        </is>
      </c>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vape hardware; e-liquids</t>
        </is>
      </c>
      <c r="AL803" s="10" t="inlineStr"/>
      <c r="AM803" s="10" t="inlineStr">
        <is>
          <t>Vape Shop</t>
        </is>
      </c>
      <c r="AN803" s="10" t="inlineStr"/>
      <c r="AO803" s="10" t="inlineStr">
        <is>
          <t>Independent vape shop at 72 Graham Street, Airdrie. Address and phone from Airdrie vape directory listings.</t>
        </is>
      </c>
      <c r="AP803" s="10" t="inlineStr">
        <is>
          <t>Medium</t>
        </is>
      </c>
      <c r="AQ803" s="10" t="inlineStr">
        <is>
          <t>Independent retailer; Core relevant category</t>
        </is>
      </c>
      <c r="AR803" s="10" t="inlineStr">
        <is>
          <t>https://vapemaps.co/scotland/north-lanarkshire/coatbridge</t>
        </is>
      </c>
      <c r="AS803" s="10" t="inlineStr"/>
      <c r="AT803" s="10" t="inlineStr">
        <is>
          <t>1</t>
        </is>
      </c>
      <c r="AU803" s="10" t="inlineStr">
        <is>
          <t>No</t>
        </is>
      </c>
      <c r="AV803" s="10" t="inlineStr">
        <is>
          <t>No</t>
        </is>
      </c>
      <c r="AW803" s="10" t="inlineStr">
        <is>
          <t>No</t>
        </is>
      </c>
      <c r="AX803" s="10" t="inlineStr">
        <is>
          <t>No</t>
        </is>
      </c>
      <c r="AY803" s="10" t="inlineStr">
        <is>
          <t>Verified directory</t>
        </is>
      </c>
      <c r="AZ803" s="10" t="inlineStr">
        <is>
          <t>Not Found</t>
        </is>
      </c>
      <c r="BA803" s="10" t="inlineStr">
        <is>
          <t>2026-09-17</t>
        </is>
      </c>
      <c r="BB803" s="10" t="inlineStr">
        <is>
          <t>Requires Verification</t>
        </is>
      </c>
      <c r="BC803" s="10" t="inlineStr">
        <is>
          <t>Low</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UK-000840</t>
        </is>
      </c>
      <c r="B804" s="5" t="inlineStr">
        <is>
          <t>UK-000840-01</t>
        </is>
      </c>
      <c r="C804" s="5" t="inlineStr"/>
      <c r="D804" s="5" t="inlineStr">
        <is>
          <t>Vapourzone Waterloo</t>
        </is>
      </c>
      <c r="E804" s="5" t="inlineStr">
        <is>
          <t>Vapourzone</t>
        </is>
      </c>
      <c r="F804" s="5" t="inlineStr"/>
      <c r="G804" s="5" t="inlineStr">
        <is>
          <t>Vape Shop</t>
        </is>
      </c>
      <c r="H804" s="5" t="inlineStr">
        <is>
          <t>Vape shop</t>
        </is>
      </c>
      <c r="I804" s="5" t="inlineStr">
        <is>
          <t>Independent</t>
        </is>
      </c>
      <c r="J804" s="5" t="inlineStr">
        <is>
          <t>1</t>
        </is>
      </c>
      <c r="K804" s="5" t="inlineStr"/>
      <c r="L804" s="5" t="inlineStr"/>
      <c r="M804" s="5" t="inlineStr"/>
      <c r="N804" s="5" t="inlineStr"/>
      <c r="O804" s="5" t="inlineStr">
        <is>
          <t>121 South Road</t>
        </is>
      </c>
      <c r="P804" s="5" t="inlineStr">
        <is>
          <t>Waterloo</t>
        </is>
      </c>
      <c r="Q804" s="5" t="inlineStr">
        <is>
          <t>Liverpool</t>
        </is>
      </c>
      <c r="R804" s="5" t="inlineStr">
        <is>
          <t>Merseyside</t>
        </is>
      </c>
      <c r="S804" s="5" t="inlineStr"/>
      <c r="T804" s="5" t="inlineStr">
        <is>
          <t>North West</t>
        </is>
      </c>
      <c r="U804" s="5" t="inlineStr">
        <is>
          <t>England</t>
        </is>
      </c>
      <c r="V804" s="5" t="inlineStr"/>
      <c r="W804" s="5" t="inlineStr"/>
      <c r="X804" s="5" t="inlineStr"/>
      <c r="Y804" s="5" t="inlineStr"/>
      <c r="Z804" s="5" t="inlineStr"/>
      <c r="AA804" s="5" t="inlineStr"/>
      <c r="AB804" s="5" t="inlineStr"/>
      <c r="AC804" s="5" t="inlineStr"/>
      <c r="AD804" s="5" t="inlineStr"/>
      <c r="AE804" s="5" t="inlineStr"/>
      <c r="AF804" s="5" t="inlineStr"/>
      <c r="AG804" s="5" t="inlineStr"/>
      <c r="AH804" s="5" t="inlineStr"/>
      <c r="AI804" s="5" t="inlineStr"/>
      <c r="AJ804" s="5" t="inlineStr"/>
      <c r="AK804" s="5" t="inlineStr">
        <is>
          <t>vape hardware; e-liquids</t>
        </is>
      </c>
      <c r="AL804" s="5" t="inlineStr"/>
      <c r="AM804" s="5" t="inlineStr">
        <is>
          <t>Vape Shop</t>
        </is>
      </c>
      <c r="AN804" s="5" t="inlineStr"/>
      <c r="AO804" s="5" t="inlineStr">
        <is>
          <t>Independent vape shop on South Road, Waterloo (Sefton), from eCig Directory UK listing. Postcode/phone not confirmed in snippets.</t>
        </is>
      </c>
      <c r="AP804" s="5" t="inlineStr">
        <is>
          <t>Medium</t>
        </is>
      </c>
      <c r="AQ804" s="5" t="inlineStr">
        <is>
          <t>Independent retailer; Core relevant category</t>
        </is>
      </c>
      <c r="AR804" s="5" t="inlineStr">
        <is>
          <t>https://ecigdirectory.co.uk/vape-shop/listing/vapourzone-waterloo</t>
        </is>
      </c>
      <c r="AS804" s="5" t="inlineStr"/>
      <c r="AT804" s="5" t="inlineStr">
        <is>
          <t>1</t>
        </is>
      </c>
      <c r="AU804" s="5" t="inlineStr">
        <is>
          <t>No</t>
        </is>
      </c>
      <c r="AV804" s="5" t="inlineStr">
        <is>
          <t>No</t>
        </is>
      </c>
      <c r="AW804" s="5" t="inlineStr">
        <is>
          <t>No</t>
        </is>
      </c>
      <c r="AX804" s="5" t="inlineStr">
        <is>
          <t>No</t>
        </is>
      </c>
      <c r="AY804" s="5" t="inlineStr">
        <is>
          <t>Not Found</t>
        </is>
      </c>
      <c r="AZ804" s="5" t="inlineStr">
        <is>
          <t>Not Found</t>
        </is>
      </c>
      <c r="BA804" s="5" t="inlineStr">
        <is>
          <t>2026-09-17</t>
        </is>
      </c>
      <c r="BB804" s="5" t="inlineStr">
        <is>
          <t>Requires Verification</t>
        </is>
      </c>
      <c r="BC804" s="5" t="inlineStr">
        <is>
          <t>Low</t>
        </is>
      </c>
      <c r="BD804" s="5" t="inlineStr"/>
      <c r="BE804" s="5" t="inlineStr">
        <is>
          <t>Business (B2B)</t>
        </is>
      </c>
      <c r="BF804" s="5" t="inlineStr">
        <is>
          <t>Legitimate interest (B2B) - assess per campaign; PECR: corporate subscribers</t>
        </is>
      </c>
      <c r="BG804" s="5" t="inlineStr"/>
      <c r="BH804" s="5" t="inlineStr">
        <is>
          <t>No</t>
        </is>
      </c>
      <c r="BI804" s="5" t="inlineStr">
        <is>
          <t>2026-09-17</t>
        </is>
      </c>
      <c r="BJ804" s="5" t="inlineStr">
        <is>
          <t>New</t>
        </is>
      </c>
      <c r="BK804" s="5" t="inlineStr">
        <is>
          <t>2026-09-17</t>
        </is>
      </c>
      <c r="BL804" s="5" t="inlineStr"/>
      <c r="BM804" s="5" t="inlineStr"/>
      <c r="BN804" s="5" t="inlineStr"/>
      <c r="BO804" s="5" t="inlineStr"/>
      <c r="BP804" s="5" t="inlineStr"/>
      <c r="BQ804" s="5" t="inlineStr"/>
    </row>
    <row r="805">
      <c r="A805" s="10" t="inlineStr">
        <is>
          <t>UK-000539</t>
        </is>
      </c>
      <c r="B805" s="10" t="inlineStr">
        <is>
          <t>UK-000539-01</t>
        </is>
      </c>
      <c r="C805" s="10" t="inlineStr"/>
      <c r="D805" s="10" t="inlineStr">
        <is>
          <t>Veg Express Superstore</t>
        </is>
      </c>
      <c r="E805" s="10" t="inlineStr">
        <is>
          <t>Veg Express Superstore</t>
        </is>
      </c>
      <c r="F805" s="10" t="inlineStr">
        <is>
          <t>Veg Express Superstore Ltd</t>
        </is>
      </c>
      <c r="G805" s="10" t="inlineStr">
        <is>
          <t>Independent Supermarket</t>
        </is>
      </c>
      <c r="H805" s="10" t="inlineStr">
        <is>
          <t>Fruit, veg &amp; international grocery</t>
        </is>
      </c>
      <c r="I805" s="10" t="inlineStr">
        <is>
          <t>Independent</t>
        </is>
      </c>
      <c r="J805" s="10" t="inlineStr">
        <is>
          <t>1</t>
        </is>
      </c>
      <c r="K805" s="10" t="inlineStr"/>
      <c r="L805" s="10" t="inlineStr"/>
      <c r="M805" s="10" t="inlineStr"/>
      <c r="N805" s="10" t="inlineStr"/>
      <c r="O805" s="10" t="inlineStr">
        <is>
          <t>3-5 Walsall Road</t>
        </is>
      </c>
      <c r="P805" s="10" t="inlineStr"/>
      <c r="Q805" s="10" t="inlineStr">
        <is>
          <t>Darlaston</t>
        </is>
      </c>
      <c r="R805" s="10" t="inlineStr">
        <is>
          <t>West Midlands</t>
        </is>
      </c>
      <c r="S805" s="10" t="inlineStr">
        <is>
          <t>WS10 9JL</t>
        </is>
      </c>
      <c r="T805" s="10" t="inlineStr">
        <is>
          <t>West Midlands</t>
        </is>
      </c>
      <c r="U805" s="10" t="inlineStr">
        <is>
          <t>England</t>
        </is>
      </c>
      <c r="V805" s="10" t="inlineStr">
        <is>
          <t>0121 526 5433</t>
        </is>
      </c>
      <c r="W805" s="10" t="inlineStr"/>
      <c r="X805" s="10" t="inlineStr"/>
      <c r="Y805" s="10" t="inlineStr"/>
      <c r="Z805" s="10" t="inlineStr"/>
      <c r="AA805" s="10" t="inlineStr"/>
      <c r="AB805" s="10" t="inlineStr"/>
      <c r="AC805" s="10" t="inlineStr"/>
      <c r="AD805" s="10" t="inlineStr"/>
      <c r="AE805" s="10" t="inlineStr">
        <is>
          <t>11219591</t>
        </is>
      </c>
      <c r="AF805" s="10" t="inlineStr"/>
      <c r="AG805" s="10" t="inlineStr">
        <is>
          <t>VEG EXPRESS SUPERSTORE LTD</t>
        </is>
      </c>
      <c r="AH805" s="10" t="inlineStr"/>
      <c r="AI805" s="10" t="inlineStr"/>
      <c r="AJ805" s="10" t="inlineStr"/>
      <c r="AK805" s="10" t="inlineStr">
        <is>
          <t>fruit &amp; veg; international groceries; fresh produce</t>
        </is>
      </c>
      <c r="AL805" s="10" t="inlineStr"/>
      <c r="AM805" s="10" t="inlineStr">
        <is>
          <t>Independent Supermarket</t>
        </is>
      </c>
      <c r="AN805" s="10" t="inlineStr"/>
      <c r="AO805" s="10" t="inlineStr">
        <is>
          <t>Independent fruit/veg and international grocery superstore in Darlaston (Walsall Road).</t>
        </is>
      </c>
      <c r="AP805" s="10" t="inlineStr">
        <is>
          <t>Low</t>
        </is>
      </c>
      <c r="AQ805" s="10" t="inlineStr">
        <is>
          <t>Independent retailer; Relevant category</t>
        </is>
      </c>
      <c r="AR805" s="10" t="inlineStr">
        <is>
          <t>https://find-and-update.company-information.service.gov.uk/company/11219591</t>
        </is>
      </c>
      <c r="AS805" s="10" t="inlineStr">
        <is>
          <t>https://wednesbury-eng.business-dir.co.uk/veg-express-superstore/</t>
        </is>
      </c>
      <c r="AT805" s="10" t="inlineStr">
        <is>
          <t>2</t>
        </is>
      </c>
      <c r="AU805" s="10" t="inlineStr">
        <is>
          <t>No</t>
        </is>
      </c>
      <c r="AV805" s="10" t="inlineStr">
        <is>
          <t>No</t>
        </is>
      </c>
      <c r="AW805" s="10" t="inlineStr">
        <is>
          <t>No</t>
        </is>
      </c>
      <c r="AX805" s="10" t="inlineStr">
        <is>
          <t>Yes</t>
        </is>
      </c>
      <c r="AY805" s="10" t="inlineStr">
        <is>
          <t>Verified directory</t>
        </is>
      </c>
      <c r="AZ805" s="10" t="inlineStr">
        <is>
          <t>Not Found</t>
        </is>
      </c>
      <c r="BA805" s="10" t="inlineStr">
        <is>
          <t>2026-09-17</t>
        </is>
      </c>
      <c r="BB805" s="10" t="inlineStr">
        <is>
          <t>Partially Verified</t>
        </is>
      </c>
      <c r="BC805" s="10" t="inlineStr">
        <is>
          <t>Medium</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2026-09-17</t>
        </is>
      </c>
      <c r="BJ805" s="10" t="inlineStr">
        <is>
          <t>New</t>
        </is>
      </c>
      <c r="BK805" s="10" t="inlineStr">
        <is>
          <t>2026-09-17</t>
        </is>
      </c>
      <c r="BL805" s="10" t="inlineStr"/>
      <c r="BM805" s="10" t="inlineStr"/>
      <c r="BN805" s="10" t="inlineStr"/>
      <c r="BO805" s="10" t="inlineStr"/>
      <c r="BP805" s="10" t="inlineStr"/>
      <c r="BQ805" s="10" t="inlineStr"/>
    </row>
    <row r="806">
      <c r="A806" s="5" t="inlineStr">
        <is>
          <t>UK-000682</t>
        </is>
      </c>
      <c r="B806" s="5" t="inlineStr">
        <is>
          <t>UK-000682-01</t>
        </is>
      </c>
      <c r="C806" s="5" t="inlineStr"/>
      <c r="D806" s="5" t="inlineStr">
        <is>
          <t>Victoria News</t>
        </is>
      </c>
      <c r="E806" s="5" t="inlineStr">
        <is>
          <t>Victoria News</t>
        </is>
      </c>
      <c r="F806" s="5" t="inlineStr"/>
      <c r="G806" s="5" t="inlineStr">
        <is>
          <t>Newsagent</t>
        </is>
      </c>
      <c r="H806" s="5" t="inlineStr">
        <is>
          <t>Newsagent &amp; convenience</t>
        </is>
      </c>
      <c r="I806" s="5" t="inlineStr">
        <is>
          <t>Independent</t>
        </is>
      </c>
      <c r="J806" s="5" t="inlineStr">
        <is>
          <t>1</t>
        </is>
      </c>
      <c r="K806" s="5" t="inlineStr"/>
      <c r="L806" s="5" t="inlineStr"/>
      <c r="M806" s="5" t="inlineStr"/>
      <c r="N806" s="5" t="inlineStr"/>
      <c r="O806" s="5" t="inlineStr">
        <is>
          <t>28 Strutton Ground</t>
        </is>
      </c>
      <c r="P806" s="5" t="inlineStr">
        <is>
          <t>Westminster</t>
        </is>
      </c>
      <c r="Q806" s="5" t="inlineStr">
        <is>
          <t>London</t>
        </is>
      </c>
      <c r="R806" s="5" t="inlineStr">
        <is>
          <t>Greater London</t>
        </is>
      </c>
      <c r="S806" s="5" t="inlineStr">
        <is>
          <t>SW1P 2HR</t>
        </is>
      </c>
      <c r="T806" s="5" t="inlineStr">
        <is>
          <t>London</t>
        </is>
      </c>
      <c r="U806" s="5" t="inlineStr">
        <is>
          <t>England</t>
        </is>
      </c>
      <c r="V806" s="5" t="inlineStr"/>
      <c r="W806" s="5" t="inlineStr"/>
      <c r="X806" s="5" t="inlineStr"/>
      <c r="Y806" s="5" t="inlineStr"/>
      <c r="Z806" s="5" t="inlineStr"/>
      <c r="AA806" s="5" t="inlineStr"/>
      <c r="AB806" s="5" t="inlineStr"/>
      <c r="AC806" s="5" t="inlineStr"/>
      <c r="AD806" s="5" t="inlineStr"/>
      <c r="AE806" s="5" t="inlineStr"/>
      <c r="AF806" s="5" t="inlineStr"/>
      <c r="AG806" s="5" t="inlineStr"/>
      <c r="AH806" s="5" t="inlineStr"/>
      <c r="AI806" s="5" t="inlineStr"/>
      <c r="AJ806" s="5" t="inlineStr"/>
      <c r="AK806" s="5" t="inlineStr">
        <is>
          <t>newspapers; magazines; tobacco; convenience</t>
        </is>
      </c>
      <c r="AL806" s="5" t="inlineStr"/>
      <c r="AM806" s="5" t="inlineStr">
        <is>
          <t>Newsagent</t>
        </is>
      </c>
      <c r="AN806" s="5" t="inlineStr"/>
      <c r="AO806" s="5" t="inlineStr">
        <is>
          <t>Independent newsagent on Strutton Ground, Westminster (near Victoria). Address/postcode from Yell listing snippet; phone not published in accessible snippet.</t>
        </is>
      </c>
      <c r="AP806" s="5" t="inlineStr">
        <is>
          <t>Low</t>
        </is>
      </c>
      <c r="AQ806" s="5" t="inlineStr">
        <is>
          <t>Independent retailer; Relevant category</t>
        </is>
      </c>
      <c r="AR806" s="5" t="inlineStr">
        <is>
          <t>https://www.yell.com/biz/victoria-news-london-467809/</t>
        </is>
      </c>
      <c r="AS806" s="5" t="inlineStr"/>
      <c r="AT806" s="5" t="inlineStr">
        <is>
          <t>1</t>
        </is>
      </c>
      <c r="AU806" s="5" t="inlineStr">
        <is>
          <t>No</t>
        </is>
      </c>
      <c r="AV806" s="5" t="inlineStr">
        <is>
          <t>No</t>
        </is>
      </c>
      <c r="AW806" s="5" t="inlineStr">
        <is>
          <t>No</t>
        </is>
      </c>
      <c r="AX806" s="5" t="inlineStr">
        <is>
          <t>No</t>
        </is>
      </c>
      <c r="AY806" s="5" t="inlineStr">
        <is>
          <t>Not Found</t>
        </is>
      </c>
      <c r="AZ806" s="5" t="inlineStr">
        <is>
          <t>Not Found</t>
        </is>
      </c>
      <c r="BA806" s="5" t="inlineStr">
        <is>
          <t>2026-09-17</t>
        </is>
      </c>
      <c r="BB806" s="5" t="inlineStr">
        <is>
          <t>Requires Verification</t>
        </is>
      </c>
      <c r="BC806" s="5" t="inlineStr">
        <is>
          <t>Low</t>
        </is>
      </c>
      <c r="BD806" s="5" t="inlineStr"/>
      <c r="BE806" s="5" t="inlineStr">
        <is>
          <t>Business (B2B)</t>
        </is>
      </c>
      <c r="BF806" s="5" t="inlineStr">
        <is>
          <t>Legitimate interest (B2B) - assess per campaign; PECR: corporate subscribers</t>
        </is>
      </c>
      <c r="BG806" s="5" t="inlineStr"/>
      <c r="BH806" s="5" t="inlineStr">
        <is>
          <t>No</t>
        </is>
      </c>
      <c r="BI806" s="5" t="inlineStr">
        <is>
          <t>2026-09-17</t>
        </is>
      </c>
      <c r="BJ806" s="5" t="inlineStr">
        <is>
          <t>New</t>
        </is>
      </c>
      <c r="BK806" s="5" t="inlineStr">
        <is>
          <t>2026-09-17</t>
        </is>
      </c>
      <c r="BL806" s="5" t="inlineStr"/>
      <c r="BM806" s="5" t="inlineStr"/>
      <c r="BN806" s="5" t="inlineStr"/>
      <c r="BO806" s="5" t="inlineStr"/>
      <c r="BP806" s="5" t="inlineStr"/>
      <c r="BQ806" s="5" t="inlineStr"/>
    </row>
    <row r="807">
      <c r="A807" s="10" t="inlineStr">
        <is>
          <t>UK-000411</t>
        </is>
      </c>
      <c r="B807" s="10" t="inlineStr">
        <is>
          <t>UK-000411-01</t>
        </is>
      </c>
      <c r="C807" s="10" t="inlineStr"/>
      <c r="D807" s="10" t="inlineStr">
        <is>
          <t>Village &amp; Shisha Lounge (Rusholme)</t>
        </is>
      </c>
      <c r="E807" s="10" t="inlineStr">
        <is>
          <t>Village &amp; Shisha Lounge</t>
        </is>
      </c>
      <c r="F807" s="10" t="inlineStr"/>
      <c r="G807" s="10" t="inlineStr">
        <is>
          <t>Smoke / Shisha Shop</t>
        </is>
      </c>
      <c r="H807" s="10" t="inlineStr">
        <is>
          <t>Shisha lounge / restaurant</t>
        </is>
      </c>
      <c r="I807" s="10" t="inlineStr">
        <is>
          <t>Independent</t>
        </is>
      </c>
      <c r="J807" s="10" t="inlineStr">
        <is>
          <t>1</t>
        </is>
      </c>
      <c r="K807" s="10" t="inlineStr"/>
      <c r="L807" s="10" t="inlineStr"/>
      <c r="M807" s="10" t="inlineStr"/>
      <c r="N807" s="10" t="inlineStr"/>
      <c r="O807" s="10" t="inlineStr">
        <is>
          <t>97 Wilmslow Road</t>
        </is>
      </c>
      <c r="P807" s="10" t="inlineStr">
        <is>
          <t>Rusholme</t>
        </is>
      </c>
      <c r="Q807" s="10" t="inlineStr">
        <is>
          <t>Manchester</t>
        </is>
      </c>
      <c r="R807" s="10" t="inlineStr">
        <is>
          <t>Greater Manchester</t>
        </is>
      </c>
      <c r="S807" s="10" t="inlineStr">
        <is>
          <t>M14 5SU</t>
        </is>
      </c>
      <c r="T807" s="10" t="inlineStr">
        <is>
          <t>North West</t>
        </is>
      </c>
      <c r="U807" s="10" t="inlineStr">
        <is>
          <t>England</t>
        </is>
      </c>
      <c r="V807" s="10" t="inlineStr"/>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shisha/hookah; tobacco molasses; charcoal; restaurant</t>
        </is>
      </c>
      <c r="AL807" s="10" t="inlineStr"/>
      <c r="AM807" s="10" t="inlineStr">
        <is>
          <t>Smoke / Shisha Shop</t>
        </is>
      </c>
      <c r="AN807" s="10" t="inlineStr"/>
      <c r="AO807" s="10" t="inlineStr">
        <is>
          <t>Rusholme (Curry Mile) shisha lounge &amp; restaurant listed on Onionring. Phone not captured.</t>
        </is>
      </c>
      <c r="AP807" s="10" t="inlineStr">
        <is>
          <t>Medium</t>
        </is>
      </c>
      <c r="AQ807" s="10" t="inlineStr">
        <is>
          <t>Independent retailer; Core relevant category</t>
        </is>
      </c>
      <c r="AR807" s="10" t="inlineStr">
        <is>
          <t>https://www.onionring.co.uk/restaurants/8504/Village-&amp;-Shisha-Lounge/</t>
        </is>
      </c>
      <c r="AS807" s="10" t="inlineStr"/>
      <c r="AT807" s="10" t="inlineStr">
        <is>
          <t>1</t>
        </is>
      </c>
      <c r="AU807" s="10" t="inlineStr">
        <is>
          <t>No</t>
        </is>
      </c>
      <c r="AV807" s="10" t="inlineStr">
        <is>
          <t>No</t>
        </is>
      </c>
      <c r="AW807" s="10" t="inlineStr">
        <is>
          <t>No</t>
        </is>
      </c>
      <c r="AX807" s="10" t="inlineStr">
        <is>
          <t>No</t>
        </is>
      </c>
      <c r="AY807" s="10" t="inlineStr">
        <is>
          <t>Not Found</t>
        </is>
      </c>
      <c r="AZ807" s="10" t="inlineStr">
        <is>
          <t>Not Found</t>
        </is>
      </c>
      <c r="BA807" s="10" t="inlineStr">
        <is>
          <t>2026-09-17</t>
        </is>
      </c>
      <c r="BB807" s="10" t="inlineStr">
        <is>
          <t>Requires Verification</t>
        </is>
      </c>
      <c r="BC807" s="10" t="inlineStr">
        <is>
          <t>Low</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UK-000683</t>
        </is>
      </c>
      <c r="B808" s="5" t="inlineStr">
        <is>
          <t>UK-000683-01</t>
        </is>
      </c>
      <c r="C808" s="5" t="inlineStr"/>
      <c r="D808" s="5" t="inlineStr">
        <is>
          <t>Vini Italia</t>
        </is>
      </c>
      <c r="E808" s="5" t="inlineStr">
        <is>
          <t>Vini Italia</t>
        </is>
      </c>
      <c r="F808" s="5" t="inlineStr"/>
      <c r="G808" s="5" t="inlineStr">
        <is>
          <t>Off-Licence</t>
        </is>
      </c>
      <c r="H808" s="5" t="inlineStr">
        <is>
          <t>Italian wine specialist</t>
        </is>
      </c>
      <c r="I808" s="5" t="inlineStr">
        <is>
          <t>Independent</t>
        </is>
      </c>
      <c r="J808" s="5" t="inlineStr">
        <is>
          <t>1</t>
        </is>
      </c>
      <c r="K808" s="5" t="inlineStr"/>
      <c r="L808" s="5" t="inlineStr"/>
      <c r="M808" s="5" t="inlineStr"/>
      <c r="N808" s="5" t="inlineStr"/>
      <c r="O808" s="5" t="inlineStr">
        <is>
          <t>41 London Road</t>
        </is>
      </c>
      <c r="P808" s="5" t="inlineStr"/>
      <c r="Q808" s="5" t="inlineStr">
        <is>
          <t>London</t>
        </is>
      </c>
      <c r="R808" s="5" t="inlineStr">
        <is>
          <t>Greater London</t>
        </is>
      </c>
      <c r="S808" s="5" t="inlineStr">
        <is>
          <t>SW17 9JR</t>
        </is>
      </c>
      <c r="T808" s="5" t="inlineStr">
        <is>
          <t>London</t>
        </is>
      </c>
      <c r="U808" s="5" t="inlineStr">
        <is>
          <t>England</t>
        </is>
      </c>
      <c r="V808" s="5" t="inlineStr">
        <is>
          <t>07825 178842</t>
        </is>
      </c>
      <c r="W808" s="5" t="inlineStr"/>
      <c r="X808" s="5" t="inlineStr"/>
      <c r="Y808" s="5" t="inlineStr"/>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wines; Italian food and drink; deli</t>
        </is>
      </c>
      <c r="AL808" s="5" t="inlineStr"/>
      <c r="AM808" s="5" t="inlineStr">
        <is>
          <t>Off-Licence</t>
        </is>
      </c>
      <c r="AN808" s="5" t="inlineStr"/>
      <c r="AO808" s="5" t="inlineStr">
        <is>
          <t>Independent Italian wine / off-licence in Tooting. Address and phone from Yell directory.</t>
        </is>
      </c>
      <c r="AP808" s="5" t="inlineStr">
        <is>
          <t>Low</t>
        </is>
      </c>
      <c r="AQ808" s="5" t="inlineStr">
        <is>
          <t>Independent retailer; Relevant category</t>
        </is>
      </c>
      <c r="AR808" s="5" t="inlineStr">
        <is>
          <t>https://www.yell.com/s/off+licences-tooting-south+west+london.html</t>
        </is>
      </c>
      <c r="AS808" s="5" t="inlineStr"/>
      <c r="AT808" s="5" t="inlineStr">
        <is>
          <t>1</t>
        </is>
      </c>
      <c r="AU808" s="5" t="inlineStr">
        <is>
          <t>No</t>
        </is>
      </c>
      <c r="AV808" s="5" t="inlineStr">
        <is>
          <t>No</t>
        </is>
      </c>
      <c r="AW808" s="5" t="inlineStr">
        <is>
          <t>No</t>
        </is>
      </c>
      <c r="AX808" s="5" t="inlineStr">
        <is>
          <t>No</t>
        </is>
      </c>
      <c r="AY808" s="5" t="inlineStr">
        <is>
          <t>Verified directory</t>
        </is>
      </c>
      <c r="AZ808" s="5" t="inlineStr">
        <is>
          <t>Not Found</t>
        </is>
      </c>
      <c r="BA808" s="5" t="inlineStr">
        <is>
          <t>2026-09-17</t>
        </is>
      </c>
      <c r="BB808" s="5" t="inlineStr">
        <is>
          <t>Requires Verification</t>
        </is>
      </c>
      <c r="BC808" s="5" t="inlineStr">
        <is>
          <t>Medium</t>
        </is>
      </c>
      <c r="BD808" s="5" t="inlineStr"/>
      <c r="BE808" s="5" t="inlineStr">
        <is>
          <t>Business (B2B)</t>
        </is>
      </c>
      <c r="BF808" s="5" t="inlineStr">
        <is>
          <t>Legitimate interest (B2B) - assess per campaign; PECR: corporate subscribers</t>
        </is>
      </c>
      <c r="BG808" s="5" t="inlineStr"/>
      <c r="BH808" s="5" t="inlineStr">
        <is>
          <t>No</t>
        </is>
      </c>
      <c r="BI808" s="5" t="inlineStr">
        <is>
          <t>2026-09-17</t>
        </is>
      </c>
      <c r="BJ808" s="5" t="inlineStr">
        <is>
          <t>New</t>
        </is>
      </c>
      <c r="BK808" s="5" t="inlineStr">
        <is>
          <t>2026-09-17</t>
        </is>
      </c>
      <c r="BL808" s="5" t="inlineStr"/>
      <c r="BM808" s="5" t="inlineStr"/>
      <c r="BN808" s="5" t="inlineStr"/>
      <c r="BO808" s="5" t="inlineStr"/>
      <c r="BP808" s="5" t="inlineStr"/>
      <c r="BQ808" s="5" t="inlineStr"/>
    </row>
    <row r="809">
      <c r="A809" s="10" t="inlineStr">
        <is>
          <t>UK-000841</t>
        </is>
      </c>
      <c r="B809" s="10" t="inlineStr">
        <is>
          <t>UK-000841-01</t>
        </is>
      </c>
      <c r="C809" s="10" t="inlineStr"/>
      <c r="D809" s="10" t="inlineStr">
        <is>
          <t>Viper Vapes</t>
        </is>
      </c>
      <c r="E809" s="10" t="inlineStr">
        <is>
          <t>Viper Vapes</t>
        </is>
      </c>
      <c r="F809" s="10" t="inlineStr"/>
      <c r="G809" s="10" t="inlineStr">
        <is>
          <t>Vape Shop</t>
        </is>
      </c>
      <c r="H809" s="10" t="inlineStr">
        <is>
          <t>Vape shop</t>
        </is>
      </c>
      <c r="I809" s="10" t="inlineStr">
        <is>
          <t>Independent</t>
        </is>
      </c>
      <c r="J809" s="10" t="inlineStr">
        <is>
          <t>1</t>
        </is>
      </c>
      <c r="K809" s="10" t="inlineStr"/>
      <c r="L809" s="10" t="inlineStr">
        <is>
          <t>https://www.facebook.com/vipervapesWA12/</t>
        </is>
      </c>
      <c r="M809" s="10" t="inlineStr"/>
      <c r="N809" s="10" t="inlineStr"/>
      <c r="O809" s="10" t="inlineStr">
        <is>
          <t>17 Market Street</t>
        </is>
      </c>
      <c r="P809" s="10" t="inlineStr"/>
      <c r="Q809" s="10" t="inlineStr">
        <is>
          <t>Newton-le-Willows</t>
        </is>
      </c>
      <c r="R809" s="10" t="inlineStr">
        <is>
          <t>Merseyside</t>
        </is>
      </c>
      <c r="S809" s="10" t="inlineStr">
        <is>
          <t>WA12 9BQ</t>
        </is>
      </c>
      <c r="T809" s="10" t="inlineStr">
        <is>
          <t>North West</t>
        </is>
      </c>
      <c r="U809" s="10" t="inlineStr">
        <is>
          <t>England</t>
        </is>
      </c>
      <c r="V809" s="10" t="inlineStr">
        <is>
          <t>07526 275877</t>
        </is>
      </c>
      <c r="W809" s="10" t="inlineStr"/>
      <c r="X809" s="10" t="inlineStr"/>
      <c r="Y809" s="10" t="inlineStr"/>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vape hardware; e-liquids</t>
        </is>
      </c>
      <c r="AL809" s="10" t="inlineStr"/>
      <c r="AM809" s="10" t="inlineStr">
        <is>
          <t>Vape Shop</t>
        </is>
      </c>
      <c r="AN809" s="10" t="inlineStr"/>
      <c r="AO809" s="10" t="inlineStr">
        <is>
          <t>Independent vape shop on Market Street, Newton-le-Willows. Address/phone from Yably review page and Cylex listing; Facebook page confirms WA12 location.</t>
        </is>
      </c>
      <c r="AP809" s="10" t="inlineStr">
        <is>
          <t>Medium</t>
        </is>
      </c>
      <c r="AQ809" s="10" t="inlineStr">
        <is>
          <t>Independent retailer; Core relevant category; Social presence</t>
        </is>
      </c>
      <c r="AR809" s="10" t="inlineStr">
        <is>
          <t>https://www.facebook.com/vipervapesWA12/</t>
        </is>
      </c>
      <c r="AS809" s="10" t="inlineStr">
        <is>
          <t>https://yably.co.uk/reviews/newton-le-willows/viper-vapes-17-market-st</t>
        </is>
      </c>
      <c r="AT809" s="10" t="inlineStr">
        <is>
          <t>2</t>
        </is>
      </c>
      <c r="AU809" s="10" t="inlineStr">
        <is>
          <t>No</t>
        </is>
      </c>
      <c r="AV809" s="10" t="inlineStr">
        <is>
          <t>No</t>
        </is>
      </c>
      <c r="AW809" s="10" t="inlineStr">
        <is>
          <t>No</t>
        </is>
      </c>
      <c r="AX809" s="10" t="inlineStr">
        <is>
          <t>No</t>
        </is>
      </c>
      <c r="AY809" s="10" t="inlineStr">
        <is>
          <t>Verified directory</t>
        </is>
      </c>
      <c r="AZ809" s="10" t="inlineStr">
        <is>
          <t>Not Found</t>
        </is>
      </c>
      <c r="BA809" s="10" t="inlineStr">
        <is>
          <t>2026-09-17</t>
        </is>
      </c>
      <c r="BB809" s="10" t="inlineStr">
        <is>
          <t>Requires Verification</t>
        </is>
      </c>
      <c r="BC809" s="10" t="inlineStr">
        <is>
          <t>Medium</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2026-09-17</t>
        </is>
      </c>
      <c r="BJ809" s="10" t="inlineStr">
        <is>
          <t>New</t>
        </is>
      </c>
      <c r="BK809" s="10" t="inlineStr">
        <is>
          <t>2026-09-17</t>
        </is>
      </c>
      <c r="BL809" s="10" t="inlineStr"/>
      <c r="BM809" s="10" t="inlineStr"/>
      <c r="BN809" s="10" t="inlineStr"/>
      <c r="BO809" s="10" t="inlineStr"/>
      <c r="BP809" s="10" t="inlineStr"/>
      <c r="BQ809" s="10" t="inlineStr"/>
    </row>
    <row r="810">
      <c r="A810" s="5" t="inlineStr">
        <is>
          <t>UK-000842</t>
        </is>
      </c>
      <c r="B810" s="5" t="inlineStr">
        <is>
          <t>UK-000842-01</t>
        </is>
      </c>
      <c r="C810" s="5" t="inlineStr"/>
      <c r="D810" s="5" t="inlineStr">
        <is>
          <t>Virgin Vapours</t>
        </is>
      </c>
      <c r="E810" s="5" t="inlineStr">
        <is>
          <t>Virgin Vapours</t>
        </is>
      </c>
      <c r="F810" s="5" t="inlineStr"/>
      <c r="G810" s="5" t="inlineStr">
        <is>
          <t>Vape Shop</t>
        </is>
      </c>
      <c r="H810" s="5" t="inlineStr">
        <is>
          <t>Vape shop</t>
        </is>
      </c>
      <c r="I810" s="5" t="inlineStr">
        <is>
          <t>Independent</t>
        </is>
      </c>
      <c r="J810" s="5" t="inlineStr">
        <is>
          <t>1</t>
        </is>
      </c>
      <c r="K810" s="5" t="inlineStr"/>
      <c r="L810" s="5" t="inlineStr"/>
      <c r="M810" s="5" t="inlineStr"/>
      <c r="N810" s="5" t="inlineStr"/>
      <c r="O810" s="5" t="inlineStr">
        <is>
          <t>12-14 Moor Lane</t>
        </is>
      </c>
      <c r="P810" s="5" t="inlineStr"/>
      <c r="Q810" s="5" t="inlineStr">
        <is>
          <t>Crosby</t>
        </is>
      </c>
      <c r="R810" s="5" t="inlineStr">
        <is>
          <t>Merseyside</t>
        </is>
      </c>
      <c r="S810" s="5" t="inlineStr">
        <is>
          <t>L23 2UE</t>
        </is>
      </c>
      <c r="T810" s="5" t="inlineStr">
        <is>
          <t>North West</t>
        </is>
      </c>
      <c r="U810" s="5" t="inlineStr">
        <is>
          <t>England</t>
        </is>
      </c>
      <c r="V810" s="5" t="inlineStr">
        <is>
          <t>0151 538 3868</t>
        </is>
      </c>
      <c r="W810" s="5" t="inlineStr"/>
      <c r="X810" s="5" t="inlineStr"/>
      <c r="Y810" s="5" t="inlineStr"/>
      <c r="Z810" s="5" t="inlineStr"/>
      <c r="AA810" s="5" t="inlineStr"/>
      <c r="AB810" s="5" t="inlineStr"/>
      <c r="AC810" s="5" t="inlineStr"/>
      <c r="AD810" s="5" t="inlineStr"/>
      <c r="AE810" s="5" t="inlineStr"/>
      <c r="AF810" s="5" t="inlineStr"/>
      <c r="AG810" s="5" t="inlineStr"/>
      <c r="AH810" s="5" t="inlineStr"/>
      <c r="AI810" s="5" t="inlineStr"/>
      <c r="AJ810" s="5" t="inlineStr"/>
      <c r="AK810" s="5" t="inlineStr">
        <is>
          <t>vape hardware; e-liquids</t>
        </is>
      </c>
      <c r="AL810" s="5" t="inlineStr"/>
      <c r="AM810" s="5" t="inlineStr">
        <is>
          <t>Vape Shop</t>
        </is>
      </c>
      <c r="AN810" s="5" t="inlineStr"/>
      <c r="AO810" s="5" t="inlineStr">
        <is>
          <t>Independent vape shop on Moor Lane, Crosby. Address/phone from Cylex Waterloo/Sefton vape shop listing.</t>
        </is>
      </c>
      <c r="AP810" s="5" t="inlineStr">
        <is>
          <t>Medium</t>
        </is>
      </c>
      <c r="AQ810" s="5" t="inlineStr">
        <is>
          <t>Independent retailer; Core relevant category</t>
        </is>
      </c>
      <c r="AR810" s="5" t="inlineStr">
        <is>
          <t>https://waterloo-sefton.cylex-uk.co.uk/company/virgin-vapours-27370213.html</t>
        </is>
      </c>
      <c r="AS810" s="5" t="inlineStr"/>
      <c r="AT810" s="5" t="inlineStr">
        <is>
          <t>1</t>
        </is>
      </c>
      <c r="AU810" s="5" t="inlineStr">
        <is>
          <t>No</t>
        </is>
      </c>
      <c r="AV810" s="5" t="inlineStr">
        <is>
          <t>No</t>
        </is>
      </c>
      <c r="AW810" s="5" t="inlineStr">
        <is>
          <t>No</t>
        </is>
      </c>
      <c r="AX810" s="5" t="inlineStr">
        <is>
          <t>No</t>
        </is>
      </c>
      <c r="AY810" s="5" t="inlineStr">
        <is>
          <t>Verified directory</t>
        </is>
      </c>
      <c r="AZ810" s="5" t="inlineStr">
        <is>
          <t>Not Found</t>
        </is>
      </c>
      <c r="BA810" s="5" t="inlineStr">
        <is>
          <t>2026-09-17</t>
        </is>
      </c>
      <c r="BB810" s="5" t="inlineStr">
        <is>
          <t>Requires Verification</t>
        </is>
      </c>
      <c r="BC810" s="5" t="inlineStr">
        <is>
          <t>Low</t>
        </is>
      </c>
      <c r="BD810" s="5" t="inlineStr"/>
      <c r="BE810" s="5" t="inlineStr">
        <is>
          <t>Business (B2B)</t>
        </is>
      </c>
      <c r="BF810" s="5" t="inlineStr">
        <is>
          <t>Legitimate interest (B2B) - assess per campaign; PECR: corporate subscribers</t>
        </is>
      </c>
      <c r="BG810" s="5" t="inlineStr"/>
      <c r="BH810" s="5" t="inlineStr">
        <is>
          <t>No</t>
        </is>
      </c>
      <c r="BI810" s="5" t="inlineStr">
        <is>
          <t>2026-09-17</t>
        </is>
      </c>
      <c r="BJ810" s="5" t="inlineStr">
        <is>
          <t>New</t>
        </is>
      </c>
      <c r="BK810" s="5" t="inlineStr">
        <is>
          <t>2026-09-17</t>
        </is>
      </c>
      <c r="BL810" s="5" t="inlineStr"/>
      <c r="BM810" s="5" t="inlineStr"/>
      <c r="BN810" s="5" t="inlineStr"/>
      <c r="BO810" s="5" t="inlineStr"/>
      <c r="BP810" s="5" t="inlineStr"/>
      <c r="BQ810" s="5" t="inlineStr"/>
    </row>
    <row r="811">
      <c r="A811" s="10" t="inlineStr">
        <is>
          <t>UK-000412</t>
        </is>
      </c>
      <c r="B811" s="10" t="inlineStr">
        <is>
          <t>UK-000412-01</t>
        </is>
      </c>
      <c r="C811" s="10" t="inlineStr"/>
      <c r="D811" s="10" t="inlineStr">
        <is>
          <t>Vish Off Licence Ltd</t>
        </is>
      </c>
      <c r="E811" s="10" t="inlineStr">
        <is>
          <t>Vish Off Licence</t>
        </is>
      </c>
      <c r="F811" s="10" t="inlineStr">
        <is>
          <t>Vish Off Licence Ltd</t>
        </is>
      </c>
      <c r="G811" s="10" t="inlineStr">
        <is>
          <t>Off-Licence</t>
        </is>
      </c>
      <c r="H811" s="10" t="inlineStr">
        <is>
          <t>Beer, wine and spirits retail</t>
        </is>
      </c>
      <c r="I811" s="10" t="inlineStr">
        <is>
          <t>Independent</t>
        </is>
      </c>
      <c r="J811" s="10" t="inlineStr">
        <is>
          <t>1</t>
        </is>
      </c>
      <c r="K811" s="10" t="inlineStr"/>
      <c r="L811" s="10" t="inlineStr"/>
      <c r="M811" s="10" t="inlineStr"/>
      <c r="N811" s="10" t="inlineStr"/>
      <c r="O811" s="10" t="inlineStr">
        <is>
          <t>71 Settle Street</t>
        </is>
      </c>
      <c r="P811" s="10" t="inlineStr"/>
      <c r="Q811" s="10" t="inlineStr">
        <is>
          <t>Bolton</t>
        </is>
      </c>
      <c r="R811" s="10" t="inlineStr">
        <is>
          <t>Greater Manchester</t>
        </is>
      </c>
      <c r="S811" s="10" t="inlineStr">
        <is>
          <t>BL3 3DJ</t>
        </is>
      </c>
      <c r="T811" s="10" t="inlineStr">
        <is>
          <t>North West</t>
        </is>
      </c>
      <c r="U811" s="10" t="inlineStr">
        <is>
          <t>England</t>
        </is>
      </c>
      <c r="V811" s="10" t="inlineStr">
        <is>
          <t>01204 418222</t>
        </is>
      </c>
      <c r="W811" s="10" t="inlineStr"/>
      <c r="X811" s="10" t="inlineStr"/>
      <c r="Y811" s="10" t="inlineStr"/>
      <c r="Z811" s="10" t="inlineStr"/>
      <c r="AA811" s="10" t="inlineStr"/>
      <c r="AB811" s="10" t="inlineStr"/>
      <c r="AC811" s="10" t="inlineStr"/>
      <c r="AD811" s="10" t="inlineStr"/>
      <c r="AE811" s="10" t="inlineStr"/>
      <c r="AF811" s="10" t="inlineStr"/>
      <c r="AG811" s="10" t="inlineStr">
        <is>
          <t>VISH OFF LICENCE LTD</t>
        </is>
      </c>
      <c r="AH811" s="10" t="inlineStr"/>
      <c r="AI811" s="10" t="inlineStr"/>
      <c r="AJ811" s="10" t="inlineStr"/>
      <c r="AK811" s="10" t="inlineStr">
        <is>
          <t>beer; wine; spirits; convenience</t>
        </is>
      </c>
      <c r="AL811" s="10" t="inlineStr"/>
      <c r="AM811" s="10" t="inlineStr">
        <is>
          <t>Off-Licence</t>
        </is>
      </c>
      <c r="AN811" s="10" t="inlineStr"/>
      <c r="AO811" s="10" t="inlineStr">
        <is>
          <t>Independent off-licence on Settle Street, Bolton (BL3 3DJ). Listed on 192.com as a registered limited company.</t>
        </is>
      </c>
      <c r="AP811" s="10" t="inlineStr">
        <is>
          <t>Low</t>
        </is>
      </c>
      <c r="AQ811" s="10" t="inlineStr">
        <is>
          <t>Independent retailer; Relevant category</t>
        </is>
      </c>
      <c r="AR811" s="10" t="inlineStr">
        <is>
          <t>https://www.192.com/atoz/business/bolton-bl3/beer-wine-and-spirit-retail/vish-off-licence-ltd/5185dd21e8acf4fb82e6698055d1b839486ad42f/comp/</t>
        </is>
      </c>
      <c r="AS811" s="10" t="inlineStr"/>
      <c r="AT811" s="10" t="inlineStr">
        <is>
          <t>1</t>
        </is>
      </c>
      <c r="AU811" s="10" t="inlineStr">
        <is>
          <t>No</t>
        </is>
      </c>
      <c r="AV811" s="10" t="inlineStr">
        <is>
          <t>No</t>
        </is>
      </c>
      <c r="AW811" s="10" t="inlineStr">
        <is>
          <t>No</t>
        </is>
      </c>
      <c r="AX811" s="10" t="inlineStr">
        <is>
          <t>No</t>
        </is>
      </c>
      <c r="AY811" s="10" t="inlineStr">
        <is>
          <t>Verified directory</t>
        </is>
      </c>
      <c r="AZ811" s="10" t="inlineStr">
        <is>
          <t>Not Found</t>
        </is>
      </c>
      <c r="BA811" s="10" t="inlineStr">
        <is>
          <t>2026-09-17</t>
        </is>
      </c>
      <c r="BB811" s="10" t="inlineStr">
        <is>
          <t>Requires Verification</t>
        </is>
      </c>
      <c r="BC811" s="10" t="inlineStr">
        <is>
          <t>Medium</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2026-09-17</t>
        </is>
      </c>
      <c r="BJ811" s="10" t="inlineStr">
        <is>
          <t>New</t>
        </is>
      </c>
      <c r="BK811" s="10" t="inlineStr">
        <is>
          <t>2026-09-17</t>
        </is>
      </c>
      <c r="BL811" s="10" t="inlineStr"/>
      <c r="BM811" s="10" t="inlineStr"/>
      <c r="BN811" s="10" t="inlineStr"/>
      <c r="BO811" s="10" t="inlineStr"/>
      <c r="BP811" s="10" t="inlineStr"/>
      <c r="BQ811" s="10" t="inlineStr"/>
    </row>
    <row r="812">
      <c r="A812" s="5" t="inlineStr">
        <is>
          <t>UK-000540</t>
        </is>
      </c>
      <c r="B812" s="5" t="inlineStr">
        <is>
          <t>UK-000540-01</t>
        </is>
      </c>
      <c r="C812" s="5" t="inlineStr"/>
      <c r="D812" s="5" t="inlineStr">
        <is>
          <t>Vvapour</t>
        </is>
      </c>
      <c r="E812" s="5" t="inlineStr">
        <is>
          <t>Vvapour</t>
        </is>
      </c>
      <c r="F812" s="5" t="inlineStr"/>
      <c r="G812" s="5" t="inlineStr">
        <is>
          <t>Vape Shop</t>
        </is>
      </c>
      <c r="H812" s="5" t="inlineStr">
        <is>
          <t>Vape kits, e-liquids &amp; accessories</t>
        </is>
      </c>
      <c r="I812" s="5" t="inlineStr">
        <is>
          <t>Independent</t>
        </is>
      </c>
      <c r="J812" s="5" t="inlineStr">
        <is>
          <t>1</t>
        </is>
      </c>
      <c r="K812" s="5" t="inlineStr"/>
      <c r="L812" s="5" t="inlineStr"/>
      <c r="M812" s="5" t="inlineStr"/>
      <c r="N812" s="5" t="inlineStr"/>
      <c r="O812" s="5" t="inlineStr">
        <is>
          <t>86a Church Lane</t>
        </is>
      </c>
      <c r="P812" s="5" t="inlineStr"/>
      <c r="Q812" s="5" t="inlineStr">
        <is>
          <t>West Bromwich</t>
        </is>
      </c>
      <c r="R812" s="5" t="inlineStr">
        <is>
          <t>West Midlands</t>
        </is>
      </c>
      <c r="S812" s="5" t="inlineStr">
        <is>
          <t>B71 1AS</t>
        </is>
      </c>
      <c r="T812" s="5" t="inlineStr">
        <is>
          <t>West Midlands</t>
        </is>
      </c>
      <c r="U812" s="5" t="inlineStr">
        <is>
          <t>England</t>
        </is>
      </c>
      <c r="V812" s="5" t="inlineStr">
        <is>
          <t>0800 292 2345</t>
        </is>
      </c>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vape hardware; e-liquids</t>
        </is>
      </c>
      <c r="AL812" s="5" t="inlineStr"/>
      <c r="AM812" s="5" t="inlineStr">
        <is>
          <t>Vape Shop</t>
        </is>
      </c>
      <c r="AN812" s="5" t="inlineStr"/>
      <c r="AO812" s="5" t="inlineStr">
        <is>
          <t>Independent vape shop, Church Lane, West Bromwich. Address and phone from eCig Directory UK listing snippet.</t>
        </is>
      </c>
      <c r="AP812" s="5" t="inlineStr">
        <is>
          <t>Medium</t>
        </is>
      </c>
      <c r="AQ812" s="5" t="inlineStr">
        <is>
          <t>Independent retailer; Core relevant category</t>
        </is>
      </c>
      <c r="AR812" s="5" t="inlineStr">
        <is>
          <t>https://ecigdirectory.co.uk/vape-shop/listing/vvapour</t>
        </is>
      </c>
      <c r="AS812" s="5" t="inlineStr"/>
      <c r="AT812" s="5" t="inlineStr">
        <is>
          <t>1</t>
        </is>
      </c>
      <c r="AU812" s="5" t="inlineStr">
        <is>
          <t>No</t>
        </is>
      </c>
      <c r="AV812" s="5" t="inlineStr">
        <is>
          <t>No</t>
        </is>
      </c>
      <c r="AW812" s="5" t="inlineStr">
        <is>
          <t>No</t>
        </is>
      </c>
      <c r="AX812" s="5" t="inlineStr">
        <is>
          <t>No</t>
        </is>
      </c>
      <c r="AY812" s="5" t="inlineStr">
        <is>
          <t>Verified directory</t>
        </is>
      </c>
      <c r="AZ812" s="5" t="inlineStr">
        <is>
          <t>Not Found</t>
        </is>
      </c>
      <c r="BA812" s="5" t="inlineStr">
        <is>
          <t>2026-09-17</t>
        </is>
      </c>
      <c r="BB812" s="5" t="inlineStr">
        <is>
          <t>Requires Verification</t>
        </is>
      </c>
      <c r="BC812" s="5" t="inlineStr">
        <is>
          <t>Medium</t>
        </is>
      </c>
      <c r="BD812" s="5" t="inlineStr"/>
      <c r="BE812" s="5" t="inlineStr">
        <is>
          <t>Business (B2B)</t>
        </is>
      </c>
      <c r="BF812" s="5" t="inlineStr">
        <is>
          <t>Legitimate interest (B2B) - assess per campaign; PECR: corporate subscribers</t>
        </is>
      </c>
      <c r="BG812" s="5" t="inlineStr"/>
      <c r="BH812" s="5" t="inlineStr">
        <is>
          <t>No</t>
        </is>
      </c>
      <c r="BI812" s="5" t="inlineStr">
        <is>
          <t>2026-09-17</t>
        </is>
      </c>
      <c r="BJ812" s="5" t="inlineStr">
        <is>
          <t>New</t>
        </is>
      </c>
      <c r="BK812" s="5" t="inlineStr">
        <is>
          <t>2026-09-17</t>
        </is>
      </c>
      <c r="BL812" s="5" t="inlineStr"/>
      <c r="BM812" s="5" t="inlineStr"/>
      <c r="BN812" s="5" t="inlineStr"/>
      <c r="BO812" s="5" t="inlineStr"/>
      <c r="BP812" s="5" t="inlineStr"/>
      <c r="BQ812" s="5" t="inlineStr"/>
    </row>
    <row r="813">
      <c r="A813" s="10" t="inlineStr">
        <is>
          <t>UK-000684</t>
        </is>
      </c>
      <c r="B813" s="10" t="inlineStr">
        <is>
          <t>UK-000684-01</t>
        </is>
      </c>
      <c r="C813" s="10" t="inlineStr"/>
      <c r="D813" s="10" t="inlineStr">
        <is>
          <t>Vx-Change</t>
        </is>
      </c>
      <c r="E813" s="10" t="inlineStr">
        <is>
          <t>Vx-Change</t>
        </is>
      </c>
      <c r="F813" s="10" t="inlineStr"/>
      <c r="G813" s="10" t="inlineStr">
        <is>
          <t>Vape Shop</t>
        </is>
      </c>
      <c r="H813" s="10" t="inlineStr"/>
      <c r="I813" s="10" t="inlineStr">
        <is>
          <t>Independent</t>
        </is>
      </c>
      <c r="J813" s="10" t="inlineStr">
        <is>
          <t>1</t>
        </is>
      </c>
      <c r="K813" s="10" t="inlineStr"/>
      <c r="L813" s="10" t="inlineStr"/>
      <c r="M813" s="10" t="inlineStr"/>
      <c r="N813" s="10" t="inlineStr"/>
      <c r="O813" s="10" t="inlineStr">
        <is>
          <t>36 High Street</t>
        </is>
      </c>
      <c r="P813" s="10" t="inlineStr"/>
      <c r="Q813" s="10" t="inlineStr">
        <is>
          <t>Hounslow</t>
        </is>
      </c>
      <c r="R813" s="10" t="inlineStr">
        <is>
          <t>Greater London</t>
        </is>
      </c>
      <c r="S813" s="10" t="inlineStr">
        <is>
          <t>TW3 1NW</t>
        </is>
      </c>
      <c r="T813" s="10" t="inlineStr">
        <is>
          <t>London</t>
        </is>
      </c>
      <c r="U813" s="10" t="inlineStr">
        <is>
          <t>England</t>
        </is>
      </c>
      <c r="V813" s="10" t="inlineStr"/>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vape hardware; e-liquids; accessories</t>
        </is>
      </c>
      <c r="AL813" s="10" t="inlineStr"/>
      <c r="AM813" s="10" t="inlineStr">
        <is>
          <t>Vape Shop</t>
        </is>
      </c>
      <c r="AN813" s="10" t="inlineStr"/>
      <c r="AO813" s="10" t="inlineStr">
        <is>
          <t>Independent vape shop on Hounslow High Street. Address from Yell listing; phone not confirmed.</t>
        </is>
      </c>
      <c r="AP813" s="10" t="inlineStr">
        <is>
          <t>Medium</t>
        </is>
      </c>
      <c r="AQ813" s="10" t="inlineStr">
        <is>
          <t>Independent retailer; Core relevant category</t>
        </is>
      </c>
      <c r="AR813" s="10" t="inlineStr">
        <is>
          <t>https://www.yell.com/biz/vx-change-hounslow-10141765/</t>
        </is>
      </c>
      <c r="AS813" s="10" t="inlineStr"/>
      <c r="AT813" s="10" t="inlineStr">
        <is>
          <t>1</t>
        </is>
      </c>
      <c r="AU813" s="10" t="inlineStr">
        <is>
          <t>No</t>
        </is>
      </c>
      <c r="AV813" s="10" t="inlineStr">
        <is>
          <t>No</t>
        </is>
      </c>
      <c r="AW813" s="10" t="inlineStr">
        <is>
          <t>No</t>
        </is>
      </c>
      <c r="AX813" s="10" t="inlineStr">
        <is>
          <t>No</t>
        </is>
      </c>
      <c r="AY813" s="10" t="inlineStr">
        <is>
          <t>Not Found</t>
        </is>
      </c>
      <c r="AZ813" s="10" t="inlineStr">
        <is>
          <t>Not Found</t>
        </is>
      </c>
      <c r="BA813" s="10" t="inlineStr">
        <is>
          <t>2026-09-17</t>
        </is>
      </c>
      <c r="BB813" s="10" t="inlineStr">
        <is>
          <t>Requires Verification</t>
        </is>
      </c>
      <c r="BC813" s="10" t="inlineStr">
        <is>
          <t>Low</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2026-09-17</t>
        </is>
      </c>
      <c r="BJ813" s="10" t="inlineStr">
        <is>
          <t>New</t>
        </is>
      </c>
      <c r="BK813" s="10" t="inlineStr">
        <is>
          <t>2026-09-17</t>
        </is>
      </c>
      <c r="BL813" s="10" t="inlineStr"/>
      <c r="BM813" s="10" t="inlineStr"/>
      <c r="BN813" s="10" t="inlineStr"/>
      <c r="BO813" s="10" t="inlineStr"/>
      <c r="BP813" s="10" t="inlineStr"/>
      <c r="BQ813" s="10" t="inlineStr"/>
    </row>
    <row r="814">
      <c r="A814" s="5" t="inlineStr">
        <is>
          <t>UK-000685</t>
        </is>
      </c>
      <c r="B814" s="5" t="inlineStr">
        <is>
          <t>UK-000685-01</t>
        </is>
      </c>
      <c r="C814" s="5" t="inlineStr"/>
      <c r="D814" s="5" t="inlineStr">
        <is>
          <t>W2 Vapes Central London</t>
        </is>
      </c>
      <c r="E814" s="5" t="inlineStr">
        <is>
          <t>W2 Vapes</t>
        </is>
      </c>
      <c r="F814" s="5" t="inlineStr"/>
      <c r="G814" s="5" t="inlineStr">
        <is>
          <t>Vape Shop</t>
        </is>
      </c>
      <c r="H814" s="5" t="inlineStr">
        <is>
          <t>Vape hardware, e-liquids &amp; disposables</t>
        </is>
      </c>
      <c r="I814" s="5" t="inlineStr">
        <is>
          <t>Independent</t>
        </is>
      </c>
      <c r="J814" s="5" t="inlineStr">
        <is>
          <t>1</t>
        </is>
      </c>
      <c r="K814" s="5" t="inlineStr"/>
      <c r="L814" s="5" t="inlineStr"/>
      <c r="M814" s="5" t="inlineStr"/>
      <c r="N814" s="5" t="inlineStr"/>
      <c r="O814" s="5" t="inlineStr">
        <is>
          <t>198 Edgware Road</t>
        </is>
      </c>
      <c r="P814" s="5" t="inlineStr"/>
      <c r="Q814" s="5" t="inlineStr">
        <is>
          <t>London</t>
        </is>
      </c>
      <c r="R814" s="5" t="inlineStr">
        <is>
          <t>Greater London</t>
        </is>
      </c>
      <c r="S814" s="5" t="inlineStr">
        <is>
          <t>W2 2DS</t>
        </is>
      </c>
      <c r="T814" s="5" t="inlineStr">
        <is>
          <t>London</t>
        </is>
      </c>
      <c r="U814" s="5" t="inlineStr">
        <is>
          <t>England</t>
        </is>
      </c>
      <c r="V814" s="5" t="inlineStr">
        <is>
          <t>07438 556033</t>
        </is>
      </c>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vape hardware; e-liquids; disposables</t>
        </is>
      </c>
      <c r="AL814" s="5" t="inlineStr"/>
      <c r="AM814" s="5" t="inlineStr">
        <is>
          <t>Vape Shop</t>
        </is>
      </c>
      <c r="AN814" s="5" t="inlineStr"/>
      <c r="AO814" s="5" t="inlineStr">
        <is>
          <t>Independent vape shop on the Edgware Road strip (W2). Address/postcode/phone from Yell tobacconists W2 listing snippet.</t>
        </is>
      </c>
      <c r="AP814" s="5" t="inlineStr">
        <is>
          <t>Medium</t>
        </is>
      </c>
      <c r="AQ814" s="5" t="inlineStr">
        <is>
          <t>Independent retailer; Core relevant category</t>
        </is>
      </c>
      <c r="AR814" s="5" t="inlineStr">
        <is>
          <t>https://www.yell.com/biz/w2-vapes-central-london-london-9670919/</t>
        </is>
      </c>
      <c r="AS814" s="5" t="inlineStr"/>
      <c r="AT814" s="5" t="inlineStr">
        <is>
          <t>1</t>
        </is>
      </c>
      <c r="AU814" s="5" t="inlineStr">
        <is>
          <t>No</t>
        </is>
      </c>
      <c r="AV814" s="5" t="inlineStr">
        <is>
          <t>No</t>
        </is>
      </c>
      <c r="AW814" s="5" t="inlineStr">
        <is>
          <t>No</t>
        </is>
      </c>
      <c r="AX814" s="5" t="inlineStr">
        <is>
          <t>No</t>
        </is>
      </c>
      <c r="AY814" s="5" t="inlineStr">
        <is>
          <t>Verified directory</t>
        </is>
      </c>
      <c r="AZ814" s="5" t="inlineStr">
        <is>
          <t>Not Found</t>
        </is>
      </c>
      <c r="BA814" s="5" t="inlineStr">
        <is>
          <t>2026-09-17</t>
        </is>
      </c>
      <c r="BB814" s="5" t="inlineStr">
        <is>
          <t>Requires Verification</t>
        </is>
      </c>
      <c r="BC814" s="5" t="inlineStr">
        <is>
          <t>Medium</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WY-0185</t>
        </is>
      </c>
      <c r="B815" s="10" t="inlineStr">
        <is>
          <t>WY-0185-01</t>
        </is>
      </c>
      <c r="C815" s="10" t="inlineStr"/>
      <c r="D815" s="10" t="inlineStr">
        <is>
          <t>Wakefield Road Service Station (Featherstone)</t>
        </is>
      </c>
      <c r="E815" s="10" t="inlineStr">
        <is>
          <t>Wakefield Road Service Station</t>
        </is>
      </c>
      <c r="F815" s="10" t="inlineStr"/>
      <c r="G815" s="10" t="inlineStr">
        <is>
          <t>Petrol Station / Forecourt</t>
        </is>
      </c>
      <c r="H815" s="10" t="inlineStr">
        <is>
          <t>Forecourt with convenience store</t>
        </is>
      </c>
      <c r="I815" s="10" t="inlineStr">
        <is>
          <t>Multi-Site Independent</t>
        </is>
      </c>
      <c r="J815" s="10" t="inlineStr">
        <is>
          <t>3</t>
        </is>
      </c>
      <c r="K815" s="10" t="inlineStr"/>
      <c r="L815" s="10" t="inlineStr"/>
      <c r="M815" s="10" t="inlineStr"/>
      <c r="N815" s="10" t="inlineStr"/>
      <c r="O815" s="10" t="inlineStr">
        <is>
          <t>Wakefield Road</t>
        </is>
      </c>
      <c r="P815" s="10" t="inlineStr"/>
      <c r="Q815" s="10" t="inlineStr">
        <is>
          <t>Featherstone</t>
        </is>
      </c>
      <c r="R815" s="10" t="inlineStr">
        <is>
          <t>West Yorkshire</t>
        </is>
      </c>
      <c r="S815" s="10" t="inlineStr"/>
      <c r="T815" s="10" t="inlineStr">
        <is>
          <t>Yorkshire &amp; Humber</t>
        </is>
      </c>
      <c r="U815" s="10" t="inlineStr">
        <is>
          <t>England</t>
        </is>
      </c>
      <c r="V815" s="10" t="inlineStr"/>
      <c r="W815" s="10" t="inlineStr"/>
      <c r="X815" s="10" t="inlineStr"/>
      <c r="Y815" s="10" t="inlineStr"/>
      <c r="Z815" s="10" t="inlineStr"/>
      <c r="AA815" s="10" t="inlineStr"/>
      <c r="AB815" s="10" t="inlineStr">
        <is>
          <t>Saqib Javaid; Zeeshan Ali</t>
        </is>
      </c>
      <c r="AC815" s="10" t="inlineStr">
        <is>
          <t>Owners / Operators</t>
        </is>
      </c>
      <c r="AD815" s="10" t="inlineStr">
        <is>
          <t>https://forecourttrader.co.uk/latest-news/forecourt-operator-duo-add-wakefield-road-service-station-to-portfolio/708047.article</t>
        </is>
      </c>
      <c r="AE815" s="10" t="inlineStr"/>
      <c r="AF815" s="10" t="inlineStr"/>
      <c r="AG815" s="10" t="inlineStr"/>
      <c r="AH815" s="10" t="inlineStr"/>
      <c r="AI815" s="10" t="inlineStr"/>
      <c r="AJ815" s="10" t="inlineStr"/>
      <c r="AK815" s="10" t="inlineStr">
        <is>
          <t>fuel; convenience retail</t>
        </is>
      </c>
      <c r="AL815" s="10" t="inlineStr"/>
      <c r="AM815" s="10" t="inlineStr">
        <is>
          <t>Petrol Station / Forecourt</t>
        </is>
      </c>
      <c r="AN815" s="10" t="inlineStr"/>
      <c r="AO815"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815" s="10" t="inlineStr">
        <is>
          <t>Medium</t>
        </is>
      </c>
      <c r="AQ815" s="10" t="inlineStr">
        <is>
          <t>Multi-site retailer; Independent retailer; Relevant category</t>
        </is>
      </c>
      <c r="AR815" s="10" t="inlineStr">
        <is>
          <t>https://forecourttrader.co.uk/latest-news/forecourt-operator-duo-add-wakefield-road-service-station-to-portfolio/708047.article</t>
        </is>
      </c>
      <c r="AS815" s="10" t="inlineStr"/>
      <c r="AT815" s="10" t="inlineStr">
        <is>
          <t>1</t>
        </is>
      </c>
      <c r="AU815" s="10" t="inlineStr">
        <is>
          <t>No</t>
        </is>
      </c>
      <c r="AV815" s="10" t="inlineStr">
        <is>
          <t>No</t>
        </is>
      </c>
      <c r="AW815" s="10" t="inlineStr">
        <is>
          <t>No</t>
        </is>
      </c>
      <c r="AX815" s="10" t="inlineStr">
        <is>
          <t>No</t>
        </is>
      </c>
      <c r="AY815" s="10" t="inlineStr">
        <is>
          <t>Not Found</t>
        </is>
      </c>
      <c r="AZ815" s="10" t="inlineStr">
        <is>
          <t>Not Found</t>
        </is>
      </c>
      <c r="BA815" s="10" t="inlineStr">
        <is>
          <t>2026-09-17</t>
        </is>
      </c>
      <c r="BB815" s="10" t="inlineStr">
        <is>
          <t>Requires Verification</t>
        </is>
      </c>
      <c r="BC815" s="10" t="inlineStr">
        <is>
          <t>Low</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2026-09-16</t>
        </is>
      </c>
      <c r="BJ815" s="10" t="inlineStr">
        <is>
          <t>New</t>
        </is>
      </c>
      <c r="BK815" s="10" t="inlineStr">
        <is>
          <t>2026-09-17</t>
        </is>
      </c>
      <c r="BL815" s="10" t="inlineStr"/>
      <c r="BM815" s="10" t="inlineStr"/>
      <c r="BN815" s="10" t="inlineStr"/>
      <c r="BO815" s="10" t="inlineStr"/>
      <c r="BP815" s="10" t="inlineStr"/>
      <c r="BQ815" s="10" t="inlineStr"/>
    </row>
    <row r="816">
      <c r="A816" s="5" t="inlineStr">
        <is>
          <t>UK-000295</t>
        </is>
      </c>
      <c r="B816" s="5" t="inlineStr">
        <is>
          <t>UK-000295-01</t>
        </is>
      </c>
      <c r="C816" s="5" t="inlineStr"/>
      <c r="D816" s="5" t="inlineStr">
        <is>
          <t>Walkley Beer Company</t>
        </is>
      </c>
      <c r="E816" s="5" t="inlineStr">
        <is>
          <t>Walkley Beer Co</t>
        </is>
      </c>
      <c r="F816" s="5" t="inlineStr"/>
      <c r="G816" s="5" t="inlineStr">
        <is>
          <t>Off-Licence</t>
        </is>
      </c>
      <c r="H816" s="5" t="inlineStr">
        <is>
          <t>Craft beer bottle shop / micropub</t>
        </is>
      </c>
      <c r="I816" s="5" t="inlineStr">
        <is>
          <t>Independent</t>
        </is>
      </c>
      <c r="J816" s="5" t="inlineStr">
        <is>
          <t>1</t>
        </is>
      </c>
      <c r="K816" s="5" t="inlineStr"/>
      <c r="L816" s="5" t="inlineStr"/>
      <c r="M816" s="5" t="inlineStr"/>
      <c r="N816" s="5" t="inlineStr"/>
      <c r="O816" s="5" t="inlineStr"/>
      <c r="P816" s="5" t="inlineStr">
        <is>
          <t>Walkley</t>
        </is>
      </c>
      <c r="Q816" s="5" t="inlineStr">
        <is>
          <t>Sheffield</t>
        </is>
      </c>
      <c r="R816" s="5" t="inlineStr">
        <is>
          <t>South Yorkshire</t>
        </is>
      </c>
      <c r="S816" s="5" t="inlineStr"/>
      <c r="T816" s="5" t="inlineStr">
        <is>
          <t>Yorkshire &amp; Humber</t>
        </is>
      </c>
      <c r="U816" s="5" t="inlineStr">
        <is>
          <t>England</t>
        </is>
      </c>
      <c r="V816" s="5" t="inlineStr"/>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craft beer; local ales; takeaway beer</t>
        </is>
      </c>
      <c r="AL816" s="5" t="inlineStr"/>
      <c r="AM816" s="5" t="inlineStr">
        <is>
          <t>Off-Licence</t>
        </is>
      </c>
      <c r="AN816" s="5" t="inlineStr"/>
      <c r="AO816" s="5" t="inlineStr">
        <is>
          <t>Independent craft beer bottle shop/micropub in Walkley, Sheffield. Referenced in Sheffield off-licence search results; street address/postcode not captured.</t>
        </is>
      </c>
      <c r="AP816" s="5" t="inlineStr">
        <is>
          <t>Low</t>
        </is>
      </c>
      <c r="AQ816" s="5" t="inlineStr">
        <is>
          <t>Independent retailer; Relevant category</t>
        </is>
      </c>
      <c r="AR816" s="5" t="inlineStr">
        <is>
          <t>https://www.yorkshire.com/sheffield/shopping/off-license</t>
        </is>
      </c>
      <c r="AS816" s="5" t="inlineStr"/>
      <c r="AT816" s="5" t="inlineStr">
        <is>
          <t>1</t>
        </is>
      </c>
      <c r="AU816" s="5" t="inlineStr">
        <is>
          <t>No</t>
        </is>
      </c>
      <c r="AV816" s="5" t="inlineStr">
        <is>
          <t>No</t>
        </is>
      </c>
      <c r="AW816" s="5" t="inlineStr">
        <is>
          <t>No</t>
        </is>
      </c>
      <c r="AX816" s="5" t="inlineStr">
        <is>
          <t>No</t>
        </is>
      </c>
      <c r="AY816" s="5" t="inlineStr">
        <is>
          <t>Not Found</t>
        </is>
      </c>
      <c r="AZ816" s="5" t="inlineStr">
        <is>
          <t>Not Found</t>
        </is>
      </c>
      <c r="BA816" s="5" t="inlineStr">
        <is>
          <t>2026-09-17</t>
        </is>
      </c>
      <c r="BB816" s="5" t="inlineStr">
        <is>
          <t>Requires Verification</t>
        </is>
      </c>
      <c r="BC816" s="5" t="inlineStr">
        <is>
          <t>Low</t>
        </is>
      </c>
      <c r="BD816" s="5" t="inlineStr"/>
      <c r="BE816" s="5" t="inlineStr">
        <is>
          <t>Business (B2B)</t>
        </is>
      </c>
      <c r="BF816" s="5" t="inlineStr">
        <is>
          <t>Legitimate interest (B2B) - assess per campaign; PECR: corporate subscribers</t>
        </is>
      </c>
      <c r="BG816" s="5" t="inlineStr"/>
      <c r="BH816" s="5" t="inlineStr">
        <is>
          <t>No</t>
        </is>
      </c>
      <c r="BI816" s="5" t="inlineStr">
        <is>
          <t>2026-09-16</t>
        </is>
      </c>
      <c r="BJ816" s="5" t="inlineStr">
        <is>
          <t>New</t>
        </is>
      </c>
      <c r="BK816" s="5" t="inlineStr">
        <is>
          <t>2026-09-17</t>
        </is>
      </c>
      <c r="BL816" s="5" t="inlineStr"/>
      <c r="BM816" s="5" t="inlineStr"/>
      <c r="BN816" s="5" t="inlineStr"/>
      <c r="BO816" s="5" t="inlineStr"/>
      <c r="BP816" s="5" t="inlineStr"/>
      <c r="BQ816" s="5" t="inlineStr"/>
    </row>
    <row r="817">
      <c r="A817" s="10" t="inlineStr">
        <is>
          <t>UK-000843</t>
        </is>
      </c>
      <c r="B817" s="10" t="inlineStr">
        <is>
          <t>UK-000843-01</t>
        </is>
      </c>
      <c r="C817" s="10" t="inlineStr"/>
      <c r="D817" s="10" t="inlineStr">
        <is>
          <t>Wallasey Off Licence and Convenience</t>
        </is>
      </c>
      <c r="E817" s="10" t="inlineStr">
        <is>
          <t>Wallasey Off Licence and Convenience</t>
        </is>
      </c>
      <c r="F817" s="10" t="inlineStr"/>
      <c r="G817" s="10" t="inlineStr">
        <is>
          <t>Off-Licence</t>
        </is>
      </c>
      <c r="H817" s="10" t="inlineStr">
        <is>
          <t>Off-licence / convenience store</t>
        </is>
      </c>
      <c r="I817" s="10" t="inlineStr">
        <is>
          <t>Independent</t>
        </is>
      </c>
      <c r="J817" s="10" t="inlineStr">
        <is>
          <t>1</t>
        </is>
      </c>
      <c r="K817" s="10" t="inlineStr"/>
      <c r="L817" s="10" t="inlineStr"/>
      <c r="M817" s="10" t="inlineStr"/>
      <c r="N817" s="10" t="inlineStr"/>
      <c r="O817" s="10" t="inlineStr">
        <is>
          <t>22 King Street</t>
        </is>
      </c>
      <c r="P817" s="10" t="inlineStr">
        <is>
          <t>Egremont</t>
        </is>
      </c>
      <c r="Q817" s="10" t="inlineStr">
        <is>
          <t>Wallasey</t>
        </is>
      </c>
      <c r="R817" s="10" t="inlineStr">
        <is>
          <t>Merseyside</t>
        </is>
      </c>
      <c r="S817" s="10" t="inlineStr">
        <is>
          <t>CH44 8AU</t>
        </is>
      </c>
      <c r="T817" s="10" t="inlineStr">
        <is>
          <t>North West</t>
        </is>
      </c>
      <c r="U817" s="10" t="inlineStr">
        <is>
          <t>England</t>
        </is>
      </c>
      <c r="V817" s="10" t="inlineStr"/>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alcohol; groceries; tobacco</t>
        </is>
      </c>
      <c r="AL817" s="10" t="inlineStr"/>
      <c r="AM817" s="10" t="inlineStr">
        <is>
          <t>Off-Licence</t>
        </is>
      </c>
      <c r="AN817" s="10" t="inlineStr"/>
      <c r="AO817" s="10" t="inlineStr">
        <is>
          <t>Independent off-licence and convenience store in Egremont, Wallasey, listed on the FSA food hygiene ratings register. Street number/postcode from directory snippet, not cross-checked; treat address as provisional.</t>
        </is>
      </c>
      <c r="AP817" s="10" t="inlineStr">
        <is>
          <t>Low</t>
        </is>
      </c>
      <c r="AQ817" s="10" t="inlineStr">
        <is>
          <t>Independent retailer; Relevant category</t>
        </is>
      </c>
      <c r="AR817" s="10" t="inlineStr">
        <is>
          <t>https://ratings.food.gov.uk/business/777455</t>
        </is>
      </c>
      <c r="AS817" s="10" t="inlineStr"/>
      <c r="AT817" s="10" t="inlineStr">
        <is>
          <t>1</t>
        </is>
      </c>
      <c r="AU817" s="10" t="inlineStr">
        <is>
          <t>No</t>
        </is>
      </c>
      <c r="AV817" s="10" t="inlineStr">
        <is>
          <t>No</t>
        </is>
      </c>
      <c r="AW817" s="10" t="inlineStr">
        <is>
          <t>No</t>
        </is>
      </c>
      <c r="AX817" s="10" t="inlineStr">
        <is>
          <t>No</t>
        </is>
      </c>
      <c r="AY817" s="10" t="inlineStr">
        <is>
          <t>Not Found</t>
        </is>
      </c>
      <c r="AZ817" s="10" t="inlineStr">
        <is>
          <t>Not Found</t>
        </is>
      </c>
      <c r="BA817" s="10" t="inlineStr">
        <is>
          <t>2026-09-17</t>
        </is>
      </c>
      <c r="BB817" s="10" t="inlineStr">
        <is>
          <t>Requires Verification</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2026-09-17</t>
        </is>
      </c>
      <c r="BJ817" s="10" t="inlineStr">
        <is>
          <t>New</t>
        </is>
      </c>
      <c r="BK817" s="10" t="inlineStr">
        <is>
          <t>2026-09-17</t>
        </is>
      </c>
      <c r="BL817" s="10" t="inlineStr"/>
      <c r="BM817" s="10" t="inlineStr"/>
      <c r="BN817" s="10" t="inlineStr"/>
      <c r="BO817" s="10" t="inlineStr"/>
      <c r="BP817" s="10" t="inlineStr"/>
      <c r="BQ817" s="10" t="inlineStr"/>
    </row>
    <row r="818">
      <c r="A818" s="5" t="inlineStr">
        <is>
          <t>UK-000844</t>
        </is>
      </c>
      <c r="B818" s="5" t="inlineStr">
        <is>
          <t>UK-000844-01</t>
        </is>
      </c>
      <c r="C818" s="5" t="inlineStr"/>
      <c r="D818" s="5" t="inlineStr">
        <is>
          <t>Watan Food Store</t>
        </is>
      </c>
      <c r="E818" s="5" t="inlineStr">
        <is>
          <t>Watan Food Store</t>
        </is>
      </c>
      <c r="F818" s="5" t="inlineStr">
        <is>
          <t>Watan Foods Limited</t>
        </is>
      </c>
      <c r="G818" s="5" t="inlineStr">
        <is>
          <t>Independent Supermarket</t>
        </is>
      </c>
      <c r="H818" s="5" t="inlineStr">
        <is>
          <t>World food / halal grocery supermarket</t>
        </is>
      </c>
      <c r="I818" s="5" t="inlineStr">
        <is>
          <t>Independent</t>
        </is>
      </c>
      <c r="J818" s="5" t="inlineStr">
        <is>
          <t>1</t>
        </is>
      </c>
      <c r="K818" s="5" t="inlineStr"/>
      <c r="L818" s="5" t="inlineStr"/>
      <c r="M818" s="5" t="inlineStr"/>
      <c r="N818" s="5" t="inlineStr"/>
      <c r="O818" s="5" t="inlineStr">
        <is>
          <t>206-212 Allison Street</t>
        </is>
      </c>
      <c r="P818" s="5" t="inlineStr">
        <is>
          <t>Govanhill</t>
        </is>
      </c>
      <c r="Q818" s="5" t="inlineStr">
        <is>
          <t>Glasgow</t>
        </is>
      </c>
      <c r="R818" s="5" t="inlineStr">
        <is>
          <t>Glasgow City</t>
        </is>
      </c>
      <c r="S818" s="5" t="inlineStr">
        <is>
          <t>G42 8RS</t>
        </is>
      </c>
      <c r="T818" s="5" t="inlineStr">
        <is>
          <t>Scotland</t>
        </is>
      </c>
      <c r="U818" s="5" t="inlineStr">
        <is>
          <t>Scotland</t>
        </is>
      </c>
      <c r="V818" s="5" t="inlineStr">
        <is>
          <t>0141 423 7722</t>
        </is>
      </c>
      <c r="W818" s="5" t="inlineStr"/>
      <c r="X818" s="5" t="inlineStr"/>
      <c r="Y818" s="5" t="inlineStr"/>
      <c r="Z818" s="5" t="inlineStr"/>
      <c r="AA818" s="5" t="inlineStr"/>
      <c r="AB818" s="5" t="inlineStr"/>
      <c r="AC818" s="5" t="inlineStr"/>
      <c r="AD818" s="5" t="inlineStr"/>
      <c r="AE818" s="5" t="inlineStr">
        <is>
          <t>SC429405</t>
        </is>
      </c>
      <c r="AF818" s="5" t="inlineStr"/>
      <c r="AG818" s="5" t="inlineStr">
        <is>
          <t>WATAN FOODS LIMITED</t>
        </is>
      </c>
      <c r="AH818" s="5" t="inlineStr"/>
      <c r="AI818" s="5" t="inlineStr"/>
      <c r="AJ818" s="5" t="inlineStr"/>
      <c r="AK818" s="5" t="inlineStr">
        <is>
          <t>halal meat; Asian vegetables; world groceries; household</t>
        </is>
      </c>
      <c r="AL818" s="5" t="inlineStr"/>
      <c r="AM818" s="5" t="inlineStr">
        <is>
          <t>Independent Supermarket</t>
        </is>
      </c>
      <c r="AN818" s="5" t="inlineStr"/>
      <c r="AO818" s="5" t="inlineStr">
        <is>
          <t>Independent halal / world-food supermarket on Allison Street, Govanhill. Companies House number SC429405 (Watan Foods Limited). Phone and postcode from directory and postcode-check listings.</t>
        </is>
      </c>
      <c r="AP818" s="5" t="inlineStr">
        <is>
          <t>Low</t>
        </is>
      </c>
      <c r="AQ818" s="5" t="inlineStr">
        <is>
          <t>Independent retailer; Relevant category</t>
        </is>
      </c>
      <c r="AR818" s="5" t="inlineStr">
        <is>
          <t>https://find-and-update.company-information.service.gov.uk/company/SC429405</t>
        </is>
      </c>
      <c r="AS818" s="5" t="inlineStr">
        <is>
          <t>https://www.ukpostcodecheck.com/address/71aa4955/watan-foods-limited_206-allison-street_govanhill_glasgow_g42-8rs</t>
        </is>
      </c>
      <c r="AT818" s="5" t="inlineStr">
        <is>
          <t>3</t>
        </is>
      </c>
      <c r="AU818" s="5" t="inlineStr">
        <is>
          <t>No</t>
        </is>
      </c>
      <c r="AV818" s="5" t="inlineStr">
        <is>
          <t>No</t>
        </is>
      </c>
      <c r="AW818" s="5" t="inlineStr">
        <is>
          <t>No</t>
        </is>
      </c>
      <c r="AX818" s="5" t="inlineStr">
        <is>
          <t>No</t>
        </is>
      </c>
      <c r="AY818" s="5" t="inlineStr">
        <is>
          <t>Verified directory</t>
        </is>
      </c>
      <c r="AZ818" s="5" t="inlineStr">
        <is>
          <t>Not Found</t>
        </is>
      </c>
      <c r="BA818" s="5" t="inlineStr">
        <is>
          <t>2026-09-17</t>
        </is>
      </c>
      <c r="BB818" s="5" t="inlineStr">
        <is>
          <t>Requires Verification</t>
        </is>
      </c>
      <c r="BC818" s="5" t="inlineStr">
        <is>
          <t>High</t>
        </is>
      </c>
      <c r="BD818" s="5" t="inlineStr"/>
      <c r="BE818" s="5" t="inlineStr">
        <is>
          <t>Business (B2B)</t>
        </is>
      </c>
      <c r="BF818" s="5" t="inlineStr">
        <is>
          <t>Legitimate interest (B2B) - assess per campaign; PECR: corporate subscribers</t>
        </is>
      </c>
      <c r="BG818" s="5" t="inlineStr"/>
      <c r="BH818" s="5" t="inlineStr">
        <is>
          <t>No</t>
        </is>
      </c>
      <c r="BI818" s="5" t="inlineStr">
        <is>
          <t>2026-09-17</t>
        </is>
      </c>
      <c r="BJ818" s="5" t="inlineStr">
        <is>
          <t>New</t>
        </is>
      </c>
      <c r="BK818" s="5" t="inlineStr">
        <is>
          <t>2026-09-17</t>
        </is>
      </c>
      <c r="BL818" s="5" t="inlineStr"/>
      <c r="BM818" s="5" t="inlineStr"/>
      <c r="BN818" s="5" t="inlineStr"/>
      <c r="BO818" s="5" t="inlineStr"/>
      <c r="BP818" s="5" t="inlineStr"/>
      <c r="BQ818" s="5" t="inlineStr"/>
    </row>
    <row r="819">
      <c r="A819" s="10" t="inlineStr">
        <is>
          <t>WY-0186</t>
        </is>
      </c>
      <c r="B819" s="10" t="inlineStr">
        <is>
          <t>WY-0186-01</t>
        </is>
      </c>
      <c r="C819" s="10" t="inlineStr"/>
      <c r="D819" s="10" t="inlineStr">
        <is>
          <t>Wayward Wines</t>
        </is>
      </c>
      <c r="E819" s="10" t="inlineStr">
        <is>
          <t>Wayward Wines</t>
        </is>
      </c>
      <c r="F819" s="10" t="inlineStr"/>
      <c r="G819" s="10" t="inlineStr">
        <is>
          <t>Off-Licence</t>
        </is>
      </c>
      <c r="H819" s="10" t="inlineStr">
        <is>
          <t>Natural / organic wine shop</t>
        </is>
      </c>
      <c r="I819" s="10" t="inlineStr">
        <is>
          <t>Independent</t>
        </is>
      </c>
      <c r="J819" s="10" t="inlineStr">
        <is>
          <t>1</t>
        </is>
      </c>
      <c r="K819" s="10" t="inlineStr"/>
      <c r="L819" s="10" t="inlineStr"/>
      <c r="M819" s="10" t="inlineStr"/>
      <c r="N819" s="10" t="inlineStr"/>
      <c r="O819" s="10" t="inlineStr">
        <is>
          <t>1C Regent Street</t>
        </is>
      </c>
      <c r="P819" s="10" t="inlineStr">
        <is>
          <t>Chapel Allerton</t>
        </is>
      </c>
      <c r="Q819" s="10" t="inlineStr">
        <is>
          <t>Leeds</t>
        </is>
      </c>
      <c r="R819" s="10" t="inlineStr">
        <is>
          <t>West Yorkshire</t>
        </is>
      </c>
      <c r="S819" s="10" t="inlineStr">
        <is>
          <t>LS7 4PE</t>
        </is>
      </c>
      <c r="T819" s="10" t="inlineStr">
        <is>
          <t>Yorkshire &amp; Humber</t>
        </is>
      </c>
      <c r="U819" s="10" t="inlineStr">
        <is>
          <t>England</t>
        </is>
      </c>
      <c r="V819" s="10" t="inlineStr"/>
      <c r="W819" s="10" t="inlineStr"/>
      <c r="X819" s="10" t="inlineStr"/>
      <c r="Y819" s="10" t="inlineStr"/>
      <c r="Z819" s="10" t="inlineStr"/>
      <c r="AA819" s="10" t="inlineStr"/>
      <c r="AB819" s="10" t="inlineStr"/>
      <c r="AC819" s="10" t="inlineStr"/>
      <c r="AD819" s="10" t="inlineStr"/>
      <c r="AE819" s="10" t="inlineStr"/>
      <c r="AF819" s="10" t="inlineStr"/>
      <c r="AG819" s="10" t="inlineStr"/>
      <c r="AH819" s="10" t="inlineStr"/>
      <c r="AI819" s="10" t="inlineStr"/>
      <c r="AJ819" s="10" t="inlineStr"/>
      <c r="AK819" s="10" t="inlineStr">
        <is>
          <t>organic and biodynamic wine; craft beer</t>
        </is>
      </c>
      <c r="AL819" s="10" t="inlineStr"/>
      <c r="AM819" s="10" t="inlineStr">
        <is>
          <t>Off-Licence</t>
        </is>
      </c>
      <c r="AN819" s="10" t="inlineStr"/>
      <c r="AO819" s="10" t="inlineStr">
        <is>
          <t>Independent wine shop and bar in Chapel Allerton specialising in organic and biodynamic wines from Italy, France, Spain and beyond.</t>
        </is>
      </c>
      <c r="AP819" s="10" t="inlineStr">
        <is>
          <t>Low</t>
        </is>
      </c>
      <c r="AQ819" s="10" t="inlineStr">
        <is>
          <t>Independent retailer; Relevant category</t>
        </is>
      </c>
      <c r="AR819" s="10" t="inlineStr">
        <is>
          <t>https://confidentials.com/leeds/six-of-the-best-bottle-shops</t>
        </is>
      </c>
      <c r="AS819" s="10" t="inlineStr">
        <is>
          <t>https://leeds-list.com/lifestyle/the-best-bottle-shops-in-leeds/</t>
        </is>
      </c>
      <c r="AT819" s="10" t="inlineStr">
        <is>
          <t>2</t>
        </is>
      </c>
      <c r="AU819" s="10" t="inlineStr">
        <is>
          <t>No</t>
        </is>
      </c>
      <c r="AV819" s="10" t="inlineStr">
        <is>
          <t>No</t>
        </is>
      </c>
      <c r="AW819" s="10" t="inlineStr">
        <is>
          <t>No</t>
        </is>
      </c>
      <c r="AX819" s="10" t="inlineStr">
        <is>
          <t>No</t>
        </is>
      </c>
      <c r="AY819" s="10" t="inlineStr">
        <is>
          <t>Not Found</t>
        </is>
      </c>
      <c r="AZ819" s="10" t="inlineStr">
        <is>
          <t>Not Found</t>
        </is>
      </c>
      <c r="BA819" s="10" t="inlineStr">
        <is>
          <t>2026-09-17</t>
        </is>
      </c>
      <c r="BB819" s="10" t="inlineStr">
        <is>
          <t>Requires Verification</t>
        </is>
      </c>
      <c r="BC819" s="10" t="inlineStr">
        <is>
          <t>Medium</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2026-09-16</t>
        </is>
      </c>
      <c r="BJ819" s="10" t="inlineStr">
        <is>
          <t>New</t>
        </is>
      </c>
      <c r="BK819" s="10" t="inlineStr">
        <is>
          <t>2026-09-17</t>
        </is>
      </c>
      <c r="BL819" s="10" t="inlineStr"/>
      <c r="BM819" s="10" t="inlineStr"/>
      <c r="BN819" s="10" t="inlineStr"/>
      <c r="BO819" s="10" t="inlineStr"/>
      <c r="BP819" s="10" t="inlineStr"/>
      <c r="BQ819" s="10" t="inlineStr"/>
    </row>
    <row r="820">
      <c r="A820" s="5" t="inlineStr">
        <is>
          <t>UK-000296</t>
        </is>
      </c>
      <c r="B820" s="5" t="inlineStr">
        <is>
          <t>UK-000296-01</t>
        </is>
      </c>
      <c r="C820" s="5" t="inlineStr"/>
      <c r="D820" s="5" t="inlineStr">
        <is>
          <t>Weetons Food Hall</t>
        </is>
      </c>
      <c r="E820" s="5" t="inlineStr">
        <is>
          <t>Weetons</t>
        </is>
      </c>
      <c r="F820" s="5" t="inlineStr"/>
      <c r="G820" s="5" t="inlineStr">
        <is>
          <t>Independent Supermarket</t>
        </is>
      </c>
      <c r="H820" s="5" t="inlineStr">
        <is>
          <t>Food hall, deli &amp; restaurant</t>
        </is>
      </c>
      <c r="I820" s="5" t="inlineStr">
        <is>
          <t>Independent</t>
        </is>
      </c>
      <c r="J820" s="5" t="inlineStr">
        <is>
          <t>1</t>
        </is>
      </c>
      <c r="K820" s="5" t="inlineStr">
        <is>
          <t>https://weetons.co.uk/</t>
        </is>
      </c>
      <c r="L820" s="5" t="inlineStr"/>
      <c r="M820" s="5" t="inlineStr"/>
      <c r="N820" s="5" t="inlineStr"/>
      <c r="O820" s="5" t="inlineStr">
        <is>
          <t>Leeds Road</t>
        </is>
      </c>
      <c r="P820" s="5" t="inlineStr">
        <is>
          <t>Pannal</t>
        </is>
      </c>
      <c r="Q820" s="5" t="inlineStr">
        <is>
          <t>Harrogate</t>
        </is>
      </c>
      <c r="R820" s="5" t="inlineStr">
        <is>
          <t>North Yorkshire</t>
        </is>
      </c>
      <c r="S820" s="5" t="inlineStr">
        <is>
          <t>HG3 1EW</t>
        </is>
      </c>
      <c r="T820" s="5" t="inlineStr">
        <is>
          <t>Yorkshire &amp; Humber</t>
        </is>
      </c>
      <c r="U820" s="5" t="inlineStr">
        <is>
          <t>England</t>
        </is>
      </c>
      <c r="V820" s="5" t="inlineStr">
        <is>
          <t>01423 507100</t>
        </is>
      </c>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fresh produce; deli; butchery; groceries; local &amp; artisan food</t>
        </is>
      </c>
      <c r="AL820" s="5" t="inlineStr"/>
      <c r="AM820" s="5" t="inlineStr">
        <is>
          <t>Independent Supermarket</t>
        </is>
      </c>
      <c r="AN820" s="5" t="inlineStr">
        <is>
          <t>Showcases produce from local independent suppliers and farms</t>
        </is>
      </c>
      <c r="AO820" s="5" t="inlineStr">
        <is>
          <t>Independent Harrogate food hall (relocated to Leeds Road, Pannal, HG3 1EW) with deli, restaurant and grocery range. Address/phone from own contact page and Tripadvisor/Apple Maps via search snippets. No email surfaced.</t>
        </is>
      </c>
      <c r="AP820" s="5" t="inlineStr">
        <is>
          <t>Medium</t>
        </is>
      </c>
      <c r="AQ820" s="5" t="inlineStr">
        <is>
          <t>Independent retailer; Relevant category; Active website; Phone verified on official website</t>
        </is>
      </c>
      <c r="AR820" s="5" t="inlineStr">
        <is>
          <t>https://weetons.co.uk/policies/contact-information</t>
        </is>
      </c>
      <c r="AS820" s="5" t="inlineStr">
        <is>
          <t>https://visitnorthyorkshire.com/index/weetons</t>
        </is>
      </c>
      <c r="AT820" s="5" t="inlineStr">
        <is>
          <t>2</t>
        </is>
      </c>
      <c r="AU820" s="5" t="inlineStr">
        <is>
          <t>No</t>
        </is>
      </c>
      <c r="AV820" s="5" t="inlineStr">
        <is>
          <t>No</t>
        </is>
      </c>
      <c r="AW820" s="5" t="inlineStr">
        <is>
          <t>No</t>
        </is>
      </c>
      <c r="AX820" s="5" t="inlineStr">
        <is>
          <t>No</t>
        </is>
      </c>
      <c r="AY820" s="5" t="inlineStr">
        <is>
          <t>Verified on official website</t>
        </is>
      </c>
      <c r="AZ820" s="5" t="inlineStr">
        <is>
          <t>Website Found</t>
        </is>
      </c>
      <c r="BA820" s="5" t="inlineStr">
        <is>
          <t>2026-09-17</t>
        </is>
      </c>
      <c r="BB820" s="5" t="inlineStr">
        <is>
          <t>Requires Verification</t>
        </is>
      </c>
      <c r="BC820" s="5" t="inlineStr">
        <is>
          <t>Medium</t>
        </is>
      </c>
      <c r="BD820" s="5" t="inlineStr"/>
      <c r="BE820" s="5" t="inlineStr">
        <is>
          <t>Business (B2B)</t>
        </is>
      </c>
      <c r="BF820" s="5" t="inlineStr">
        <is>
          <t>Legitimate interest (B2B) - assess per campaign; PECR: corporate subscribers</t>
        </is>
      </c>
      <c r="BG820" s="5" t="inlineStr"/>
      <c r="BH820" s="5" t="inlineStr">
        <is>
          <t>No</t>
        </is>
      </c>
      <c r="BI820" s="5" t="inlineStr">
        <is>
          <t>2026-09-16</t>
        </is>
      </c>
      <c r="BJ820" s="5" t="inlineStr">
        <is>
          <t>New</t>
        </is>
      </c>
      <c r="BK820" s="5" t="inlineStr">
        <is>
          <t>2026-09-17</t>
        </is>
      </c>
      <c r="BL820" s="5" t="inlineStr"/>
      <c r="BM820" s="5" t="inlineStr"/>
      <c r="BN820" s="5" t="inlineStr"/>
      <c r="BO820" s="5" t="inlineStr"/>
      <c r="BP820" s="5" t="inlineStr"/>
      <c r="BQ820" s="5" t="inlineStr"/>
    </row>
    <row r="821">
      <c r="A821" s="10" t="inlineStr">
        <is>
          <t>UK-000686</t>
        </is>
      </c>
      <c r="B821" s="10" t="inlineStr">
        <is>
          <t>UK-000686-01</t>
        </is>
      </c>
      <c r="C821" s="10" t="inlineStr"/>
      <c r="D821" s="10" t="inlineStr">
        <is>
          <t>Well Street Wines</t>
        </is>
      </c>
      <c r="E821" s="10" t="inlineStr">
        <is>
          <t>Well Street Wines</t>
        </is>
      </c>
      <c r="F821" s="10" t="inlineStr"/>
      <c r="G821" s="10" t="inlineStr">
        <is>
          <t>Off-Licence</t>
        </is>
      </c>
      <c r="H821" s="10" t="inlineStr">
        <is>
          <t>Off-licence</t>
        </is>
      </c>
      <c r="I821" s="10" t="inlineStr">
        <is>
          <t>Independent</t>
        </is>
      </c>
      <c r="J821" s="10" t="inlineStr">
        <is>
          <t>1</t>
        </is>
      </c>
      <c r="K821" s="10" t="inlineStr"/>
      <c r="L821" s="10" t="inlineStr"/>
      <c r="M821" s="10" t="inlineStr"/>
      <c r="N821" s="10" t="inlineStr"/>
      <c r="O821" s="10" t="inlineStr">
        <is>
          <t>98 Well Street</t>
        </is>
      </c>
      <c r="P821" s="10" t="inlineStr"/>
      <c r="Q821" s="10" t="inlineStr">
        <is>
          <t>Hackney</t>
        </is>
      </c>
      <c r="R821" s="10" t="inlineStr">
        <is>
          <t>Greater London</t>
        </is>
      </c>
      <c r="S821" s="10" t="inlineStr">
        <is>
          <t>E9 7JA</t>
        </is>
      </c>
      <c r="T821" s="10" t="inlineStr">
        <is>
          <t>London</t>
        </is>
      </c>
      <c r="U821" s="10" t="inlineStr">
        <is>
          <t>England</t>
        </is>
      </c>
      <c r="V821" s="10" t="inlineStr"/>
      <c r="W821" s="10" t="inlineStr"/>
      <c r="X821" s="10" t="inlineStr"/>
      <c r="Y821" s="10" t="inlineStr"/>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alcohol; tobacco</t>
        </is>
      </c>
      <c r="AL821" s="10" t="inlineStr"/>
      <c r="AM821" s="10" t="inlineStr">
        <is>
          <t>Off-Licence</t>
        </is>
      </c>
      <c r="AN821" s="10" t="inlineStr"/>
      <c r="AO821" s="10" t="inlineStr">
        <is>
          <t>Off-licence on Well Street, Hackney. Address/postcode from Yell directory. Phone not in snippet.</t>
        </is>
      </c>
      <c r="AP821" s="10" t="inlineStr">
        <is>
          <t>Low</t>
        </is>
      </c>
      <c r="AQ821" s="10" t="inlineStr">
        <is>
          <t>Independent retailer; Relevant category</t>
        </is>
      </c>
      <c r="AR821" s="10" t="inlineStr">
        <is>
          <t>https://www.yell.com/s/off+licences-stoke+newington-north+london.html</t>
        </is>
      </c>
      <c r="AS821" s="10" t="inlineStr"/>
      <c r="AT821" s="10" t="inlineStr">
        <is>
          <t>1</t>
        </is>
      </c>
      <c r="AU821" s="10" t="inlineStr">
        <is>
          <t>No</t>
        </is>
      </c>
      <c r="AV821" s="10" t="inlineStr">
        <is>
          <t>No</t>
        </is>
      </c>
      <c r="AW821" s="10" t="inlineStr">
        <is>
          <t>No</t>
        </is>
      </c>
      <c r="AX821" s="10" t="inlineStr">
        <is>
          <t>No</t>
        </is>
      </c>
      <c r="AY821" s="10" t="inlineStr">
        <is>
          <t>Not Found</t>
        </is>
      </c>
      <c r="AZ821" s="10" t="inlineStr">
        <is>
          <t>Not Found</t>
        </is>
      </c>
      <c r="BA821" s="10" t="inlineStr">
        <is>
          <t>2026-09-17</t>
        </is>
      </c>
      <c r="BB821" s="10" t="inlineStr">
        <is>
          <t>Requires Verification</t>
        </is>
      </c>
      <c r="BC821" s="10" t="inlineStr">
        <is>
          <t>Low</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2026-09-17</t>
        </is>
      </c>
      <c r="BJ821" s="10" t="inlineStr">
        <is>
          <t>New</t>
        </is>
      </c>
      <c r="BK821" s="10" t="inlineStr">
        <is>
          <t>2026-09-17</t>
        </is>
      </c>
      <c r="BL821" s="10" t="inlineStr"/>
      <c r="BM821" s="10" t="inlineStr"/>
      <c r="BN821" s="10" t="inlineStr"/>
      <c r="BO821" s="10" t="inlineStr"/>
      <c r="BP821" s="10" t="inlineStr"/>
      <c r="BQ821" s="10" t="inlineStr"/>
    </row>
    <row r="822">
      <c r="A822" s="5" t="inlineStr">
        <is>
          <t>UK-000687</t>
        </is>
      </c>
      <c r="B822" s="5" t="inlineStr">
        <is>
          <t>UK-000687-01</t>
        </is>
      </c>
      <c r="C822" s="5" t="inlineStr"/>
      <c r="D822" s="5" t="inlineStr">
        <is>
          <t>West 9 Food &amp; Wine</t>
        </is>
      </c>
      <c r="E822" s="5" t="inlineStr">
        <is>
          <t>West 9 Food &amp; Wine</t>
        </is>
      </c>
      <c r="F822" s="5" t="inlineStr"/>
      <c r="G822" s="5" t="inlineStr">
        <is>
          <t>Convenience Store</t>
        </is>
      </c>
      <c r="H822" s="5" t="inlineStr">
        <is>
          <t>Convenience &amp; off-licence</t>
        </is>
      </c>
      <c r="I822" s="5" t="inlineStr">
        <is>
          <t>Independent</t>
        </is>
      </c>
      <c r="J822" s="5" t="inlineStr">
        <is>
          <t>1</t>
        </is>
      </c>
      <c r="K822" s="5" t="inlineStr"/>
      <c r="L822" s="5" t="inlineStr"/>
      <c r="M822" s="5" t="inlineStr"/>
      <c r="N822" s="5" t="inlineStr"/>
      <c r="O822" s="5" t="inlineStr"/>
      <c r="P822" s="5" t="inlineStr"/>
      <c r="Q822" s="5" t="inlineStr">
        <is>
          <t>Bethnal Green</t>
        </is>
      </c>
      <c r="R822" s="5" t="inlineStr">
        <is>
          <t>Greater London</t>
        </is>
      </c>
      <c r="S822" s="5" t="inlineStr">
        <is>
          <t>E2 0RN</t>
        </is>
      </c>
      <c r="T822" s="5" t="inlineStr">
        <is>
          <t>London</t>
        </is>
      </c>
      <c r="U822" s="5" t="inlineStr">
        <is>
          <t>England</t>
        </is>
      </c>
      <c r="V822" s="5" t="inlineStr"/>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groceries; alcohol; tobacco</t>
        </is>
      </c>
      <c r="AL822" s="5" t="inlineStr"/>
      <c r="AM822" s="5" t="inlineStr">
        <is>
          <t>Convenience Store</t>
        </is>
      </c>
      <c r="AN822" s="5" t="inlineStr"/>
      <c r="AO822" s="5" t="inlineStr">
        <is>
          <t>Convenience store/off-licence in Bethnal Green (E2) listed on 192.com. Street address and phone not in accessible snippet.</t>
        </is>
      </c>
      <c r="AP822" s="5" t="inlineStr">
        <is>
          <t>Low</t>
        </is>
      </c>
      <c r="AQ822" s="5" t="inlineStr">
        <is>
          <t>Independent retailer; Relevant category</t>
        </is>
      </c>
      <c r="AR822" s="5" t="inlineStr">
        <is>
          <t>https://www.192.com/atoz/business/london-e2/general-and-convenience-stores/west-9-food-wine/a1f57525e024dcc489d3e9e2c58c38ed54e83d6f/ml/</t>
        </is>
      </c>
      <c r="AS822" s="5" t="inlineStr"/>
      <c r="AT822" s="5" t="inlineStr">
        <is>
          <t>1</t>
        </is>
      </c>
      <c r="AU822" s="5" t="inlineStr">
        <is>
          <t>No</t>
        </is>
      </c>
      <c r="AV822" s="5" t="inlineStr">
        <is>
          <t>No</t>
        </is>
      </c>
      <c r="AW822" s="5" t="inlineStr">
        <is>
          <t>No</t>
        </is>
      </c>
      <c r="AX822" s="5" t="inlineStr">
        <is>
          <t>No</t>
        </is>
      </c>
      <c r="AY822" s="5" t="inlineStr">
        <is>
          <t>Not Found</t>
        </is>
      </c>
      <c r="AZ822" s="5" t="inlineStr">
        <is>
          <t>Not Found</t>
        </is>
      </c>
      <c r="BA822" s="5" t="inlineStr">
        <is>
          <t>2026-09-17</t>
        </is>
      </c>
      <c r="BB822" s="5" t="inlineStr">
        <is>
          <t>Requires Verification</t>
        </is>
      </c>
      <c r="BC822" s="5" t="inlineStr">
        <is>
          <t>Low</t>
        </is>
      </c>
      <c r="BD822" s="5" t="inlineStr"/>
      <c r="BE822" s="5" t="inlineStr">
        <is>
          <t>Business (B2B)</t>
        </is>
      </c>
      <c r="BF822" s="5" t="inlineStr">
        <is>
          <t>Legitimate interest (B2B) - assess per campaign; PECR: corporate subscribers</t>
        </is>
      </c>
      <c r="BG822" s="5" t="inlineStr"/>
      <c r="BH822" s="5" t="inlineStr">
        <is>
          <t>No</t>
        </is>
      </c>
      <c r="BI822" s="5" t="inlineStr">
        <is>
          <t>2026-09-17</t>
        </is>
      </c>
      <c r="BJ822" s="5" t="inlineStr">
        <is>
          <t>New</t>
        </is>
      </c>
      <c r="BK822" s="5" t="inlineStr">
        <is>
          <t>2026-09-17</t>
        </is>
      </c>
      <c r="BL822" s="5" t="inlineStr"/>
      <c r="BM822" s="5" t="inlineStr"/>
      <c r="BN822" s="5" t="inlineStr"/>
      <c r="BO822" s="5" t="inlineStr"/>
      <c r="BP822" s="5" t="inlineStr"/>
      <c r="BQ822" s="5" t="inlineStr"/>
    </row>
    <row r="823">
      <c r="A823" s="10" t="inlineStr">
        <is>
          <t>WY-0187</t>
        </is>
      </c>
      <c r="B823" s="10" t="inlineStr">
        <is>
          <t>WY-0187-01</t>
        </is>
      </c>
      <c r="C823" s="10" t="inlineStr"/>
      <c r="D823" s="10" t="inlineStr">
        <is>
          <t>West End Off Licence</t>
        </is>
      </c>
      <c r="E823" s="10" t="inlineStr">
        <is>
          <t>Westend Off Licence Ricky's</t>
        </is>
      </c>
      <c r="F823" s="10" t="inlineStr"/>
      <c r="G823" s="10" t="inlineStr">
        <is>
          <t>Off-Licence</t>
        </is>
      </c>
      <c r="H823" s="10" t="inlineStr"/>
      <c r="I823" s="10" t="inlineStr">
        <is>
          <t>Independent</t>
        </is>
      </c>
      <c r="J823" s="10" t="inlineStr">
        <is>
          <t>1</t>
        </is>
      </c>
      <c r="K823" s="10" t="inlineStr"/>
      <c r="L823" s="10" t="inlineStr"/>
      <c r="M823" s="10" t="inlineStr"/>
      <c r="N823" s="10" t="inlineStr"/>
      <c r="O823" s="10" t="inlineStr">
        <is>
          <t>2 Mile Cross Terrace</t>
        </is>
      </c>
      <c r="P823" s="10" t="inlineStr"/>
      <c r="Q823" s="10" t="inlineStr">
        <is>
          <t>Halifax</t>
        </is>
      </c>
      <c r="R823" s="10" t="inlineStr">
        <is>
          <t>West Yorkshire</t>
        </is>
      </c>
      <c r="S823" s="10" t="inlineStr">
        <is>
          <t>HX1 4HP</t>
        </is>
      </c>
      <c r="T823" s="10" t="inlineStr">
        <is>
          <t>Yorkshire &amp; Humber</t>
        </is>
      </c>
      <c r="U823" s="10" t="inlineStr">
        <is>
          <t>England</t>
        </is>
      </c>
      <c r="V823" s="10" t="inlineStr"/>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beers, wines and spirits; soft drinks; snacks</t>
        </is>
      </c>
      <c r="AL823" s="10" t="inlineStr"/>
      <c r="AM823" s="10" t="inlineStr">
        <is>
          <t>Off-Licence</t>
        </is>
      </c>
      <c r="AN823" s="10" t="inlineStr"/>
      <c r="AO823" s="10" t="inlineStr">
        <is>
          <t>Open 8am-9pm per Yelp listing.</t>
        </is>
      </c>
      <c r="AP823" s="10" t="inlineStr">
        <is>
          <t>Low</t>
        </is>
      </c>
      <c r="AQ823" s="10" t="inlineStr">
        <is>
          <t>Independent retailer; Relevant category</t>
        </is>
      </c>
      <c r="AR823" s="10" t="inlineStr">
        <is>
          <t>https://www.yelp.co.uk/biz/westend-off-licence-rickys-halifax</t>
        </is>
      </c>
      <c r="AS823" s="10" t="inlineStr">
        <is>
          <t>https://www.yorkshire.com/halifax/shopping/off-license/west-end-off-licence</t>
        </is>
      </c>
      <c r="AT823" s="10" t="inlineStr">
        <is>
          <t>2</t>
        </is>
      </c>
      <c r="AU823" s="10" t="inlineStr">
        <is>
          <t>No</t>
        </is>
      </c>
      <c r="AV823" s="10" t="inlineStr">
        <is>
          <t>No</t>
        </is>
      </c>
      <c r="AW823" s="10" t="inlineStr">
        <is>
          <t>No</t>
        </is>
      </c>
      <c r="AX823" s="10" t="inlineStr">
        <is>
          <t>No</t>
        </is>
      </c>
      <c r="AY823" s="10" t="inlineStr">
        <is>
          <t>Not Found</t>
        </is>
      </c>
      <c r="AZ823" s="10" t="inlineStr">
        <is>
          <t>Not Found</t>
        </is>
      </c>
      <c r="BA823" s="10" t="inlineStr">
        <is>
          <t>2026-09-17</t>
        </is>
      </c>
      <c r="BB823" s="10" t="inlineStr">
        <is>
          <t>Requires Verification</t>
        </is>
      </c>
      <c r="BC823" s="10" t="inlineStr">
        <is>
          <t>Medium</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2026-09-16</t>
        </is>
      </c>
      <c r="BJ823" s="10" t="inlineStr">
        <is>
          <t>New</t>
        </is>
      </c>
      <c r="BK823" s="10" t="inlineStr">
        <is>
          <t>2026-09-17</t>
        </is>
      </c>
      <c r="BL823" s="10" t="inlineStr"/>
      <c r="BM823" s="10" t="inlineStr"/>
      <c r="BN823" s="10" t="inlineStr"/>
      <c r="BO823" s="10" t="inlineStr"/>
      <c r="BP823" s="10" t="inlineStr"/>
      <c r="BQ823" s="10" t="inlineStr"/>
    </row>
    <row r="824">
      <c r="A824" s="5" t="inlineStr">
        <is>
          <t>UK-000845</t>
        </is>
      </c>
      <c r="B824" s="5" t="inlineStr">
        <is>
          <t>UK-000845-01</t>
        </is>
      </c>
      <c r="C824" s="5" t="inlineStr"/>
      <c r="D824" s="5" t="inlineStr">
        <is>
          <t>West Street Off Licence</t>
        </is>
      </c>
      <c r="E824" s="5" t="inlineStr">
        <is>
          <t>West Street Off Licence</t>
        </is>
      </c>
      <c r="F824" s="5" t="inlineStr"/>
      <c r="G824" s="5" t="inlineStr">
        <is>
          <t>Off-Licence</t>
        </is>
      </c>
      <c r="H824" s="5" t="inlineStr">
        <is>
          <t>Late-night off-licence with delivery</t>
        </is>
      </c>
      <c r="I824" s="5" t="inlineStr">
        <is>
          <t>Independent</t>
        </is>
      </c>
      <c r="J824" s="5" t="inlineStr">
        <is>
          <t>1</t>
        </is>
      </c>
      <c r="K824" s="5" t="inlineStr"/>
      <c r="L824" s="5" t="inlineStr"/>
      <c r="M824" s="5" t="inlineStr"/>
      <c r="N824" s="5" t="inlineStr"/>
      <c r="O824" s="5" t="inlineStr">
        <is>
          <t>9 West Street</t>
        </is>
      </c>
      <c r="P824" s="5" t="inlineStr"/>
      <c r="Q824" s="5" t="inlineStr">
        <is>
          <t>Southport</t>
        </is>
      </c>
      <c r="R824" s="5" t="inlineStr">
        <is>
          <t>Merseyside</t>
        </is>
      </c>
      <c r="S824" s="5" t="inlineStr">
        <is>
          <t>PR8 1QN</t>
        </is>
      </c>
      <c r="T824" s="5" t="inlineStr">
        <is>
          <t>North West</t>
        </is>
      </c>
      <c r="U824" s="5" t="inlineStr">
        <is>
          <t>England</t>
        </is>
      </c>
      <c r="V824" s="5" t="inlineStr"/>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alcohol; groceries; tobacco</t>
        </is>
      </c>
      <c r="AL824" s="5" t="inlineStr"/>
      <c r="AM824" s="5" t="inlineStr">
        <is>
          <t>Off-Licence</t>
        </is>
      </c>
      <c r="AN824" s="5" t="inlineStr"/>
      <c r="AO824" s="5" t="inlineStr">
        <is>
          <t>Independent off-licence, 9 West Street, Southport, licensed to sell alcohol until 4am with local delivery. Address/postcode from 24houralcohol Sefton directory listing.</t>
        </is>
      </c>
      <c r="AP824" s="5" t="inlineStr">
        <is>
          <t>Low</t>
        </is>
      </c>
      <c r="AQ824" s="5" t="inlineStr">
        <is>
          <t>Independent retailer; Relevant category</t>
        </is>
      </c>
      <c r="AR824" s="5" t="inlineStr">
        <is>
          <t>https://www.24houralcohol.co.uk/sefton-off-licences</t>
        </is>
      </c>
      <c r="AS824" s="5" t="inlineStr"/>
      <c r="AT824" s="5" t="inlineStr">
        <is>
          <t>1</t>
        </is>
      </c>
      <c r="AU824" s="5" t="inlineStr">
        <is>
          <t>No</t>
        </is>
      </c>
      <c r="AV824" s="5" t="inlineStr">
        <is>
          <t>No</t>
        </is>
      </c>
      <c r="AW824" s="5" t="inlineStr">
        <is>
          <t>No</t>
        </is>
      </c>
      <c r="AX824" s="5" t="inlineStr">
        <is>
          <t>No</t>
        </is>
      </c>
      <c r="AY824" s="5" t="inlineStr">
        <is>
          <t>Not Found</t>
        </is>
      </c>
      <c r="AZ824" s="5" t="inlineStr">
        <is>
          <t>Not Found</t>
        </is>
      </c>
      <c r="BA824" s="5" t="inlineStr">
        <is>
          <t>2026-09-17</t>
        </is>
      </c>
      <c r="BB824" s="5" t="inlineStr">
        <is>
          <t>Requires Verification</t>
        </is>
      </c>
      <c r="BC824" s="5" t="inlineStr">
        <is>
          <t>Low</t>
        </is>
      </c>
      <c r="BD824" s="5" t="inlineStr"/>
      <c r="BE824" s="5" t="inlineStr">
        <is>
          <t>Business (B2B)</t>
        </is>
      </c>
      <c r="BF824" s="5" t="inlineStr">
        <is>
          <t>Legitimate interest (B2B) - assess per campaign; PECR: corporate subscribers</t>
        </is>
      </c>
      <c r="BG824" s="5" t="inlineStr"/>
      <c r="BH824" s="5" t="inlineStr">
        <is>
          <t>No</t>
        </is>
      </c>
      <c r="BI824" s="5" t="inlineStr">
        <is>
          <t>2026-09-17</t>
        </is>
      </c>
      <c r="BJ824" s="5" t="inlineStr">
        <is>
          <t>New</t>
        </is>
      </c>
      <c r="BK824" s="5" t="inlineStr">
        <is>
          <t>2026-09-17</t>
        </is>
      </c>
      <c r="BL824" s="5" t="inlineStr"/>
      <c r="BM824" s="5" t="inlineStr"/>
      <c r="BN824" s="5" t="inlineStr"/>
      <c r="BO824" s="5" t="inlineStr"/>
      <c r="BP824" s="5" t="inlineStr"/>
      <c r="BQ824" s="5" t="inlineStr"/>
    </row>
    <row r="825">
      <c r="A825" s="10" t="inlineStr">
        <is>
          <t>UK-000688</t>
        </is>
      </c>
      <c r="B825" s="10" t="inlineStr">
        <is>
          <t>UK-000688-01</t>
        </is>
      </c>
      <c r="C825" s="10" t="inlineStr"/>
      <c r="D825" s="10" t="inlineStr">
        <is>
          <t>Western Cash &amp; Carry</t>
        </is>
      </c>
      <c r="E825" s="10" t="inlineStr">
        <is>
          <t>Western Cash &amp; Carry</t>
        </is>
      </c>
      <c r="F825" s="10" t="inlineStr"/>
      <c r="G825" s="10" t="inlineStr">
        <is>
          <t>Cash &amp; Carry</t>
        </is>
      </c>
      <c r="H825" s="10" t="inlineStr"/>
      <c r="I825" s="10" t="inlineStr">
        <is>
          <t>Independent</t>
        </is>
      </c>
      <c r="J825" s="10" t="inlineStr">
        <is>
          <t>1</t>
        </is>
      </c>
      <c r="K825" s="10" t="inlineStr"/>
      <c r="L825" s="10" t="inlineStr"/>
      <c r="M825" s="10" t="inlineStr"/>
      <c r="N825" s="10" t="inlineStr"/>
      <c r="O825" s="10" t="inlineStr">
        <is>
          <t>212 Western Road</t>
        </is>
      </c>
      <c r="P825" s="10" t="inlineStr"/>
      <c r="Q825" s="10" t="inlineStr">
        <is>
          <t>Southall</t>
        </is>
      </c>
      <c r="R825" s="10" t="inlineStr">
        <is>
          <t>Greater London</t>
        </is>
      </c>
      <c r="S825" s="10" t="inlineStr">
        <is>
          <t>UB2 5JW</t>
        </is>
      </c>
      <c r="T825" s="10" t="inlineStr">
        <is>
          <t>London</t>
        </is>
      </c>
      <c r="U825" s="10" t="inlineStr">
        <is>
          <t>England</t>
        </is>
      </c>
      <c r="V825" s="10" t="inlineStr"/>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grocery wholesale; South Asian foods</t>
        </is>
      </c>
      <c r="AL825" s="10" t="inlineStr"/>
      <c r="AM825" s="10" t="inlineStr">
        <is>
          <t>Cash &amp; Carry</t>
        </is>
      </c>
      <c r="AN825" s="10" t="inlineStr"/>
      <c r="AO825" s="10" t="inlineStr">
        <is>
          <t>Independent cash &amp; carry on Western Road, Southall. Address from Yell listing.</t>
        </is>
      </c>
      <c r="AP825" s="10" t="inlineStr">
        <is>
          <t>Medium</t>
        </is>
      </c>
      <c r="AQ825" s="10" t="inlineStr">
        <is>
          <t>Independent retailer; Core relevant category</t>
        </is>
      </c>
      <c r="AR825" s="10" t="inlineStr">
        <is>
          <t>https://www.yell.com/biz/western-cash-and-carry-southall-2039534/</t>
        </is>
      </c>
      <c r="AS825" s="10" t="inlineStr"/>
      <c r="AT825" s="10" t="inlineStr">
        <is>
          <t>1</t>
        </is>
      </c>
      <c r="AU825" s="10" t="inlineStr">
        <is>
          <t>No</t>
        </is>
      </c>
      <c r="AV825" s="10" t="inlineStr">
        <is>
          <t>No</t>
        </is>
      </c>
      <c r="AW825" s="10" t="inlineStr">
        <is>
          <t>No</t>
        </is>
      </c>
      <c r="AX825" s="10" t="inlineStr">
        <is>
          <t>No</t>
        </is>
      </c>
      <c r="AY825" s="10" t="inlineStr">
        <is>
          <t>Not Found</t>
        </is>
      </c>
      <c r="AZ825" s="10" t="inlineStr">
        <is>
          <t>Not Found</t>
        </is>
      </c>
      <c r="BA825" s="10" t="inlineStr">
        <is>
          <t>2026-09-17</t>
        </is>
      </c>
      <c r="BB825" s="10" t="inlineStr">
        <is>
          <t>Requires Verification</t>
        </is>
      </c>
      <c r="BC825" s="10" t="inlineStr">
        <is>
          <t>Low</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UK-000689</t>
        </is>
      </c>
      <c r="B826" s="5" t="inlineStr">
        <is>
          <t>UK-000689-01</t>
        </is>
      </c>
      <c r="C826" s="5" t="inlineStr"/>
      <c r="D826" s="5" t="inlineStr">
        <is>
          <t>Whirly Wines Ltd</t>
        </is>
      </c>
      <c r="E826" s="5" t="inlineStr">
        <is>
          <t>Whirly Wines</t>
        </is>
      </c>
      <c r="F826" s="5" t="inlineStr"/>
      <c r="G826" s="5" t="inlineStr">
        <is>
          <t>Off-Licence</t>
        </is>
      </c>
      <c r="H826" s="5" t="inlineStr"/>
      <c r="I826" s="5" t="inlineStr">
        <is>
          <t>Independent</t>
        </is>
      </c>
      <c r="J826" s="5" t="inlineStr">
        <is>
          <t>1</t>
        </is>
      </c>
      <c r="K826" s="5" t="inlineStr"/>
      <c r="L826" s="5" t="inlineStr"/>
      <c r="M826" s="5" t="inlineStr"/>
      <c r="N826" s="5" t="inlineStr"/>
      <c r="O826" s="5" t="inlineStr">
        <is>
          <t>22 Ritherdon Road</t>
        </is>
      </c>
      <c r="P826" s="5" t="inlineStr"/>
      <c r="Q826" s="5" t="inlineStr">
        <is>
          <t>London</t>
        </is>
      </c>
      <c r="R826" s="5" t="inlineStr">
        <is>
          <t>Greater London</t>
        </is>
      </c>
      <c r="S826" s="5" t="inlineStr">
        <is>
          <t>SW17 8QD</t>
        </is>
      </c>
      <c r="T826" s="5" t="inlineStr">
        <is>
          <t>London</t>
        </is>
      </c>
      <c r="U826" s="5" t="inlineStr">
        <is>
          <t>England</t>
        </is>
      </c>
      <c r="V826" s="5" t="inlineStr">
        <is>
          <t>020 3489 2242</t>
        </is>
      </c>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wines; craft beers; spirits</t>
        </is>
      </c>
      <c r="AL826" s="5" t="inlineStr"/>
      <c r="AM826" s="5" t="inlineStr">
        <is>
          <t>Off-Licence</t>
        </is>
      </c>
      <c r="AN826" s="5" t="inlineStr"/>
      <c r="AO826" s="5" t="inlineStr">
        <is>
          <t>Independent wine merchant / off-licence, Tooting (Heaver estate). Address and phone from Yell directory.</t>
        </is>
      </c>
      <c r="AP826" s="5" t="inlineStr">
        <is>
          <t>Low</t>
        </is>
      </c>
      <c r="AQ826" s="5" t="inlineStr">
        <is>
          <t>Independent retailer; Relevant category</t>
        </is>
      </c>
      <c r="AR826" s="5" t="inlineStr">
        <is>
          <t>https://www.yell.com/s/off+licences-tooting-south+west+london.html</t>
        </is>
      </c>
      <c r="AS826" s="5" t="inlineStr"/>
      <c r="AT826" s="5" t="inlineStr">
        <is>
          <t>1</t>
        </is>
      </c>
      <c r="AU826" s="5" t="inlineStr">
        <is>
          <t>No</t>
        </is>
      </c>
      <c r="AV826" s="5" t="inlineStr">
        <is>
          <t>No</t>
        </is>
      </c>
      <c r="AW826" s="5" t="inlineStr">
        <is>
          <t>No</t>
        </is>
      </c>
      <c r="AX826" s="5" t="inlineStr">
        <is>
          <t>No</t>
        </is>
      </c>
      <c r="AY826" s="5" t="inlineStr">
        <is>
          <t>Verified directory</t>
        </is>
      </c>
      <c r="AZ826" s="5" t="inlineStr">
        <is>
          <t>Not Found</t>
        </is>
      </c>
      <c r="BA826" s="5" t="inlineStr">
        <is>
          <t>2026-09-17</t>
        </is>
      </c>
      <c r="BB826" s="5" t="inlineStr">
        <is>
          <t>Requires Verification</t>
        </is>
      </c>
      <c r="BC826" s="5" t="inlineStr">
        <is>
          <t>Medium</t>
        </is>
      </c>
      <c r="BD826" s="5" t="inlineStr"/>
      <c r="BE826" s="5" t="inlineStr">
        <is>
          <t>Business (B2B)</t>
        </is>
      </c>
      <c r="BF826" s="5" t="inlineStr">
        <is>
          <t>Legitimate interest (B2B) - assess per campaign; PECR: corporate subscribers</t>
        </is>
      </c>
      <c r="BG826" s="5" t="inlineStr"/>
      <c r="BH826" s="5" t="inlineStr">
        <is>
          <t>No</t>
        </is>
      </c>
      <c r="BI826" s="5" t="inlineStr">
        <is>
          <t>2026-09-17</t>
        </is>
      </c>
      <c r="BJ826" s="5" t="inlineStr">
        <is>
          <t>New</t>
        </is>
      </c>
      <c r="BK826" s="5" t="inlineStr">
        <is>
          <t>2026-09-17</t>
        </is>
      </c>
      <c r="BL826" s="5" t="inlineStr"/>
      <c r="BM826" s="5" t="inlineStr"/>
      <c r="BN826" s="5" t="inlineStr"/>
      <c r="BO826" s="5" t="inlineStr"/>
      <c r="BP826" s="5" t="inlineStr"/>
      <c r="BQ826" s="5" t="inlineStr"/>
    </row>
    <row r="827">
      <c r="A827" s="10" t="inlineStr">
        <is>
          <t>WY-0188</t>
        </is>
      </c>
      <c r="B827" s="10" t="inlineStr">
        <is>
          <t>WY-0188-01</t>
        </is>
      </c>
      <c r="C827" s="10" t="inlineStr"/>
      <c r="D827" s="10" t="inlineStr">
        <is>
          <t>White Rose Catering</t>
        </is>
      </c>
      <c r="E827" s="10" t="inlineStr">
        <is>
          <t>White Rose Catering</t>
        </is>
      </c>
      <c r="F827" s="10" t="inlineStr">
        <is>
          <t>White Rose Catering Ltd</t>
        </is>
      </c>
      <c r="G827" s="10" t="inlineStr">
        <is>
          <t>Cash &amp; Carry</t>
        </is>
      </c>
      <c r="H827" s="10" t="inlineStr">
        <is>
          <t>Catering cash and carry wholesaler</t>
        </is>
      </c>
      <c r="I827" s="10" t="inlineStr">
        <is>
          <t>Independent</t>
        </is>
      </c>
      <c r="J827" s="10" t="inlineStr">
        <is>
          <t>1</t>
        </is>
      </c>
      <c r="K827" s="10" t="inlineStr"/>
      <c r="L827" s="10" t="inlineStr"/>
      <c r="M827" s="10" t="inlineStr"/>
      <c r="N827" s="10" t="inlineStr"/>
      <c r="O827" s="10" t="inlineStr">
        <is>
          <t>225 Ravenshouse Road</t>
        </is>
      </c>
      <c r="P827" s="10" t="inlineStr">
        <is>
          <t>Dewsbury Moor</t>
        </is>
      </c>
      <c r="Q827" s="10" t="inlineStr">
        <is>
          <t>Dewsbury</t>
        </is>
      </c>
      <c r="R827" s="10" t="inlineStr">
        <is>
          <t>West Yorkshire</t>
        </is>
      </c>
      <c r="S827" s="10" t="inlineStr">
        <is>
          <t>WF13 3QU</t>
        </is>
      </c>
      <c r="T827" s="10" t="inlineStr">
        <is>
          <t>Yorkshire &amp; Humber</t>
        </is>
      </c>
      <c r="U827" s="10" t="inlineStr">
        <is>
          <t>England</t>
        </is>
      </c>
      <c r="V827" s="10" t="inlineStr">
        <is>
          <t>01924 467054</t>
        </is>
      </c>
      <c r="W827" s="10" t="inlineStr"/>
      <c r="X827" s="10" t="inlineStr"/>
      <c r="Y827" s="10" t="inlineStr"/>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wholesale food; catering supplies</t>
        </is>
      </c>
      <c r="AL827" s="10" t="inlineStr"/>
      <c r="AM827" s="10" t="inlineStr">
        <is>
          <t>Cash &amp; Carry</t>
        </is>
      </c>
      <c r="AN827" s="10" t="inlineStr"/>
      <c r="AO827" s="10" t="inlineStr"/>
      <c r="AP827" s="10" t="inlineStr">
        <is>
          <t>Medium</t>
        </is>
      </c>
      <c r="AQ827" s="10" t="inlineStr">
        <is>
          <t>Independent retailer; Core relevant category</t>
        </is>
      </c>
      <c r="AR827" s="10" t="inlineStr">
        <is>
          <t>https://www.192.com/atoz/business/dewsbury-wf13/cash-and-carry-wholesalers/white-rose-catering-ltd/1cd73791cf719e65496fe8e9a0a2d1c534c879e1/ml/</t>
        </is>
      </c>
      <c r="AS827" s="10" t="inlineStr"/>
      <c r="AT827" s="10" t="inlineStr">
        <is>
          <t>1</t>
        </is>
      </c>
      <c r="AU827" s="10" t="inlineStr">
        <is>
          <t>No</t>
        </is>
      </c>
      <c r="AV827" s="10" t="inlineStr">
        <is>
          <t>No</t>
        </is>
      </c>
      <c r="AW827" s="10" t="inlineStr">
        <is>
          <t>No</t>
        </is>
      </c>
      <c r="AX827" s="10" t="inlineStr">
        <is>
          <t>No</t>
        </is>
      </c>
      <c r="AY827" s="10" t="inlineStr">
        <is>
          <t>Verified directory</t>
        </is>
      </c>
      <c r="AZ827" s="10" t="inlineStr">
        <is>
          <t>Not Found</t>
        </is>
      </c>
      <c r="BA827" s="10" t="inlineStr">
        <is>
          <t>2026-09-17</t>
        </is>
      </c>
      <c r="BB827" s="10" t="inlineStr">
        <is>
          <t>Requires Verification</t>
        </is>
      </c>
      <c r="BC827" s="10" t="inlineStr">
        <is>
          <t>Medium</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2026-09-16</t>
        </is>
      </c>
      <c r="BJ827" s="10" t="inlineStr">
        <is>
          <t>New</t>
        </is>
      </c>
      <c r="BK827" s="10" t="inlineStr">
        <is>
          <t>2026-09-17</t>
        </is>
      </c>
      <c r="BL827" s="10" t="inlineStr"/>
      <c r="BM827" s="10" t="inlineStr"/>
      <c r="BN827" s="10" t="inlineStr"/>
      <c r="BO827" s="10" t="inlineStr"/>
      <c r="BP827" s="10" t="inlineStr"/>
      <c r="BQ827" s="10" t="inlineStr"/>
    </row>
    <row r="828">
      <c r="A828" s="5" t="inlineStr">
        <is>
          <t>WY-0189</t>
        </is>
      </c>
      <c r="B828" s="5" t="inlineStr">
        <is>
          <t>WY-0189-01</t>
        </is>
      </c>
      <c r="C828" s="5" t="inlineStr"/>
      <c r="D828" s="5" t="inlineStr">
        <is>
          <t>Wigton Cash &amp; Carry (Wigton Distribution)</t>
        </is>
      </c>
      <c r="E828" s="5" t="inlineStr">
        <is>
          <t>Wigton Cash &amp; Carry</t>
        </is>
      </c>
      <c r="F828" s="5" t="inlineStr">
        <is>
          <t>Wigton Distribution Ltd</t>
        </is>
      </c>
      <c r="G828" s="5" t="inlineStr">
        <is>
          <t>Cash &amp; Carry</t>
        </is>
      </c>
      <c r="H828" s="5" t="inlineStr">
        <is>
          <t>Food and dessert wholesaler, open to the public</t>
        </is>
      </c>
      <c r="I828" s="5" t="inlineStr">
        <is>
          <t>Independent</t>
        </is>
      </c>
      <c r="J828" s="5" t="inlineStr">
        <is>
          <t>1</t>
        </is>
      </c>
      <c r="K828" s="5" t="inlineStr">
        <is>
          <t>http://wigtonfoodservice.co.uk/</t>
        </is>
      </c>
      <c r="L828" s="5" t="inlineStr">
        <is>
          <t>https://www.facebook.com/p/Wigton-Distribution-61573554642844/</t>
        </is>
      </c>
      <c r="M828" s="5" t="inlineStr">
        <is>
          <t>https://www.instagram.com/wigtonwholesale/</t>
        </is>
      </c>
      <c r="N828" s="5" t="inlineStr">
        <is>
          <t>https://www.tiktok.com/@wigtondistribution</t>
        </is>
      </c>
      <c r="O828" s="5" t="inlineStr">
        <is>
          <t>27 Lockwood Way</t>
        </is>
      </c>
      <c r="P828" s="5" t="inlineStr">
        <is>
          <t>Beeston / Hunslet</t>
        </is>
      </c>
      <c r="Q828" s="5" t="inlineStr">
        <is>
          <t>Leeds</t>
        </is>
      </c>
      <c r="R828" s="5" t="inlineStr">
        <is>
          <t>West Yorkshire</t>
        </is>
      </c>
      <c r="S828" s="5" t="inlineStr">
        <is>
          <t>LS11 5TH</t>
        </is>
      </c>
      <c r="T828" s="5" t="inlineStr">
        <is>
          <t>Yorkshire &amp; Humber</t>
        </is>
      </c>
      <c r="U828" s="5" t="inlineStr">
        <is>
          <t>England</t>
        </is>
      </c>
      <c r="V828" s="5" t="inlineStr">
        <is>
          <t>07833 840327</t>
        </is>
      </c>
      <c r="W828" s="5" t="inlineStr"/>
      <c r="X828" s="5" t="inlineStr"/>
      <c r="Y828" s="5" t="inlineStr"/>
      <c r="Z828" s="5" t="inlineStr"/>
      <c r="AA828" s="5" t="inlineStr"/>
      <c r="AB828" s="5" t="inlineStr"/>
      <c r="AC828" s="5" t="inlineStr"/>
      <c r="AD828" s="5" t="inlineStr"/>
      <c r="AE828" s="5" t="inlineStr">
        <is>
          <t>09821856</t>
        </is>
      </c>
      <c r="AF828" s="5" t="inlineStr"/>
      <c r="AG828" s="5" t="inlineStr">
        <is>
          <t>WIGTON DISTRIBUTION LTD</t>
        </is>
      </c>
      <c r="AH828" s="5" t="inlineStr"/>
      <c r="AI828" s="5" t="inlineStr"/>
      <c r="AJ828" s="5" t="inlineStr"/>
      <c r="AK828" s="5" t="inlineStr">
        <is>
          <t>desserts; food wholesale; catering supplies</t>
        </is>
      </c>
      <c r="AL828" s="5" t="inlineStr"/>
      <c r="AM828" s="5" t="inlineStr">
        <is>
          <t>Cash &amp; Carry</t>
        </is>
      </c>
      <c r="AN828" s="5" t="inlineStr"/>
      <c r="AO828" s="5" t="inlineStr">
        <is>
          <t>Dessert and food wholesaler delivering nationwide; phone numbers from social listings (07833 840327 / 07766 345166), not yet verified against official site. CH number seen in CH search result; CH site blocked by proxy.</t>
        </is>
      </c>
      <c r="AP828" s="5" t="inlineStr">
        <is>
          <t>Medium</t>
        </is>
      </c>
      <c r="AQ828" s="5" t="inlineStr">
        <is>
          <t>Independent retailer; Core relevant category; Active website; Social presence</t>
        </is>
      </c>
      <c r="AR828" s="5" t="inlineStr">
        <is>
          <t>https://find-and-update.company-information.service.gov.uk/company/09821856</t>
        </is>
      </c>
      <c r="AS828" s="5" t="inlineStr">
        <is>
          <t>https://www.thomsonlocal.com/search/cash-carry-wholesalers/leeds-west-yorkshire</t>
        </is>
      </c>
      <c r="AT828" s="5" t="inlineStr">
        <is>
          <t>3</t>
        </is>
      </c>
      <c r="AU828" s="5" t="inlineStr">
        <is>
          <t>No</t>
        </is>
      </c>
      <c r="AV828" s="5" t="inlineStr">
        <is>
          <t>No</t>
        </is>
      </c>
      <c r="AW828" s="5" t="inlineStr">
        <is>
          <t>No</t>
        </is>
      </c>
      <c r="AX828" s="5" t="inlineStr">
        <is>
          <t>Yes</t>
        </is>
      </c>
      <c r="AY828" s="5" t="inlineStr">
        <is>
          <t>Unverified</t>
        </is>
      </c>
      <c r="AZ828" s="5" t="inlineStr">
        <is>
          <t>Website Found</t>
        </is>
      </c>
      <c r="BA828" s="5" t="inlineStr">
        <is>
          <t>2026-09-17</t>
        </is>
      </c>
      <c r="BB828" s="5" t="inlineStr">
        <is>
          <t>Partially Verified</t>
        </is>
      </c>
      <c r="BC828" s="5" t="inlineStr">
        <is>
          <t>Medium</t>
        </is>
      </c>
      <c r="BD828" s="5" t="inlineStr"/>
      <c r="BE828" s="5" t="inlineStr">
        <is>
          <t>Business (B2B)</t>
        </is>
      </c>
      <c r="BF828" s="5" t="inlineStr">
        <is>
          <t>Legitimate interest (B2B) - assess per campaign; PECR: corporate subscribers</t>
        </is>
      </c>
      <c r="BG828" s="5" t="inlineStr"/>
      <c r="BH828" s="5" t="inlineStr">
        <is>
          <t>No</t>
        </is>
      </c>
      <c r="BI828" s="5" t="inlineStr">
        <is>
          <t>2026-09-16</t>
        </is>
      </c>
      <c r="BJ828" s="5" t="inlineStr">
        <is>
          <t>New</t>
        </is>
      </c>
      <c r="BK828" s="5" t="inlineStr">
        <is>
          <t>2026-09-17</t>
        </is>
      </c>
      <c r="BL828" s="5" t="inlineStr"/>
      <c r="BM828" s="5" t="inlineStr"/>
      <c r="BN828" s="5" t="inlineStr"/>
      <c r="BO828" s="5" t="inlineStr"/>
      <c r="BP828" s="5" t="inlineStr"/>
      <c r="BQ828" s="5" t="inlineStr"/>
    </row>
    <row r="829">
      <c r="A829" s="10" t="inlineStr">
        <is>
          <t>UK-000541</t>
        </is>
      </c>
      <c r="B829" s="10" t="inlineStr">
        <is>
          <t>UK-000541-01</t>
        </is>
      </c>
      <c r="C829" s="10" t="inlineStr"/>
      <c r="D829" s="10" t="inlineStr">
        <is>
          <t>Windmill Grocery</t>
        </is>
      </c>
      <c r="E829" s="10" t="inlineStr">
        <is>
          <t>Windmill Grocery</t>
        </is>
      </c>
      <c r="F829" s="10" t="inlineStr"/>
      <c r="G829" s="10" t="inlineStr">
        <is>
          <t>Independent Supermarket</t>
        </is>
      </c>
      <c r="H829" s="10" t="inlineStr">
        <is>
          <t>Grocery / world food store</t>
        </is>
      </c>
      <c r="I829" s="10" t="inlineStr">
        <is>
          <t>Independent</t>
        </is>
      </c>
      <c r="J829" s="10" t="inlineStr">
        <is>
          <t>1</t>
        </is>
      </c>
      <c r="K829" s="10" t="inlineStr"/>
      <c r="L829" s="10" t="inlineStr"/>
      <c r="M829" s="10" t="inlineStr"/>
      <c r="N829" s="10" t="inlineStr"/>
      <c r="O829" s="10" t="inlineStr">
        <is>
          <t>428 High Street</t>
        </is>
      </c>
      <c r="P829" s="10" t="inlineStr"/>
      <c r="Q829" s="10" t="inlineStr">
        <is>
          <t>Smethwick</t>
        </is>
      </c>
      <c r="R829" s="10" t="inlineStr">
        <is>
          <t>West Midlands</t>
        </is>
      </c>
      <c r="S829" s="10" t="inlineStr">
        <is>
          <t>B66 3PJ</t>
        </is>
      </c>
      <c r="T829" s="10" t="inlineStr">
        <is>
          <t>West Midlands</t>
        </is>
      </c>
      <c r="U829" s="10" t="inlineStr">
        <is>
          <t>England</t>
        </is>
      </c>
      <c r="V829" s="10" t="inlineStr"/>
      <c r="W829" s="10" t="inlineStr"/>
      <c r="X829" s="10" t="inlineStr"/>
      <c r="Y829" s="10" t="inlineStr"/>
      <c r="Z829" s="10" t="inlineStr"/>
      <c r="AA829" s="10" t="inlineStr"/>
      <c r="AB829" s="10" t="inlineStr"/>
      <c r="AC829" s="10" t="inlineStr"/>
      <c r="AD829" s="10" t="inlineStr"/>
      <c r="AE829" s="10" t="inlineStr"/>
      <c r="AF829" s="10" t="inlineStr"/>
      <c r="AG829" s="10" t="inlineStr"/>
      <c r="AH829" s="10" t="inlineStr"/>
      <c r="AI829" s="10" t="inlineStr"/>
      <c r="AJ829" s="10" t="inlineStr"/>
      <c r="AK829" s="10" t="inlineStr">
        <is>
          <t>groceries; fresh produce; world foods</t>
        </is>
      </c>
      <c r="AL829" s="10" t="inlineStr"/>
      <c r="AM829" s="10" t="inlineStr">
        <is>
          <t>Independent Supermarket</t>
        </is>
      </c>
      <c r="AN829" s="10" t="inlineStr"/>
      <c r="AO829" s="10" t="inlineStr">
        <is>
          <t>Independent grocery/world-food store, 428 High Street, Smethwick. Address from 192.com/Cylex Smethwick supermarket listings.</t>
        </is>
      </c>
      <c r="AP829" s="10" t="inlineStr">
        <is>
          <t>Low</t>
        </is>
      </c>
      <c r="AQ829" s="10" t="inlineStr">
        <is>
          <t>Independent retailer; Relevant category</t>
        </is>
      </c>
      <c r="AR829" s="10" t="inlineStr">
        <is>
          <t>https://www.192.com/atoz/business/smethwick/supermarkets/</t>
        </is>
      </c>
      <c r="AS829" s="10" t="inlineStr"/>
      <c r="AT829" s="10" t="inlineStr">
        <is>
          <t>1</t>
        </is>
      </c>
      <c r="AU829" s="10" t="inlineStr">
        <is>
          <t>No</t>
        </is>
      </c>
      <c r="AV829" s="10" t="inlineStr">
        <is>
          <t>No</t>
        </is>
      </c>
      <c r="AW829" s="10" t="inlineStr">
        <is>
          <t>No</t>
        </is>
      </c>
      <c r="AX829" s="10" t="inlineStr">
        <is>
          <t>No</t>
        </is>
      </c>
      <c r="AY829" s="10" t="inlineStr">
        <is>
          <t>Not Found</t>
        </is>
      </c>
      <c r="AZ829" s="10" t="inlineStr">
        <is>
          <t>Not Found</t>
        </is>
      </c>
      <c r="BA829" s="10" t="inlineStr">
        <is>
          <t>2026-09-17</t>
        </is>
      </c>
      <c r="BB829" s="10" t="inlineStr">
        <is>
          <t>Requires Verification</t>
        </is>
      </c>
      <c r="BC829" s="10" t="inlineStr">
        <is>
          <t>Medium</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2026-09-17</t>
        </is>
      </c>
      <c r="BJ829" s="10" t="inlineStr">
        <is>
          <t>New</t>
        </is>
      </c>
      <c r="BK829" s="10" t="inlineStr">
        <is>
          <t>2026-09-17</t>
        </is>
      </c>
      <c r="BL829" s="10" t="inlineStr"/>
      <c r="BM829" s="10" t="inlineStr"/>
      <c r="BN829" s="10" t="inlineStr"/>
      <c r="BO829" s="10" t="inlineStr"/>
      <c r="BP829" s="10" t="inlineStr"/>
      <c r="BQ829" s="10" t="inlineStr"/>
    </row>
    <row r="830">
      <c r="A830" s="5" t="inlineStr">
        <is>
          <t>UK-000846</t>
        </is>
      </c>
      <c r="B830" s="5" t="inlineStr">
        <is>
          <t>UK-000846-01</t>
        </is>
      </c>
      <c r="C830" s="5" t="inlineStr"/>
      <c r="D830" s="5" t="inlineStr">
        <is>
          <t>Windsor Wines &amp; Spirits</t>
        </is>
      </c>
      <c r="E830" s="5" t="inlineStr">
        <is>
          <t>Windsor Wines &amp; Spirits</t>
        </is>
      </c>
      <c r="F830" s="5" t="inlineStr"/>
      <c r="G830" s="5" t="inlineStr">
        <is>
          <t>Off-Licence</t>
        </is>
      </c>
      <c r="H830" s="5" t="inlineStr">
        <is>
          <t>Off-licence / wines &amp; spirits</t>
        </is>
      </c>
      <c r="I830" s="5" t="inlineStr">
        <is>
          <t>Independent</t>
        </is>
      </c>
      <c r="J830" s="5" t="inlineStr">
        <is>
          <t>1</t>
        </is>
      </c>
      <c r="K830" s="5" t="inlineStr"/>
      <c r="L830" s="5" t="inlineStr"/>
      <c r="M830" s="5" t="inlineStr"/>
      <c r="N830" s="5" t="inlineStr"/>
      <c r="O830" s="5" t="inlineStr">
        <is>
          <t>166 Windsor Street</t>
        </is>
      </c>
      <c r="P830" s="5" t="inlineStr">
        <is>
          <t>Toxteth</t>
        </is>
      </c>
      <c r="Q830" s="5" t="inlineStr">
        <is>
          <t>Liverpool</t>
        </is>
      </c>
      <c r="R830" s="5" t="inlineStr">
        <is>
          <t>Merseyside</t>
        </is>
      </c>
      <c r="S830" s="5" t="inlineStr">
        <is>
          <t>L8 8EH</t>
        </is>
      </c>
      <c r="T830" s="5" t="inlineStr">
        <is>
          <t>North West</t>
        </is>
      </c>
      <c r="U830" s="5" t="inlineStr">
        <is>
          <t>England</t>
        </is>
      </c>
      <c r="V830" s="5" t="inlineStr"/>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c r="AK830" s="5" t="inlineStr">
        <is>
          <t>wines; beers; spirits</t>
        </is>
      </c>
      <c r="AL830" s="5" t="inlineStr"/>
      <c r="AM830" s="5" t="inlineStr">
        <is>
          <t>Off-Licence</t>
        </is>
      </c>
      <c r="AN830" s="5" t="inlineStr"/>
      <c r="AO830" s="5" t="inlineStr">
        <is>
          <t>Independent off-licence on Windsor Street, Toxteth (L8).</t>
        </is>
      </c>
      <c r="AP830" s="5" t="inlineStr">
        <is>
          <t>Low</t>
        </is>
      </c>
      <c r="AQ830" s="5" t="inlineStr">
        <is>
          <t>Independent retailer; Relevant category</t>
        </is>
      </c>
      <c r="AR830" s="5" t="inlineStr">
        <is>
          <t>https://liverpool.cylex-uk.co.uk/off-licence-4.html</t>
        </is>
      </c>
      <c r="AS830" s="5" t="inlineStr"/>
      <c r="AT830" s="5" t="inlineStr">
        <is>
          <t>1</t>
        </is>
      </c>
      <c r="AU830" s="5" t="inlineStr">
        <is>
          <t>No</t>
        </is>
      </c>
      <c r="AV830" s="5" t="inlineStr">
        <is>
          <t>No</t>
        </is>
      </c>
      <c r="AW830" s="5" t="inlineStr">
        <is>
          <t>No</t>
        </is>
      </c>
      <c r="AX830" s="5" t="inlineStr">
        <is>
          <t>No</t>
        </is>
      </c>
      <c r="AY830" s="5" t="inlineStr">
        <is>
          <t>Not Found</t>
        </is>
      </c>
      <c r="AZ830" s="5" t="inlineStr">
        <is>
          <t>Not Found</t>
        </is>
      </c>
      <c r="BA830" s="5" t="inlineStr">
        <is>
          <t>2026-09-17</t>
        </is>
      </c>
      <c r="BB830" s="5" t="inlineStr">
        <is>
          <t>Requires Verification</t>
        </is>
      </c>
      <c r="BC830" s="5" t="inlineStr">
        <is>
          <t>Low</t>
        </is>
      </c>
      <c r="BD830" s="5" t="inlineStr"/>
      <c r="BE830" s="5" t="inlineStr">
        <is>
          <t>Business (B2B)</t>
        </is>
      </c>
      <c r="BF830" s="5" t="inlineStr">
        <is>
          <t>Legitimate interest (B2B) - assess per campaign; PECR: corporate subscribers</t>
        </is>
      </c>
      <c r="BG830" s="5" t="inlineStr"/>
      <c r="BH830" s="5" t="inlineStr">
        <is>
          <t>No</t>
        </is>
      </c>
      <c r="BI830" s="5" t="inlineStr">
        <is>
          <t>2026-09-17</t>
        </is>
      </c>
      <c r="BJ830" s="5" t="inlineStr">
        <is>
          <t>New</t>
        </is>
      </c>
      <c r="BK830" s="5" t="inlineStr">
        <is>
          <t>2026-09-17</t>
        </is>
      </c>
      <c r="BL830" s="5" t="inlineStr"/>
      <c r="BM830" s="5" t="inlineStr"/>
      <c r="BN830" s="5" t="inlineStr"/>
      <c r="BO830" s="5" t="inlineStr"/>
      <c r="BP830" s="5" t="inlineStr"/>
      <c r="BQ830" s="5" t="inlineStr"/>
    </row>
    <row r="831">
      <c r="A831" s="10" t="inlineStr">
        <is>
          <t>UK-000413</t>
        </is>
      </c>
      <c r="B831" s="10" t="inlineStr">
        <is>
          <t>UK-000413-01</t>
        </is>
      </c>
      <c r="C831" s="10" t="inlineStr"/>
      <c r="D831" s="10" t="inlineStr">
        <is>
          <t>Winsome Vape</t>
        </is>
      </c>
      <c r="E831" s="10" t="inlineStr">
        <is>
          <t>Winsome Vape</t>
        </is>
      </c>
      <c r="F831" s="10" t="inlineStr"/>
      <c r="G831" s="10" t="inlineStr">
        <is>
          <t>Vape Shop</t>
        </is>
      </c>
      <c r="H831" s="10" t="inlineStr">
        <is>
          <t>Market-stall vape retailer</t>
        </is>
      </c>
      <c r="I831" s="10" t="inlineStr">
        <is>
          <t>Independent</t>
        </is>
      </c>
      <c r="J831" s="10" t="inlineStr">
        <is>
          <t>1</t>
        </is>
      </c>
      <c r="K831" s="10" t="inlineStr">
        <is>
          <t>https://www.winsomevape.co.uk/</t>
        </is>
      </c>
      <c r="L831" s="10" t="inlineStr"/>
      <c r="M831" s="10" t="inlineStr"/>
      <c r="N831" s="10" t="inlineStr"/>
      <c r="O831" s="10" t="inlineStr">
        <is>
          <t>Wigan Indoor Market</t>
        </is>
      </c>
      <c r="P831" s="10" t="inlineStr"/>
      <c r="Q831" s="10" t="inlineStr">
        <is>
          <t>Wigan</t>
        </is>
      </c>
      <c r="R831" s="10" t="inlineStr">
        <is>
          <t>Greater Manchester</t>
        </is>
      </c>
      <c r="S831" s="10" t="inlineStr"/>
      <c r="T831" s="10" t="inlineStr">
        <is>
          <t>North West</t>
        </is>
      </c>
      <c r="U831" s="10" t="inlineStr">
        <is>
          <t>England</t>
        </is>
      </c>
      <c r="V831" s="10" t="inlineStr">
        <is>
          <t>07578 968986</t>
        </is>
      </c>
      <c r="W831" s="10" t="inlineStr"/>
      <c r="X831" s="10" t="inlineStr"/>
      <c r="Y831" s="10" t="inlineStr">
        <is>
          <t>awaisaliazhar@yahoo.com</t>
        </is>
      </c>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vape hardware; e-liquids; disposables</t>
        </is>
      </c>
      <c r="AL831" s="10" t="inlineStr"/>
      <c r="AM831" s="10" t="inlineStr">
        <is>
          <t>Vape Shop</t>
        </is>
      </c>
      <c r="AN831" s="10" t="inlineStr"/>
      <c r="AO831" s="10" t="inlineStr">
        <is>
          <t>Independent vape stall in Wigan Indoor Market with own website. Publicly listed contact email is a personal-style Yahoo address (recorded as published, not attributed to a named individual).</t>
        </is>
      </c>
      <c r="AP831" s="10" t="inlineStr">
        <is>
          <t>High</t>
        </is>
      </c>
      <c r="AQ831" s="10" t="inlineStr">
        <is>
          <t>Independent retailer; Core relevant category; Public email available; Active website; Phone verified on official website</t>
        </is>
      </c>
      <c r="AR831" s="10" t="inlineStr">
        <is>
          <t>https://www.winsomevape.co.uk/</t>
        </is>
      </c>
      <c r="AS831" s="10" t="inlineStr"/>
      <c r="AT831" s="10" t="inlineStr">
        <is>
          <t>1</t>
        </is>
      </c>
      <c r="AU831" s="10" t="inlineStr">
        <is>
          <t>No</t>
        </is>
      </c>
      <c r="AV831" s="10" t="inlineStr">
        <is>
          <t>No</t>
        </is>
      </c>
      <c r="AW831" s="10" t="inlineStr">
        <is>
          <t>No</t>
        </is>
      </c>
      <c r="AX831" s="10" t="inlineStr">
        <is>
          <t>No</t>
        </is>
      </c>
      <c r="AY831" s="10" t="inlineStr">
        <is>
          <t>Verified on official website</t>
        </is>
      </c>
      <c r="AZ831" s="10" t="inlineStr">
        <is>
          <t>Publicly Listed</t>
        </is>
      </c>
      <c r="BA831" s="10" t="inlineStr">
        <is>
          <t>2026-09-17</t>
        </is>
      </c>
      <c r="BB831" s="10" t="inlineStr">
        <is>
          <t>Requires Verification</t>
        </is>
      </c>
      <c r="BC831" s="10" t="inlineStr">
        <is>
          <t>Medium</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2026-09-17</t>
        </is>
      </c>
      <c r="BJ831" s="10" t="inlineStr">
        <is>
          <t>New</t>
        </is>
      </c>
      <c r="BK831" s="10" t="inlineStr">
        <is>
          <t>2026-09-17</t>
        </is>
      </c>
      <c r="BL831" s="10" t="inlineStr"/>
      <c r="BM831" s="10" t="inlineStr"/>
      <c r="BN831" s="10" t="inlineStr"/>
      <c r="BO831" s="10" t="inlineStr"/>
      <c r="BP831" s="10" t="inlineStr"/>
      <c r="BQ831" s="10" t="inlineStr"/>
    </row>
    <row r="832">
      <c r="A832" s="5" t="inlineStr">
        <is>
          <t>UK-000847</t>
        </is>
      </c>
      <c r="B832" s="5" t="inlineStr">
        <is>
          <t>UK-000847-01</t>
        </is>
      </c>
      <c r="C832" s="5" t="inlineStr"/>
      <c r="D832" s="5" t="inlineStr">
        <is>
          <t>Wisla Supermarket &amp; Off Licence</t>
        </is>
      </c>
      <c r="E832" s="5" t="inlineStr">
        <is>
          <t>Wisla Supermarket &amp; Off Licence</t>
        </is>
      </c>
      <c r="F832" s="5" t="inlineStr"/>
      <c r="G832" s="5" t="inlineStr">
        <is>
          <t>Independent Supermarket</t>
        </is>
      </c>
      <c r="H832" s="5" t="inlineStr">
        <is>
          <t>Polish supermarket / off-licence</t>
        </is>
      </c>
      <c r="I832" s="5" t="inlineStr">
        <is>
          <t>Independent</t>
        </is>
      </c>
      <c r="J832" s="5" t="inlineStr">
        <is>
          <t>1</t>
        </is>
      </c>
      <c r="K832" s="5" t="inlineStr"/>
      <c r="L832" s="5" t="inlineStr"/>
      <c r="M832" s="5" t="inlineStr"/>
      <c r="N832" s="5" t="inlineStr"/>
      <c r="O832" s="5" t="inlineStr"/>
      <c r="P832" s="5" t="inlineStr">
        <is>
          <t>Lord Street</t>
        </is>
      </c>
      <c r="Q832" s="5" t="inlineStr">
        <is>
          <t>Southport</t>
        </is>
      </c>
      <c r="R832" s="5" t="inlineStr">
        <is>
          <t>Merseyside</t>
        </is>
      </c>
      <c r="S832" s="5" t="inlineStr"/>
      <c r="T832" s="5" t="inlineStr">
        <is>
          <t>North West</t>
        </is>
      </c>
      <c r="U832" s="5" t="inlineStr">
        <is>
          <t>England</t>
        </is>
      </c>
      <c r="V832" s="5" t="inlineStr"/>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groceries; alcohol; international food</t>
        </is>
      </c>
      <c r="AL832" s="5" t="inlineStr"/>
      <c r="AM832" s="5" t="inlineStr">
        <is>
          <t>Independent Supermarket</t>
        </is>
      </c>
      <c r="AN832" s="5" t="inlineStr"/>
      <c r="AO832" s="5" t="inlineStr">
        <is>
          <t>Independent Polish supermarket and off-licence on Lord Street, Southport, from HereMe local listing. Street number/postcode/phone not confirmed in snippets.</t>
        </is>
      </c>
      <c r="AP832" s="5" t="inlineStr">
        <is>
          <t>Low</t>
        </is>
      </c>
      <c r="AQ832" s="5" t="inlineStr">
        <is>
          <t>Independent retailer; Relevant category</t>
        </is>
      </c>
      <c r="AR832" s="5" t="inlineStr">
        <is>
          <t>https://www.hereme.uk/merseyside/southport/shop-wisla-supermarket-and-off-licence</t>
        </is>
      </c>
      <c r="AS832" s="5" t="inlineStr"/>
      <c r="AT832" s="5" t="inlineStr">
        <is>
          <t>1</t>
        </is>
      </c>
      <c r="AU832" s="5" t="inlineStr">
        <is>
          <t>No</t>
        </is>
      </c>
      <c r="AV832" s="5" t="inlineStr">
        <is>
          <t>No</t>
        </is>
      </c>
      <c r="AW832" s="5" t="inlineStr">
        <is>
          <t>No</t>
        </is>
      </c>
      <c r="AX832" s="5" t="inlineStr">
        <is>
          <t>No</t>
        </is>
      </c>
      <c r="AY832" s="5" t="inlineStr">
        <is>
          <t>Not Found</t>
        </is>
      </c>
      <c r="AZ832" s="5" t="inlineStr">
        <is>
          <t>Not Found</t>
        </is>
      </c>
      <c r="BA832" s="5" t="inlineStr">
        <is>
          <t>2026-09-17</t>
        </is>
      </c>
      <c r="BB832" s="5" t="inlineStr">
        <is>
          <t>Requires Verification</t>
        </is>
      </c>
      <c r="BC832" s="5" t="inlineStr">
        <is>
          <t>Low</t>
        </is>
      </c>
      <c r="BD832" s="5" t="inlineStr"/>
      <c r="BE832" s="5" t="inlineStr">
        <is>
          <t>Business (B2B)</t>
        </is>
      </c>
      <c r="BF832" s="5" t="inlineStr">
        <is>
          <t>Legitimate interest (B2B) - assess per campaign; PECR: corporate subscribers</t>
        </is>
      </c>
      <c r="BG832" s="5" t="inlineStr"/>
      <c r="BH832" s="5" t="inlineStr">
        <is>
          <t>No</t>
        </is>
      </c>
      <c r="BI832" s="5" t="inlineStr">
        <is>
          <t>2026-09-17</t>
        </is>
      </c>
      <c r="BJ832" s="5" t="inlineStr">
        <is>
          <t>New</t>
        </is>
      </c>
      <c r="BK832" s="5" t="inlineStr">
        <is>
          <t>2026-09-17</t>
        </is>
      </c>
      <c r="BL832" s="5" t="inlineStr"/>
      <c r="BM832" s="5" t="inlineStr"/>
      <c r="BN832" s="5" t="inlineStr"/>
      <c r="BO832" s="5" t="inlineStr"/>
      <c r="BP832" s="5" t="inlineStr"/>
      <c r="BQ832" s="5" t="inlineStr"/>
    </row>
    <row r="833">
      <c r="A833" s="10" t="inlineStr">
        <is>
          <t>UK-000848</t>
        </is>
      </c>
      <c r="B833" s="10" t="inlineStr">
        <is>
          <t>UK-000848-01</t>
        </is>
      </c>
      <c r="C833" s="10" t="inlineStr"/>
      <c r="D833" s="10" t="inlineStr">
        <is>
          <t>World Foods Glasgow</t>
        </is>
      </c>
      <c r="E833" s="10" t="inlineStr">
        <is>
          <t>World Foods</t>
        </is>
      </c>
      <c r="F833" s="10" t="inlineStr"/>
      <c r="G833" s="10" t="inlineStr">
        <is>
          <t>Independent Supermarket</t>
        </is>
      </c>
      <c r="H833" s="10" t="inlineStr">
        <is>
          <t>World food / halal grocery supermarket</t>
        </is>
      </c>
      <c r="I833" s="10" t="inlineStr">
        <is>
          <t>Independent</t>
        </is>
      </c>
      <c r="J833" s="10" t="inlineStr">
        <is>
          <t>1</t>
        </is>
      </c>
      <c r="K833" s="10" t="inlineStr"/>
      <c r="L833" s="10" t="inlineStr">
        <is>
          <t>https://www.facebook.com/worldfoodsglasgow/</t>
        </is>
      </c>
      <c r="M833" s="10" t="inlineStr"/>
      <c r="N833" s="10" t="inlineStr"/>
      <c r="O833" s="10" t="inlineStr">
        <is>
          <t>23 Nithsdale Street</t>
        </is>
      </c>
      <c r="P833" s="10" t="inlineStr">
        <is>
          <t>Pollokshields</t>
        </is>
      </c>
      <c r="Q833" s="10" t="inlineStr">
        <is>
          <t>Glasgow</t>
        </is>
      </c>
      <c r="R833" s="10" t="inlineStr">
        <is>
          <t>Glasgow City</t>
        </is>
      </c>
      <c r="S833" s="10" t="inlineStr">
        <is>
          <t>G41 2PZ</t>
        </is>
      </c>
      <c r="T833" s="10" t="inlineStr">
        <is>
          <t>Scotland</t>
        </is>
      </c>
      <c r="U833" s="10" t="inlineStr">
        <is>
          <t>Scotland</t>
        </is>
      </c>
      <c r="V833" s="10" t="inlineStr"/>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halal meat &amp; poultry; fruit &amp; vegetables; Asian &amp; world groceries; household</t>
        </is>
      </c>
      <c r="AL833" s="10" t="inlineStr"/>
      <c r="AM833" s="10" t="inlineStr">
        <is>
          <t>Independent Supermarket</t>
        </is>
      </c>
      <c r="AN833" s="10" t="inlineStr"/>
      <c r="AO833" s="10" t="inlineStr">
        <is>
          <t>Independent world-food / halal supermarket on Nithsdale Street, Pollokshields (Southside). Postcode G41 2PZ from 192.com; phone not confirmed in snippets.</t>
        </is>
      </c>
      <c r="AP833" s="10" t="inlineStr">
        <is>
          <t>Medium</t>
        </is>
      </c>
      <c r="AQ833" s="10" t="inlineStr">
        <is>
          <t>Independent retailer; Relevant category; Social presence</t>
        </is>
      </c>
      <c r="AR833" s="10" t="inlineStr">
        <is>
          <t>https://www.yell.com/biz/world-foods-glasgow-8606449/</t>
        </is>
      </c>
      <c r="AS833" s="10" t="inlineStr">
        <is>
          <t>https://www.192.com/atoz/business/glasgow-g41/supermarkets/world-foods/d170be64e77ee2ad0a08009e16739f704c866d13/ml/</t>
        </is>
      </c>
      <c r="AT833" s="10" t="inlineStr">
        <is>
          <t>2</t>
        </is>
      </c>
      <c r="AU833" s="10" t="inlineStr">
        <is>
          <t>No</t>
        </is>
      </c>
      <c r="AV833" s="10" t="inlineStr">
        <is>
          <t>No</t>
        </is>
      </c>
      <c r="AW833" s="10" t="inlineStr">
        <is>
          <t>No</t>
        </is>
      </c>
      <c r="AX833" s="10" t="inlineStr">
        <is>
          <t>No</t>
        </is>
      </c>
      <c r="AY833" s="10" t="inlineStr">
        <is>
          <t>Not Found</t>
        </is>
      </c>
      <c r="AZ833" s="10" t="inlineStr">
        <is>
          <t>Not Found</t>
        </is>
      </c>
      <c r="BA833" s="10" t="inlineStr">
        <is>
          <t>2026-09-17</t>
        </is>
      </c>
      <c r="BB833" s="10" t="inlineStr">
        <is>
          <t>Requires Verification</t>
        </is>
      </c>
      <c r="BC833" s="10" t="inlineStr">
        <is>
          <t>Medium</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2026-09-17</t>
        </is>
      </c>
      <c r="BJ833" s="10" t="inlineStr">
        <is>
          <t>New</t>
        </is>
      </c>
      <c r="BK833" s="10" t="inlineStr">
        <is>
          <t>2026-09-17</t>
        </is>
      </c>
      <c r="BL833" s="10" t="inlineStr"/>
      <c r="BM833" s="10" t="inlineStr"/>
      <c r="BN833" s="10" t="inlineStr"/>
      <c r="BO833" s="10" t="inlineStr"/>
      <c r="BP833" s="10" t="inlineStr"/>
      <c r="BQ833" s="10" t="inlineStr"/>
    </row>
    <row r="834">
      <c r="A834" s="5" t="inlineStr">
        <is>
          <t>UK-000542</t>
        </is>
      </c>
      <c r="B834" s="5" t="inlineStr">
        <is>
          <t>UK-000542-01</t>
        </is>
      </c>
      <c r="C834" s="5" t="inlineStr"/>
      <c r="D834" s="5" t="inlineStr">
        <is>
          <t>World Foods Superstore</t>
        </is>
      </c>
      <c r="E834" s="5" t="inlineStr">
        <is>
          <t>World Foods Superstore</t>
        </is>
      </c>
      <c r="F834" s="5" t="inlineStr">
        <is>
          <t>World Foods (UK) Limited</t>
        </is>
      </c>
      <c r="G834" s="5" t="inlineStr">
        <is>
          <t>Independent Supermarket</t>
        </is>
      </c>
      <c r="H834" s="5" t="inlineStr">
        <is>
          <t>International grocery superstore</t>
        </is>
      </c>
      <c r="I834" s="5" t="inlineStr">
        <is>
          <t>Independent</t>
        </is>
      </c>
      <c r="J834" s="5" t="inlineStr">
        <is>
          <t>1</t>
        </is>
      </c>
      <c r="K834" s="5" t="inlineStr"/>
      <c r="L834" s="5" t="inlineStr">
        <is>
          <t>https://www.facebook.com/worldfoodssuperstores/</t>
        </is>
      </c>
      <c r="M834" s="5" t="inlineStr"/>
      <c r="N834" s="5" t="inlineStr"/>
      <c r="O834" s="5" t="inlineStr">
        <is>
          <t>15 Bargate Drive</t>
        </is>
      </c>
      <c r="P834" s="5" t="inlineStr">
        <is>
          <t>Whitmore Reans</t>
        </is>
      </c>
      <c r="Q834" s="5" t="inlineStr">
        <is>
          <t>Wolverhampton</t>
        </is>
      </c>
      <c r="R834" s="5" t="inlineStr">
        <is>
          <t>West Midlands</t>
        </is>
      </c>
      <c r="S834" s="5" t="inlineStr">
        <is>
          <t>WV6 0QW</t>
        </is>
      </c>
      <c r="T834" s="5" t="inlineStr">
        <is>
          <t>West Midlands</t>
        </is>
      </c>
      <c r="U834" s="5" t="inlineStr">
        <is>
          <t>England</t>
        </is>
      </c>
      <c r="V834" s="5" t="inlineStr">
        <is>
          <t>01902 421222</t>
        </is>
      </c>
      <c r="W834" s="5" t="inlineStr"/>
      <c r="X834" s="5" t="inlineStr"/>
      <c r="Y834" s="5" t="inlineStr"/>
      <c r="Z834" s="5" t="inlineStr"/>
      <c r="AA834" s="5" t="inlineStr"/>
      <c r="AB834" s="5" t="inlineStr"/>
      <c r="AC834" s="5" t="inlineStr"/>
      <c r="AD834" s="5" t="inlineStr"/>
      <c r="AE834" s="5" t="inlineStr">
        <is>
          <t>07598284</t>
        </is>
      </c>
      <c r="AF834" s="5" t="inlineStr"/>
      <c r="AG834" s="5" t="inlineStr">
        <is>
          <t>WORLD FOODS (UK) LIMITED</t>
        </is>
      </c>
      <c r="AH834" s="5" t="inlineStr"/>
      <c r="AI834" s="5" t="inlineStr"/>
      <c r="AJ834" s="5" t="inlineStr"/>
      <c r="AK834" s="5" t="inlineStr">
        <is>
          <t>international/world foods; groceries; DHL service point</t>
        </is>
      </c>
      <c r="AL834" s="5" t="inlineStr"/>
      <c r="AM834" s="5" t="inlineStr">
        <is>
          <t>Independent Supermarket</t>
        </is>
      </c>
      <c r="AN834" s="5" t="inlineStr"/>
      <c r="AO834" s="5" t="inlineStr">
        <is>
          <t>International grocery superstore in Whitmore Reans (Bargate Drive). Companies House match by trading name/area (World Foods (UK) Limited).</t>
        </is>
      </c>
      <c r="AP834" s="5" t="inlineStr">
        <is>
          <t>Medium</t>
        </is>
      </c>
      <c r="AQ834" s="5" t="inlineStr">
        <is>
          <t>Independent retailer; Relevant category; Social presence</t>
        </is>
      </c>
      <c r="AR834" s="5" t="inlineStr">
        <is>
          <t>https://find-and-update.company-information.service.gov.uk/company/07598284</t>
        </is>
      </c>
      <c r="AS834" s="5" t="inlineStr">
        <is>
          <t>https://world-food-superstore.wheree.com/</t>
        </is>
      </c>
      <c r="AT834" s="5" t="inlineStr">
        <is>
          <t>2</t>
        </is>
      </c>
      <c r="AU834" s="5" t="inlineStr">
        <is>
          <t>No</t>
        </is>
      </c>
      <c r="AV834" s="5" t="inlineStr">
        <is>
          <t>No</t>
        </is>
      </c>
      <c r="AW834" s="5" t="inlineStr">
        <is>
          <t>No</t>
        </is>
      </c>
      <c r="AX834" s="5" t="inlineStr">
        <is>
          <t>No</t>
        </is>
      </c>
      <c r="AY834" s="5" t="inlineStr">
        <is>
          <t>Verified directory</t>
        </is>
      </c>
      <c r="AZ834" s="5" t="inlineStr">
        <is>
          <t>Not Found</t>
        </is>
      </c>
      <c r="BA834" s="5" t="inlineStr">
        <is>
          <t>2026-09-17</t>
        </is>
      </c>
      <c r="BB834" s="5" t="inlineStr">
        <is>
          <t>Requires Verification</t>
        </is>
      </c>
      <c r="BC834" s="5" t="inlineStr">
        <is>
          <t>Medium</t>
        </is>
      </c>
      <c r="BD834" s="5" t="inlineStr"/>
      <c r="BE834" s="5" t="inlineStr">
        <is>
          <t>Business (B2B)</t>
        </is>
      </c>
      <c r="BF834" s="5" t="inlineStr">
        <is>
          <t>Legitimate interest (B2B) - assess per campaign; PECR: corporate subscribers</t>
        </is>
      </c>
      <c r="BG834" s="5" t="inlineStr"/>
      <c r="BH834" s="5" t="inlineStr">
        <is>
          <t>No</t>
        </is>
      </c>
      <c r="BI834" s="5" t="inlineStr">
        <is>
          <t>2026-09-17</t>
        </is>
      </c>
      <c r="BJ834" s="5" t="inlineStr">
        <is>
          <t>New</t>
        </is>
      </c>
      <c r="BK834" s="5" t="inlineStr">
        <is>
          <t>2026-09-17</t>
        </is>
      </c>
      <c r="BL834" s="5" t="inlineStr"/>
      <c r="BM834" s="5" t="inlineStr"/>
      <c r="BN834" s="5" t="inlineStr"/>
      <c r="BO834" s="5" t="inlineStr"/>
      <c r="BP834" s="5" t="inlineStr"/>
      <c r="BQ834" s="5" t="inlineStr"/>
    </row>
    <row r="835">
      <c r="A835" s="10" t="inlineStr">
        <is>
          <t>UK-000543</t>
        </is>
      </c>
      <c r="B835" s="10" t="inlineStr">
        <is>
          <t>UK-000543-01</t>
        </is>
      </c>
      <c r="C835" s="10" t="inlineStr"/>
      <c r="D835" s="10" t="inlineStr">
        <is>
          <t>Worldwide Foods</t>
        </is>
      </c>
      <c r="E835" s="10" t="inlineStr">
        <is>
          <t>Worldwide Foods</t>
        </is>
      </c>
      <c r="F835" s="10" t="inlineStr"/>
      <c r="G835" s="10" t="inlineStr">
        <is>
          <t>Independent Supermarket</t>
        </is>
      </c>
      <c r="H835" s="10" t="inlineStr">
        <is>
          <t>World food supermarket</t>
        </is>
      </c>
      <c r="I835" s="10" t="inlineStr">
        <is>
          <t>Independent</t>
        </is>
      </c>
      <c r="J835" s="10" t="inlineStr">
        <is>
          <t>1</t>
        </is>
      </c>
      <c r="K835" s="10" t="inlineStr">
        <is>
          <t>https://www.worldwidefoods.co.uk/</t>
        </is>
      </c>
      <c r="L835" s="10" t="inlineStr">
        <is>
          <t>https://www.facebook.com/worldwidefoods/</t>
        </is>
      </c>
      <c r="M835" s="10" t="inlineStr"/>
      <c r="N835" s="10" t="inlineStr"/>
      <c r="O835" s="10" t="inlineStr">
        <is>
          <t>7 Alum Rock Road</t>
        </is>
      </c>
      <c r="P835" s="10" t="inlineStr">
        <is>
          <t>Alum Rock</t>
        </is>
      </c>
      <c r="Q835" s="10" t="inlineStr">
        <is>
          <t>Birmingham</t>
        </is>
      </c>
      <c r="R835" s="10" t="inlineStr">
        <is>
          <t>West Midlands</t>
        </is>
      </c>
      <c r="S835" s="10" t="inlineStr">
        <is>
          <t>B8 1LL</t>
        </is>
      </c>
      <c r="T835" s="10" t="inlineStr">
        <is>
          <t>West Midlands</t>
        </is>
      </c>
      <c r="U835" s="10" t="inlineStr">
        <is>
          <t>England</t>
        </is>
      </c>
      <c r="V835" s="10" t="inlineStr">
        <is>
          <t>0121 327 0074</t>
        </is>
      </c>
      <c r="W835" s="10" t="inlineStr"/>
      <c r="X835" s="10" t="inlineStr"/>
      <c r="Y835" s="10" t="inlineStr"/>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world food; grocery; fresh produce</t>
        </is>
      </c>
      <c r="AL835" s="10" t="inlineStr"/>
      <c r="AM835" s="10" t="inlineStr">
        <is>
          <t>Independent Supermarket</t>
        </is>
      </c>
      <c r="AN835" s="10" t="inlineStr"/>
      <c r="AO835" s="10" t="inlineStr">
        <is>
          <t>World food supermarket on Alum Rock Road. Related registered names Worldwide Foods (Birmingham) Ltd / Worldwide Foods Birmingham Ltd seen at Companies House (not individually verified).</t>
        </is>
      </c>
      <c r="AP835" s="10" t="inlineStr">
        <is>
          <t>Medium</t>
        </is>
      </c>
      <c r="AQ835" s="10" t="inlineStr">
        <is>
          <t>Independent retailer; Relevant category; Active website; Social presence</t>
        </is>
      </c>
      <c r="AR835" s="10" t="inlineStr">
        <is>
          <t>https://directory.shropshirestar.co.uk/company/438078949687297</t>
        </is>
      </c>
      <c r="AS835" s="10" t="inlineStr"/>
      <c r="AT835" s="10" t="inlineStr">
        <is>
          <t>1</t>
        </is>
      </c>
      <c r="AU835" s="10" t="inlineStr">
        <is>
          <t>No</t>
        </is>
      </c>
      <c r="AV835" s="10" t="inlineStr">
        <is>
          <t>No</t>
        </is>
      </c>
      <c r="AW835" s="10" t="inlineStr">
        <is>
          <t>No</t>
        </is>
      </c>
      <c r="AX835" s="10" t="inlineStr">
        <is>
          <t>No</t>
        </is>
      </c>
      <c r="AY835" s="10" t="inlineStr">
        <is>
          <t>Verified directory</t>
        </is>
      </c>
      <c r="AZ835" s="10" t="inlineStr">
        <is>
          <t>Website Found</t>
        </is>
      </c>
      <c r="BA835" s="10" t="inlineStr">
        <is>
          <t>2026-09-17</t>
        </is>
      </c>
      <c r="BB835" s="10" t="inlineStr">
        <is>
          <t>Requires Verification</t>
        </is>
      </c>
      <c r="BC835" s="10" t="inlineStr">
        <is>
          <t>Medium</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2026-09-17</t>
        </is>
      </c>
      <c r="BJ835" s="10" t="inlineStr">
        <is>
          <t>New</t>
        </is>
      </c>
      <c r="BK835" s="10" t="inlineStr">
        <is>
          <t>2026-09-17</t>
        </is>
      </c>
      <c r="BL835" s="10" t="inlineStr"/>
      <c r="BM835" s="10" t="inlineStr"/>
      <c r="BN835" s="10" t="inlineStr"/>
      <c r="BO835" s="10" t="inlineStr"/>
      <c r="BP835" s="10" t="inlineStr"/>
      <c r="BQ835" s="10" t="inlineStr"/>
    </row>
    <row r="836">
      <c r="A836" s="5" t="inlineStr">
        <is>
          <t>UK-000544</t>
        </is>
      </c>
      <c r="B836" s="5" t="inlineStr">
        <is>
          <t>UK-000544-01</t>
        </is>
      </c>
      <c r="C836" s="5" t="inlineStr"/>
      <c r="D836" s="5" t="inlineStr">
        <is>
          <t>XO Convenience Store</t>
        </is>
      </c>
      <c r="E836" s="5" t="inlineStr">
        <is>
          <t>XO Convenience Store</t>
        </is>
      </c>
      <c r="F836" s="5" t="inlineStr"/>
      <c r="G836" s="5" t="inlineStr">
        <is>
          <t>Convenience Store</t>
        </is>
      </c>
      <c r="H836" s="5" t="inlineStr">
        <is>
          <t>Convenience store</t>
        </is>
      </c>
      <c r="I836" s="5" t="inlineStr">
        <is>
          <t>Independent</t>
        </is>
      </c>
      <c r="J836" s="5" t="inlineStr">
        <is>
          <t>1</t>
        </is>
      </c>
      <c r="K836" s="5" t="inlineStr"/>
      <c r="L836" s="5" t="inlineStr"/>
      <c r="M836" s="5" t="inlineStr"/>
      <c r="N836" s="5" t="inlineStr"/>
      <c r="O836" s="5" t="inlineStr">
        <is>
          <t>1049 Pershore Road</t>
        </is>
      </c>
      <c r="P836" s="5" t="inlineStr">
        <is>
          <t>Stirchley</t>
        </is>
      </c>
      <c r="Q836" s="5" t="inlineStr">
        <is>
          <t>Birmingham</t>
        </is>
      </c>
      <c r="R836" s="5" t="inlineStr">
        <is>
          <t>West Midlands</t>
        </is>
      </c>
      <c r="S836" s="5" t="inlineStr">
        <is>
          <t>B30 2YH</t>
        </is>
      </c>
      <c r="T836" s="5" t="inlineStr">
        <is>
          <t>West Midlands</t>
        </is>
      </c>
      <c r="U836" s="5" t="inlineStr">
        <is>
          <t>England</t>
        </is>
      </c>
      <c r="V836" s="5" t="inlineStr"/>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convenience grocery</t>
        </is>
      </c>
      <c r="AL836" s="5" t="inlineStr"/>
      <c r="AM836" s="5" t="inlineStr">
        <is>
          <t>Convenience Store</t>
        </is>
      </c>
      <c r="AN836" s="5" t="inlineStr"/>
      <c r="AO836" s="5" t="inlineStr">
        <is>
          <t>Convenience store on Pershore Road, Stirchley.</t>
        </is>
      </c>
      <c r="AP836" s="5" t="inlineStr">
        <is>
          <t>Low</t>
        </is>
      </c>
      <c r="AQ836" s="5" t="inlineStr">
        <is>
          <t>Independent retailer; Relevant category</t>
        </is>
      </c>
      <c r="AR836" s="5" t="inlineStr">
        <is>
          <t>https://wanderboat.ai/local-businesses/united-kingdom/birmingham/xo-convenience-store/qJ7jZ5ggTf-kodfvot4yHg</t>
        </is>
      </c>
      <c r="AS836" s="5" t="inlineStr"/>
      <c r="AT836" s="5" t="inlineStr">
        <is>
          <t>1</t>
        </is>
      </c>
      <c r="AU836" s="5" t="inlineStr">
        <is>
          <t>No</t>
        </is>
      </c>
      <c r="AV836" s="5" t="inlineStr">
        <is>
          <t>No</t>
        </is>
      </c>
      <c r="AW836" s="5" t="inlineStr">
        <is>
          <t>No</t>
        </is>
      </c>
      <c r="AX836" s="5" t="inlineStr">
        <is>
          <t>No</t>
        </is>
      </c>
      <c r="AY836" s="5" t="inlineStr">
        <is>
          <t>Not Found</t>
        </is>
      </c>
      <c r="AZ836" s="5" t="inlineStr">
        <is>
          <t>Not Found</t>
        </is>
      </c>
      <c r="BA836" s="5" t="inlineStr">
        <is>
          <t>2026-09-17</t>
        </is>
      </c>
      <c r="BB836" s="5" t="inlineStr">
        <is>
          <t>Requires Verification</t>
        </is>
      </c>
      <c r="BC836" s="5" t="inlineStr">
        <is>
          <t>Low</t>
        </is>
      </c>
      <c r="BD836" s="5" t="inlineStr"/>
      <c r="BE836" s="5" t="inlineStr">
        <is>
          <t>Business (B2B)</t>
        </is>
      </c>
      <c r="BF836" s="5" t="inlineStr">
        <is>
          <t>Legitimate interest (B2B) - assess per campaign; PECR: corporate subscribers</t>
        </is>
      </c>
      <c r="BG836" s="5" t="inlineStr"/>
      <c r="BH836" s="5" t="inlineStr">
        <is>
          <t>No</t>
        </is>
      </c>
      <c r="BI836" s="5" t="inlineStr">
        <is>
          <t>2026-09-17</t>
        </is>
      </c>
      <c r="BJ836" s="5" t="inlineStr">
        <is>
          <t>New</t>
        </is>
      </c>
      <c r="BK836" s="5" t="inlineStr">
        <is>
          <t>2026-09-17</t>
        </is>
      </c>
      <c r="BL836" s="5" t="inlineStr"/>
      <c r="BM836" s="5" t="inlineStr"/>
      <c r="BN836" s="5" t="inlineStr"/>
      <c r="BO836" s="5" t="inlineStr"/>
      <c r="BP836" s="5" t="inlineStr"/>
      <c r="BQ836" s="5" t="inlineStr"/>
    </row>
    <row r="837">
      <c r="A837" s="10" t="inlineStr">
        <is>
          <t>UK-000690</t>
        </is>
      </c>
      <c r="B837" s="10" t="inlineStr">
        <is>
          <t>UK-000690-01</t>
        </is>
      </c>
      <c r="C837" s="10" t="inlineStr"/>
      <c r="D837" s="10" t="inlineStr">
        <is>
          <t>Yagmur</t>
        </is>
      </c>
      <c r="E837" s="10" t="inlineStr">
        <is>
          <t>Yagmur</t>
        </is>
      </c>
      <c r="F837" s="10" t="inlineStr"/>
      <c r="G837" s="10" t="inlineStr">
        <is>
          <t>Off-Licence</t>
        </is>
      </c>
      <c r="H837" s="10" t="inlineStr">
        <is>
          <t>Off-licence &amp; grocery</t>
        </is>
      </c>
      <c r="I837" s="10" t="inlineStr">
        <is>
          <t>Independent</t>
        </is>
      </c>
      <c r="J837" s="10" t="inlineStr">
        <is>
          <t>1</t>
        </is>
      </c>
      <c r="K837" s="10" t="inlineStr"/>
      <c r="L837" s="10" t="inlineStr"/>
      <c r="M837" s="10" t="inlineStr"/>
      <c r="N837" s="10" t="inlineStr"/>
      <c r="O837" s="10" t="inlineStr">
        <is>
          <t>1 Rugby Road</t>
        </is>
      </c>
      <c r="P837" s="10" t="inlineStr"/>
      <c r="Q837" s="10" t="inlineStr">
        <is>
          <t>Dagenham</t>
        </is>
      </c>
      <c r="R837" s="10" t="inlineStr">
        <is>
          <t>Greater London</t>
        </is>
      </c>
      <c r="S837" s="10" t="inlineStr">
        <is>
          <t>RM9 4AL</t>
        </is>
      </c>
      <c r="T837" s="10" t="inlineStr">
        <is>
          <t>London</t>
        </is>
      </c>
      <c r="U837" s="10" t="inlineStr">
        <is>
          <t>England</t>
        </is>
      </c>
      <c r="V837" s="10" t="inlineStr">
        <is>
          <t>020 8592 1818</t>
        </is>
      </c>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alcohol; groceries; tobacco</t>
        </is>
      </c>
      <c r="AL837" s="10" t="inlineStr"/>
      <c r="AM837" s="10" t="inlineStr">
        <is>
          <t>Off-Licence</t>
        </is>
      </c>
      <c r="AN837" s="10" t="inlineStr"/>
      <c r="AO837" s="10" t="inlineStr">
        <is>
          <t>Off-licence/grocery on Rugby Road, Dagenham. Address/postcode/phone from Yell directory.</t>
        </is>
      </c>
      <c r="AP837" s="10" t="inlineStr">
        <is>
          <t>Low</t>
        </is>
      </c>
      <c r="AQ837" s="10" t="inlineStr">
        <is>
          <t>Independent retailer; Relevant category</t>
        </is>
      </c>
      <c r="AR837" s="10" t="inlineStr">
        <is>
          <t>https://www.yell.com/s/off+licences-london+borough+of+barking+and+dagenham.html</t>
        </is>
      </c>
      <c r="AS837" s="10" t="inlineStr"/>
      <c r="AT837" s="10" t="inlineStr">
        <is>
          <t>1</t>
        </is>
      </c>
      <c r="AU837" s="10" t="inlineStr">
        <is>
          <t>No</t>
        </is>
      </c>
      <c r="AV837" s="10" t="inlineStr">
        <is>
          <t>No</t>
        </is>
      </c>
      <c r="AW837" s="10" t="inlineStr">
        <is>
          <t>No</t>
        </is>
      </c>
      <c r="AX837" s="10" t="inlineStr">
        <is>
          <t>No</t>
        </is>
      </c>
      <c r="AY837" s="10" t="inlineStr">
        <is>
          <t>Verified directory</t>
        </is>
      </c>
      <c r="AZ837" s="10" t="inlineStr">
        <is>
          <t>Not Found</t>
        </is>
      </c>
      <c r="BA837" s="10" t="inlineStr">
        <is>
          <t>2026-09-17</t>
        </is>
      </c>
      <c r="BB837" s="10" t="inlineStr">
        <is>
          <t>Requires Verification</t>
        </is>
      </c>
      <c r="BC837" s="10" t="inlineStr">
        <is>
          <t>Medium</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2026-09-17</t>
        </is>
      </c>
      <c r="BJ837" s="10" t="inlineStr">
        <is>
          <t>New</t>
        </is>
      </c>
      <c r="BK837" s="10" t="inlineStr">
        <is>
          <t>2026-09-17</t>
        </is>
      </c>
      <c r="BL837" s="10" t="inlineStr"/>
      <c r="BM837" s="10" t="inlineStr"/>
      <c r="BN837" s="10" t="inlineStr"/>
      <c r="BO837" s="10" t="inlineStr"/>
      <c r="BP837" s="10" t="inlineStr"/>
      <c r="BQ837" s="10" t="inlineStr"/>
    </row>
    <row r="838">
      <c r="A838" s="5" t="inlineStr">
        <is>
          <t>UK-000545</t>
        </is>
      </c>
      <c r="B838" s="5" t="inlineStr">
        <is>
          <t>UK-000545-01</t>
        </is>
      </c>
      <c r="C838" s="5" t="inlineStr"/>
      <c r="D838" s="5" t="inlineStr">
        <is>
          <t>Yalda Nights Shisha Lounge</t>
        </is>
      </c>
      <c r="E838" s="5" t="inlineStr">
        <is>
          <t>Yalda Nights Shisha Lounge</t>
        </is>
      </c>
      <c r="F838" s="5" t="inlineStr"/>
      <c r="G838" s="5" t="inlineStr">
        <is>
          <t>Smoke / Shisha Shop</t>
        </is>
      </c>
      <c r="H838" s="5" t="inlineStr">
        <is>
          <t>Shisha lounge</t>
        </is>
      </c>
      <c r="I838" s="5" t="inlineStr">
        <is>
          <t>Independent</t>
        </is>
      </c>
      <c r="J838" s="5" t="inlineStr">
        <is>
          <t>1</t>
        </is>
      </c>
      <c r="K838" s="5" t="inlineStr"/>
      <c r="L838" s="5" t="inlineStr">
        <is>
          <t>https://www.facebook.com/p/Yalda-Nights-Shisha-Lounge-100054290121231/</t>
        </is>
      </c>
      <c r="M838" s="5" t="inlineStr"/>
      <c r="N838" s="5" t="inlineStr"/>
      <c r="O838" s="5" t="inlineStr">
        <is>
          <t>Sunbeam Street</t>
        </is>
      </c>
      <c r="P838" s="5" t="inlineStr"/>
      <c r="Q838" s="5" t="inlineStr">
        <is>
          <t>Wolverhampton</t>
        </is>
      </c>
      <c r="R838" s="5" t="inlineStr">
        <is>
          <t>West Midlands</t>
        </is>
      </c>
      <c r="S838" s="5" t="inlineStr">
        <is>
          <t>WV2 4PF</t>
        </is>
      </c>
      <c r="T838" s="5" t="inlineStr">
        <is>
          <t>West Midlands</t>
        </is>
      </c>
      <c r="U838" s="5" t="inlineStr">
        <is>
          <t>England</t>
        </is>
      </c>
      <c r="V838" s="5" t="inlineStr"/>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shisha; hookah tobacco; lounge</t>
        </is>
      </c>
      <c r="AL838" s="5" t="inlineStr"/>
      <c r="AM838" s="5" t="inlineStr">
        <is>
          <t>Smoke / Shisha Shop</t>
        </is>
      </c>
      <c r="AN838" s="5" t="inlineStr"/>
      <c r="AO838" s="5" t="inlineStr">
        <is>
          <t>Shisha lounge on Sunbeam Street, Wolverhampton (WV2).</t>
        </is>
      </c>
      <c r="AP838" s="5" t="inlineStr">
        <is>
          <t>Medium</t>
        </is>
      </c>
      <c r="AQ838" s="5" t="inlineStr">
        <is>
          <t>Independent retailer; Core relevant category; Social presence</t>
        </is>
      </c>
      <c r="AR838" s="5" t="inlineStr">
        <is>
          <t>https://www.facebook.com/100054290121231/about/</t>
        </is>
      </c>
      <c r="AS838" s="5" t="inlineStr"/>
      <c r="AT838" s="5" t="inlineStr">
        <is>
          <t>1</t>
        </is>
      </c>
      <c r="AU838" s="5" t="inlineStr">
        <is>
          <t>No</t>
        </is>
      </c>
      <c r="AV838" s="5" t="inlineStr">
        <is>
          <t>No</t>
        </is>
      </c>
      <c r="AW838" s="5" t="inlineStr">
        <is>
          <t>No</t>
        </is>
      </c>
      <c r="AX838" s="5" t="inlineStr">
        <is>
          <t>No</t>
        </is>
      </c>
      <c r="AY838" s="5" t="inlineStr">
        <is>
          <t>Not Found</t>
        </is>
      </c>
      <c r="AZ838" s="5" t="inlineStr">
        <is>
          <t>Not Found</t>
        </is>
      </c>
      <c r="BA838" s="5" t="inlineStr">
        <is>
          <t>2026-09-17</t>
        </is>
      </c>
      <c r="BB838" s="5" t="inlineStr">
        <is>
          <t>Requires Verification</t>
        </is>
      </c>
      <c r="BC838" s="5" t="inlineStr">
        <is>
          <t>Low</t>
        </is>
      </c>
      <c r="BD838" s="5" t="inlineStr"/>
      <c r="BE838" s="5" t="inlineStr">
        <is>
          <t>Business (B2B)</t>
        </is>
      </c>
      <c r="BF838" s="5" t="inlineStr">
        <is>
          <t>Legitimate interest (B2B) - assess per campaign; PECR: corporate subscribers</t>
        </is>
      </c>
      <c r="BG838" s="5" t="inlineStr"/>
      <c r="BH838" s="5" t="inlineStr">
        <is>
          <t>No</t>
        </is>
      </c>
      <c r="BI838" s="5" t="inlineStr">
        <is>
          <t>2026-09-17</t>
        </is>
      </c>
      <c r="BJ838" s="5" t="inlineStr">
        <is>
          <t>New</t>
        </is>
      </c>
      <c r="BK838" s="5" t="inlineStr">
        <is>
          <t>2026-09-17</t>
        </is>
      </c>
      <c r="BL838" s="5" t="inlineStr"/>
      <c r="BM838" s="5" t="inlineStr"/>
      <c r="BN838" s="5" t="inlineStr"/>
      <c r="BO838" s="5" t="inlineStr"/>
      <c r="BP838" s="5" t="inlineStr"/>
      <c r="BQ838" s="5" t="inlineStr"/>
    </row>
    <row r="839">
      <c r="A839" s="10" t="inlineStr">
        <is>
          <t>UK-000414</t>
        </is>
      </c>
      <c r="B839" s="10" t="inlineStr">
        <is>
          <t>UK-000414-01</t>
        </is>
      </c>
      <c r="C839" s="10" t="inlineStr"/>
      <c r="D839" s="10" t="inlineStr">
        <is>
          <t>Yo1stop Convenience Store</t>
        </is>
      </c>
      <c r="E839" s="10" t="inlineStr">
        <is>
          <t>Yo1stop Convenience Store</t>
        </is>
      </c>
      <c r="F839" s="10" t="inlineStr"/>
      <c r="G839" s="10" t="inlineStr">
        <is>
          <t>Convenience Store</t>
        </is>
      </c>
      <c r="H839" s="10" t="inlineStr"/>
      <c r="I839" s="10" t="inlineStr">
        <is>
          <t>Independent</t>
        </is>
      </c>
      <c r="J839" s="10" t="inlineStr">
        <is>
          <t>1</t>
        </is>
      </c>
      <c r="K839" s="10" t="inlineStr"/>
      <c r="L839" s="10" t="inlineStr"/>
      <c r="M839" s="10" t="inlineStr"/>
      <c r="N839" s="10" t="inlineStr"/>
      <c r="O839" s="10" t="inlineStr">
        <is>
          <t>1 Middleton Road</t>
        </is>
      </c>
      <c r="P839" s="10" t="inlineStr"/>
      <c r="Q839" s="10" t="inlineStr">
        <is>
          <t>Heywood</t>
        </is>
      </c>
      <c r="R839" s="10" t="inlineStr">
        <is>
          <t>Greater Manchester</t>
        </is>
      </c>
      <c r="S839" s="10" t="inlineStr">
        <is>
          <t>OL10 2HS</t>
        </is>
      </c>
      <c r="T839" s="10" t="inlineStr">
        <is>
          <t>North West</t>
        </is>
      </c>
      <c r="U839" s="10" t="inlineStr">
        <is>
          <t>England</t>
        </is>
      </c>
      <c r="V839" s="10" t="inlineStr"/>
      <c r="W839" s="10" t="inlineStr"/>
      <c r="X839" s="10" t="inlineStr"/>
      <c r="Y839" s="10" t="inlineStr"/>
      <c r="Z839" s="10" t="inlineStr"/>
      <c r="AA839" s="10" t="inlineStr"/>
      <c r="AB839" s="10" t="inlineStr"/>
      <c r="AC839" s="10" t="inlineStr"/>
      <c r="AD839" s="10" t="inlineStr"/>
      <c r="AE839" s="10" t="inlineStr"/>
      <c r="AF839" s="10" t="inlineStr"/>
      <c r="AG839" s="10" t="inlineStr"/>
      <c r="AH839" s="10" t="inlineStr"/>
      <c r="AI839" s="10" t="inlineStr"/>
      <c r="AJ839" s="10" t="inlineStr"/>
      <c r="AK839" s="10" t="inlineStr">
        <is>
          <t>convenience; groceries; alcohol</t>
        </is>
      </c>
      <c r="AL839" s="10" t="inlineStr"/>
      <c r="AM839" s="10" t="inlineStr">
        <is>
          <t>Convenience Store</t>
        </is>
      </c>
      <c r="AN839" s="10" t="inlineStr"/>
      <c r="AO839" s="10" t="inlineStr">
        <is>
          <t>Independent convenience store on Middleton Road, Heywood.</t>
        </is>
      </c>
      <c r="AP839" s="10" t="inlineStr">
        <is>
          <t>Low</t>
        </is>
      </c>
      <c r="AQ839" s="10" t="inlineStr">
        <is>
          <t>Independent retailer; Relevant category</t>
        </is>
      </c>
      <c r="AR839" s="10" t="inlineStr">
        <is>
          <t>https://heywood.cylex-uk.co.uk/convenience-stores/</t>
        </is>
      </c>
      <c r="AS839" s="10" t="inlineStr"/>
      <c r="AT839" s="10" t="inlineStr">
        <is>
          <t>1</t>
        </is>
      </c>
      <c r="AU839" s="10" t="inlineStr">
        <is>
          <t>No</t>
        </is>
      </c>
      <c r="AV839" s="10" t="inlineStr">
        <is>
          <t>No</t>
        </is>
      </c>
      <c r="AW839" s="10" t="inlineStr">
        <is>
          <t>No</t>
        </is>
      </c>
      <c r="AX839" s="10" t="inlineStr">
        <is>
          <t>No</t>
        </is>
      </c>
      <c r="AY839" s="10" t="inlineStr">
        <is>
          <t>Not Found</t>
        </is>
      </c>
      <c r="AZ839" s="10" t="inlineStr">
        <is>
          <t>Not Found</t>
        </is>
      </c>
      <c r="BA839" s="10" t="inlineStr">
        <is>
          <t>2026-09-17</t>
        </is>
      </c>
      <c r="BB839" s="10" t="inlineStr">
        <is>
          <t>Requires Verification</t>
        </is>
      </c>
      <c r="BC839" s="10" t="inlineStr">
        <is>
          <t>Low</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2026-09-17</t>
        </is>
      </c>
      <c r="BJ839" s="10" t="inlineStr">
        <is>
          <t>New</t>
        </is>
      </c>
      <c r="BK839" s="10" t="inlineStr">
        <is>
          <t>2026-09-17</t>
        </is>
      </c>
      <c r="BL839" s="10" t="inlineStr"/>
      <c r="BM839" s="10" t="inlineStr"/>
      <c r="BN839" s="10" t="inlineStr"/>
      <c r="BO839" s="10" t="inlineStr"/>
      <c r="BP839" s="10" t="inlineStr"/>
      <c r="BQ839" s="10" t="inlineStr"/>
    </row>
    <row r="840">
      <c r="A840" s="5" t="inlineStr">
        <is>
          <t>UK-000415</t>
        </is>
      </c>
      <c r="B840" s="5" t="inlineStr">
        <is>
          <t>UK-000415-01</t>
        </is>
      </c>
      <c r="C840" s="5" t="inlineStr"/>
      <c r="D840" s="5" t="inlineStr">
        <is>
          <t>York Street Convenience Store</t>
        </is>
      </c>
      <c r="E840" s="5" t="inlineStr">
        <is>
          <t>York Street Convenience Store</t>
        </is>
      </c>
      <c r="F840" s="5" t="inlineStr"/>
      <c r="G840" s="5" t="inlineStr">
        <is>
          <t>Convenience Store</t>
        </is>
      </c>
      <c r="H840" s="5" t="inlineStr"/>
      <c r="I840" s="5" t="inlineStr">
        <is>
          <t>Independent</t>
        </is>
      </c>
      <c r="J840" s="5" t="inlineStr">
        <is>
          <t>1</t>
        </is>
      </c>
      <c r="K840" s="5" t="inlineStr"/>
      <c r="L840" s="5" t="inlineStr"/>
      <c r="M840" s="5" t="inlineStr"/>
      <c r="N840" s="5" t="inlineStr"/>
      <c r="O840" s="5" t="inlineStr">
        <is>
          <t>75 York Street</t>
        </is>
      </c>
      <c r="P840" s="5" t="inlineStr"/>
      <c r="Q840" s="5" t="inlineStr">
        <is>
          <t>Heywood</t>
        </is>
      </c>
      <c r="R840" s="5" t="inlineStr">
        <is>
          <t>Greater Manchester</t>
        </is>
      </c>
      <c r="S840" s="5" t="inlineStr">
        <is>
          <t>OL10 4NR</t>
        </is>
      </c>
      <c r="T840" s="5" t="inlineStr">
        <is>
          <t>North West</t>
        </is>
      </c>
      <c r="U840" s="5" t="inlineStr">
        <is>
          <t>England</t>
        </is>
      </c>
      <c r="V840" s="5" t="inlineStr"/>
      <c r="W840" s="5" t="inlineStr"/>
      <c r="X840" s="5" t="inlineStr"/>
      <c r="Y840" s="5" t="inlineStr"/>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convenience; groceries</t>
        </is>
      </c>
      <c r="AL840" s="5" t="inlineStr"/>
      <c r="AM840" s="5" t="inlineStr">
        <is>
          <t>Convenience Store</t>
        </is>
      </c>
      <c r="AN840" s="5" t="inlineStr"/>
      <c r="AO840" s="5" t="inlineStr">
        <is>
          <t>Independent convenience store on York Street, Heywood.</t>
        </is>
      </c>
      <c r="AP840" s="5" t="inlineStr">
        <is>
          <t>Low</t>
        </is>
      </c>
      <c r="AQ840" s="5" t="inlineStr">
        <is>
          <t>Independent retailer; Relevant category</t>
        </is>
      </c>
      <c r="AR840" s="5" t="inlineStr">
        <is>
          <t>https://heywood.cylex-uk.co.uk/convenience-stores/</t>
        </is>
      </c>
      <c r="AS840" s="5" t="inlineStr"/>
      <c r="AT840" s="5" t="inlineStr">
        <is>
          <t>1</t>
        </is>
      </c>
      <c r="AU840" s="5" t="inlineStr">
        <is>
          <t>No</t>
        </is>
      </c>
      <c r="AV840" s="5" t="inlineStr">
        <is>
          <t>No</t>
        </is>
      </c>
      <c r="AW840" s="5" t="inlineStr">
        <is>
          <t>No</t>
        </is>
      </c>
      <c r="AX840" s="5" t="inlineStr">
        <is>
          <t>No</t>
        </is>
      </c>
      <c r="AY840" s="5" t="inlineStr">
        <is>
          <t>Not Found</t>
        </is>
      </c>
      <c r="AZ840" s="5" t="inlineStr">
        <is>
          <t>Not Found</t>
        </is>
      </c>
      <c r="BA840" s="5" t="inlineStr">
        <is>
          <t>2026-09-17</t>
        </is>
      </c>
      <c r="BB840" s="5" t="inlineStr">
        <is>
          <t>Requires Verification</t>
        </is>
      </c>
      <c r="BC840" s="5" t="inlineStr">
        <is>
          <t>Low</t>
        </is>
      </c>
      <c r="BD840" s="5" t="inlineStr"/>
      <c r="BE840" s="5" t="inlineStr">
        <is>
          <t>Business (B2B)</t>
        </is>
      </c>
      <c r="BF840" s="5" t="inlineStr">
        <is>
          <t>Legitimate interest (B2B) - assess per campaign; PECR: corporate subscribers</t>
        </is>
      </c>
      <c r="BG840" s="5" t="inlineStr"/>
      <c r="BH840" s="5" t="inlineStr">
        <is>
          <t>No</t>
        </is>
      </c>
      <c r="BI840" s="5" t="inlineStr">
        <is>
          <t>2026-09-17</t>
        </is>
      </c>
      <c r="BJ840" s="5" t="inlineStr">
        <is>
          <t>New</t>
        </is>
      </c>
      <c r="BK840" s="5" t="inlineStr">
        <is>
          <t>2026-09-17</t>
        </is>
      </c>
      <c r="BL840" s="5" t="inlineStr"/>
      <c r="BM840" s="5" t="inlineStr"/>
      <c r="BN840" s="5" t="inlineStr"/>
      <c r="BO840" s="5" t="inlineStr"/>
      <c r="BP840" s="5" t="inlineStr"/>
      <c r="BQ840" s="5" t="inlineStr"/>
    </row>
    <row r="841">
      <c r="A841" s="10" t="inlineStr">
        <is>
          <t>WY-0190</t>
        </is>
      </c>
      <c r="B841" s="10" t="inlineStr">
        <is>
          <t>WY-0190-01</t>
        </is>
      </c>
      <c r="C841" s="10" t="inlineStr"/>
      <c r="D841" s="10" t="inlineStr">
        <is>
          <t>Yorkshire Fuels (Green Lane Service Station)</t>
        </is>
      </c>
      <c r="E841" s="10" t="inlineStr">
        <is>
          <t>Yorkshire Fuels</t>
        </is>
      </c>
      <c r="F841" s="10" t="inlineStr">
        <is>
          <t>Yorkshire Fuels Ltd</t>
        </is>
      </c>
      <c r="G841" s="10" t="inlineStr">
        <is>
          <t>Petrol Station / Forecourt</t>
        </is>
      </c>
      <c r="H841" s="10" t="inlineStr">
        <is>
          <t>24-hour forecourt with convenience store</t>
        </is>
      </c>
      <c r="I841" s="10" t="inlineStr">
        <is>
          <t>Independent</t>
        </is>
      </c>
      <c r="J841" s="10" t="inlineStr">
        <is>
          <t>1</t>
        </is>
      </c>
      <c r="K841" s="10" t="inlineStr"/>
      <c r="L841" s="10" t="inlineStr"/>
      <c r="M841" s="10" t="inlineStr"/>
      <c r="N841" s="10" t="inlineStr"/>
      <c r="O841" s="10" t="inlineStr">
        <is>
          <t>Green Lane</t>
        </is>
      </c>
      <c r="P841" s="10" t="inlineStr"/>
      <c r="Q841" s="10" t="inlineStr">
        <is>
          <t>Yeadon</t>
        </is>
      </c>
      <c r="R841" s="10" t="inlineStr">
        <is>
          <t>West Yorkshire</t>
        </is>
      </c>
      <c r="S841" s="10" t="inlineStr">
        <is>
          <t>LS19 7BU</t>
        </is>
      </c>
      <c r="T841" s="10" t="inlineStr">
        <is>
          <t>Yorkshire &amp; Humber</t>
        </is>
      </c>
      <c r="U841" s="10" t="inlineStr">
        <is>
          <t>England</t>
        </is>
      </c>
      <c r="V841" s="10" t="inlineStr"/>
      <c r="W841" s="10" t="inlineStr"/>
      <c r="X841" s="10" t="inlineStr"/>
      <c r="Y841" s="10" t="inlineStr"/>
      <c r="Z841" s="10" t="inlineStr"/>
      <c r="AA841" s="10" t="inlineStr"/>
      <c r="AB841" s="10" t="inlineStr"/>
      <c r="AC841" s="10" t="inlineStr"/>
      <c r="AD841" s="10" t="inlineStr"/>
      <c r="AE841" s="10" t="inlineStr">
        <is>
          <t>14479452</t>
        </is>
      </c>
      <c r="AF841" s="10" t="inlineStr">
        <is>
          <t>Active</t>
        </is>
      </c>
      <c r="AG841" s="10" t="inlineStr">
        <is>
          <t>YORKSHIRE FUELS LTD</t>
        </is>
      </c>
      <c r="AH841" s="10" t="inlineStr">
        <is>
          <t>Gulf Petrol Station, Green Lane, Yeadon, Leeds, LS19 7BU</t>
        </is>
      </c>
      <c r="AI841" s="10" t="inlineStr">
        <is>
          <t>2022-11-11</t>
        </is>
      </c>
      <c r="AJ841" s="10" t="inlineStr"/>
      <c r="AK841" s="10" t="inlineStr">
        <is>
          <t>fuel; convenience groceries; snacks; drinks</t>
        </is>
      </c>
      <c r="AL841" s="10" t="inlineStr"/>
      <c r="AM841" s="10" t="inlineStr">
        <is>
          <t>Petrol Station / Forecourt</t>
        </is>
      </c>
      <c r="AN841" s="10" t="inlineStr">
        <is>
          <t>Fuel branding reported as Jet (Yorkshire.com) and Gulf (Petrol Map / CH registered office); site also known as Airport Autopoint</t>
        </is>
      </c>
      <c r="AO841" s="10" t="inlineStr">
        <is>
          <t>Independent 24/7 forecourt near Leeds Bradford Airport. Companies House details from CH/Endole search result snippets; CH site blocked by proxy for direct verification.</t>
        </is>
      </c>
      <c r="AP841" s="10" t="inlineStr">
        <is>
          <t>Low</t>
        </is>
      </c>
      <c r="AQ841" s="10" t="inlineStr">
        <is>
          <t>Independent retailer; Relevant category</t>
        </is>
      </c>
      <c r="AR841" s="10" t="inlineStr">
        <is>
          <t>https://find-and-update.company-information.service.gov.uk/company/14479452</t>
        </is>
      </c>
      <c r="AS841" s="10" t="inlineStr">
        <is>
          <t>https://www.yorkshire.com/guiseley/services/petrol-stations/yorkshire-fuels</t>
        </is>
      </c>
      <c r="AT841" s="10" t="inlineStr">
        <is>
          <t>3</t>
        </is>
      </c>
      <c r="AU841" s="10" t="inlineStr">
        <is>
          <t>No</t>
        </is>
      </c>
      <c r="AV841" s="10" t="inlineStr">
        <is>
          <t>No</t>
        </is>
      </c>
      <c r="AW841" s="10" t="inlineStr">
        <is>
          <t>No</t>
        </is>
      </c>
      <c r="AX841" s="10" t="inlineStr">
        <is>
          <t>Yes</t>
        </is>
      </c>
      <c r="AY841" s="10" t="inlineStr">
        <is>
          <t>Not Found</t>
        </is>
      </c>
      <c r="AZ841" s="10" t="inlineStr">
        <is>
          <t>Not Found</t>
        </is>
      </c>
      <c r="BA841" s="10" t="inlineStr">
        <is>
          <t>2026-09-17</t>
        </is>
      </c>
      <c r="BB841" s="10" t="inlineStr">
        <is>
          <t>Partially Verified</t>
        </is>
      </c>
      <c r="BC841" s="10" t="inlineStr">
        <is>
          <t>Medium</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2026-09-16</t>
        </is>
      </c>
      <c r="BJ841" s="10" t="inlineStr">
        <is>
          <t>New</t>
        </is>
      </c>
      <c r="BK841" s="10" t="inlineStr">
        <is>
          <t>2026-09-17</t>
        </is>
      </c>
      <c r="BL841" s="10" t="inlineStr"/>
      <c r="BM841" s="10" t="inlineStr"/>
      <c r="BN841" s="10" t="inlineStr"/>
      <c r="BO841" s="10" t="inlineStr"/>
      <c r="BP841" s="10" t="inlineStr"/>
      <c r="BQ841" s="10" t="inlineStr"/>
    </row>
    <row r="842">
      <c r="A842" s="5" t="inlineStr">
        <is>
          <t>UK-000416</t>
        </is>
      </c>
      <c r="B842" s="5" t="inlineStr">
        <is>
          <t>UK-000416-01</t>
        </is>
      </c>
      <c r="C842" s="5" t="inlineStr"/>
      <c r="D842" s="5" t="inlineStr">
        <is>
          <t>Your Local Convenience Store (Eccles)</t>
        </is>
      </c>
      <c r="E842" s="5" t="inlineStr">
        <is>
          <t>Your Local Convenience Store</t>
        </is>
      </c>
      <c r="F842" s="5" t="inlineStr"/>
      <c r="G842" s="5" t="inlineStr">
        <is>
          <t>Convenience Store</t>
        </is>
      </c>
      <c r="H842" s="5" t="inlineStr">
        <is>
          <t>Convenience &amp; off-licence</t>
        </is>
      </c>
      <c r="I842" s="5" t="inlineStr">
        <is>
          <t>Independent</t>
        </is>
      </c>
      <c r="J842" s="5" t="inlineStr">
        <is>
          <t>1</t>
        </is>
      </c>
      <c r="K842" s="5" t="inlineStr"/>
      <c r="L842" s="5" t="inlineStr"/>
      <c r="M842" s="5" t="inlineStr"/>
      <c r="N842" s="5" t="inlineStr"/>
      <c r="O842" s="5" t="inlineStr">
        <is>
          <t>135-139 Liverpool Road</t>
        </is>
      </c>
      <c r="P842" s="5" t="inlineStr">
        <is>
          <t>Eccles</t>
        </is>
      </c>
      <c r="Q842" s="5" t="inlineStr">
        <is>
          <t>Eccles</t>
        </is>
      </c>
      <c r="R842" s="5" t="inlineStr">
        <is>
          <t>Greater Manchester</t>
        </is>
      </c>
      <c r="S842" s="5" t="inlineStr">
        <is>
          <t>M30 0ND</t>
        </is>
      </c>
      <c r="T842" s="5" t="inlineStr">
        <is>
          <t>North West</t>
        </is>
      </c>
      <c r="U842" s="5" t="inlineStr">
        <is>
          <t>England</t>
        </is>
      </c>
      <c r="V842" s="5" t="inlineStr">
        <is>
          <t>0161 707 2863</t>
        </is>
      </c>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groceries; off-licence; tobacco; confectionery; soft drinks</t>
        </is>
      </c>
      <c r="AL842" s="5" t="inlineStr"/>
      <c r="AM842" s="5" t="inlineStr">
        <is>
          <t>Convenience Store</t>
        </is>
      </c>
      <c r="AN842" s="5" t="inlineStr"/>
      <c r="AO842" s="5" t="inlineStr">
        <is>
          <t>Eccles independent convenience store with off-licence; address/phone from 24 Hour Alcohol / Central Index directory.</t>
        </is>
      </c>
      <c r="AP842" s="5" t="inlineStr">
        <is>
          <t>Low</t>
        </is>
      </c>
      <c r="AQ842" s="5" t="inlineStr">
        <is>
          <t>Independent retailer; Relevant category</t>
        </is>
      </c>
      <c r="AR842" s="5" t="inlineStr">
        <is>
          <t>https://www.24houralcohol.co.uk/salford-off-licences</t>
        </is>
      </c>
      <c r="AS842" s="5" t="inlineStr"/>
      <c r="AT842" s="5" t="inlineStr">
        <is>
          <t>1</t>
        </is>
      </c>
      <c r="AU842" s="5" t="inlineStr">
        <is>
          <t>No</t>
        </is>
      </c>
      <c r="AV842" s="5" t="inlineStr">
        <is>
          <t>No</t>
        </is>
      </c>
      <c r="AW842" s="5" t="inlineStr">
        <is>
          <t>No</t>
        </is>
      </c>
      <c r="AX842" s="5" t="inlineStr">
        <is>
          <t>No</t>
        </is>
      </c>
      <c r="AY842" s="5" t="inlineStr">
        <is>
          <t>Verified directory</t>
        </is>
      </c>
      <c r="AZ842" s="5" t="inlineStr">
        <is>
          <t>Not Found</t>
        </is>
      </c>
      <c r="BA842" s="5" t="inlineStr">
        <is>
          <t>2026-09-17</t>
        </is>
      </c>
      <c r="BB842" s="5" t="inlineStr">
        <is>
          <t>Requires Verification</t>
        </is>
      </c>
      <c r="BC842" s="5" t="inlineStr">
        <is>
          <t>Low</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WY-0191</t>
        </is>
      </c>
      <c r="B843" s="10" t="inlineStr">
        <is>
          <t>WY-0191-01</t>
        </is>
      </c>
      <c r="C843" s="10" t="inlineStr"/>
      <c r="D843" s="10" t="inlineStr">
        <is>
          <t>Zesty Vape</t>
        </is>
      </c>
      <c r="E843" s="10" t="inlineStr">
        <is>
          <t>Zesty Vape</t>
        </is>
      </c>
      <c r="F843" s="10" t="inlineStr"/>
      <c r="G843" s="10" t="inlineStr">
        <is>
          <t>Vape Shop</t>
        </is>
      </c>
      <c r="H843" s="10" t="inlineStr"/>
      <c r="I843" s="10" t="inlineStr">
        <is>
          <t>Independent</t>
        </is>
      </c>
      <c r="J843" s="10" t="inlineStr">
        <is>
          <t>1</t>
        </is>
      </c>
      <c r="K843" s="10" t="inlineStr"/>
      <c r="L843" s="10" t="inlineStr"/>
      <c r="M843" s="10" t="inlineStr"/>
      <c r="N843" s="10" t="inlineStr"/>
      <c r="O843" s="10" t="inlineStr">
        <is>
          <t>108 Commercial Street</t>
        </is>
      </c>
      <c r="P843" s="10" t="inlineStr"/>
      <c r="Q843" s="10" t="inlineStr">
        <is>
          <t>Brighouse</t>
        </is>
      </c>
      <c r="R843" s="10" t="inlineStr">
        <is>
          <t>West Yorkshire</t>
        </is>
      </c>
      <c r="S843" s="10" t="inlineStr">
        <is>
          <t>HD6 1AQ</t>
        </is>
      </c>
      <c r="T843" s="10" t="inlineStr">
        <is>
          <t>Yorkshire &amp; Humber</t>
        </is>
      </c>
      <c r="U843" s="10" t="inlineStr">
        <is>
          <t>England</t>
        </is>
      </c>
      <c r="V843" s="10" t="inlineStr">
        <is>
          <t>01484 722183</t>
        </is>
      </c>
      <c r="W843" s="10" t="inlineStr"/>
      <c r="X843" s="10" t="inlineStr"/>
      <c r="Y843" s="10" t="inlineStr"/>
      <c r="Z843" s="10" t="inlineStr"/>
      <c r="AA843" s="10" t="inlineStr"/>
      <c r="AB843" s="10" t="inlineStr"/>
      <c r="AC843" s="10" t="inlineStr"/>
      <c r="AD843" s="10" t="inlineStr"/>
      <c r="AE843" s="10" t="inlineStr"/>
      <c r="AF843" s="10" t="inlineStr"/>
      <c r="AG843" s="10" t="inlineStr"/>
      <c r="AH843" s="10" t="inlineStr"/>
      <c r="AI843" s="10" t="inlineStr"/>
      <c r="AJ843" s="10" t="inlineStr"/>
      <c r="AK843" s="10" t="inlineStr">
        <is>
          <t>vape hardware; e-liquids</t>
        </is>
      </c>
      <c r="AL843" s="10" t="inlineStr"/>
      <c r="AM843" s="10" t="inlineStr">
        <is>
          <t>Vape Shop</t>
        </is>
      </c>
      <c r="AN843" s="10" t="inlineStr"/>
      <c r="AO843" s="10" t="inlineStr"/>
      <c r="AP843" s="10" t="inlineStr">
        <is>
          <t>Medium</t>
        </is>
      </c>
      <c r="AQ843" s="10" t="inlineStr">
        <is>
          <t>Independent retailer; Core relevant category</t>
        </is>
      </c>
      <c r="AR843" s="10" t="inlineStr">
        <is>
          <t>https://brighouse.cylex-uk.co.uk/vape-shops/</t>
        </is>
      </c>
      <c r="AS843" s="10" t="inlineStr"/>
      <c r="AT843" s="10" t="inlineStr">
        <is>
          <t>1</t>
        </is>
      </c>
      <c r="AU843" s="10" t="inlineStr">
        <is>
          <t>No</t>
        </is>
      </c>
      <c r="AV843" s="10" t="inlineStr">
        <is>
          <t>No</t>
        </is>
      </c>
      <c r="AW843" s="10" t="inlineStr">
        <is>
          <t>No</t>
        </is>
      </c>
      <c r="AX843" s="10" t="inlineStr">
        <is>
          <t>No</t>
        </is>
      </c>
      <c r="AY843" s="10" t="inlineStr">
        <is>
          <t>Verified directory</t>
        </is>
      </c>
      <c r="AZ843" s="10" t="inlineStr">
        <is>
          <t>Not Found</t>
        </is>
      </c>
      <c r="BA843" s="10" t="inlineStr">
        <is>
          <t>2026-09-17</t>
        </is>
      </c>
      <c r="BB843" s="10" t="inlineStr">
        <is>
          <t>Requires Verification</t>
        </is>
      </c>
      <c r="BC843" s="10" t="inlineStr">
        <is>
          <t>Medium</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2026-09-16</t>
        </is>
      </c>
      <c r="BJ843" s="10" t="inlineStr">
        <is>
          <t>New</t>
        </is>
      </c>
      <c r="BK843" s="10" t="inlineStr">
        <is>
          <t>2026-09-17</t>
        </is>
      </c>
      <c r="BL843" s="10" t="inlineStr"/>
      <c r="BM843" s="10" t="inlineStr"/>
      <c r="BN843" s="10" t="inlineStr"/>
      <c r="BO843" s="10" t="inlineStr"/>
      <c r="BP843" s="10" t="inlineStr"/>
      <c r="BQ843" s="10" t="inlineStr"/>
    </row>
    <row r="844">
      <c r="A844" s="5" t="inlineStr">
        <is>
          <t>UK-000849</t>
        </is>
      </c>
      <c r="B844" s="5" t="inlineStr">
        <is>
          <t>UK-000849-01</t>
        </is>
      </c>
      <c r="C844" s="5" t="inlineStr"/>
      <c r="D844" s="5" t="inlineStr">
        <is>
          <t>e-Vapes Dunfermline</t>
        </is>
      </c>
      <c r="E844" s="5" t="inlineStr">
        <is>
          <t>e-Vapes</t>
        </is>
      </c>
      <c r="F844" s="5" t="inlineStr"/>
      <c r="G844" s="5" t="inlineStr">
        <is>
          <t>Vape Shop</t>
        </is>
      </c>
      <c r="H844" s="5" t="inlineStr">
        <is>
          <t>Vape shop / e-liquids</t>
        </is>
      </c>
      <c r="I844" s="5" t="inlineStr">
        <is>
          <t>Independent</t>
        </is>
      </c>
      <c r="J844" s="5" t="inlineStr">
        <is>
          <t>1</t>
        </is>
      </c>
      <c r="K844" s="5" t="inlineStr"/>
      <c r="L844" s="5" t="inlineStr"/>
      <c r="M844" s="5" t="inlineStr"/>
      <c r="N844" s="5" t="inlineStr"/>
      <c r="O844" s="5" t="inlineStr">
        <is>
          <t>Lower Mall, Kingsgate Shopping Centre</t>
        </is>
      </c>
      <c r="P844" s="5" t="inlineStr">
        <is>
          <t>James Street</t>
        </is>
      </c>
      <c r="Q844" s="5" t="inlineStr">
        <is>
          <t>Dunfermline</t>
        </is>
      </c>
      <c r="R844" s="5" t="inlineStr">
        <is>
          <t>Fife</t>
        </is>
      </c>
      <c r="S844" s="5" t="inlineStr">
        <is>
          <t>KY12 7QU</t>
        </is>
      </c>
      <c r="T844" s="5" t="inlineStr">
        <is>
          <t>Scotland</t>
        </is>
      </c>
      <c r="U844" s="5" t="inlineStr">
        <is>
          <t>Scotland</t>
        </is>
      </c>
      <c r="V844" s="5" t="inlineStr">
        <is>
          <t>01383 432335</t>
        </is>
      </c>
      <c r="W844" s="5" t="inlineStr"/>
      <c r="X844" s="5" t="inlineStr"/>
      <c r="Y844" s="5" t="inlineStr"/>
      <c r="Z844" s="5" t="inlineStr"/>
      <c r="AA844" s="5" t="inlineStr"/>
      <c r="AB844" s="5" t="inlineStr"/>
      <c r="AC844" s="5" t="inlineStr"/>
      <c r="AD844" s="5" t="inlineStr"/>
      <c r="AE844" s="5" t="inlineStr"/>
      <c r="AF844" s="5" t="inlineStr"/>
      <c r="AG844" s="5" t="inlineStr"/>
      <c r="AH844" s="5" t="inlineStr"/>
      <c r="AI844" s="5" t="inlineStr"/>
      <c r="AJ844" s="5" t="inlineStr"/>
      <c r="AK844" s="5" t="inlineStr">
        <is>
          <t>vape hardware; e-liquids</t>
        </is>
      </c>
      <c r="AL844" s="5" t="inlineStr"/>
      <c r="AM844" s="5" t="inlineStr">
        <is>
          <t>Vape Shop</t>
        </is>
      </c>
      <c r="AN844" s="5" t="inlineStr"/>
      <c r="AO844" s="5" t="inlineStr">
        <is>
          <t>Independent vape shop in the Kingsgate/Lower Mall, Dunfermline. Details from Cylex snippet.</t>
        </is>
      </c>
      <c r="AP844" s="5" t="inlineStr">
        <is>
          <t>Medium</t>
        </is>
      </c>
      <c r="AQ844" s="5" t="inlineStr">
        <is>
          <t>Independent retailer; Core relevant category</t>
        </is>
      </c>
      <c r="AR844" s="5" t="inlineStr">
        <is>
          <t>https://dunfermline.cylex-uk.co.uk/company/e-vapes-27628315.html</t>
        </is>
      </c>
      <c r="AS844" s="5" t="inlineStr"/>
      <c r="AT844" s="5" t="inlineStr">
        <is>
          <t>1</t>
        </is>
      </c>
      <c r="AU844" s="5" t="inlineStr">
        <is>
          <t>No</t>
        </is>
      </c>
      <c r="AV844" s="5" t="inlineStr">
        <is>
          <t>No</t>
        </is>
      </c>
      <c r="AW844" s="5" t="inlineStr">
        <is>
          <t>No</t>
        </is>
      </c>
      <c r="AX844" s="5" t="inlineStr">
        <is>
          <t>No</t>
        </is>
      </c>
      <c r="AY844" s="5" t="inlineStr">
        <is>
          <t>Verified directory</t>
        </is>
      </c>
      <c r="AZ844" s="5" t="inlineStr">
        <is>
          <t>Not Found</t>
        </is>
      </c>
      <c r="BA844" s="5" t="inlineStr">
        <is>
          <t>2026-09-17</t>
        </is>
      </c>
      <c r="BB844" s="5" t="inlineStr">
        <is>
          <t>Requires Verification</t>
        </is>
      </c>
      <c r="BC844" s="5" t="inlineStr">
        <is>
          <t>Medium</t>
        </is>
      </c>
      <c r="BD844" s="5" t="inlineStr"/>
      <c r="BE844" s="5" t="inlineStr">
        <is>
          <t>Business (B2B)</t>
        </is>
      </c>
      <c r="BF844" s="5" t="inlineStr">
        <is>
          <t>Legitimate interest (B2B) - assess per campaign; PECR: corporate subscribers</t>
        </is>
      </c>
      <c r="BG844" s="5" t="inlineStr"/>
      <c r="BH844" s="5" t="inlineStr">
        <is>
          <t>No</t>
        </is>
      </c>
      <c r="BI844" s="5" t="inlineStr">
        <is>
          <t>2026-09-17</t>
        </is>
      </c>
      <c r="BJ844" s="5" t="inlineStr">
        <is>
          <t>New</t>
        </is>
      </c>
      <c r="BK844" s="5" t="inlineStr">
        <is>
          <t>2026-09-17</t>
        </is>
      </c>
      <c r="BL844" s="5" t="inlineStr"/>
      <c r="BM844" s="5" t="inlineStr"/>
      <c r="BN844" s="5" t="inlineStr"/>
      <c r="BO844" s="5" t="inlineStr"/>
      <c r="BP844" s="5" t="inlineStr"/>
      <c r="BQ844" s="5" t="inlineStr"/>
    </row>
    <row r="845">
      <c r="A845" s="10" t="inlineStr">
        <is>
          <t>UK-000417</t>
        </is>
      </c>
      <c r="B845" s="10" t="inlineStr">
        <is>
          <t>UK-000417-01</t>
        </is>
      </c>
      <c r="C845" s="10" t="inlineStr"/>
      <c r="D845" s="10" t="inlineStr">
        <is>
          <t>eCig Factory 2</t>
        </is>
      </c>
      <c r="E845" s="10" t="inlineStr">
        <is>
          <t>eCig Factory 2</t>
        </is>
      </c>
      <c r="F845" s="10" t="inlineStr"/>
      <c r="G845" s="10" t="inlineStr">
        <is>
          <t>Vape Shop</t>
        </is>
      </c>
      <c r="H845" s="10" t="inlineStr"/>
      <c r="I845" s="10" t="inlineStr">
        <is>
          <t>Independent</t>
        </is>
      </c>
      <c r="J845" s="10" t="inlineStr">
        <is>
          <t>1</t>
        </is>
      </c>
      <c r="K845" s="10" t="inlineStr"/>
      <c r="L845" s="10" t="inlineStr"/>
      <c r="M845" s="10" t="inlineStr"/>
      <c r="N845" s="10" t="inlineStr"/>
      <c r="O845" s="10" t="inlineStr">
        <is>
          <t>75 Featherstall Road North</t>
        </is>
      </c>
      <c r="P845" s="10" t="inlineStr"/>
      <c r="Q845" s="10" t="inlineStr">
        <is>
          <t>Oldham</t>
        </is>
      </c>
      <c r="R845" s="10" t="inlineStr">
        <is>
          <t>Greater Manchester</t>
        </is>
      </c>
      <c r="S845" s="10" t="inlineStr">
        <is>
          <t>OL9 6QB</t>
        </is>
      </c>
      <c r="T845" s="10" t="inlineStr">
        <is>
          <t>North West</t>
        </is>
      </c>
      <c r="U845" s="10" t="inlineStr">
        <is>
          <t>England</t>
        </is>
      </c>
      <c r="V845" s="10" t="inlineStr"/>
      <c r="W845" s="10" t="inlineStr"/>
      <c r="X845" s="10" t="inlineStr"/>
      <c r="Y845" s="10" t="inlineStr"/>
      <c r="Z845" s="10" t="inlineStr"/>
      <c r="AA845" s="10" t="inlineStr"/>
      <c r="AB845" s="10" t="inlineStr"/>
      <c r="AC845" s="10" t="inlineStr"/>
      <c r="AD845" s="10" t="inlineStr"/>
      <c r="AE845" s="10" t="inlineStr"/>
      <c r="AF845" s="10" t="inlineStr"/>
      <c r="AG845" s="10" t="inlineStr"/>
      <c r="AH845" s="10" t="inlineStr"/>
      <c r="AI845" s="10" t="inlineStr"/>
      <c r="AJ845" s="10" t="inlineStr"/>
      <c r="AK845" s="10" t="inlineStr">
        <is>
          <t>e-liquids; vape hardware; disposables</t>
        </is>
      </c>
      <c r="AL845" s="10" t="inlineStr"/>
      <c r="AM845" s="10" t="inlineStr">
        <is>
          <t>Vape Shop</t>
        </is>
      </c>
      <c r="AN845" s="10" t="inlineStr"/>
      <c r="AO845" s="10" t="inlineStr">
        <is>
          <t>Independent vape shop in Oldham (Westwood).</t>
        </is>
      </c>
      <c r="AP845" s="10" t="inlineStr">
        <is>
          <t>Medium</t>
        </is>
      </c>
      <c r="AQ845" s="10" t="inlineStr">
        <is>
          <t>Independent retailer; Core relevant category</t>
        </is>
      </c>
      <c r="AR845" s="10" t="inlineStr">
        <is>
          <t>https://vapeshops.puffingbird.com/england/oldham</t>
        </is>
      </c>
      <c r="AS845" s="10" t="inlineStr"/>
      <c r="AT845" s="10" t="inlineStr">
        <is>
          <t>1</t>
        </is>
      </c>
      <c r="AU845" s="10" t="inlineStr">
        <is>
          <t>No</t>
        </is>
      </c>
      <c r="AV845" s="10" t="inlineStr">
        <is>
          <t>No</t>
        </is>
      </c>
      <c r="AW845" s="10" t="inlineStr">
        <is>
          <t>No</t>
        </is>
      </c>
      <c r="AX845" s="10" t="inlineStr">
        <is>
          <t>No</t>
        </is>
      </c>
      <c r="AY845" s="10" t="inlineStr">
        <is>
          <t>Not Found</t>
        </is>
      </c>
      <c r="AZ845" s="10" t="inlineStr">
        <is>
          <t>Not Found</t>
        </is>
      </c>
      <c r="BA845" s="10" t="inlineStr">
        <is>
          <t>2026-09-17</t>
        </is>
      </c>
      <c r="BB845" s="10" t="inlineStr">
        <is>
          <t>Requires Verification</t>
        </is>
      </c>
      <c r="BC845" s="10" t="inlineStr">
        <is>
          <t>Low</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UK-000418</t>
        </is>
      </c>
      <c r="B846" s="5" t="inlineStr">
        <is>
          <t>UK-000418-01</t>
        </is>
      </c>
      <c r="C846" s="5" t="inlineStr"/>
      <c r="D846" s="5" t="inlineStr">
        <is>
          <t>eQuit.it Horwich</t>
        </is>
      </c>
      <c r="E846" s="5" t="inlineStr">
        <is>
          <t>eQuit.it</t>
        </is>
      </c>
      <c r="F846" s="5" t="inlineStr"/>
      <c r="G846" s="5" t="inlineStr">
        <is>
          <t>Vape Shop</t>
        </is>
      </c>
      <c r="H846" s="5" t="inlineStr"/>
      <c r="I846" s="5" t="inlineStr">
        <is>
          <t>Independent</t>
        </is>
      </c>
      <c r="J846" s="5" t="inlineStr">
        <is>
          <t>1</t>
        </is>
      </c>
      <c r="K846" s="5" t="inlineStr"/>
      <c r="L846" s="5" t="inlineStr"/>
      <c r="M846" s="5" t="inlineStr"/>
      <c r="N846" s="5" t="inlineStr"/>
      <c r="O846" s="5" t="inlineStr">
        <is>
          <t>22 Winter Hey Lane</t>
        </is>
      </c>
      <c r="P846" s="5" t="inlineStr">
        <is>
          <t>Horwich</t>
        </is>
      </c>
      <c r="Q846" s="5" t="inlineStr">
        <is>
          <t>Bolton</t>
        </is>
      </c>
      <c r="R846" s="5" t="inlineStr">
        <is>
          <t>Greater Manchester</t>
        </is>
      </c>
      <c r="S846" s="5" t="inlineStr">
        <is>
          <t>BL6 7AD</t>
        </is>
      </c>
      <c r="T846" s="5" t="inlineStr">
        <is>
          <t>North West</t>
        </is>
      </c>
      <c r="U846" s="5" t="inlineStr">
        <is>
          <t>England</t>
        </is>
      </c>
      <c r="V846" s="5" t="inlineStr">
        <is>
          <t>01204 694112</t>
        </is>
      </c>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vape hardware; e-liquids</t>
        </is>
      </c>
      <c r="AL846" s="5" t="inlineStr"/>
      <c r="AM846" s="5" t="inlineStr">
        <is>
          <t>Vape Shop</t>
        </is>
      </c>
      <c r="AN846" s="5" t="inlineStr"/>
      <c r="AO846" s="5" t="inlineStr">
        <is>
          <t>Independent vape shop on Winter Hey Lane, Horwich.</t>
        </is>
      </c>
      <c r="AP846" s="5" t="inlineStr">
        <is>
          <t>Medium</t>
        </is>
      </c>
      <c r="AQ846" s="5" t="inlineStr">
        <is>
          <t>Independent retailer; Core relevant category</t>
        </is>
      </c>
      <c r="AR846" s="5" t="inlineStr">
        <is>
          <t>https://ecigdirectory.co.uk/vape-shop/listing/equit-it-horwich</t>
        </is>
      </c>
      <c r="AS846" s="5" t="inlineStr"/>
      <c r="AT846" s="5" t="inlineStr">
        <is>
          <t>1</t>
        </is>
      </c>
      <c r="AU846" s="5" t="inlineStr">
        <is>
          <t>No</t>
        </is>
      </c>
      <c r="AV846" s="5" t="inlineStr">
        <is>
          <t>No</t>
        </is>
      </c>
      <c r="AW846" s="5" t="inlineStr">
        <is>
          <t>No</t>
        </is>
      </c>
      <c r="AX846" s="5" t="inlineStr">
        <is>
          <t>No</t>
        </is>
      </c>
      <c r="AY846" s="5" t="inlineStr">
        <is>
          <t>Verified directory</t>
        </is>
      </c>
      <c r="AZ846" s="5" t="inlineStr">
        <is>
          <t>Not Found</t>
        </is>
      </c>
      <c r="BA846" s="5" t="inlineStr">
        <is>
          <t>2026-09-17</t>
        </is>
      </c>
      <c r="BB846" s="5" t="inlineStr">
        <is>
          <t>Requires Verification</t>
        </is>
      </c>
      <c r="BC846" s="5" t="inlineStr">
        <is>
          <t>Low</t>
        </is>
      </c>
      <c r="BD846" s="5" t="inlineStr"/>
      <c r="BE846" s="5" t="inlineStr">
        <is>
          <t>Business (B2B)</t>
        </is>
      </c>
      <c r="BF846" s="5" t="inlineStr">
        <is>
          <t>Legitimate interest (B2B) - assess per campaign; PECR: corporate subscribers</t>
        </is>
      </c>
      <c r="BG846" s="5" t="inlineStr"/>
      <c r="BH846" s="5" t="inlineStr">
        <is>
          <t>No</t>
        </is>
      </c>
      <c r="BI846" s="5" t="inlineStr">
        <is>
          <t>2026-09-17</t>
        </is>
      </c>
      <c r="BJ846" s="5" t="inlineStr">
        <is>
          <t>New</t>
        </is>
      </c>
      <c r="BK846" s="5" t="inlineStr">
        <is>
          <t>2026-09-17</t>
        </is>
      </c>
      <c r="BL846" s="5" t="inlineStr"/>
      <c r="BM846" s="5" t="inlineStr"/>
      <c r="BN846" s="5" t="inlineStr"/>
      <c r="BO846" s="5" t="inlineStr"/>
      <c r="BP846" s="5" t="inlineStr"/>
      <c r="BQ846" s="5" t="inlineStr"/>
    </row>
    <row r="847">
      <c r="A847" s="10" t="inlineStr">
        <is>
          <t>WY-0192</t>
        </is>
      </c>
      <c r="B847" s="10" t="inlineStr">
        <is>
          <t>WY-0192-01</t>
        </is>
      </c>
      <c r="C847" s="10" t="inlineStr"/>
      <c r="D847" s="10" t="inlineStr">
        <is>
          <t>eVape Outlet</t>
        </is>
      </c>
      <c r="E847" s="10" t="inlineStr">
        <is>
          <t>eVape Outlet</t>
        </is>
      </c>
      <c r="F847" s="10" t="inlineStr"/>
      <c r="G847" s="10" t="inlineStr">
        <is>
          <t>Vape Shop</t>
        </is>
      </c>
      <c r="H847" s="10" t="inlineStr">
        <is>
          <t>Vape shop</t>
        </is>
      </c>
      <c r="I847" s="10" t="inlineStr">
        <is>
          <t>Independent</t>
        </is>
      </c>
      <c r="J847" s="10" t="inlineStr">
        <is>
          <t>1</t>
        </is>
      </c>
      <c r="K847" s="10" t="inlineStr"/>
      <c r="L847" s="10" t="inlineStr"/>
      <c r="M847" s="10" t="inlineStr"/>
      <c r="N847" s="10" t="inlineStr"/>
      <c r="O847" s="10" t="inlineStr"/>
      <c r="P847" s="10" t="inlineStr"/>
      <c r="Q847" s="10" t="inlineStr">
        <is>
          <t>Keighley</t>
        </is>
      </c>
      <c r="R847" s="10" t="inlineStr">
        <is>
          <t>West Yorkshire</t>
        </is>
      </c>
      <c r="S847" s="10" t="inlineStr"/>
      <c r="T847" s="10" t="inlineStr">
        <is>
          <t>Yorkshire &amp; Humber</t>
        </is>
      </c>
      <c r="U847" s="10" t="inlineStr">
        <is>
          <t>England</t>
        </is>
      </c>
      <c r="V847" s="10" t="inlineStr"/>
      <c r="W847" s="10" t="inlineStr"/>
      <c r="X847" s="10" t="inlineStr"/>
      <c r="Y847" s="10" t="inlineStr"/>
      <c r="Z847" s="10" t="inlineStr"/>
      <c r="AA847" s="10" t="inlineStr"/>
      <c r="AB847" s="10" t="inlineStr"/>
      <c r="AC847" s="10" t="inlineStr"/>
      <c r="AD847" s="10" t="inlineStr"/>
      <c r="AE847" s="10" t="inlineStr"/>
      <c r="AF847" s="10" t="inlineStr"/>
      <c r="AG847" s="10" t="inlineStr"/>
      <c r="AH847" s="10" t="inlineStr"/>
      <c r="AI847" s="10" t="inlineStr"/>
      <c r="AJ847" s="10" t="inlineStr"/>
      <c r="AK847" s="10" t="inlineStr">
        <is>
          <t>vape hardware; e-liquids</t>
        </is>
      </c>
      <c r="AL847" s="10" t="inlineStr"/>
      <c r="AM847" s="10" t="inlineStr">
        <is>
          <t>Vape Shop</t>
        </is>
      </c>
      <c r="AN847" s="10" t="inlineStr"/>
      <c r="AO847" s="10" t="inlineStr">
        <is>
          <t>Keighley vape shop listed on Cylex; address/phone not captured in snippet - needs enrichment.</t>
        </is>
      </c>
      <c r="AP847" s="10" t="inlineStr">
        <is>
          <t>Medium</t>
        </is>
      </c>
      <c r="AQ847" s="10" t="inlineStr">
        <is>
          <t>Independent retailer; Core relevant category</t>
        </is>
      </c>
      <c r="AR847" s="10" t="inlineStr">
        <is>
          <t>https://keighley.cylex-uk.co.uk/company/evape-outlet-27656791.html</t>
        </is>
      </c>
      <c r="AS847" s="10" t="inlineStr"/>
      <c r="AT847" s="10" t="inlineStr">
        <is>
          <t>1</t>
        </is>
      </c>
      <c r="AU847" s="10" t="inlineStr">
        <is>
          <t>No</t>
        </is>
      </c>
      <c r="AV847" s="10" t="inlineStr">
        <is>
          <t>No</t>
        </is>
      </c>
      <c r="AW847" s="10" t="inlineStr">
        <is>
          <t>No</t>
        </is>
      </c>
      <c r="AX847" s="10" t="inlineStr">
        <is>
          <t>No</t>
        </is>
      </c>
      <c r="AY847" s="10" t="inlineStr">
        <is>
          <t>Not Found</t>
        </is>
      </c>
      <c r="AZ847" s="10" t="inlineStr">
        <is>
          <t>Not Found</t>
        </is>
      </c>
      <c r="BA847" s="10" t="inlineStr">
        <is>
          <t>2026-09-17</t>
        </is>
      </c>
      <c r="BB847" s="10" t="inlineStr">
        <is>
          <t>Requires Verification</t>
        </is>
      </c>
      <c r="BC847" s="10" t="inlineStr">
        <is>
          <t>Low</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2026-09-16</t>
        </is>
      </c>
      <c r="BJ847" s="10" t="inlineStr">
        <is>
          <t>New</t>
        </is>
      </c>
      <c r="BK847" s="10" t="inlineStr">
        <is>
          <t>2026-09-17</t>
        </is>
      </c>
      <c r="BL847" s="10" t="inlineStr"/>
      <c r="BM847" s="10" t="inlineStr"/>
      <c r="BN847" s="10" t="inlineStr"/>
      <c r="BO847" s="10" t="inlineStr"/>
      <c r="BP847" s="10" t="inlineStr"/>
      <c r="BQ847" s="10" t="inlineStr"/>
    </row>
    <row r="848">
      <c r="A848" s="5" t="inlineStr">
        <is>
          <t>UK-000546</t>
        </is>
      </c>
      <c r="B848" s="5" t="inlineStr">
        <is>
          <t>UK-000546-01</t>
        </is>
      </c>
      <c r="C848" s="5" t="inlineStr"/>
      <c r="D848" s="5" t="inlineStr">
        <is>
          <t>i Vape Guru Ltd</t>
        </is>
      </c>
      <c r="E848" s="5" t="inlineStr">
        <is>
          <t>i Vape Guru</t>
        </is>
      </c>
      <c r="F848" s="5" t="inlineStr">
        <is>
          <t>i Vape Guru Ltd</t>
        </is>
      </c>
      <c r="G848" s="5" t="inlineStr">
        <is>
          <t>Vape Shop</t>
        </is>
      </c>
      <c r="H848" s="5" t="inlineStr">
        <is>
          <t>Vape kits, e-liquids &amp; accessories</t>
        </is>
      </c>
      <c r="I848" s="5" t="inlineStr">
        <is>
          <t>Independent</t>
        </is>
      </c>
      <c r="J848" s="5" t="inlineStr">
        <is>
          <t>1</t>
        </is>
      </c>
      <c r="K848" s="5" t="inlineStr"/>
      <c r="L848" s="5" t="inlineStr"/>
      <c r="M848" s="5" t="inlineStr"/>
      <c r="N848" s="5" t="inlineStr"/>
      <c r="O848" s="5" t="inlineStr">
        <is>
          <t>24 Market Street</t>
        </is>
      </c>
      <c r="P848" s="5" t="inlineStr"/>
      <c r="Q848" s="5" t="inlineStr">
        <is>
          <t>Stourbridge</t>
        </is>
      </c>
      <c r="R848" s="5" t="inlineStr">
        <is>
          <t>West Midlands</t>
        </is>
      </c>
      <c r="S848" s="5" t="inlineStr">
        <is>
          <t>DY8 1AG</t>
        </is>
      </c>
      <c r="T848" s="5" t="inlineStr">
        <is>
          <t>West Midlands</t>
        </is>
      </c>
      <c r="U848" s="5" t="inlineStr">
        <is>
          <t>England</t>
        </is>
      </c>
      <c r="V848" s="5" t="inlineStr"/>
      <c r="W848" s="5" t="inlineStr"/>
      <c r="X848" s="5" t="inlineStr"/>
      <c r="Y848" s="5" t="inlineStr"/>
      <c r="Z848" s="5" t="inlineStr"/>
      <c r="AA848" s="5" t="inlineStr"/>
      <c r="AB848" s="5" t="inlineStr"/>
      <c r="AC848" s="5" t="inlineStr"/>
      <c r="AD848" s="5" t="inlineStr"/>
      <c r="AE848" s="5" t="inlineStr"/>
      <c r="AF848" s="5" t="inlineStr"/>
      <c r="AG848" s="5" t="inlineStr"/>
      <c r="AH848" s="5" t="inlineStr"/>
      <c r="AI848" s="5" t="inlineStr"/>
      <c r="AJ848" s="5" t="inlineStr"/>
      <c r="AK848" s="5" t="inlineStr">
        <is>
          <t>vape hardware; e-liquids</t>
        </is>
      </c>
      <c r="AL848" s="5" t="inlineStr"/>
      <c r="AM848" s="5" t="inlineStr">
        <is>
          <t>Vape Shop</t>
        </is>
      </c>
      <c r="AN848" s="5" t="inlineStr"/>
      <c r="AO848" s="5" t="inlineStr">
        <is>
          <t>Independent vape shop, 24 Market Street, Stourbridge. Trades as a limited company (i Vape Guru Ltd). Address from Shropshire Star business directory snippet.</t>
        </is>
      </c>
      <c r="AP848" s="5" t="inlineStr">
        <is>
          <t>Medium</t>
        </is>
      </c>
      <c r="AQ848" s="5" t="inlineStr">
        <is>
          <t>Independent retailer; Core relevant category</t>
        </is>
      </c>
      <c r="AR848" s="5" t="inlineStr">
        <is>
          <t>https://directory.shropshirestar.co.uk/company/1159632123420672</t>
        </is>
      </c>
      <c r="AS848" s="5" t="inlineStr"/>
      <c r="AT848" s="5" t="inlineStr">
        <is>
          <t>1</t>
        </is>
      </c>
      <c r="AU848" s="5" t="inlineStr">
        <is>
          <t>No</t>
        </is>
      </c>
      <c r="AV848" s="5" t="inlineStr">
        <is>
          <t>No</t>
        </is>
      </c>
      <c r="AW848" s="5" t="inlineStr">
        <is>
          <t>No</t>
        </is>
      </c>
      <c r="AX848" s="5" t="inlineStr">
        <is>
          <t>No</t>
        </is>
      </c>
      <c r="AY848" s="5" t="inlineStr">
        <is>
          <t>Not Found</t>
        </is>
      </c>
      <c r="AZ848" s="5" t="inlineStr">
        <is>
          <t>Not Found</t>
        </is>
      </c>
      <c r="BA848" s="5" t="inlineStr">
        <is>
          <t>2026-09-17</t>
        </is>
      </c>
      <c r="BB848" s="5" t="inlineStr">
        <is>
          <t>Requires Verification</t>
        </is>
      </c>
      <c r="BC848" s="5" t="inlineStr">
        <is>
          <t>Medium</t>
        </is>
      </c>
      <c r="BD848" s="5" t="inlineStr"/>
      <c r="BE848" s="5" t="inlineStr">
        <is>
          <t>Business (B2B)</t>
        </is>
      </c>
      <c r="BF848" s="5" t="inlineStr">
        <is>
          <t>Legitimate interest (B2B) - assess per campaign; PECR: corporate subscribers</t>
        </is>
      </c>
      <c r="BG848" s="5" t="inlineStr"/>
      <c r="BH848" s="5" t="inlineStr">
        <is>
          <t>No</t>
        </is>
      </c>
      <c r="BI848" s="5" t="inlineStr">
        <is>
          <t>2026-09-17</t>
        </is>
      </c>
      <c r="BJ848" s="5" t="inlineStr">
        <is>
          <t>New</t>
        </is>
      </c>
      <c r="BK848" s="5" t="inlineStr">
        <is>
          <t>2026-09-17</t>
        </is>
      </c>
      <c r="BL848" s="5" t="inlineStr"/>
      <c r="BM848" s="5" t="inlineStr"/>
      <c r="BN848" s="5" t="inlineStr"/>
      <c r="BO848" s="5" t="inlineStr"/>
      <c r="BP848" s="5" t="inlineStr"/>
      <c r="BQ848" s="5" t="inlineStr"/>
    </row>
    <row r="849">
      <c r="A849" s="10" t="inlineStr">
        <is>
          <t>UK-000547</t>
        </is>
      </c>
      <c r="B849" s="10" t="inlineStr">
        <is>
          <t>UK-000547-01</t>
        </is>
      </c>
      <c r="C849" s="10" t="inlineStr"/>
      <c r="D849" s="10" t="inlineStr">
        <is>
          <t>iVAPE QB</t>
        </is>
      </c>
      <c r="E849" s="10" t="inlineStr">
        <is>
          <t>iVAPE QB</t>
        </is>
      </c>
      <c r="F849" s="10" t="inlineStr"/>
      <c r="G849" s="10" t="inlineStr">
        <is>
          <t>Vape Shop</t>
        </is>
      </c>
      <c r="H849" s="10" t="inlineStr">
        <is>
          <t>Vape kits, e-liquids &amp; accessories</t>
        </is>
      </c>
      <c r="I849" s="10" t="inlineStr">
        <is>
          <t>Independent</t>
        </is>
      </c>
      <c r="J849" s="10" t="inlineStr">
        <is>
          <t>1</t>
        </is>
      </c>
      <c r="K849" s="10" t="inlineStr"/>
      <c r="L849" s="10" t="inlineStr">
        <is>
          <t>https://www.facebook.com/ivapeqb190/</t>
        </is>
      </c>
      <c r="M849" s="10" t="inlineStr"/>
      <c r="N849" s="10" t="inlineStr"/>
      <c r="O849" s="10" t="inlineStr">
        <is>
          <t>34 Market Street</t>
        </is>
      </c>
      <c r="P849" s="10" t="inlineStr"/>
      <c r="Q849" s="10" t="inlineStr">
        <is>
          <t>Kingswinford</t>
        </is>
      </c>
      <c r="R849" s="10" t="inlineStr">
        <is>
          <t>West Midlands</t>
        </is>
      </c>
      <c r="S849" s="10" t="inlineStr">
        <is>
          <t>DY6 9JU</t>
        </is>
      </c>
      <c r="T849" s="10" t="inlineStr">
        <is>
          <t>West Midlands</t>
        </is>
      </c>
      <c r="U849" s="10" t="inlineStr">
        <is>
          <t>England</t>
        </is>
      </c>
      <c r="V849" s="10" t="inlineStr">
        <is>
          <t>07842 131532</t>
        </is>
      </c>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c r="AK849" s="10" t="inlineStr">
        <is>
          <t>vape hardware; e-liquids; accessories</t>
        </is>
      </c>
      <c r="AL849" s="10" t="inlineStr"/>
      <c r="AM849" s="10" t="inlineStr">
        <is>
          <t>Vape Shop</t>
        </is>
      </c>
      <c r="AN849" s="10" t="inlineStr"/>
      <c r="AO849" s="10" t="inlineStr">
        <is>
          <t>Independent vape shop, 34 Market Street, Kingswinford. Address and mobile from Facebook page snippet.</t>
        </is>
      </c>
      <c r="AP849" s="10" t="inlineStr">
        <is>
          <t>Medium</t>
        </is>
      </c>
      <c r="AQ849" s="10" t="inlineStr">
        <is>
          <t>Independent retailer; Core relevant category; Social presence</t>
        </is>
      </c>
      <c r="AR849" s="10" t="inlineStr">
        <is>
          <t>https://www.facebook.com/ivapeqb190/</t>
        </is>
      </c>
      <c r="AS849" s="10" t="inlineStr"/>
      <c r="AT849" s="10" t="inlineStr">
        <is>
          <t>1</t>
        </is>
      </c>
      <c r="AU849" s="10" t="inlineStr">
        <is>
          <t>No</t>
        </is>
      </c>
      <c r="AV849" s="10" t="inlineStr">
        <is>
          <t>No</t>
        </is>
      </c>
      <c r="AW849" s="10" t="inlineStr">
        <is>
          <t>No</t>
        </is>
      </c>
      <c r="AX849" s="10" t="inlineStr">
        <is>
          <t>No</t>
        </is>
      </c>
      <c r="AY849" s="10" t="inlineStr">
        <is>
          <t>Verified directory</t>
        </is>
      </c>
      <c r="AZ849" s="10" t="inlineStr">
        <is>
          <t>Not Found</t>
        </is>
      </c>
      <c r="BA849" s="10" t="inlineStr">
        <is>
          <t>2026-09-17</t>
        </is>
      </c>
      <c r="BB849" s="10" t="inlineStr">
        <is>
          <t>Requires Verification</t>
        </is>
      </c>
      <c r="BC849" s="10" t="inlineStr">
        <is>
          <t>Medium</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2026-09-17</t>
        </is>
      </c>
      <c r="BJ849" s="10" t="inlineStr">
        <is>
          <t>New</t>
        </is>
      </c>
      <c r="BK849" s="10" t="inlineStr">
        <is>
          <t>2026-09-17</t>
        </is>
      </c>
      <c r="BL849" s="10" t="inlineStr"/>
      <c r="BM849" s="10" t="inlineStr"/>
      <c r="BN849" s="10" t="inlineStr"/>
      <c r="BO849" s="10" t="inlineStr"/>
      <c r="BP849" s="10" t="inlineStr"/>
      <c r="BQ849" s="10" t="inlineStr"/>
    </row>
    <row r="850">
      <c r="A850" s="5" t="inlineStr">
        <is>
          <t>WY-0193</t>
        </is>
      </c>
      <c r="B850" s="5" t="inlineStr">
        <is>
          <t>WY-0193-01</t>
        </is>
      </c>
      <c r="C850" s="5" t="inlineStr"/>
      <c r="D850" s="5" t="inlineStr">
        <is>
          <t>iVape Lounge</t>
        </is>
      </c>
      <c r="E850" s="5" t="inlineStr">
        <is>
          <t>iVape Lounge Todmorden</t>
        </is>
      </c>
      <c r="F850" s="5" t="inlineStr"/>
      <c r="G850" s="5" t="inlineStr">
        <is>
          <t>Vape Shop</t>
        </is>
      </c>
      <c r="H850" s="5" t="inlineStr"/>
      <c r="I850" s="5" t="inlineStr">
        <is>
          <t>Independent</t>
        </is>
      </c>
      <c r="J850" s="5" t="inlineStr">
        <is>
          <t>1</t>
        </is>
      </c>
      <c r="K850" s="5" t="inlineStr"/>
      <c r="L850" s="5" t="inlineStr"/>
      <c r="M850" s="5" t="inlineStr"/>
      <c r="N850" s="5" t="inlineStr"/>
      <c r="O850" s="5" t="inlineStr">
        <is>
          <t>53 Halifax Road</t>
        </is>
      </c>
      <c r="P850" s="5" t="inlineStr"/>
      <c r="Q850" s="5" t="inlineStr">
        <is>
          <t>Todmorden</t>
        </is>
      </c>
      <c r="R850" s="5" t="inlineStr">
        <is>
          <t>West Yorkshire</t>
        </is>
      </c>
      <c r="S850" s="5" t="inlineStr">
        <is>
          <t>OL14 5BB</t>
        </is>
      </c>
      <c r="T850" s="5" t="inlineStr">
        <is>
          <t>Yorkshire &amp; Humber</t>
        </is>
      </c>
      <c r="U850" s="5" t="inlineStr">
        <is>
          <t>England</t>
        </is>
      </c>
      <c r="V850" s="5" t="inlineStr"/>
      <c r="W850" s="5" t="inlineStr"/>
      <c r="X850" s="5" t="inlineStr"/>
      <c r="Y850" s="5" t="inlineStr"/>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vapes; e-liquids</t>
        </is>
      </c>
      <c r="AL850" s="5" t="inlineStr"/>
      <c r="AM850" s="5" t="inlineStr">
        <is>
          <t>Vape Shop</t>
        </is>
      </c>
      <c r="AN850" s="5" t="inlineStr"/>
      <c r="AO850" s="5" t="inlineStr"/>
      <c r="AP850" s="5" t="inlineStr">
        <is>
          <t>Medium</t>
        </is>
      </c>
      <c r="AQ850" s="5" t="inlineStr">
        <is>
          <t>Independent retailer; Core relevant category</t>
        </is>
      </c>
      <c r="AR850" s="5" t="inlineStr">
        <is>
          <t>https://ivape-lounge-todmorden-vape-shop.wheree.com/</t>
        </is>
      </c>
      <c r="AS850" s="5" t="inlineStr"/>
      <c r="AT850" s="5" t="inlineStr">
        <is>
          <t>1</t>
        </is>
      </c>
      <c r="AU850" s="5" t="inlineStr">
        <is>
          <t>No</t>
        </is>
      </c>
      <c r="AV850" s="5" t="inlineStr">
        <is>
          <t>No</t>
        </is>
      </c>
      <c r="AW850" s="5" t="inlineStr">
        <is>
          <t>No</t>
        </is>
      </c>
      <c r="AX850" s="5" t="inlineStr">
        <is>
          <t>No</t>
        </is>
      </c>
      <c r="AY850" s="5" t="inlineStr">
        <is>
          <t>Not Found</t>
        </is>
      </c>
      <c r="AZ850" s="5" t="inlineStr">
        <is>
          <t>Not Found</t>
        </is>
      </c>
      <c r="BA850" s="5" t="inlineStr">
        <is>
          <t>2026-09-17</t>
        </is>
      </c>
      <c r="BB850" s="5" t="inlineStr">
        <is>
          <t>Requires Verification</t>
        </is>
      </c>
      <c r="BC850" s="5" t="inlineStr">
        <is>
          <t>Low</t>
        </is>
      </c>
      <c r="BD850" s="5" t="inlineStr"/>
      <c r="BE850" s="5" t="inlineStr">
        <is>
          <t>Business (B2B)</t>
        </is>
      </c>
      <c r="BF850" s="5" t="inlineStr">
        <is>
          <t>Legitimate interest (B2B) - assess per campaign; PECR: corporate subscribers</t>
        </is>
      </c>
      <c r="BG850" s="5" t="inlineStr"/>
      <c r="BH850" s="5" t="inlineStr">
        <is>
          <t>No</t>
        </is>
      </c>
      <c r="BI850" s="5" t="inlineStr">
        <is>
          <t>2026-09-16</t>
        </is>
      </c>
      <c r="BJ850" s="5" t="inlineStr">
        <is>
          <t>New</t>
        </is>
      </c>
      <c r="BK850" s="5" t="inlineStr">
        <is>
          <t>2026-09-17</t>
        </is>
      </c>
      <c r="BL850" s="5" t="inlineStr"/>
      <c r="BM850" s="5" t="inlineStr"/>
      <c r="BN850" s="5" t="inlineStr"/>
      <c r="BO850" s="5" t="inlineStr"/>
      <c r="BP850" s="5" t="inlineStr"/>
      <c r="BQ850" s="5" t="inlineStr"/>
    </row>
  </sheetData>
  <autoFilter ref="A1:BQ8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30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3" customWidth="1" min="3" max="3"/>
    <col width="45" customWidth="1" min="4" max="4"/>
    <col width="19" customWidth="1" min="5" max="5"/>
    <col width="45" customWidth="1" min="6" max="6"/>
    <col width="24" customWidth="1" min="7" max="7"/>
    <col width="21" customWidth="1" min="8" max="8"/>
    <col width="45" customWidth="1" min="9" max="9"/>
    <col width="20" customWidth="1" min="10" max="10"/>
    <col width="10" customWidth="1" min="11" max="11"/>
    <col width="15" customWidth="1" min="12" max="12"/>
    <col width="41" customWidth="1" min="13" max="13"/>
    <col width="26"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UK-000194</t>
        </is>
      </c>
      <c r="B5" s="10" t="inlineStr">
        <is>
          <t>CRAMVAPE-01</t>
        </is>
      </c>
      <c r="C5" s="10" t="inlineStr">
        <is>
          <t>CRAM Vape</t>
        </is>
      </c>
      <c r="D5" s="10" t="inlineStr">
        <is>
          <t>CRAM Vape</t>
        </is>
      </c>
      <c r="E5" s="10" t="inlineStr">
        <is>
          <t>Vape Shop</t>
        </is>
      </c>
      <c r="F5" s="10" t="inlineStr">
        <is>
          <t>Vape store</t>
        </is>
      </c>
      <c r="G5" s="10" t="inlineStr">
        <is>
          <t>Multi-Site Independent</t>
        </is>
      </c>
      <c r="H5" s="10" t="inlineStr">
        <is>
          <t>2</t>
        </is>
      </c>
      <c r="I5" s="10" t="inlineStr">
        <is>
          <t>190 Ashby Road</t>
        </is>
      </c>
      <c r="J5" s="10" t="inlineStr">
        <is>
          <t>Scunthorpe</t>
        </is>
      </c>
      <c r="K5" s="10" t="inlineStr">
        <is>
          <t>DN16 2AR</t>
        </is>
      </c>
      <c r="L5" s="10" t="inlineStr">
        <is>
          <t>01724 277259</t>
        </is>
      </c>
      <c r="M5" s="10" t="inlineStr"/>
      <c r="N5" s="10" t="inlineStr"/>
      <c r="O5" s="10" t="inlineStr">
        <is>
          <t>https://www.cramvape.co.uk</t>
        </is>
      </c>
      <c r="P5" s="10" t="inlineStr"/>
      <c r="Q5" s="10" t="inlineStr"/>
      <c r="R5" s="10" t="inlineStr"/>
      <c r="S5" s="10" t="inlineStr"/>
      <c r="T5" s="10" t="inlineStr">
        <is>
          <t>07343567</t>
        </is>
      </c>
      <c r="U5" s="10" t="inlineStr"/>
      <c r="V5" s="10" t="inlineStr">
        <is>
          <t>High</t>
        </is>
      </c>
      <c r="W5" s="10" t="inlineStr">
        <is>
          <t>Multi-site retailer; Independent retailer; Core relevant category; Active website</t>
        </is>
      </c>
      <c r="X5" s="10" t="inlineStr">
        <is>
          <t>Verified directory</t>
        </is>
      </c>
      <c r="Y5" s="10" t="inlineStr">
        <is>
          <t>Not Found</t>
        </is>
      </c>
      <c r="Z5" s="10" t="inlineStr">
        <is>
          <t>Medium</t>
        </is>
      </c>
      <c r="AA5" s="10" t="inlineStr">
        <is>
          <t>Verified (website + Companies House)</t>
        </is>
      </c>
      <c r="AB5" s="10" t="inlineStr">
        <is>
          <t>https://www.cramvape.co.uk/pages/contact-us</t>
        </is>
      </c>
    </row>
    <row r="6">
      <c r="A6" s="5" t="inlineStr">
        <is>
          <t>UK-000300</t>
        </is>
      </c>
      <c r="B6" s="5" t="inlineStr">
        <is>
          <t>CLOUDSTIX-01</t>
        </is>
      </c>
      <c r="C6" s="5" t="inlineStr">
        <is>
          <t>Cloudstix</t>
        </is>
      </c>
      <c r="D6" s="5" t="inlineStr">
        <is>
          <t>Cloudstix Ashton-in-Makerfield</t>
        </is>
      </c>
      <c r="E6" s="5" t="inlineStr">
        <is>
          <t>Vape Shop</t>
        </is>
      </c>
      <c r="F6" s="5" t="inlineStr">
        <is>
          <t>E-cigarette and e-liquid shop</t>
        </is>
      </c>
      <c r="G6" s="5" t="inlineStr">
        <is>
          <t>Regional Chain</t>
        </is>
      </c>
      <c r="H6" s="5" t="inlineStr">
        <is>
          <t>1</t>
        </is>
      </c>
      <c r="I6" s="5" t="inlineStr">
        <is>
          <t>61a Gerard Street</t>
        </is>
      </c>
      <c r="J6" s="5" t="inlineStr">
        <is>
          <t>Wigan</t>
        </is>
      </c>
      <c r="K6" s="5" t="inlineStr">
        <is>
          <t>WN4 9AG</t>
        </is>
      </c>
      <c r="L6" s="5" t="inlineStr">
        <is>
          <t>01942 718289</t>
        </is>
      </c>
      <c r="M6" s="5" t="inlineStr"/>
      <c r="N6" s="5" t="inlineStr"/>
      <c r="O6" s="5" t="inlineStr">
        <is>
          <t>https://www.cloudstix.com/</t>
        </is>
      </c>
      <c r="P6" s="5" t="inlineStr"/>
      <c r="Q6" s="5" t="inlineStr"/>
      <c r="R6" s="5" t="inlineStr"/>
      <c r="S6" s="5" t="inlineStr"/>
      <c r="T6" s="5" t="inlineStr"/>
      <c r="U6" s="5" t="inlineStr"/>
      <c r="V6" s="5" t="inlineStr">
        <is>
          <t>High</t>
        </is>
      </c>
      <c r="W6" s="5" t="inlineStr">
        <is>
          <t>Multi-site retailer; Core relevant category; Active website; Phone verified on official website</t>
        </is>
      </c>
      <c r="X6" s="5" t="inlineStr">
        <is>
          <t>Verified on official website</t>
        </is>
      </c>
      <c r="Y6" s="5" t="inlineStr">
        <is>
          <t>Website Found</t>
        </is>
      </c>
      <c r="Z6" s="5" t="inlineStr">
        <is>
          <t>Medium</t>
        </is>
      </c>
      <c r="AA6" s="5" t="inlineStr">
        <is>
          <t>Requires Verification</t>
        </is>
      </c>
      <c r="AB6" s="5" t="inlineStr">
        <is>
          <t>https://www.cloudstix.com/pages/vape-shop-ashton-in-makerfield</t>
        </is>
      </c>
    </row>
    <row r="7">
      <c r="A7" s="10" t="inlineStr">
        <is>
          <t>UK-000705</t>
        </is>
      </c>
      <c r="B7" s="10" t="inlineStr">
        <is>
          <t>DRVAPOR-01</t>
        </is>
      </c>
      <c r="C7" s="10" t="inlineStr">
        <is>
          <t>Dr Vapor</t>
        </is>
      </c>
      <c r="D7" s="10" t="inlineStr">
        <is>
          <t>Dr Vapor Edinburgh (Dalry)</t>
        </is>
      </c>
      <c r="E7" s="10" t="inlineStr">
        <is>
          <t>Vape Shop</t>
        </is>
      </c>
      <c r="F7" s="10" t="inlineStr">
        <is>
          <t>Electronic cigarettes &amp; e-liquids</t>
        </is>
      </c>
      <c r="G7" s="10" t="inlineStr">
        <is>
          <t>Multi-Site Independent</t>
        </is>
      </c>
      <c r="H7" s="10" t="inlineStr">
        <is>
          <t>2</t>
        </is>
      </c>
      <c r="I7" s="10" t="inlineStr">
        <is>
          <t>64 Dalry Road</t>
        </is>
      </c>
      <c r="J7" s="10" t="inlineStr">
        <is>
          <t>Edinburgh</t>
        </is>
      </c>
      <c r="K7" s="10" t="inlineStr">
        <is>
          <t>EH11 2AY</t>
        </is>
      </c>
      <c r="L7" s="10" t="inlineStr">
        <is>
          <t>0131 347 1581</t>
        </is>
      </c>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Core relevant category</t>
        </is>
      </c>
      <c r="X7" s="10" t="inlineStr">
        <is>
          <t>Verified directory</t>
        </is>
      </c>
      <c r="Y7" s="10" t="inlineStr">
        <is>
          <t>Not Found</t>
        </is>
      </c>
      <c r="Z7" s="10" t="inlineStr">
        <is>
          <t>Medium</t>
        </is>
      </c>
      <c r="AA7" s="10" t="inlineStr">
        <is>
          <t>Requires Verification</t>
        </is>
      </c>
      <c r="AB7" s="10" t="inlineStr">
        <is>
          <t>https://www.yell.com/s/vape+shops-edinburgh.html</t>
        </is>
      </c>
    </row>
    <row r="8">
      <c r="A8" s="5" t="inlineStr">
        <is>
          <t>UK-000706</t>
        </is>
      </c>
      <c r="B8" s="5" t="inlineStr">
        <is>
          <t>DRVAPOR-02</t>
        </is>
      </c>
      <c r="C8" s="5" t="inlineStr">
        <is>
          <t>Dr Vapor</t>
        </is>
      </c>
      <c r="D8" s="5" t="inlineStr">
        <is>
          <t>Dr Vapor Edinburgh (Parsons Green)</t>
        </is>
      </c>
      <c r="E8" s="5" t="inlineStr">
        <is>
          <t>Vape Shop</t>
        </is>
      </c>
      <c r="F8" s="5" t="inlineStr">
        <is>
          <t>Electronic cigarettes &amp; e-liquids</t>
        </is>
      </c>
      <c r="G8" s="5" t="inlineStr">
        <is>
          <t>Multi-Site Independent</t>
        </is>
      </c>
      <c r="H8" s="5" t="inlineStr">
        <is>
          <t>2</t>
        </is>
      </c>
      <c r="I8" s="5" t="inlineStr">
        <is>
          <t>37 Parsons Green Terrace</t>
        </is>
      </c>
      <c r="J8" s="5" t="inlineStr">
        <is>
          <t>Edinburgh</t>
        </is>
      </c>
      <c r="K8" s="5" t="inlineStr">
        <is>
          <t>EH8 7AF</t>
        </is>
      </c>
      <c r="L8" s="5" t="inlineStr">
        <is>
          <t>0131 281 2385</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Core relevant category</t>
        </is>
      </c>
      <c r="X8" s="5" t="inlineStr">
        <is>
          <t>Verified directory</t>
        </is>
      </c>
      <c r="Y8" s="5" t="inlineStr">
        <is>
          <t>Not Found</t>
        </is>
      </c>
      <c r="Z8" s="5" t="inlineStr">
        <is>
          <t>Medium</t>
        </is>
      </c>
      <c r="AA8" s="5" t="inlineStr">
        <is>
          <t>Requires Verification</t>
        </is>
      </c>
      <c r="AB8" s="5" t="inlineStr">
        <is>
          <t>https://www.yell.com/s/vape+shops-edinburgh.html</t>
        </is>
      </c>
    </row>
    <row r="9">
      <c r="A9" s="10" t="inlineStr">
        <is>
          <t>WY-0013</t>
        </is>
      </c>
      <c r="B9" s="10" t="inlineStr">
        <is>
          <t>ECIGNVAPE-01</t>
        </is>
      </c>
      <c r="C9" s="10" t="inlineStr">
        <is>
          <t>Ecig N Vape</t>
        </is>
      </c>
      <c r="D9" s="10" t="inlineStr">
        <is>
          <t>Ecig N Vape South Elmsall</t>
        </is>
      </c>
      <c r="E9" s="10" t="inlineStr">
        <is>
          <t>Vape Shop</t>
        </is>
      </c>
      <c r="F9" s="10" t="inlineStr">
        <is>
          <t>Vape retailer</t>
        </is>
      </c>
      <c r="G9" s="10" t="inlineStr">
        <is>
          <t>Multi-Site Independent</t>
        </is>
      </c>
      <c r="H9" s="10" t="inlineStr">
        <is>
          <t>2</t>
        </is>
      </c>
      <c r="I9" s="10" t="inlineStr">
        <is>
          <t>13 Barnsley Road</t>
        </is>
      </c>
      <c r="J9" s="10" t="inlineStr">
        <is>
          <t>South Elmsall</t>
        </is>
      </c>
      <c r="K9" s="10" t="inlineStr">
        <is>
          <t>WF9 2RJ</t>
        </is>
      </c>
      <c r="L9" s="10" t="inlineStr">
        <is>
          <t>01977 647267</t>
        </is>
      </c>
      <c r="M9" s="10" t="inlineStr"/>
      <c r="N9" s="10" t="inlineStr"/>
      <c r="O9" s="10" t="inlineStr"/>
      <c r="P9" s="10" t="inlineStr">
        <is>
          <t>https://www.facebook.com/Ecignvapesouthelmsall/</t>
        </is>
      </c>
      <c r="Q9" s="10" t="inlineStr"/>
      <c r="R9" s="10" t="inlineStr"/>
      <c r="S9" s="10" t="inlineStr"/>
      <c r="T9" s="10" t="inlineStr">
        <is>
          <t>12772350</t>
        </is>
      </c>
      <c r="U9" s="10" t="inlineStr"/>
      <c r="V9" s="10" t="inlineStr">
        <is>
          <t>High</t>
        </is>
      </c>
      <c r="W9" s="10" t="inlineStr">
        <is>
          <t>Multi-site retailer; Independent retailer; Core relevant category; Social presence</t>
        </is>
      </c>
      <c r="X9" s="10" t="inlineStr">
        <is>
          <t>Verified directory</t>
        </is>
      </c>
      <c r="Y9" s="10" t="inlineStr">
        <is>
          <t>Not Found</t>
        </is>
      </c>
      <c r="Z9" s="10" t="inlineStr">
        <is>
          <t>Medium</t>
        </is>
      </c>
      <c r="AA9" s="10" t="inlineStr">
        <is>
          <t>Requires Verification</t>
        </is>
      </c>
      <c r="AB9" s="10" t="inlineStr">
        <is>
          <t>https://find-and-update.company-information.service.gov.uk/company/12772350</t>
        </is>
      </c>
    </row>
    <row r="10">
      <c r="A10" s="5" t="inlineStr">
        <is>
          <t>UK-000196</t>
        </is>
      </c>
      <c r="B10" s="5" t="inlineStr">
        <is>
          <t>ELECTRICVA-01</t>
        </is>
      </c>
      <c r="C10" s="5" t="inlineStr">
        <is>
          <t>Electric Vape</t>
        </is>
      </c>
      <c r="D10" s="5" t="inlineStr">
        <is>
          <t>Electric Vape Rotherham</t>
        </is>
      </c>
      <c r="E10" s="5" t="inlineStr">
        <is>
          <t>Vape Shop</t>
        </is>
      </c>
      <c r="F10" s="5" t="inlineStr">
        <is>
          <t>Market-stall vape shop</t>
        </is>
      </c>
      <c r="G10" s="5" t="inlineStr">
        <is>
          <t>Multi-Site Independent</t>
        </is>
      </c>
      <c r="H10" s="5" t="inlineStr">
        <is>
          <t>1</t>
        </is>
      </c>
      <c r="I10" s="5" t="inlineStr">
        <is>
          <t>Units 53 and 55, Rotherham Centenary Indoor Market (Ground Floor)</t>
        </is>
      </c>
      <c r="J10" s="5" t="inlineStr">
        <is>
          <t>Rotherham</t>
        </is>
      </c>
      <c r="K10" s="5" t="inlineStr">
        <is>
          <t>S65 1EL</t>
        </is>
      </c>
      <c r="L10" s="5" t="inlineStr"/>
      <c r="M10" s="5" t="inlineStr"/>
      <c r="N10" s="5" t="inlineStr"/>
      <c r="O10" s="5" t="inlineStr">
        <is>
          <t>https://www.electricvape.co.uk/rotherham-shop</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Not Found</t>
        </is>
      </c>
      <c r="Y10" s="5" t="inlineStr">
        <is>
          <t>Website Found</t>
        </is>
      </c>
      <c r="Z10" s="5" t="inlineStr">
        <is>
          <t>Medium</t>
        </is>
      </c>
      <c r="AA10" s="5" t="inlineStr">
        <is>
          <t>Requires Verification</t>
        </is>
      </c>
      <c r="AB10" s="5" t="inlineStr">
        <is>
          <t>https://www.electricvape.co.uk/rotherham-shop</t>
        </is>
      </c>
    </row>
    <row r="11">
      <c r="A11" s="10" t="inlineStr">
        <is>
          <t>UK-000197</t>
        </is>
      </c>
      <c r="B11" s="10" t="inlineStr">
        <is>
          <t>ELECTRICVA-02</t>
        </is>
      </c>
      <c r="C11" s="10" t="inlineStr">
        <is>
          <t>Electric Vape</t>
        </is>
      </c>
      <c r="D11" s="10" t="inlineStr">
        <is>
          <t>Electric Vaper Barnsley</t>
        </is>
      </c>
      <c r="E11" s="10" t="inlineStr">
        <is>
          <t>Vape Shop</t>
        </is>
      </c>
      <c r="F11" s="10" t="inlineStr">
        <is>
          <t>Vape shop</t>
        </is>
      </c>
      <c r="G11" s="10" t="inlineStr">
        <is>
          <t>Multi-Site Independent</t>
        </is>
      </c>
      <c r="H11" s="10" t="inlineStr">
        <is>
          <t>1</t>
        </is>
      </c>
      <c r="I11" s="10" t="inlineStr">
        <is>
          <t>11 May Day Green Arcade</t>
        </is>
      </c>
      <c r="J11" s="10" t="inlineStr">
        <is>
          <t>Barnsley</t>
        </is>
      </c>
      <c r="K11" s="10" t="inlineStr"/>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Core relevant category</t>
        </is>
      </c>
      <c r="X11" s="10" t="inlineStr">
        <is>
          <t>Not Found</t>
        </is>
      </c>
      <c r="Y11" s="10" t="inlineStr">
        <is>
          <t>Not Found</t>
        </is>
      </c>
      <c r="Z11" s="10" t="inlineStr">
        <is>
          <t>Low</t>
        </is>
      </c>
      <c r="AA11" s="10" t="inlineStr">
        <is>
          <t>Requires Verification</t>
        </is>
      </c>
      <c r="AB11" s="10" t="inlineStr">
        <is>
          <t>https://ecigdirectory.co.uk/vape-shop/listing/electric-vaper-barnsley</t>
        </is>
      </c>
    </row>
    <row r="12">
      <c r="A12" s="5" t="inlineStr">
        <is>
          <t>UK-000425</t>
        </is>
      </c>
      <c r="B12" s="5" t="inlineStr">
        <is>
          <t>ELECTROMIS-01</t>
        </is>
      </c>
      <c r="C12" s="5" t="inlineStr">
        <is>
          <t>Electromist</t>
        </is>
      </c>
      <c r="D12" s="5" t="inlineStr">
        <is>
          <t>Electromist Halesowen</t>
        </is>
      </c>
      <c r="E12" s="5" t="inlineStr">
        <is>
          <t>Vape Shop</t>
        </is>
      </c>
      <c r="F12" s="5" t="inlineStr">
        <is>
          <t>Vape kits, e-liquids &amp; accessories</t>
        </is>
      </c>
      <c r="G12" s="5" t="inlineStr">
        <is>
          <t>Multi-Site Independent</t>
        </is>
      </c>
      <c r="H12" s="5" t="inlineStr">
        <is>
          <t>2</t>
        </is>
      </c>
      <c r="I12" s="5" t="inlineStr">
        <is>
          <t>4-5 Great Cornbow</t>
        </is>
      </c>
      <c r="J12" s="5" t="inlineStr">
        <is>
          <t>Halesowen</t>
        </is>
      </c>
      <c r="K12" s="5" t="inlineStr">
        <is>
          <t>B63 3AB</t>
        </is>
      </c>
      <c r="L12" s="5" t="inlineStr"/>
      <c r="M12" s="5" t="inlineStr"/>
      <c r="N12" s="5" t="inlineStr"/>
      <c r="O12" s="5" t="inlineStr">
        <is>
          <t>https://electromist.co.uk/</t>
        </is>
      </c>
      <c r="P12" s="5" t="inlineStr"/>
      <c r="Q12" s="5" t="inlineStr"/>
      <c r="R12" s="5" t="inlineStr"/>
      <c r="S12" s="5" t="inlineStr"/>
      <c r="T12" s="5" t="inlineStr"/>
      <c r="U12" s="5" t="inlineStr"/>
      <c r="V12" s="5" t="inlineStr">
        <is>
          <t>High</t>
        </is>
      </c>
      <c r="W12" s="5" t="inlineStr">
        <is>
          <t>Multi-site retailer; Independent retailer; Core relevant category; Active website</t>
        </is>
      </c>
      <c r="X12" s="5" t="inlineStr">
        <is>
          <t>Not Found</t>
        </is>
      </c>
      <c r="Y12" s="5" t="inlineStr">
        <is>
          <t>Website Found</t>
        </is>
      </c>
      <c r="Z12" s="5" t="inlineStr">
        <is>
          <t>Medium</t>
        </is>
      </c>
      <c r="AA12" s="5" t="inlineStr">
        <is>
          <t>Requires Verification</t>
        </is>
      </c>
      <c r="AB12" s="5" t="inlineStr">
        <is>
          <t>https://electromist.co.uk/</t>
        </is>
      </c>
    </row>
    <row r="13">
      <c r="A13" s="10" t="inlineStr">
        <is>
          <t>UK-000426</t>
        </is>
      </c>
      <c r="B13" s="10" t="inlineStr">
        <is>
          <t>ELECTROMIS-02</t>
        </is>
      </c>
      <c r="C13" s="10" t="inlineStr">
        <is>
          <t>Electromist</t>
        </is>
      </c>
      <c r="D13" s="10" t="inlineStr">
        <is>
          <t>Electromist Merry Hill</t>
        </is>
      </c>
      <c r="E13" s="10" t="inlineStr">
        <is>
          <t>Vape Shop</t>
        </is>
      </c>
      <c r="F13" s="10" t="inlineStr">
        <is>
          <t>Vape kits, e-liquids &amp; accessories</t>
        </is>
      </c>
      <c r="G13" s="10" t="inlineStr">
        <is>
          <t>Multi-Site Independent</t>
        </is>
      </c>
      <c r="H13" s="10" t="inlineStr">
        <is>
          <t>2</t>
        </is>
      </c>
      <c r="I13" s="10" t="inlineStr">
        <is>
          <t>Merry Hill Shopping Centre</t>
        </is>
      </c>
      <c r="J13" s="10" t="inlineStr">
        <is>
          <t>Brierley Hill</t>
        </is>
      </c>
      <c r="K13" s="10" t="inlineStr">
        <is>
          <t>DY5 1QX</t>
        </is>
      </c>
      <c r="L13" s="10" t="inlineStr">
        <is>
          <t>01384 751333</t>
        </is>
      </c>
      <c r="M13" s="10" t="inlineStr"/>
      <c r="N13" s="10" t="inlineStr"/>
      <c r="O13" s="10" t="inlineStr">
        <is>
          <t>https://electromist.co.uk/</t>
        </is>
      </c>
      <c r="P13" s="10" t="inlineStr"/>
      <c r="Q13" s="10" t="inlineStr"/>
      <c r="R13" s="10" t="inlineStr"/>
      <c r="S13" s="10" t="inlineStr"/>
      <c r="T13" s="10" t="inlineStr"/>
      <c r="U13" s="10" t="inlineStr"/>
      <c r="V13" s="10" t="inlineStr">
        <is>
          <t>High</t>
        </is>
      </c>
      <c r="W13" s="10" t="inlineStr">
        <is>
          <t>Multi-site retailer; Independent retailer; Core relevant category; Active website; Phone verified on official website</t>
        </is>
      </c>
      <c r="X13" s="10" t="inlineStr">
        <is>
          <t>Verified on official website</t>
        </is>
      </c>
      <c r="Y13" s="10" t="inlineStr">
        <is>
          <t>Website Found</t>
        </is>
      </c>
      <c r="Z13" s="10" t="inlineStr">
        <is>
          <t>Medium</t>
        </is>
      </c>
      <c r="AA13" s="10" t="inlineStr">
        <is>
          <t>Requires Verification</t>
        </is>
      </c>
      <c r="AB13" s="10" t="inlineStr">
        <is>
          <t>https://electromist.co.uk/pages/merry-hill-store</t>
        </is>
      </c>
    </row>
    <row r="14">
      <c r="A14" s="5" t="inlineStr">
        <is>
          <t>UK-000553</t>
        </is>
      </c>
      <c r="B14" s="5" t="inlineStr">
        <is>
          <t>EVAPO-01</t>
        </is>
      </c>
      <c r="C14" s="5" t="inlineStr">
        <is>
          <t>Evapo</t>
        </is>
      </c>
      <c r="D14" s="5" t="inlineStr">
        <is>
          <t>Evapo - Hammersmith Broadway</t>
        </is>
      </c>
      <c r="E14" s="5" t="inlineStr">
        <is>
          <t>Vape Shop</t>
        </is>
      </c>
      <c r="F14" s="5" t="inlineStr">
        <is>
          <t>Vape hardware, e-liquids &amp; disposables</t>
        </is>
      </c>
      <c r="G14" s="5" t="inlineStr">
        <is>
          <t>Regional Chain</t>
        </is>
      </c>
      <c r="H14" s="5" t="inlineStr">
        <is>
          <t>1</t>
        </is>
      </c>
      <c r="I14" s="5" t="inlineStr">
        <is>
          <t>Unit 24b, Hammersmith Broadway Shopping Centre</t>
        </is>
      </c>
      <c r="J14" s="5" t="inlineStr">
        <is>
          <t>London</t>
        </is>
      </c>
      <c r="K14" s="5" t="inlineStr">
        <is>
          <t>W6 9YE</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Low</t>
        </is>
      </c>
      <c r="AA14" s="5" t="inlineStr">
        <is>
          <t>Requires Verification</t>
        </is>
      </c>
      <c r="AB14" s="5" t="inlineStr">
        <is>
          <t>https://www.yell.com/biz/evapo-hammersmith-london-9576528/</t>
        </is>
      </c>
    </row>
    <row r="15">
      <c r="A15" s="10" t="inlineStr">
        <is>
          <t>UK-000554</t>
        </is>
      </c>
      <c r="B15" s="10" t="inlineStr">
        <is>
          <t>EVAPO-02</t>
        </is>
      </c>
      <c r="C15" s="10" t="inlineStr">
        <is>
          <t>Evapo</t>
        </is>
      </c>
      <c r="D15" s="10" t="inlineStr">
        <is>
          <t>Evapo - Soho (Denman Street)</t>
        </is>
      </c>
      <c r="E15" s="10" t="inlineStr">
        <is>
          <t>Vape Shop</t>
        </is>
      </c>
      <c r="F15" s="10" t="inlineStr">
        <is>
          <t>Vape hardware, e-liquids &amp; disposables</t>
        </is>
      </c>
      <c r="G15" s="10" t="inlineStr">
        <is>
          <t>Regional Chain</t>
        </is>
      </c>
      <c r="H15" s="10" t="inlineStr">
        <is>
          <t>1</t>
        </is>
      </c>
      <c r="I15" s="10" t="inlineStr">
        <is>
          <t>6 Denman Street</t>
        </is>
      </c>
      <c r="J15" s="10" t="inlineStr">
        <is>
          <t>London</t>
        </is>
      </c>
      <c r="K15" s="10" t="inlineStr">
        <is>
          <t>W1D 7HD</t>
        </is>
      </c>
      <c r="L15" s="10" t="inlineStr">
        <is>
          <t>07388 995052</t>
        </is>
      </c>
      <c r="M15" s="10" t="inlineStr"/>
      <c r="N15" s="10" t="inlineStr"/>
      <c r="O15" s="10" t="inlineStr">
        <is>
          <t>https://evapo.co.uk/vape-shops/denman-st</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Verified directory</t>
        </is>
      </c>
      <c r="Y15" s="10" t="inlineStr">
        <is>
          <t>Not Found</t>
        </is>
      </c>
      <c r="Z15" s="10" t="inlineStr">
        <is>
          <t>Medium</t>
        </is>
      </c>
      <c r="AA15" s="10" t="inlineStr">
        <is>
          <t>Requires Verification</t>
        </is>
      </c>
      <c r="AB15" s="10" t="inlineStr">
        <is>
          <t>https://evapo.co.uk/vape-shops/denman-st</t>
        </is>
      </c>
    </row>
    <row r="16">
      <c r="A16" s="5" t="inlineStr">
        <is>
          <t>UK-000198</t>
        </is>
      </c>
      <c r="B16" s="5" t="inlineStr">
        <is>
          <t>EZIVAPE-01</t>
        </is>
      </c>
      <c r="C16" s="5" t="inlineStr">
        <is>
          <t>Ezi Vape</t>
        </is>
      </c>
      <c r="D16" s="5" t="inlineStr">
        <is>
          <t>Ezi Vape Skipton</t>
        </is>
      </c>
      <c r="E16" s="5" t="inlineStr">
        <is>
          <t>Vape Shop</t>
        </is>
      </c>
      <c r="F16" s="5" t="inlineStr">
        <is>
          <t>Vape kits, e-liquids &amp; disposables</t>
        </is>
      </c>
      <c r="G16" s="5" t="inlineStr">
        <is>
          <t>Multi-Site Independent</t>
        </is>
      </c>
      <c r="H16" s="5" t="inlineStr">
        <is>
          <t>3</t>
        </is>
      </c>
      <c r="I16" s="5" t="inlineStr">
        <is>
          <t>25 High Street</t>
        </is>
      </c>
      <c r="J16" s="5" t="inlineStr">
        <is>
          <t>Skipton</t>
        </is>
      </c>
      <c r="K16" s="5" t="inlineStr"/>
      <c r="L16" s="5" t="inlineStr">
        <is>
          <t>07967 075860</t>
        </is>
      </c>
      <c r="M16" s="5" t="inlineStr"/>
      <c r="N16" s="5" t="inlineStr"/>
      <c r="O16" s="5" t="inlineStr">
        <is>
          <t>https://www.ezi-vape.co.uk/</t>
        </is>
      </c>
      <c r="P16" s="5" t="inlineStr">
        <is>
          <t>https://www.facebook.com/EziVapour/</t>
        </is>
      </c>
      <c r="Q16" s="5" t="inlineStr"/>
      <c r="R16" s="5" t="inlineStr"/>
      <c r="S16" s="5" t="inlineStr"/>
      <c r="T16" s="5" t="inlineStr"/>
      <c r="U16" s="5" t="inlineStr"/>
      <c r="V16" s="5" t="inlineStr">
        <is>
          <t>High</t>
        </is>
      </c>
      <c r="W16" s="5" t="inlineStr">
        <is>
          <t>Multi-site retailer; Independent retailer; Core relevant category; Active website; Social presence</t>
        </is>
      </c>
      <c r="X16" s="5" t="inlineStr">
        <is>
          <t>Verified directory</t>
        </is>
      </c>
      <c r="Y16" s="5" t="inlineStr">
        <is>
          <t>Website Found</t>
        </is>
      </c>
      <c r="Z16" s="5" t="inlineStr">
        <is>
          <t>Low</t>
        </is>
      </c>
      <c r="AA16" s="5" t="inlineStr">
        <is>
          <t>Requires Verification</t>
        </is>
      </c>
      <c r="AB16" s="5" t="inlineStr">
        <is>
          <t>https://www.ezi-vape.co.uk/</t>
        </is>
      </c>
    </row>
    <row r="17">
      <c r="A17" s="10" t="inlineStr">
        <is>
          <t>UK-000427</t>
        </is>
      </c>
      <c r="B17" s="10" t="inlineStr">
        <is>
          <t>FLAVOURVAP-01</t>
        </is>
      </c>
      <c r="C17" s="10" t="inlineStr">
        <is>
          <t>Flavour Vapour</t>
        </is>
      </c>
      <c r="D17" s="10" t="inlineStr">
        <is>
          <t>Flavour Vapour Birmingham</t>
        </is>
      </c>
      <c r="E17" s="10" t="inlineStr">
        <is>
          <t>Vape Shop</t>
        </is>
      </c>
      <c r="F17" s="10" t="inlineStr">
        <is>
          <t>Vape hardware and e-liquid retailer</t>
        </is>
      </c>
      <c r="G17" s="10" t="inlineStr">
        <is>
          <t>Regional Chain</t>
        </is>
      </c>
      <c r="H17" s="10" t="inlineStr">
        <is>
          <t>1</t>
        </is>
      </c>
      <c r="I17" s="10" t="inlineStr">
        <is>
          <t>636 Bristol Road</t>
        </is>
      </c>
      <c r="J17" s="10" t="inlineStr">
        <is>
          <t>Birmingham</t>
        </is>
      </c>
      <c r="K17" s="10" t="inlineStr">
        <is>
          <t>B29 6BJ</t>
        </is>
      </c>
      <c r="L17" s="10" t="inlineStr">
        <is>
          <t>0121 472 0130</t>
        </is>
      </c>
      <c r="M17" s="10" t="inlineStr"/>
      <c r="N17" s="10" t="inlineStr"/>
      <c r="O17" s="10" t="inlineStr">
        <is>
          <t>https://www.flavourvapour.co.uk/</t>
        </is>
      </c>
      <c r="P17" s="10" t="inlineStr"/>
      <c r="Q17" s="10" t="inlineStr"/>
      <c r="R17" s="10" t="inlineStr"/>
      <c r="S17" s="10" t="inlineStr"/>
      <c r="T17" s="10" t="inlineStr"/>
      <c r="U17" s="10" t="inlineStr"/>
      <c r="V17" s="10" t="inlineStr">
        <is>
          <t>Medium</t>
        </is>
      </c>
      <c r="W17" s="10" t="inlineStr">
        <is>
          <t>Multi-site retailer; Core relevant category; Active website</t>
        </is>
      </c>
      <c r="X17" s="10" t="inlineStr">
        <is>
          <t>Verified directory</t>
        </is>
      </c>
      <c r="Y17" s="10" t="inlineStr">
        <is>
          <t>Website Found</t>
        </is>
      </c>
      <c r="Z17" s="10" t="inlineStr">
        <is>
          <t>Medium</t>
        </is>
      </c>
      <c r="AA17" s="10" t="inlineStr">
        <is>
          <t>Requires Verification</t>
        </is>
      </c>
      <c r="AB17" s="10" t="inlineStr">
        <is>
          <t>https://www.flavourvapour.co.uk/stores</t>
        </is>
      </c>
    </row>
    <row r="18">
      <c r="A18" s="5" t="inlineStr">
        <is>
          <t>UK-000303</t>
        </is>
      </c>
      <c r="B18" s="5" t="inlineStr">
        <is>
          <t>FRESHMISTU-01</t>
        </is>
      </c>
      <c r="C18" s="5" t="inlineStr">
        <is>
          <t>Freshmist UK Ltd</t>
        </is>
      </c>
      <c r="D18" s="5" t="inlineStr">
        <is>
          <t>Freshmist Bury Road</t>
        </is>
      </c>
      <c r="E18" s="5" t="inlineStr">
        <is>
          <t>Vape Shop</t>
        </is>
      </c>
      <c r="F18" s="5" t="inlineStr">
        <is>
          <t>E-liquid manufacturer and vape store (head office)</t>
        </is>
      </c>
      <c r="G18" s="5" t="inlineStr">
        <is>
          <t>Regional Chain</t>
        </is>
      </c>
      <c r="H18" s="5" t="inlineStr">
        <is>
          <t>4</t>
        </is>
      </c>
      <c r="I18" s="5" t="inlineStr">
        <is>
          <t>816 Bury Road</t>
        </is>
      </c>
      <c r="J18" s="5" t="inlineStr">
        <is>
          <t>Bolton</t>
        </is>
      </c>
      <c r="K18" s="5" t="inlineStr">
        <is>
          <t>BL2 6PA</t>
        </is>
      </c>
      <c r="L18" s="5" t="inlineStr">
        <is>
          <t>01204 288030</t>
        </is>
      </c>
      <c r="M18" s="5" t="inlineStr">
        <is>
          <t>orders@freshmist.co.uk</t>
        </is>
      </c>
      <c r="N18" s="5" t="inlineStr"/>
      <c r="O18" s="5" t="inlineStr">
        <is>
          <t>https://www.freshmist.co.uk/</t>
        </is>
      </c>
      <c r="P18" s="5" t="inlineStr">
        <is>
          <t>https://www.facebook.com/freshmist.buryrd/</t>
        </is>
      </c>
      <c r="Q18" s="5" t="inlineStr"/>
      <c r="R18" s="5" t="inlineStr"/>
      <c r="S18" s="5" t="inlineStr"/>
      <c r="T18" s="5" t="inlineStr"/>
      <c r="U18" s="5" t="inlineStr"/>
      <c r="V18" s="5" t="inlineStr">
        <is>
          <t>High</t>
        </is>
      </c>
      <c r="W18" s="5" t="inlineStr">
        <is>
          <t>Multi-site retailer; Core relevant category; Public trade/sales contact; Active website; Social presence; Phone verified on official website</t>
        </is>
      </c>
      <c r="X18" s="5" t="inlineStr">
        <is>
          <t>Verified on official website</t>
        </is>
      </c>
      <c r="Y18" s="5" t="inlineStr">
        <is>
          <t>Publicly Listed</t>
        </is>
      </c>
      <c r="Z18" s="5" t="inlineStr">
        <is>
          <t>Medium</t>
        </is>
      </c>
      <c r="AA18" s="5" t="inlineStr">
        <is>
          <t>Requires Verification</t>
        </is>
      </c>
      <c r="AB18" s="5" t="inlineStr">
        <is>
          <t>https://www.freshmist.co.uk/contact/</t>
        </is>
      </c>
    </row>
    <row r="19">
      <c r="A19" s="10" t="inlineStr">
        <is>
          <t>UK-000304</t>
        </is>
      </c>
      <c r="B19" s="10" t="inlineStr">
        <is>
          <t>FRESHMISTU-02</t>
        </is>
      </c>
      <c r="C19" s="10" t="inlineStr">
        <is>
          <t>Freshmist UK Ltd</t>
        </is>
      </c>
      <c r="D19" s="10" t="inlineStr">
        <is>
          <t>Freshmist Chorley Old Road</t>
        </is>
      </c>
      <c r="E19" s="10" t="inlineStr">
        <is>
          <t>Vape Shop</t>
        </is>
      </c>
      <c r="F19" s="10" t="inlineStr">
        <is>
          <t>Vape store</t>
        </is>
      </c>
      <c r="G19" s="10" t="inlineStr">
        <is>
          <t>Regional Chain</t>
        </is>
      </c>
      <c r="H19" s="10" t="inlineStr">
        <is>
          <t>4</t>
        </is>
      </c>
      <c r="I19" s="10" t="inlineStr">
        <is>
          <t>177 Chorley Old Road</t>
        </is>
      </c>
      <c r="J19" s="10" t="inlineStr">
        <is>
          <t>Bolton</t>
        </is>
      </c>
      <c r="K19" s="10" t="inlineStr">
        <is>
          <t>BL1 3BE</t>
        </is>
      </c>
      <c r="L19" s="10" t="inlineStr">
        <is>
          <t>01204 288030</t>
        </is>
      </c>
      <c r="M19" s="10" t="inlineStr">
        <is>
          <t>orders@freshmist.co.uk</t>
        </is>
      </c>
      <c r="N19" s="10" t="inlineStr"/>
      <c r="O19" s="10" t="inlineStr">
        <is>
          <t>https://www.freshmist.co.uk/</t>
        </is>
      </c>
      <c r="P19" s="10" t="inlineStr">
        <is>
          <t>https://www.facebook.com/freshmistvapestore/</t>
        </is>
      </c>
      <c r="Q19" s="10" t="inlineStr"/>
      <c r="R19" s="10" t="inlineStr"/>
      <c r="S19" s="10" t="inlineStr"/>
      <c r="T19" s="10" t="inlineStr"/>
      <c r="U19" s="10" t="inlineStr"/>
      <c r="V19" s="10" t="inlineStr">
        <is>
          <t>High</t>
        </is>
      </c>
      <c r="W19" s="10" t="inlineStr">
        <is>
          <t>Multi-site retailer; Core relevant category; Public trade/sales contact; Active website; Social presence</t>
        </is>
      </c>
      <c r="X19" s="10" t="inlineStr">
        <is>
          <t>Unverified</t>
        </is>
      </c>
      <c r="Y19" s="10" t="inlineStr">
        <is>
          <t>Publicly Listed</t>
        </is>
      </c>
      <c r="Z19" s="10" t="inlineStr">
        <is>
          <t>Medium</t>
        </is>
      </c>
      <c r="AA19" s="10" t="inlineStr">
        <is>
          <t>Requires Verification</t>
        </is>
      </c>
      <c r="AB19" s="10" t="inlineStr">
        <is>
          <t>https://www.freshmist.co.uk/our-stores/</t>
        </is>
      </c>
    </row>
    <row r="20">
      <c r="A20" s="5" t="inlineStr">
        <is>
          <t>UK-000305</t>
        </is>
      </c>
      <c r="B20" s="5" t="inlineStr">
        <is>
          <t>FRESHMISTU-03</t>
        </is>
      </c>
      <c r="C20" s="5" t="inlineStr">
        <is>
          <t>Freshmist UK Ltd</t>
        </is>
      </c>
      <c r="D20" s="5" t="inlineStr">
        <is>
          <t>Freshmist Farnworth</t>
        </is>
      </c>
      <c r="E20" s="5" t="inlineStr">
        <is>
          <t>Vape Shop</t>
        </is>
      </c>
      <c r="F20" s="5" t="inlineStr">
        <is>
          <t>Vape store</t>
        </is>
      </c>
      <c r="G20" s="5" t="inlineStr">
        <is>
          <t>Regional Chain</t>
        </is>
      </c>
      <c r="H20" s="5" t="inlineStr">
        <is>
          <t>4</t>
        </is>
      </c>
      <c r="I20" s="5" t="inlineStr">
        <is>
          <t>134 Market Street</t>
        </is>
      </c>
      <c r="J20" s="5" t="inlineStr">
        <is>
          <t>Bolton</t>
        </is>
      </c>
      <c r="K20" s="5" t="inlineStr">
        <is>
          <t>BL4 9AE</t>
        </is>
      </c>
      <c r="L20" s="5" t="inlineStr">
        <is>
          <t>01204 288030</t>
        </is>
      </c>
      <c r="M20" s="5" t="inlineStr">
        <is>
          <t>orders@freshmist.co.uk</t>
        </is>
      </c>
      <c r="N20" s="5" t="inlineStr"/>
      <c r="O20" s="5" t="inlineStr">
        <is>
          <t>https://www.freshmist.co.uk/</t>
        </is>
      </c>
      <c r="P20" s="5" t="inlineStr"/>
      <c r="Q20" s="5" t="inlineStr"/>
      <c r="R20" s="5" t="inlineStr"/>
      <c r="S20" s="5" t="inlineStr"/>
      <c r="T20" s="5" t="inlineStr"/>
      <c r="U20" s="5" t="inlineStr"/>
      <c r="V20" s="5" t="inlineStr">
        <is>
          <t>High</t>
        </is>
      </c>
      <c r="W20" s="5" t="inlineStr">
        <is>
          <t>Multi-site retailer; Core relevant category; Public trade/sales contact; Active website</t>
        </is>
      </c>
      <c r="X20" s="5" t="inlineStr">
        <is>
          <t>Unverified</t>
        </is>
      </c>
      <c r="Y20" s="5" t="inlineStr">
        <is>
          <t>Publicly Listed</t>
        </is>
      </c>
      <c r="Z20" s="5" t="inlineStr">
        <is>
          <t>Medium</t>
        </is>
      </c>
      <c r="AA20" s="5" t="inlineStr">
        <is>
          <t>Requires Verification</t>
        </is>
      </c>
      <c r="AB20" s="5" t="inlineStr">
        <is>
          <t>https://www.freshmist.co.uk/our-stores/</t>
        </is>
      </c>
    </row>
    <row r="21">
      <c r="A21" s="10" t="inlineStr">
        <is>
          <t>UK-000306</t>
        </is>
      </c>
      <c r="B21" s="10" t="inlineStr">
        <is>
          <t>FRESHMISTU-04</t>
        </is>
      </c>
      <c r="C21" s="10" t="inlineStr">
        <is>
          <t>Freshmist UK Ltd</t>
        </is>
      </c>
      <c r="D21" s="10" t="inlineStr">
        <is>
          <t>Freshmist Horwich</t>
        </is>
      </c>
      <c r="E21" s="10" t="inlineStr">
        <is>
          <t>Vape Shop</t>
        </is>
      </c>
      <c r="F21" s="10" t="inlineStr">
        <is>
          <t>Vape store</t>
        </is>
      </c>
      <c r="G21" s="10" t="inlineStr">
        <is>
          <t>Regional Chain</t>
        </is>
      </c>
      <c r="H21" s="10" t="inlineStr">
        <is>
          <t>4</t>
        </is>
      </c>
      <c r="I21" s="10" t="inlineStr">
        <is>
          <t>11 Winter Hey Lane</t>
        </is>
      </c>
      <c r="J21" s="10" t="inlineStr">
        <is>
          <t>Bolton</t>
        </is>
      </c>
      <c r="K21" s="10" t="inlineStr">
        <is>
          <t>BL6 7AD</t>
        </is>
      </c>
      <c r="L21" s="10" t="inlineStr">
        <is>
          <t>01204 288030</t>
        </is>
      </c>
      <c r="M21" s="10" t="inlineStr">
        <is>
          <t>orders@freshmist.co.uk</t>
        </is>
      </c>
      <c r="N21" s="10" t="inlineStr"/>
      <c r="O21" s="10" t="inlineStr">
        <is>
          <t>https://www.freshmist.co.uk/</t>
        </is>
      </c>
      <c r="P21" s="10" t="inlineStr"/>
      <c r="Q21" s="10" t="inlineStr"/>
      <c r="R21" s="10" t="inlineStr"/>
      <c r="S21" s="10" t="inlineStr"/>
      <c r="T21" s="10" t="inlineStr"/>
      <c r="U21" s="10" t="inlineStr"/>
      <c r="V21" s="10" t="inlineStr">
        <is>
          <t>High</t>
        </is>
      </c>
      <c r="W21" s="10" t="inlineStr">
        <is>
          <t>Multi-site retailer; Core relevant category; Public trade/sales contact; Active website</t>
        </is>
      </c>
      <c r="X21" s="10" t="inlineStr">
        <is>
          <t>Unverified</t>
        </is>
      </c>
      <c r="Y21" s="10" t="inlineStr">
        <is>
          <t>Publicly Listed</t>
        </is>
      </c>
      <c r="Z21" s="10" t="inlineStr">
        <is>
          <t>Medium</t>
        </is>
      </c>
      <c r="AA21" s="10" t="inlineStr">
        <is>
          <t>Requires Verification</t>
        </is>
      </c>
      <c r="AB21" s="10" t="inlineStr">
        <is>
          <t>https://www.freshmist.co.uk/our-stores/</t>
        </is>
      </c>
    </row>
    <row r="22">
      <c r="A22" s="5" t="inlineStr">
        <is>
          <t>UK-000429</t>
        </is>
      </c>
      <c r="B22" s="5" t="inlineStr">
        <is>
          <t>GREYHAZE-01</t>
        </is>
      </c>
      <c r="C22" s="5" t="inlineStr">
        <is>
          <t>Grey Haze</t>
        </is>
      </c>
      <c r="D22" s="5" t="inlineStr">
        <is>
          <t>Grey Haze Vape &amp; Cafe Lounge - Kings Heath</t>
        </is>
      </c>
      <c r="E22" s="5" t="inlineStr">
        <is>
          <t>Vape Shop</t>
        </is>
      </c>
      <c r="F22" s="5" t="inlineStr">
        <is>
          <t>Vape shop and cafe lounge</t>
        </is>
      </c>
      <c r="G22" s="5" t="inlineStr">
        <is>
          <t>Regional Chain</t>
        </is>
      </c>
      <c r="H22" s="5" t="inlineStr">
        <is>
          <t>1</t>
        </is>
      </c>
      <c r="I22" s="5" t="inlineStr">
        <is>
          <t>73 High Street</t>
        </is>
      </c>
      <c r="J22" s="5" t="inlineStr">
        <is>
          <t>Birmingham</t>
        </is>
      </c>
      <c r="K22" s="5" t="inlineStr">
        <is>
          <t>B14 7BH</t>
        </is>
      </c>
      <c r="L22" s="5" t="inlineStr">
        <is>
          <t>0345 021 9294</t>
        </is>
      </c>
      <c r="M22" s="5" t="inlineStr"/>
      <c r="N22" s="5" t="inlineStr"/>
      <c r="O22" s="5" t="inlineStr">
        <is>
          <t>https://greyhaze.co.uk/</t>
        </is>
      </c>
      <c r="P22" s="5" t="inlineStr"/>
      <c r="Q22" s="5" t="inlineStr"/>
      <c r="R22" s="5" t="inlineStr"/>
      <c r="S22" s="5" t="inlineStr"/>
      <c r="T22" s="5" t="inlineStr"/>
      <c r="U22" s="5" t="inlineStr"/>
      <c r="V22" s="5" t="inlineStr">
        <is>
          <t>Medium</t>
        </is>
      </c>
      <c r="W22" s="5" t="inlineStr">
        <is>
          <t>Multi-site retailer; Core relevant category; Active website</t>
        </is>
      </c>
      <c r="X22" s="5" t="inlineStr">
        <is>
          <t>Verified directory</t>
        </is>
      </c>
      <c r="Y22" s="5" t="inlineStr">
        <is>
          <t>Website Found</t>
        </is>
      </c>
      <c r="Z22" s="5" t="inlineStr">
        <is>
          <t>Medium</t>
        </is>
      </c>
      <c r="AA22" s="5" t="inlineStr">
        <is>
          <t>Requires Verification</t>
        </is>
      </c>
      <c r="AB22" s="5" t="inlineStr">
        <is>
          <t>https://greyhaze.co.uk/pages/shop-locator</t>
        </is>
      </c>
    </row>
    <row r="23">
      <c r="A23" s="10" t="inlineStr">
        <is>
          <t>UK-000555</t>
        </is>
      </c>
      <c r="B23" s="10" t="inlineStr">
        <is>
          <t>HOUSEOFVAP-01</t>
        </is>
      </c>
      <c r="C23" s="10" t="inlineStr">
        <is>
          <t>House of Vapes London</t>
        </is>
      </c>
      <c r="D23" s="10" t="inlineStr">
        <is>
          <t>House of Vapes London - Notting Hill</t>
        </is>
      </c>
      <c r="E23" s="10" t="inlineStr">
        <is>
          <t>Vape Shop</t>
        </is>
      </c>
      <c r="F23" s="10" t="inlineStr">
        <is>
          <t>Vape hardware, e-liquids &amp; disposables</t>
        </is>
      </c>
      <c r="G23" s="10" t="inlineStr">
        <is>
          <t>Regional Chain</t>
        </is>
      </c>
      <c r="H23" s="10" t="inlineStr">
        <is>
          <t>1</t>
        </is>
      </c>
      <c r="I23" s="10" t="inlineStr">
        <is>
          <t>195 Portobello Road</t>
        </is>
      </c>
      <c r="J23" s="10" t="inlineStr">
        <is>
          <t>London</t>
        </is>
      </c>
      <c r="K23" s="10" t="inlineStr">
        <is>
          <t>W11 2ED</t>
        </is>
      </c>
      <c r="L23" s="10" t="inlineStr"/>
      <c r="M23" s="10" t="inlineStr"/>
      <c r="N23" s="10" t="inlineStr"/>
      <c r="O23" s="10" t="inlineStr">
        <is>
          <t>https://www.houseofvapeslondon.co.uk/</t>
        </is>
      </c>
      <c r="P23" s="10" t="inlineStr">
        <is>
          <t>https://www.facebook.com/houseofvapes.london/</t>
        </is>
      </c>
      <c r="Q23" s="10" t="inlineStr"/>
      <c r="R23" s="10" t="inlineStr"/>
      <c r="S23" s="10" t="inlineStr"/>
      <c r="T23" s="10" t="inlineStr">
        <is>
          <t>14483837</t>
        </is>
      </c>
      <c r="U23" s="10" t="inlineStr"/>
      <c r="V23" s="10" t="inlineStr">
        <is>
          <t>High</t>
        </is>
      </c>
      <c r="W23" s="10" t="inlineStr">
        <is>
          <t>Multi-site retailer; Core relevant category; Active website; Social presence</t>
        </is>
      </c>
      <c r="X23" s="10" t="inlineStr">
        <is>
          <t>Not Found</t>
        </is>
      </c>
      <c r="Y23" s="10" t="inlineStr">
        <is>
          <t>Not Found</t>
        </is>
      </c>
      <c r="Z23" s="10" t="inlineStr">
        <is>
          <t>Medium</t>
        </is>
      </c>
      <c r="AA23" s="10" t="inlineStr">
        <is>
          <t>Requires Verification</t>
        </is>
      </c>
      <c r="AB23" s="10" t="inlineStr">
        <is>
          <t>https://find-and-update.company-information.service.gov.uk/company/14483837</t>
        </is>
      </c>
    </row>
    <row r="24">
      <c r="A24" s="5" t="inlineStr">
        <is>
          <t>WY-0015</t>
        </is>
      </c>
      <c r="B24" s="5" t="inlineStr">
        <is>
          <t>KPMVAPES-01</t>
        </is>
      </c>
      <c r="C24" s="5" t="inlineStr">
        <is>
          <t>KPM Vapes</t>
        </is>
      </c>
      <c r="D24" s="5" t="inlineStr">
        <is>
          <t>KPM Vapes</t>
        </is>
      </c>
      <c r="E24" s="5" t="inlineStr">
        <is>
          <t>Vape Shop</t>
        </is>
      </c>
      <c r="F24" s="5" t="inlineStr">
        <is>
          <t>Vape retail and wholesale</t>
        </is>
      </c>
      <c r="G24" s="5" t="inlineStr">
        <is>
          <t>Multi-Site Independent</t>
        </is>
      </c>
      <c r="H24" s="5" t="inlineStr">
        <is>
          <t>2</t>
        </is>
      </c>
      <c r="I24" s="5" t="inlineStr">
        <is>
          <t>87/89 Wakefield Road</t>
        </is>
      </c>
      <c r="J24" s="5" t="inlineStr">
        <is>
          <t>Huddersfield</t>
        </is>
      </c>
      <c r="K24" s="5" t="inlineStr">
        <is>
          <t>HD5 9AB</t>
        </is>
      </c>
      <c r="L24" s="5" t="inlineStr">
        <is>
          <t>07463 530406</t>
        </is>
      </c>
      <c r="M24" s="5" t="inlineStr">
        <is>
          <t>kpmvapes@outlook.com</t>
        </is>
      </c>
      <c r="N24" s="5" t="inlineStr"/>
      <c r="O24" s="5" t="inlineStr"/>
      <c r="P24" s="5" t="inlineStr">
        <is>
          <t>https://www.facebook.com/people/KPM-Vapes/61556161391449/</t>
        </is>
      </c>
      <c r="Q24" s="5" t="inlineStr">
        <is>
          <t>https://www.instagram.com/kpmvapes/</t>
        </is>
      </c>
      <c r="R24" s="5" t="inlineStr"/>
      <c r="S24" s="5" t="inlineStr"/>
      <c r="T24" s="5" t="inlineStr"/>
      <c r="U24" s="5" t="inlineStr"/>
      <c r="V24" s="5" t="inlineStr">
        <is>
          <t>High</t>
        </is>
      </c>
      <c r="W24" s="5" t="inlineStr">
        <is>
          <t>Multi-site retailer; Independent retailer; Core relevant category; Public email available; Social presence</t>
        </is>
      </c>
      <c r="X24" s="5" t="inlineStr">
        <is>
          <t>Verified directory</t>
        </is>
      </c>
      <c r="Y24" s="5" t="inlineStr">
        <is>
          <t>Unverified</t>
        </is>
      </c>
      <c r="Z24" s="5" t="inlineStr">
        <is>
          <t>Medium</t>
        </is>
      </c>
      <c r="AA24" s="5" t="inlineStr">
        <is>
          <t>Requires Verification</t>
        </is>
      </c>
      <c r="AB24" s="5" t="inlineStr">
        <is>
          <t>https://www.facebook.com/people/KPM-Vapes/61556161391449/</t>
        </is>
      </c>
    </row>
    <row r="25">
      <c r="A25" s="10" t="inlineStr">
        <is>
          <t>UK-000312</t>
        </is>
      </c>
      <c r="B25" s="10" t="inlineStr">
        <is>
          <t>NXTGENVAPO-01</t>
        </is>
      </c>
      <c r="C25" s="10" t="inlineStr">
        <is>
          <t>NXT Gen Vapours</t>
        </is>
      </c>
      <c r="D25" s="10" t="inlineStr">
        <is>
          <t>NXT Gen Vapours Denton</t>
        </is>
      </c>
      <c r="E25" s="10" t="inlineStr">
        <is>
          <t>Vape Shop</t>
        </is>
      </c>
      <c r="F25" s="10" t="inlineStr"/>
      <c r="G25" s="10" t="inlineStr">
        <is>
          <t>Multi-Site Independent</t>
        </is>
      </c>
      <c r="H25" s="10" t="inlineStr">
        <is>
          <t>2</t>
        </is>
      </c>
      <c r="I25" s="10" t="inlineStr">
        <is>
          <t>78 Manchester Road</t>
        </is>
      </c>
      <c r="J25" s="10" t="inlineStr">
        <is>
          <t>Denton</t>
        </is>
      </c>
      <c r="K25" s="10" t="inlineStr">
        <is>
          <t>M34 3PR</t>
        </is>
      </c>
      <c r="L25" s="10" t="inlineStr">
        <is>
          <t>0161 320 8807</t>
        </is>
      </c>
      <c r="M25" s="10" t="inlineStr"/>
      <c r="N25" s="10" t="inlineStr"/>
      <c r="O25" s="10" t="inlineStr">
        <is>
          <t>https://www.nxtgenvapours.co.uk/</t>
        </is>
      </c>
      <c r="P25" s="10" t="inlineStr"/>
      <c r="Q25" s="10" t="inlineStr"/>
      <c r="R25" s="10" t="inlineStr"/>
      <c r="S25" s="10" t="inlineStr"/>
      <c r="T25" s="10" t="inlineStr"/>
      <c r="U25" s="10" t="inlineStr"/>
      <c r="V25" s="10" t="inlineStr">
        <is>
          <t>High</t>
        </is>
      </c>
      <c r="W25" s="10" t="inlineStr">
        <is>
          <t>Multi-site retailer; Independent retailer; Core relevant category; Active website</t>
        </is>
      </c>
      <c r="X25" s="10" t="inlineStr">
        <is>
          <t>Verified directory</t>
        </is>
      </c>
      <c r="Y25" s="10" t="inlineStr">
        <is>
          <t>Website Found</t>
        </is>
      </c>
      <c r="Z25" s="10" t="inlineStr">
        <is>
          <t>Medium</t>
        </is>
      </c>
      <c r="AA25" s="10" t="inlineStr">
        <is>
          <t>Requires Verification</t>
        </is>
      </c>
      <c r="AB25" s="10" t="inlineStr">
        <is>
          <t>https://denton-tameside.cylex-uk.co.uk/company/nxt-gen-vapours-denton-27261896.html</t>
        </is>
      </c>
    </row>
    <row r="26">
      <c r="A26" s="5" t="inlineStr">
        <is>
          <t>UK-000713</t>
        </is>
      </c>
      <c r="B26" s="5" t="inlineStr">
        <is>
          <t>NORTHWESTE-01</t>
        </is>
      </c>
      <c r="C26" s="5" t="inlineStr">
        <is>
          <t>North West Ecigs</t>
        </is>
      </c>
      <c r="D26" s="5" t="inlineStr">
        <is>
          <t>No-Match Southport (North West Ecigs)</t>
        </is>
      </c>
      <c r="E26" s="5" t="inlineStr">
        <is>
          <t>Vape Shop</t>
        </is>
      </c>
      <c r="F26" s="5" t="inlineStr">
        <is>
          <t>E-cigarette and e-liquid shop</t>
        </is>
      </c>
      <c r="G26" s="5" t="inlineStr">
        <is>
          <t>Multi-Site Independent</t>
        </is>
      </c>
      <c r="H26" s="5" t="inlineStr">
        <is>
          <t>1</t>
        </is>
      </c>
      <c r="I26" s="5" t="inlineStr">
        <is>
          <t>8A Chapel Street</t>
        </is>
      </c>
      <c r="J26" s="5" t="inlineStr">
        <is>
          <t>Southport</t>
        </is>
      </c>
      <c r="K26" s="5" t="inlineStr">
        <is>
          <t>PR8 1AF</t>
        </is>
      </c>
      <c r="L26" s="5" t="inlineStr">
        <is>
          <t>01704 807280</t>
        </is>
      </c>
      <c r="M26" s="5" t="inlineStr"/>
      <c r="N26" s="5" t="inlineStr"/>
      <c r="O26" s="5" t="inlineStr">
        <is>
          <t>https://www.northwestecigs.uk/</t>
        </is>
      </c>
      <c r="P26" s="5" t="inlineStr"/>
      <c r="Q26" s="5" t="inlineStr"/>
      <c r="R26" s="5" t="inlineStr"/>
      <c r="S26" s="5" t="inlineStr"/>
      <c r="T26" s="5" t="inlineStr"/>
      <c r="U26" s="5" t="inlineStr"/>
      <c r="V26" s="5" t="inlineStr">
        <is>
          <t>High</t>
        </is>
      </c>
      <c r="W26" s="5" t="inlineStr">
        <is>
          <t>Multi-site retailer; Independent retailer; Core relevant category; Active website</t>
        </is>
      </c>
      <c r="X26" s="5" t="inlineStr">
        <is>
          <t>Verified directory</t>
        </is>
      </c>
      <c r="Y26" s="5" t="inlineStr">
        <is>
          <t>Website Found</t>
        </is>
      </c>
      <c r="Z26" s="5" t="inlineStr">
        <is>
          <t>Medium</t>
        </is>
      </c>
      <c r="AA26" s="5" t="inlineStr">
        <is>
          <t>Requires Verification</t>
        </is>
      </c>
      <c r="AB26" s="5" t="inlineStr">
        <is>
          <t>https://www.northwestecigs.uk/</t>
        </is>
      </c>
    </row>
    <row r="27">
      <c r="A27" s="10" t="inlineStr">
        <is>
          <t>UK-000718</t>
        </is>
      </c>
      <c r="B27" s="10" t="inlineStr">
        <is>
          <t>PRIMEVAPOU-01</t>
        </is>
      </c>
      <c r="C27" s="10" t="inlineStr">
        <is>
          <t>Prime Vapour</t>
        </is>
      </c>
      <c r="D27" s="10" t="inlineStr">
        <is>
          <t>Prime Vapour East Kilbride</t>
        </is>
      </c>
      <c r="E27" s="10" t="inlineStr">
        <is>
          <t>Vape Shop</t>
        </is>
      </c>
      <c r="F27" s="10" t="inlineStr">
        <is>
          <t>Vape shop</t>
        </is>
      </c>
      <c r="G27" s="10" t="inlineStr">
        <is>
          <t>Multi-Site Independent</t>
        </is>
      </c>
      <c r="H27" s="10" t="inlineStr">
        <is>
          <t>2</t>
        </is>
      </c>
      <c r="I27" s="10" t="inlineStr">
        <is>
          <t>Cornwall Street</t>
        </is>
      </c>
      <c r="J27" s="10" t="inlineStr">
        <is>
          <t>East Kilbride</t>
        </is>
      </c>
      <c r="K27" s="10" t="inlineStr">
        <is>
          <t>G74 1AF</t>
        </is>
      </c>
      <c r="L27" s="10" t="inlineStr">
        <is>
          <t>01355 458188</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Core relevant category</t>
        </is>
      </c>
      <c r="X27" s="10" t="inlineStr">
        <is>
          <t>Verified directory</t>
        </is>
      </c>
      <c r="Y27" s="10" t="inlineStr">
        <is>
          <t>Not Found</t>
        </is>
      </c>
      <c r="Z27" s="10" t="inlineStr">
        <is>
          <t>Medium</t>
        </is>
      </c>
      <c r="AA27" s="10" t="inlineStr">
        <is>
          <t>Requires Verification</t>
        </is>
      </c>
      <c r="AB27" s="10" t="inlineStr">
        <is>
          <t>https://ecigdirectory.co.uk/vape-shop/listing/prime-vapour</t>
        </is>
      </c>
    </row>
    <row r="28">
      <c r="A28" s="5" t="inlineStr">
        <is>
          <t>UK-000719</t>
        </is>
      </c>
      <c r="B28" s="5" t="inlineStr">
        <is>
          <t>PRIMEVAPOU-02</t>
        </is>
      </c>
      <c r="C28" s="5" t="inlineStr">
        <is>
          <t>Prime Vapour</t>
        </is>
      </c>
      <c r="D28" s="5" t="inlineStr">
        <is>
          <t>Prime Vapour Motherwell</t>
        </is>
      </c>
      <c r="E28" s="5" t="inlineStr">
        <is>
          <t>Vape Shop</t>
        </is>
      </c>
      <c r="F28" s="5" t="inlineStr">
        <is>
          <t>Vape shop</t>
        </is>
      </c>
      <c r="G28" s="5" t="inlineStr">
        <is>
          <t>Multi-Site Independent</t>
        </is>
      </c>
      <c r="H28" s="5" t="inlineStr">
        <is>
          <t>2</t>
        </is>
      </c>
      <c r="I28" s="5" t="inlineStr">
        <is>
          <t>2 Brandon Parade East</t>
        </is>
      </c>
      <c r="J28" s="5" t="inlineStr">
        <is>
          <t>Motherwell</t>
        </is>
      </c>
      <c r="K28" s="5" t="inlineStr">
        <is>
          <t>ML1 1LY</t>
        </is>
      </c>
      <c r="L28" s="5" t="inlineStr">
        <is>
          <t>01698 253423</t>
        </is>
      </c>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Core relevant category</t>
        </is>
      </c>
      <c r="X28" s="5" t="inlineStr">
        <is>
          <t>Verified directory</t>
        </is>
      </c>
      <c r="Y28" s="5" t="inlineStr">
        <is>
          <t>Not Found</t>
        </is>
      </c>
      <c r="Z28" s="5" t="inlineStr">
        <is>
          <t>Medium</t>
        </is>
      </c>
      <c r="AA28" s="5" t="inlineStr">
        <is>
          <t>Requires Verification</t>
        </is>
      </c>
      <c r="AB28" s="5" t="inlineStr">
        <is>
          <t>https://m.yelp.com/c/motherwell-north-lanarkshire-gb/vapeshops</t>
        </is>
      </c>
    </row>
    <row r="29">
      <c r="A29" s="10" t="inlineStr">
        <is>
          <t>UK-000720</t>
        </is>
      </c>
      <c r="B29" s="10" t="inlineStr">
        <is>
          <t>PROVAPOR-01</t>
        </is>
      </c>
      <c r="C29" s="10" t="inlineStr">
        <is>
          <t>Pro Vapor</t>
        </is>
      </c>
      <c r="D29" s="10" t="inlineStr">
        <is>
          <t>Pro Vapor Leith Walk</t>
        </is>
      </c>
      <c r="E29" s="10" t="inlineStr">
        <is>
          <t>Vape Shop</t>
        </is>
      </c>
      <c r="F29" s="10" t="inlineStr">
        <is>
          <t>E-cigarettes &amp; e-liquids</t>
        </is>
      </c>
      <c r="G29" s="10" t="inlineStr">
        <is>
          <t>Multi-Site Independent</t>
        </is>
      </c>
      <c r="H29" s="10" t="inlineStr">
        <is>
          <t>2</t>
        </is>
      </c>
      <c r="I29" s="10" t="inlineStr">
        <is>
          <t>20 Albert Place</t>
        </is>
      </c>
      <c r="J29" s="10" t="inlineStr">
        <is>
          <t>Edinburgh</t>
        </is>
      </c>
      <c r="K29" s="10" t="inlineStr">
        <is>
          <t>EH7 5HN</t>
        </is>
      </c>
      <c r="L29" s="10" t="inlineStr">
        <is>
          <t>0131 556 4151</t>
        </is>
      </c>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Core relevant category</t>
        </is>
      </c>
      <c r="X29" s="10" t="inlineStr">
        <is>
          <t>Verified directory</t>
        </is>
      </c>
      <c r="Y29" s="10" t="inlineStr">
        <is>
          <t>Not Found</t>
        </is>
      </c>
      <c r="Z29" s="10" t="inlineStr">
        <is>
          <t>Medium</t>
        </is>
      </c>
      <c r="AA29" s="10" t="inlineStr">
        <is>
          <t>Requires Verification</t>
        </is>
      </c>
      <c r="AB29" s="10" t="inlineStr">
        <is>
          <t>https://edinburgh.cylex-uk.co.uk/company/pro--vapor-27369658.html</t>
        </is>
      </c>
    </row>
    <row r="30">
      <c r="A30" s="5" t="inlineStr">
        <is>
          <t>WY-0022</t>
        </is>
      </c>
      <c r="B30" s="5" t="inlineStr">
        <is>
          <t>SMKD-01</t>
        </is>
      </c>
      <c r="C30" s="5" t="inlineStr">
        <is>
          <t>SMKD</t>
        </is>
      </c>
      <c r="D30" s="5" t="inlineStr">
        <is>
          <t>SMKD</t>
        </is>
      </c>
      <c r="E30" s="5" t="inlineStr">
        <is>
          <t>Vape Shop</t>
        </is>
      </c>
      <c r="F30" s="5" t="inlineStr">
        <is>
          <t>Vape chain store</t>
        </is>
      </c>
      <c r="G30" s="5" t="inlineStr">
        <is>
          <t>Regional Chain</t>
        </is>
      </c>
      <c r="H30" s="5" t="inlineStr"/>
      <c r="I30" s="5" t="inlineStr">
        <is>
          <t>31-32 Market Street</t>
        </is>
      </c>
      <c r="J30" s="5" t="inlineStr">
        <is>
          <t>Halifax</t>
        </is>
      </c>
      <c r="K30" s="5" t="inlineStr">
        <is>
          <t>HX1 1DZ</t>
        </is>
      </c>
      <c r="L30" s="5" t="inlineStr"/>
      <c r="M30" s="5" t="inlineStr">
        <is>
          <t>info@smkd.com</t>
        </is>
      </c>
      <c r="N30" s="5" t="inlineStr"/>
      <c r="O30" s="5" t="inlineStr">
        <is>
          <t>https://smkd.com/vape-shop-locator/smkd-halifax-vape-shop-market-street/</t>
        </is>
      </c>
      <c r="P30" s="5" t="inlineStr">
        <is>
          <t>https://www.facebook.com/SmkdVapeShop/</t>
        </is>
      </c>
      <c r="Q30" s="5" t="inlineStr"/>
      <c r="R30" s="5" t="inlineStr"/>
      <c r="S30" s="5" t="inlineStr"/>
      <c r="T30" s="5" t="inlineStr">
        <is>
          <t>16161027</t>
        </is>
      </c>
      <c r="U30" s="5" t="inlineStr">
        <is>
          <t>Active</t>
        </is>
      </c>
      <c r="V30" s="5" t="inlineStr">
        <is>
          <t>High</t>
        </is>
      </c>
      <c r="W30" s="5" t="inlineStr">
        <is>
          <t>Multi-site retailer; Core relevant category; Public email available; Active website; Social presence</t>
        </is>
      </c>
      <c r="X30" s="5" t="inlineStr">
        <is>
          <t>Not Found</t>
        </is>
      </c>
      <c r="Y30" s="5" t="inlineStr">
        <is>
          <t>Website Found</t>
        </is>
      </c>
      <c r="Z30" s="5" t="inlineStr">
        <is>
          <t>Medium</t>
        </is>
      </c>
      <c r="AA30" s="5" t="inlineStr">
        <is>
          <t>Partially Verified</t>
        </is>
      </c>
      <c r="AB30" s="5" t="inlineStr">
        <is>
          <t>https://smkd.com/vape-shop-locator/smkd-halifax-vape-shop-market-street/</t>
        </is>
      </c>
    </row>
    <row r="31">
      <c r="A31" s="10" t="inlineStr">
        <is>
          <t>WY-0023</t>
        </is>
      </c>
      <c r="B31" s="10" t="inlineStr">
        <is>
          <t>SMKD-02</t>
        </is>
      </c>
      <c r="C31" s="10" t="inlineStr">
        <is>
          <t>SMKD</t>
        </is>
      </c>
      <c r="D31" s="10" t="inlineStr">
        <is>
          <t>SMKD</t>
        </is>
      </c>
      <c r="E31" s="10" t="inlineStr">
        <is>
          <t>Vape Shop</t>
        </is>
      </c>
      <c r="F31" s="10" t="inlineStr">
        <is>
          <t>Vape chain store with same-day local delivery</t>
        </is>
      </c>
      <c r="G31" s="10" t="inlineStr">
        <is>
          <t>Regional Chain</t>
        </is>
      </c>
      <c r="H31" s="10" t="inlineStr"/>
      <c r="I31" s="10" t="inlineStr"/>
      <c r="J31" s="10" t="inlineStr">
        <is>
          <t>Hebden Bridge</t>
        </is>
      </c>
      <c r="K31" s="10" t="inlineStr"/>
      <c r="L31" s="10" t="inlineStr">
        <is>
          <t>01274 270303</t>
        </is>
      </c>
      <c r="M31" s="10" t="inlineStr">
        <is>
          <t>info@smkd.com</t>
        </is>
      </c>
      <c r="N31" s="10" t="inlineStr"/>
      <c r="O31" s="10" t="inlineStr">
        <is>
          <t>https://smkd.com/vape-shop-locator/smkd-hebden-bridge-vape-shop-west-end/</t>
        </is>
      </c>
      <c r="P31" s="10" t="inlineStr">
        <is>
          <t>https://www.facebook.com/SmkdVapeShop/</t>
        </is>
      </c>
      <c r="Q31" s="10" t="inlineStr"/>
      <c r="R31" s="10" t="inlineStr"/>
      <c r="S31" s="10" t="inlineStr"/>
      <c r="T31" s="10" t="inlineStr">
        <is>
          <t>16161027</t>
        </is>
      </c>
      <c r="U31" s="10" t="inlineStr">
        <is>
          <t>Active</t>
        </is>
      </c>
      <c r="V31" s="10" t="inlineStr">
        <is>
          <t>High</t>
        </is>
      </c>
      <c r="W31" s="10" t="inlineStr">
        <is>
          <t>Multi-site retailer; Core relevant category; Public email available; Active website; Social presence</t>
        </is>
      </c>
      <c r="X31" s="10" t="inlineStr">
        <is>
          <t>Unverified</t>
        </is>
      </c>
      <c r="Y31" s="10" t="inlineStr">
        <is>
          <t>Publicly Listed</t>
        </is>
      </c>
      <c r="Z31" s="10" t="inlineStr">
        <is>
          <t>Medium</t>
        </is>
      </c>
      <c r="AA31" s="10" t="inlineStr">
        <is>
          <t>Partially Verified</t>
        </is>
      </c>
      <c r="AB31" s="10" t="inlineStr">
        <is>
          <t>https://smkd.com/vape-shop-locator/smkd-hebden-bridge-vape-shop-west-end/</t>
        </is>
      </c>
    </row>
    <row r="32">
      <c r="A32" s="5" t="inlineStr">
        <is>
          <t>WY-0024</t>
        </is>
      </c>
      <c r="B32" s="5" t="inlineStr">
        <is>
          <t>SMKD-03</t>
        </is>
      </c>
      <c r="C32" s="5" t="inlineStr">
        <is>
          <t>SMKD</t>
        </is>
      </c>
      <c r="D32" s="5" t="inlineStr">
        <is>
          <t>SMKD - E Cigarettes and Vape Shop (Wakefield)</t>
        </is>
      </c>
      <c r="E32" s="5" t="inlineStr">
        <is>
          <t>Vape Shop</t>
        </is>
      </c>
      <c r="F32" s="5" t="inlineStr">
        <is>
          <t>Vape hardware and e-liquid retailer</t>
        </is>
      </c>
      <c r="G32" s="5" t="inlineStr">
        <is>
          <t>Regional Chain</t>
        </is>
      </c>
      <c r="H32" s="5" t="inlineStr"/>
      <c r="I32" s="5" t="inlineStr">
        <is>
          <t>Ridings Shopping Centre</t>
        </is>
      </c>
      <c r="J32" s="5" t="inlineStr">
        <is>
          <t>Wakefield</t>
        </is>
      </c>
      <c r="K32" s="5" t="inlineStr">
        <is>
          <t>WF1 1DS</t>
        </is>
      </c>
      <c r="L32" s="5" t="inlineStr">
        <is>
          <t>01924 728100</t>
        </is>
      </c>
      <c r="M32" s="5" t="inlineStr">
        <is>
          <t>info@smkd.com</t>
        </is>
      </c>
      <c r="N32" s="5" t="inlineStr"/>
      <c r="O32" s="5" t="inlineStr">
        <is>
          <t>https://smkd.com</t>
        </is>
      </c>
      <c r="P32" s="5" t="inlineStr">
        <is>
          <t>https://www.facebook.com/SmkdVapeShop/</t>
        </is>
      </c>
      <c r="Q32" s="5" t="inlineStr"/>
      <c r="R32" s="5" t="inlineStr"/>
      <c r="S32" s="5" t="inlineStr"/>
      <c r="T32" s="5" t="inlineStr">
        <is>
          <t>16161027</t>
        </is>
      </c>
      <c r="U32" s="5" t="inlineStr">
        <is>
          <t>Active</t>
        </is>
      </c>
      <c r="V32" s="5" t="inlineStr">
        <is>
          <t>High</t>
        </is>
      </c>
      <c r="W32" s="5" t="inlineStr">
        <is>
          <t>Multi-site retailer; Core relevant category; Public email available; Active website; Social presence</t>
        </is>
      </c>
      <c r="X32" s="5" t="inlineStr">
        <is>
          <t>Verified directory</t>
        </is>
      </c>
      <c r="Y32" s="5" t="inlineStr">
        <is>
          <t>Unverified</t>
        </is>
      </c>
      <c r="Z32" s="5" t="inlineStr">
        <is>
          <t>Medium</t>
        </is>
      </c>
      <c r="AA32" s="5" t="inlineStr">
        <is>
          <t>Partially Verified</t>
        </is>
      </c>
      <c r="AB32" s="5" t="inlineStr">
        <is>
          <t>https://smkd.com/vape-shop-locator/wakefield-vape-shop-ridings-shopping-centre/</t>
        </is>
      </c>
    </row>
    <row r="33">
      <c r="A33" s="10" t="inlineStr">
        <is>
          <t>UK-000211</t>
        </is>
      </c>
      <c r="B33" s="10" t="inlineStr">
        <is>
          <t>SMKD-04</t>
        </is>
      </c>
      <c r="C33" s="10" t="inlineStr">
        <is>
          <t>SMKD</t>
        </is>
      </c>
      <c r="D33" s="10" t="inlineStr">
        <is>
          <t>SMKD Barnsley</t>
        </is>
      </c>
      <c r="E33" s="10" t="inlineStr">
        <is>
          <t>Vape Shop</t>
        </is>
      </c>
      <c r="F33" s="10" t="inlineStr">
        <is>
          <t>E-cigarette and vape shop</t>
        </is>
      </c>
      <c r="G33" s="10" t="inlineStr">
        <is>
          <t>Regional Chain</t>
        </is>
      </c>
      <c r="H33" s="10" t="inlineStr">
        <is>
          <t>2</t>
        </is>
      </c>
      <c r="I33" s="10" t="inlineStr">
        <is>
          <t>New Street</t>
        </is>
      </c>
      <c r="J33" s="10" t="inlineStr">
        <is>
          <t>Barnsley</t>
        </is>
      </c>
      <c r="K33" s="10" t="inlineStr"/>
      <c r="L33" s="10" t="inlineStr"/>
      <c r="M33" s="10" t="inlineStr"/>
      <c r="N33" s="10" t="inlineStr"/>
      <c r="O33" s="10" t="inlineStr">
        <is>
          <t>https://smkd.com/</t>
        </is>
      </c>
      <c r="P33" s="10" t="inlineStr"/>
      <c r="Q33" s="10" t="inlineStr"/>
      <c r="R33" s="10" t="inlineStr"/>
      <c r="S33" s="10" t="inlineStr"/>
      <c r="T33" s="10" t="inlineStr"/>
      <c r="U33" s="10" t="inlineStr"/>
      <c r="V33" s="10" t="inlineStr">
        <is>
          <t>Medium</t>
        </is>
      </c>
      <c r="W33" s="10" t="inlineStr">
        <is>
          <t>Multi-site retailer; Core relevant category; Active website</t>
        </is>
      </c>
      <c r="X33" s="10" t="inlineStr">
        <is>
          <t>Not Found</t>
        </is>
      </c>
      <c r="Y33" s="10" t="inlineStr">
        <is>
          <t>Website Found</t>
        </is>
      </c>
      <c r="Z33" s="10" t="inlineStr">
        <is>
          <t>Low</t>
        </is>
      </c>
      <c r="AA33" s="10" t="inlineStr">
        <is>
          <t>Requires Verification</t>
        </is>
      </c>
      <c r="AB33" s="10" t="inlineStr">
        <is>
          <t>https://smkd.com/vape-shop-locator/smkd-barnsley-vape-shop-new-street/</t>
        </is>
      </c>
    </row>
    <row r="34">
      <c r="A34" s="5" t="inlineStr">
        <is>
          <t>UK-000212</t>
        </is>
      </c>
      <c r="B34" s="5" t="inlineStr">
        <is>
          <t>SMKD-05</t>
        </is>
      </c>
      <c r="C34" s="5" t="inlineStr">
        <is>
          <t>SMKD</t>
        </is>
      </c>
      <c r="D34" s="5" t="inlineStr">
        <is>
          <t>SMKD Rotherham</t>
        </is>
      </c>
      <c r="E34" s="5" t="inlineStr">
        <is>
          <t>Vape Shop</t>
        </is>
      </c>
      <c r="F34" s="5" t="inlineStr">
        <is>
          <t>E-cigarette and vape shop</t>
        </is>
      </c>
      <c r="G34" s="5" t="inlineStr">
        <is>
          <t>Regional Chain</t>
        </is>
      </c>
      <c r="H34" s="5" t="inlineStr">
        <is>
          <t>2</t>
        </is>
      </c>
      <c r="I34" s="5" t="inlineStr">
        <is>
          <t>31a Effingham Street</t>
        </is>
      </c>
      <c r="J34" s="5" t="inlineStr">
        <is>
          <t>Rotherham</t>
        </is>
      </c>
      <c r="K34" s="5" t="inlineStr">
        <is>
          <t>S65 1AL</t>
        </is>
      </c>
      <c r="L34" s="5" t="inlineStr">
        <is>
          <t>01274 270303</t>
        </is>
      </c>
      <c r="M34" s="5" t="inlineStr"/>
      <c r="N34" s="5" t="inlineStr"/>
      <c r="O34" s="5" t="inlineStr">
        <is>
          <t>https://smkd.com/</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Verified directory</t>
        </is>
      </c>
      <c r="Y34" s="5" t="inlineStr">
        <is>
          <t>Website Found</t>
        </is>
      </c>
      <c r="Z34" s="5" t="inlineStr">
        <is>
          <t>Medium</t>
        </is>
      </c>
      <c r="AA34" s="5" t="inlineStr">
        <is>
          <t>Requires Verification</t>
        </is>
      </c>
      <c r="AB34" s="5" t="inlineStr">
        <is>
          <t>https://smkd.com/vape-shop-locator/smkd-rotherham-vape-shop-effingham-street/</t>
        </is>
      </c>
    </row>
    <row r="35">
      <c r="A35" s="10" t="inlineStr">
        <is>
          <t>UK-000725</t>
        </is>
      </c>
      <c r="B35" s="10" t="inlineStr">
        <is>
          <t>SCOTVAPES-01</t>
        </is>
      </c>
      <c r="C35" s="10" t="inlineStr">
        <is>
          <t>Scotvapes</t>
        </is>
      </c>
      <c r="D35" s="10" t="inlineStr">
        <is>
          <t>Scotvapes</t>
        </is>
      </c>
      <c r="E35" s="10" t="inlineStr">
        <is>
          <t>Vape Shop</t>
        </is>
      </c>
      <c r="F35" s="10" t="inlineStr">
        <is>
          <t>E-liquid and hardware retailer</t>
        </is>
      </c>
      <c r="G35" s="10" t="inlineStr">
        <is>
          <t>Multi-Site Independent</t>
        </is>
      </c>
      <c r="H35" s="10" t="inlineStr">
        <is>
          <t>2</t>
        </is>
      </c>
      <c r="I35" s="10" t="inlineStr">
        <is>
          <t>73 High Street</t>
        </is>
      </c>
      <c r="J35" s="10" t="inlineStr">
        <is>
          <t>Glasgow</t>
        </is>
      </c>
      <c r="K35" s="10" t="inlineStr">
        <is>
          <t>G1 1NB</t>
        </is>
      </c>
      <c r="L35" s="10" t="inlineStr">
        <is>
          <t>0141 258 7312</t>
        </is>
      </c>
      <c r="M35" s="10" t="inlineStr">
        <is>
          <t>glasgowhigh@scotvapes.com</t>
        </is>
      </c>
      <c r="N35" s="10" t="inlineStr"/>
      <c r="O35" s="10" t="inlineStr">
        <is>
          <t>https://scotvapes.com/</t>
        </is>
      </c>
      <c r="P35" s="10" t="inlineStr"/>
      <c r="Q35" s="10" t="inlineStr"/>
      <c r="R35" s="10" t="inlineStr"/>
      <c r="S35" s="10" t="inlineStr"/>
      <c r="T35" s="10" t="inlineStr"/>
      <c r="U35" s="10" t="inlineStr"/>
      <c r="V35" s="10" t="inlineStr">
        <is>
          <t>High</t>
        </is>
      </c>
      <c r="W35" s="10" t="inlineStr">
        <is>
          <t>Multi-site retailer; Independent retailer; Core relevant category; Public email available; Active website</t>
        </is>
      </c>
      <c r="X35" s="10" t="inlineStr">
        <is>
          <t>Verified directory</t>
        </is>
      </c>
      <c r="Y35" s="10" t="inlineStr">
        <is>
          <t>Publicly Listed</t>
        </is>
      </c>
      <c r="Z35" s="10" t="inlineStr">
        <is>
          <t>Medium</t>
        </is>
      </c>
      <c r="AA35" s="10" t="inlineStr">
        <is>
          <t>Requires Verification</t>
        </is>
      </c>
      <c r="AB35" s="10" t="inlineStr">
        <is>
          <t>https://scotvapes.com/glasgow/</t>
        </is>
      </c>
    </row>
    <row r="36">
      <c r="A36" s="5" t="inlineStr">
        <is>
          <t>UK-000726</t>
        </is>
      </c>
      <c r="B36" s="5" t="inlineStr">
        <is>
          <t>SCOTVAPES-02</t>
        </is>
      </c>
      <c r="C36" s="5" t="inlineStr">
        <is>
          <t>Scotvapes</t>
        </is>
      </c>
      <c r="D36" s="5" t="inlineStr">
        <is>
          <t>Scotvapes</t>
        </is>
      </c>
      <c r="E36" s="5" t="inlineStr">
        <is>
          <t>Vape Shop</t>
        </is>
      </c>
      <c r="F36" s="5" t="inlineStr">
        <is>
          <t>E-liquid and hardware retailer</t>
        </is>
      </c>
      <c r="G36" s="5" t="inlineStr">
        <is>
          <t>Multi-Site Independent</t>
        </is>
      </c>
      <c r="H36" s="5" t="inlineStr">
        <is>
          <t>2</t>
        </is>
      </c>
      <c r="I36" s="5" t="inlineStr">
        <is>
          <t>Woodlands Road</t>
        </is>
      </c>
      <c r="J36" s="5" t="inlineStr">
        <is>
          <t>Glasgow</t>
        </is>
      </c>
      <c r="K36" s="5" t="inlineStr"/>
      <c r="L36" s="5" t="inlineStr">
        <is>
          <t>07426 533474</t>
        </is>
      </c>
      <c r="M36" s="5" t="inlineStr">
        <is>
          <t>website@scotvapes.com</t>
        </is>
      </c>
      <c r="N36" s="5" t="inlineStr"/>
      <c r="O36" s="5" t="inlineStr">
        <is>
          <t>https://scotvapes.com/</t>
        </is>
      </c>
      <c r="P36" s="5" t="inlineStr"/>
      <c r="Q36" s="5" t="inlineStr"/>
      <c r="R36" s="5" t="inlineStr"/>
      <c r="S36" s="5" t="inlineStr"/>
      <c r="T36" s="5" t="inlineStr"/>
      <c r="U36" s="5" t="inlineStr"/>
      <c r="V36" s="5" t="inlineStr">
        <is>
          <t>High</t>
        </is>
      </c>
      <c r="W36" s="5" t="inlineStr">
        <is>
          <t>Multi-site retailer; Independent retailer; Core relevant category; Public email available; Active website</t>
        </is>
      </c>
      <c r="X36" s="5" t="inlineStr">
        <is>
          <t>Verified directory</t>
        </is>
      </c>
      <c r="Y36" s="5" t="inlineStr">
        <is>
          <t>Publicly Listed</t>
        </is>
      </c>
      <c r="Z36" s="5" t="inlineStr">
        <is>
          <t>Low</t>
        </is>
      </c>
      <c r="AA36" s="5" t="inlineStr">
        <is>
          <t>Requires Verification</t>
        </is>
      </c>
      <c r="AB36" s="5" t="inlineStr">
        <is>
          <t>https://scotvapes.com/contact-us/</t>
        </is>
      </c>
    </row>
    <row r="37">
      <c r="A37" s="10" t="inlineStr">
        <is>
          <t>UK-000320</t>
        </is>
      </c>
      <c r="B37" s="10" t="inlineStr">
        <is>
          <t>SIMPLYELIQ-01</t>
        </is>
      </c>
      <c r="C37" s="10" t="inlineStr">
        <is>
          <t>Simply ELiquid</t>
        </is>
      </c>
      <c r="D37" s="10" t="inlineStr">
        <is>
          <t>Simply ELiquid Failsworth</t>
        </is>
      </c>
      <c r="E37" s="10" t="inlineStr">
        <is>
          <t>Vape Shop</t>
        </is>
      </c>
      <c r="F37" s="10" t="inlineStr">
        <is>
          <t>E-liquid &amp; vape hardware</t>
        </is>
      </c>
      <c r="G37" s="10" t="inlineStr">
        <is>
          <t>Multi-Site Independent</t>
        </is>
      </c>
      <c r="H37" s="10" t="inlineStr">
        <is>
          <t>2</t>
        </is>
      </c>
      <c r="I37" s="10" t="inlineStr">
        <is>
          <t>736 Oldham Road</t>
        </is>
      </c>
      <c r="J37" s="10" t="inlineStr">
        <is>
          <t>Failsworth</t>
        </is>
      </c>
      <c r="K37" s="10" t="inlineStr">
        <is>
          <t>M35 9FD</t>
        </is>
      </c>
      <c r="L37" s="10" t="inlineStr"/>
      <c r="M37" s="10" t="inlineStr">
        <is>
          <t>info@simplyeliquid.co.uk</t>
        </is>
      </c>
      <c r="N37" s="10" t="inlineStr"/>
      <c r="O37" s="10" t="inlineStr">
        <is>
          <t>https://www.simplyeliquid.co.uk/pages/simply-eliquid-failsworth-shop</t>
        </is>
      </c>
      <c r="P37" s="10" t="inlineStr"/>
      <c r="Q37" s="10" t="inlineStr"/>
      <c r="R37" s="10" t="inlineStr"/>
      <c r="S37" s="10" t="inlineStr"/>
      <c r="T37" s="10" t="inlineStr"/>
      <c r="U37" s="10" t="inlineStr"/>
      <c r="V37" s="10" t="inlineStr">
        <is>
          <t>High</t>
        </is>
      </c>
      <c r="W37" s="10" t="inlineStr">
        <is>
          <t>Multi-site retailer; Independent retailer; Core relevant category; Public email available; Active website</t>
        </is>
      </c>
      <c r="X37" s="10" t="inlineStr">
        <is>
          <t>Not Found</t>
        </is>
      </c>
      <c r="Y37" s="10" t="inlineStr">
        <is>
          <t>Publicly Listed</t>
        </is>
      </c>
      <c r="Z37" s="10" t="inlineStr">
        <is>
          <t>Medium</t>
        </is>
      </c>
      <c r="AA37" s="10" t="inlineStr">
        <is>
          <t>Requires Verification</t>
        </is>
      </c>
      <c r="AB37" s="10" t="inlineStr">
        <is>
          <t>https://www.simplyeliquid.co.uk/pages/simply-eliquid-failsworth-shop</t>
        </is>
      </c>
    </row>
    <row r="38">
      <c r="A38" s="5" t="inlineStr">
        <is>
          <t>UK-000321</t>
        </is>
      </c>
      <c r="B38" s="5" t="inlineStr">
        <is>
          <t>SIMPLYELIQ-02</t>
        </is>
      </c>
      <c r="C38" s="5" t="inlineStr">
        <is>
          <t>Simply ELiquid</t>
        </is>
      </c>
      <c r="D38" s="5" t="inlineStr">
        <is>
          <t>Simply ELiquid Stockport</t>
        </is>
      </c>
      <c r="E38" s="5" t="inlineStr">
        <is>
          <t>Vape Shop</t>
        </is>
      </c>
      <c r="F38" s="5" t="inlineStr">
        <is>
          <t>E-liquid &amp; vape hardware</t>
        </is>
      </c>
      <c r="G38" s="5" t="inlineStr">
        <is>
          <t>Multi-Site Independent</t>
        </is>
      </c>
      <c r="H38" s="5" t="inlineStr">
        <is>
          <t>2</t>
        </is>
      </c>
      <c r="I38" s="5" t="inlineStr">
        <is>
          <t>69a Merseyway</t>
        </is>
      </c>
      <c r="J38" s="5" t="inlineStr">
        <is>
          <t>Stockport</t>
        </is>
      </c>
      <c r="K38" s="5" t="inlineStr">
        <is>
          <t>SK1 1QW</t>
        </is>
      </c>
      <c r="L38" s="5" t="inlineStr">
        <is>
          <t>0161 429 6016</t>
        </is>
      </c>
      <c r="M38" s="5" t="inlineStr">
        <is>
          <t>info@simplyeliquid.co.uk</t>
        </is>
      </c>
      <c r="N38" s="5" t="inlineStr"/>
      <c r="O38" s="5" t="inlineStr">
        <is>
          <t>https://www.simplyeliquid.co.uk/pages/simply-eliquid-stockport-shop</t>
        </is>
      </c>
      <c r="P38" s="5" t="inlineStr"/>
      <c r="Q38" s="5" t="inlineStr"/>
      <c r="R38" s="5" t="inlineStr"/>
      <c r="S38" s="5" t="inlineStr"/>
      <c r="T38" s="5" t="inlineStr"/>
      <c r="U38" s="5" t="inlineStr"/>
      <c r="V38" s="5" t="inlineStr">
        <is>
          <t>High</t>
        </is>
      </c>
      <c r="W38" s="5" t="inlineStr">
        <is>
          <t>Multi-site retailer; Independent retailer; Core relevant category; Public email available; Active website; Phone verified on official website</t>
        </is>
      </c>
      <c r="X38" s="5" t="inlineStr">
        <is>
          <t>Verified on official website</t>
        </is>
      </c>
      <c r="Y38" s="5" t="inlineStr">
        <is>
          <t>Publicly Listed</t>
        </is>
      </c>
      <c r="Z38" s="5" t="inlineStr">
        <is>
          <t>Medium</t>
        </is>
      </c>
      <c r="AA38" s="5" t="inlineStr">
        <is>
          <t>Requires Verification</t>
        </is>
      </c>
      <c r="AB38" s="5" t="inlineStr">
        <is>
          <t>https://www.simplyeliquid.co.uk/pages/simply-eliquid-stockport-shop</t>
        </is>
      </c>
    </row>
    <row r="39">
      <c r="A39" s="10" t="inlineStr">
        <is>
          <t>UK-000441</t>
        </is>
      </c>
      <c r="B39" s="10" t="inlineStr">
        <is>
          <t>THEACEOFVA-01</t>
        </is>
      </c>
      <c r="C39" s="10" t="inlineStr">
        <is>
          <t>The Ace Of Vapez</t>
        </is>
      </c>
      <c r="D39" s="10" t="inlineStr">
        <is>
          <t>The Ace Of Vapez - Bentley</t>
        </is>
      </c>
      <c r="E39" s="10" t="inlineStr">
        <is>
          <t>Vape Shop</t>
        </is>
      </c>
      <c r="F39" s="10" t="inlineStr">
        <is>
          <t>Vape retail (multi-site chain)</t>
        </is>
      </c>
      <c r="G39" s="10" t="inlineStr">
        <is>
          <t>Regional Chain</t>
        </is>
      </c>
      <c r="H39" s="10" t="inlineStr">
        <is>
          <t>13</t>
        </is>
      </c>
      <c r="I39" s="10" t="inlineStr">
        <is>
          <t>45 Queen Elizabeth Avenue</t>
        </is>
      </c>
      <c r="J39" s="10" t="inlineStr">
        <is>
          <t>Walsall</t>
        </is>
      </c>
      <c r="K39" s="10" t="inlineStr">
        <is>
          <t>WS2 0BD</t>
        </is>
      </c>
      <c r="L39" s="10" t="inlineStr"/>
      <c r="M39" s="10" t="inlineStr"/>
      <c r="N39" s="10" t="inlineStr"/>
      <c r="O39" s="10" t="inlineStr">
        <is>
          <t>https://www.theaceofvapez.com/pages/retail-locations</t>
        </is>
      </c>
      <c r="P39" s="10" t="inlineStr">
        <is>
          <t>https://www.facebook.com/TheaceofvapezBentley/</t>
        </is>
      </c>
      <c r="Q39" s="10" t="inlineStr"/>
      <c r="R39" s="10" t="inlineStr"/>
      <c r="S39" s="10" t="inlineStr"/>
      <c r="T39" s="10" t="inlineStr">
        <is>
          <t>08760274</t>
        </is>
      </c>
      <c r="U39" s="10" t="inlineStr"/>
      <c r="V39" s="10" t="inlineStr">
        <is>
          <t>High</t>
        </is>
      </c>
      <c r="W39" s="10" t="inlineStr">
        <is>
          <t>Multi-site retailer; Core relevant category; Active website; Social presence</t>
        </is>
      </c>
      <c r="X39" s="10" t="inlineStr">
        <is>
          <t>Not Found</t>
        </is>
      </c>
      <c r="Y39" s="10" t="inlineStr">
        <is>
          <t>Website Found</t>
        </is>
      </c>
      <c r="Z39" s="10" t="inlineStr">
        <is>
          <t>Medium</t>
        </is>
      </c>
      <c r="AA39" s="10" t="inlineStr">
        <is>
          <t>Partially Verified</t>
        </is>
      </c>
      <c r="AB39" s="10" t="inlineStr">
        <is>
          <t>https://www.facebook.com/TheaceofvapezBentley/</t>
        </is>
      </c>
    </row>
    <row r="40">
      <c r="A40" s="5" t="inlineStr">
        <is>
          <t>UK-000442</t>
        </is>
      </c>
      <c r="B40" s="5" t="inlineStr">
        <is>
          <t>THEACEOFVA-02</t>
        </is>
      </c>
      <c r="C40" s="5" t="inlineStr">
        <is>
          <t>The Ace Of Vapez</t>
        </is>
      </c>
      <c r="D40" s="5" t="inlineStr">
        <is>
          <t>The Ace Of Vapez - Bilston</t>
        </is>
      </c>
      <c r="E40" s="5" t="inlineStr">
        <is>
          <t>Vape Shop</t>
        </is>
      </c>
      <c r="F40" s="5" t="inlineStr">
        <is>
          <t>Vape retail (multi-site chain)</t>
        </is>
      </c>
      <c r="G40" s="5" t="inlineStr">
        <is>
          <t>Regional Chain</t>
        </is>
      </c>
      <c r="H40" s="5" t="inlineStr">
        <is>
          <t>13</t>
        </is>
      </c>
      <c r="I40" s="5" t="inlineStr">
        <is>
          <t>Unit 11, Castle Street</t>
        </is>
      </c>
      <c r="J40" s="5" t="inlineStr">
        <is>
          <t>Bilston</t>
        </is>
      </c>
      <c r="K40" s="5" t="inlineStr">
        <is>
          <t>WV14 9EP</t>
        </is>
      </c>
      <c r="L40" s="5" t="inlineStr"/>
      <c r="M40" s="5" t="inlineStr"/>
      <c r="N40" s="5" t="inlineStr"/>
      <c r="O40" s="5" t="inlineStr">
        <is>
          <t>https://www.theaceofvapez.com/pages/retail-locations</t>
        </is>
      </c>
      <c r="P40" s="5" t="inlineStr"/>
      <c r="Q40" s="5" t="inlineStr"/>
      <c r="R40" s="5" t="inlineStr"/>
      <c r="S40" s="5" t="inlineStr"/>
      <c r="T40" s="5" t="inlineStr">
        <is>
          <t>08760274</t>
        </is>
      </c>
      <c r="U40" s="5" t="inlineStr"/>
      <c r="V40" s="5" t="inlineStr">
        <is>
          <t>Medium</t>
        </is>
      </c>
      <c r="W40" s="5" t="inlineStr">
        <is>
          <t>Multi-site retailer; Core relevant category; Active website</t>
        </is>
      </c>
      <c r="X40" s="5" t="inlineStr">
        <is>
          <t>Not Found</t>
        </is>
      </c>
      <c r="Y40" s="5" t="inlineStr">
        <is>
          <t>Website Found</t>
        </is>
      </c>
      <c r="Z40" s="5" t="inlineStr">
        <is>
          <t>Medium</t>
        </is>
      </c>
      <c r="AA40" s="5" t="inlineStr">
        <is>
          <t>Partially Verified</t>
        </is>
      </c>
      <c r="AB40" s="5" t="inlineStr">
        <is>
          <t>https://www.theaceofvapez.com/pages/retail-locations</t>
        </is>
      </c>
    </row>
    <row r="41">
      <c r="A41" s="10" t="inlineStr">
        <is>
          <t>UK-000443</t>
        </is>
      </c>
      <c r="B41" s="10" t="inlineStr">
        <is>
          <t>THEACEOFVA-03</t>
        </is>
      </c>
      <c r="C41" s="10" t="inlineStr">
        <is>
          <t>The Ace Of Vapez</t>
        </is>
      </c>
      <c r="D41" s="10" t="inlineStr">
        <is>
          <t>The Ace Of Vapez - Caldmore Green</t>
        </is>
      </c>
      <c r="E41" s="10" t="inlineStr">
        <is>
          <t>Vape Shop</t>
        </is>
      </c>
      <c r="F41" s="10" t="inlineStr">
        <is>
          <t>Vape retail (multi-site chain)</t>
        </is>
      </c>
      <c r="G41" s="10" t="inlineStr">
        <is>
          <t>Regional Chain</t>
        </is>
      </c>
      <c r="H41" s="10" t="inlineStr">
        <is>
          <t>13</t>
        </is>
      </c>
      <c r="I41" s="10" t="inlineStr">
        <is>
          <t>40-41 Caldmore Green</t>
        </is>
      </c>
      <c r="J41" s="10" t="inlineStr">
        <is>
          <t>Walsall</t>
        </is>
      </c>
      <c r="K41" s="10" t="inlineStr">
        <is>
          <t>WS1 3RW</t>
        </is>
      </c>
      <c r="L41" s="10" t="inlineStr"/>
      <c r="M41" s="10" t="inlineStr"/>
      <c r="N41" s="10" t="inlineStr"/>
      <c r="O41" s="10" t="inlineStr">
        <is>
          <t>https://www.theaceofvapez.com/pages/retail-locations</t>
        </is>
      </c>
      <c r="P41" s="10" t="inlineStr"/>
      <c r="Q41" s="10" t="inlineStr"/>
      <c r="R41" s="10" t="inlineStr"/>
      <c r="S41" s="10" t="inlineStr"/>
      <c r="T41" s="10" t="inlineStr">
        <is>
          <t>08760274</t>
        </is>
      </c>
      <c r="U41" s="10" t="inlineStr"/>
      <c r="V41" s="10" t="inlineStr">
        <is>
          <t>Medium</t>
        </is>
      </c>
      <c r="W41" s="10" t="inlineStr">
        <is>
          <t>Multi-site retailer; Core relevant category; Active website</t>
        </is>
      </c>
      <c r="X41" s="10" t="inlineStr">
        <is>
          <t>Not Found</t>
        </is>
      </c>
      <c r="Y41" s="10" t="inlineStr">
        <is>
          <t>Website Found</t>
        </is>
      </c>
      <c r="Z41" s="10" t="inlineStr">
        <is>
          <t>Medium</t>
        </is>
      </c>
      <c r="AA41" s="10" t="inlineStr">
        <is>
          <t>Partially Verified</t>
        </is>
      </c>
      <c r="AB41" s="10" t="inlineStr">
        <is>
          <t>https://www.theaceofvapez.com/pages/retail-locations</t>
        </is>
      </c>
    </row>
    <row r="42">
      <c r="A42" s="5" t="inlineStr">
        <is>
          <t>UK-000444</t>
        </is>
      </c>
      <c r="B42" s="5" t="inlineStr">
        <is>
          <t>THEACEOFVA-04</t>
        </is>
      </c>
      <c r="C42" s="5" t="inlineStr">
        <is>
          <t>The Ace Of Vapez</t>
        </is>
      </c>
      <c r="D42" s="5" t="inlineStr">
        <is>
          <t>The Ace Of Vapez - Codsall</t>
        </is>
      </c>
      <c r="E42" s="5" t="inlineStr">
        <is>
          <t>Vape Shop</t>
        </is>
      </c>
      <c r="F42" s="5" t="inlineStr">
        <is>
          <t>Vape retail (multi-site chain)</t>
        </is>
      </c>
      <c r="G42" s="5" t="inlineStr">
        <is>
          <t>Regional Chain</t>
        </is>
      </c>
      <c r="H42" s="5" t="inlineStr">
        <is>
          <t>13</t>
        </is>
      </c>
      <c r="I42" s="5" t="inlineStr">
        <is>
          <t>11 Station Road</t>
        </is>
      </c>
      <c r="J42" s="5" t="inlineStr">
        <is>
          <t>Wolverhampton</t>
        </is>
      </c>
      <c r="K42" s="5" t="inlineStr">
        <is>
          <t>WV8 1BX</t>
        </is>
      </c>
      <c r="L42" s="5" t="inlineStr">
        <is>
          <t>01902 276807</t>
        </is>
      </c>
      <c r="M42" s="5" t="inlineStr">
        <is>
          <t>taovcodsall@gmail.com</t>
        </is>
      </c>
      <c r="N42" s="5" t="inlineStr"/>
      <c r="O42" s="5" t="inlineStr">
        <is>
          <t>https://www.theaceofvapez.com/pages/retail-locations</t>
        </is>
      </c>
      <c r="P42" s="5" t="inlineStr">
        <is>
          <t>https://www.facebook.com/TAOVCodsall/</t>
        </is>
      </c>
      <c r="Q42" s="5" t="inlineStr"/>
      <c r="R42" s="5" t="inlineStr"/>
      <c r="S42" s="5" t="inlineStr"/>
      <c r="T42" s="5" t="inlineStr">
        <is>
          <t>08760274</t>
        </is>
      </c>
      <c r="U42" s="5" t="inlineStr"/>
      <c r="V42" s="5" t="inlineStr">
        <is>
          <t>High</t>
        </is>
      </c>
      <c r="W42" s="5" t="inlineStr">
        <is>
          <t>Multi-site retailer; Core relevant category; Public email available; Active website; Social presence; Phone verified on official website</t>
        </is>
      </c>
      <c r="X42" s="5" t="inlineStr">
        <is>
          <t>Verified on official website</t>
        </is>
      </c>
      <c r="Y42" s="5" t="inlineStr">
        <is>
          <t>Publicly Listed</t>
        </is>
      </c>
      <c r="Z42" s="5" t="inlineStr">
        <is>
          <t>High</t>
        </is>
      </c>
      <c r="AA42" s="5" t="inlineStr">
        <is>
          <t>Partially Verified</t>
        </is>
      </c>
      <c r="AB42" s="5" t="inlineStr">
        <is>
          <t>https://www.theaceofvapez.com/pages/contact-us</t>
        </is>
      </c>
    </row>
    <row r="43">
      <c r="A43" s="10" t="inlineStr">
        <is>
          <t>UK-000445</t>
        </is>
      </c>
      <c r="B43" s="10" t="inlineStr">
        <is>
          <t>THEACEOFVA-05</t>
        </is>
      </c>
      <c r="C43" s="10" t="inlineStr">
        <is>
          <t>The Ace Of Vapez</t>
        </is>
      </c>
      <c r="D43" s="10" t="inlineStr">
        <is>
          <t>The Ace Of Vapez - East Park</t>
        </is>
      </c>
      <c r="E43" s="10" t="inlineStr">
        <is>
          <t>Vape Shop</t>
        </is>
      </c>
      <c r="F43" s="10" t="inlineStr">
        <is>
          <t>Vape retail (multi-site chain)</t>
        </is>
      </c>
      <c r="G43" s="10" t="inlineStr">
        <is>
          <t>Regional Chain</t>
        </is>
      </c>
      <c r="H43" s="10" t="inlineStr">
        <is>
          <t>13</t>
        </is>
      </c>
      <c r="I43" s="10" t="inlineStr">
        <is>
          <t>151-153 Willenhall Road</t>
        </is>
      </c>
      <c r="J43" s="10" t="inlineStr">
        <is>
          <t>Wolverhampton</t>
        </is>
      </c>
      <c r="K43" s="10" t="inlineStr">
        <is>
          <t>WV1 2HR</t>
        </is>
      </c>
      <c r="L43" s="10" t="inlineStr">
        <is>
          <t>01902 458119</t>
        </is>
      </c>
      <c r="M43" s="10" t="inlineStr"/>
      <c r="N43" s="10" t="inlineStr"/>
      <c r="O43" s="10" t="inlineStr">
        <is>
          <t>https://www.theaceofvapez.com/pages/retail-locations</t>
        </is>
      </c>
      <c r="P43" s="10" t="inlineStr">
        <is>
          <t>https://www.facebook.com/TAOVWillenhall/</t>
        </is>
      </c>
      <c r="Q43" s="10" t="inlineStr"/>
      <c r="R43" s="10" t="inlineStr"/>
      <c r="S43" s="10" t="inlineStr"/>
      <c r="T43" s="10" t="inlineStr">
        <is>
          <t>08760274</t>
        </is>
      </c>
      <c r="U43" s="10" t="inlineStr"/>
      <c r="V43" s="10" t="inlineStr">
        <is>
          <t>High</t>
        </is>
      </c>
      <c r="W43" s="10" t="inlineStr">
        <is>
          <t>Multi-site retailer; Core relevant category; Active website; Social presence; Phone verified on official website</t>
        </is>
      </c>
      <c r="X43" s="10" t="inlineStr">
        <is>
          <t>Verified on official website</t>
        </is>
      </c>
      <c r="Y43" s="10" t="inlineStr">
        <is>
          <t>Website Found</t>
        </is>
      </c>
      <c r="Z43" s="10" t="inlineStr">
        <is>
          <t>High</t>
        </is>
      </c>
      <c r="AA43" s="10" t="inlineStr">
        <is>
          <t>Verified (website + Companies House)</t>
        </is>
      </c>
      <c r="AB43" s="10" t="inlineStr">
        <is>
          <t>https://www.theaceofvapez.com/pages/retail-locations</t>
        </is>
      </c>
    </row>
    <row r="44">
      <c r="A44" s="5" t="inlineStr">
        <is>
          <t>UK-000446</t>
        </is>
      </c>
      <c r="B44" s="5" t="inlineStr">
        <is>
          <t>THEACEOFVA-06</t>
        </is>
      </c>
      <c r="C44" s="5" t="inlineStr">
        <is>
          <t>The Ace Of Vapez</t>
        </is>
      </c>
      <c r="D44" s="5" t="inlineStr">
        <is>
          <t>The Ace Of Vapez - Scotlands</t>
        </is>
      </c>
      <c r="E44" s="5" t="inlineStr">
        <is>
          <t>Vape Shop</t>
        </is>
      </c>
      <c r="F44" s="5" t="inlineStr">
        <is>
          <t>Vape retail (multi-site chain)</t>
        </is>
      </c>
      <c r="G44" s="5" t="inlineStr">
        <is>
          <t>Regional Chain</t>
        </is>
      </c>
      <c r="H44" s="5" t="inlineStr">
        <is>
          <t>13</t>
        </is>
      </c>
      <c r="I44" s="5" t="inlineStr">
        <is>
          <t>757 Cannock Road</t>
        </is>
      </c>
      <c r="J44" s="5" t="inlineStr">
        <is>
          <t>Wolverhampton</t>
        </is>
      </c>
      <c r="K44" s="5" t="inlineStr">
        <is>
          <t>WV10 8PN</t>
        </is>
      </c>
      <c r="L44" s="5" t="inlineStr">
        <is>
          <t>01902 240425</t>
        </is>
      </c>
      <c r="M44" s="5" t="inlineStr"/>
      <c r="N44" s="5" t="inlineStr"/>
      <c r="O44" s="5" t="inlineStr">
        <is>
          <t>https://www.theaceofvapez.com/pages/retail-locations</t>
        </is>
      </c>
      <c r="P44" s="5" t="inlineStr"/>
      <c r="Q44" s="5" t="inlineStr"/>
      <c r="R44" s="5" t="inlineStr"/>
      <c r="S44" s="5" t="inlineStr"/>
      <c r="T44" s="5" t="inlineStr">
        <is>
          <t>08760274</t>
        </is>
      </c>
      <c r="U44" s="5" t="inlineStr"/>
      <c r="V44" s="5" t="inlineStr">
        <is>
          <t>High</t>
        </is>
      </c>
      <c r="W44" s="5" t="inlineStr">
        <is>
          <t>Multi-site retailer; Core relevant category; Active website; Phone verified on official website</t>
        </is>
      </c>
      <c r="X44" s="5" t="inlineStr">
        <is>
          <t>Verified on official website</t>
        </is>
      </c>
      <c r="Y44" s="5" t="inlineStr">
        <is>
          <t>Website Found</t>
        </is>
      </c>
      <c r="Z44" s="5" t="inlineStr">
        <is>
          <t>High</t>
        </is>
      </c>
      <c r="AA44" s="5" t="inlineStr">
        <is>
          <t>Partially Verified</t>
        </is>
      </c>
      <c r="AB44" s="5" t="inlineStr">
        <is>
          <t>https://www.theaceofvapez.com/pages/retail-locations</t>
        </is>
      </c>
    </row>
    <row r="45">
      <c r="A45" s="10" t="inlineStr">
        <is>
          <t>UK-000447</t>
        </is>
      </c>
      <c r="B45" s="10" t="inlineStr">
        <is>
          <t>THEACEOFVA-07</t>
        </is>
      </c>
      <c r="C45" s="10" t="inlineStr">
        <is>
          <t>The Ace Of Vapez</t>
        </is>
      </c>
      <c r="D45" s="10" t="inlineStr">
        <is>
          <t>The Ace Of Vapez - Willenhall (The Precinct)</t>
        </is>
      </c>
      <c r="E45" s="10" t="inlineStr">
        <is>
          <t>Vape Shop</t>
        </is>
      </c>
      <c r="F45" s="10" t="inlineStr">
        <is>
          <t>Vape retail (multi-site chain)</t>
        </is>
      </c>
      <c r="G45" s="10" t="inlineStr">
        <is>
          <t>Regional Chain</t>
        </is>
      </c>
      <c r="H45" s="10" t="inlineStr">
        <is>
          <t>13</t>
        </is>
      </c>
      <c r="I45" s="10" t="inlineStr">
        <is>
          <t>31 The Precinct</t>
        </is>
      </c>
      <c r="J45" s="10" t="inlineStr">
        <is>
          <t>Willenhall</t>
        </is>
      </c>
      <c r="K45" s="10" t="inlineStr">
        <is>
          <t>WV12 4PZ</t>
        </is>
      </c>
      <c r="L45" s="10" t="inlineStr">
        <is>
          <t>01902 634748</t>
        </is>
      </c>
      <c r="M45" s="10" t="inlineStr"/>
      <c r="N45" s="10" t="inlineStr"/>
      <c r="O45" s="10" t="inlineStr">
        <is>
          <t>https://www.theaceofvapez.com/pages/retail-locations</t>
        </is>
      </c>
      <c r="P45" s="10" t="inlineStr"/>
      <c r="Q45" s="10" t="inlineStr"/>
      <c r="R45" s="10" t="inlineStr"/>
      <c r="S45" s="10" t="inlineStr"/>
      <c r="T45" s="10" t="inlineStr">
        <is>
          <t>08760274</t>
        </is>
      </c>
      <c r="U45" s="10" t="inlineStr"/>
      <c r="V45" s="10" t="inlineStr">
        <is>
          <t>High</t>
        </is>
      </c>
      <c r="W45" s="10" t="inlineStr">
        <is>
          <t>Multi-site retailer; Core relevant category; Active website; Phone verified on official website</t>
        </is>
      </c>
      <c r="X45" s="10" t="inlineStr">
        <is>
          <t>Verified on official website</t>
        </is>
      </c>
      <c r="Y45" s="10" t="inlineStr">
        <is>
          <t>Website Found</t>
        </is>
      </c>
      <c r="Z45" s="10" t="inlineStr">
        <is>
          <t>High</t>
        </is>
      </c>
      <c r="AA45" s="10" t="inlineStr">
        <is>
          <t>Partially Verified</t>
        </is>
      </c>
      <c r="AB45" s="10" t="inlineStr">
        <is>
          <t>https://www.theaceofvapez.com/pages/retail-locations</t>
        </is>
      </c>
    </row>
    <row r="46">
      <c r="A46" s="5" t="inlineStr">
        <is>
          <t>UK-000448</t>
        </is>
      </c>
      <c r="B46" s="5" t="inlineStr">
        <is>
          <t>THEACEOFVA-01</t>
        </is>
      </c>
      <c r="C46" s="5" t="inlineStr">
        <is>
          <t>The Ace of Vapez</t>
        </is>
      </c>
      <c r="D46" s="5" t="inlineStr">
        <is>
          <t>The Ace of Vapez - Acocks Green</t>
        </is>
      </c>
      <c r="E46" s="5" t="inlineStr">
        <is>
          <t>Vape Shop</t>
        </is>
      </c>
      <c r="F46" s="5" t="inlineStr">
        <is>
          <t>Vape hardware and e-liquid retailer</t>
        </is>
      </c>
      <c r="G46" s="5" t="inlineStr">
        <is>
          <t>Regional Chain</t>
        </is>
      </c>
      <c r="H46" s="5" t="inlineStr">
        <is>
          <t>1</t>
        </is>
      </c>
      <c r="I46" s="5" t="inlineStr">
        <is>
          <t>1137 Warwick Road</t>
        </is>
      </c>
      <c r="J46" s="5" t="inlineStr">
        <is>
          <t>Birmingham</t>
        </is>
      </c>
      <c r="K46" s="5" t="inlineStr">
        <is>
          <t>B27 6RA</t>
        </is>
      </c>
      <c r="L46" s="5" t="inlineStr">
        <is>
          <t>0121 492 1290</t>
        </is>
      </c>
      <c r="M46" s="5" t="inlineStr"/>
      <c r="N46" s="5" t="inlineStr"/>
      <c r="O46" s="5" t="inlineStr">
        <is>
          <t>https://www.theaceofvapez.com/</t>
        </is>
      </c>
      <c r="P46" s="5" t="inlineStr"/>
      <c r="Q46" s="5" t="inlineStr"/>
      <c r="R46" s="5" t="inlineStr"/>
      <c r="S46" s="5" t="inlineStr"/>
      <c r="T46" s="5" t="inlineStr"/>
      <c r="U46" s="5" t="inlineStr"/>
      <c r="V46" s="5" t="inlineStr">
        <is>
          <t>Medium</t>
        </is>
      </c>
      <c r="W46" s="5" t="inlineStr">
        <is>
          <t>Multi-site retailer; Core relevant category; Active website</t>
        </is>
      </c>
      <c r="X46" s="5" t="inlineStr">
        <is>
          <t>Verified directory</t>
        </is>
      </c>
      <c r="Y46" s="5" t="inlineStr">
        <is>
          <t>Website Found</t>
        </is>
      </c>
      <c r="Z46" s="5" t="inlineStr">
        <is>
          <t>Medium</t>
        </is>
      </c>
      <c r="AA46" s="5" t="inlineStr">
        <is>
          <t>Requires Verification</t>
        </is>
      </c>
      <c r="AB46" s="5" t="inlineStr">
        <is>
          <t>https://www.theaceofvapez.com/pages/acocks-green</t>
        </is>
      </c>
    </row>
    <row r="47">
      <c r="A47" s="10" t="inlineStr">
        <is>
          <t>UK-000323</t>
        </is>
      </c>
      <c r="B47" s="10" t="inlineStr">
        <is>
          <t>THEECIGSTO-01</t>
        </is>
      </c>
      <c r="C47" s="10" t="inlineStr">
        <is>
          <t>The E-Cig Store</t>
        </is>
      </c>
      <c r="D47" s="10" t="inlineStr">
        <is>
          <t>The E-Cig Store (Timperley, Trafford)</t>
        </is>
      </c>
      <c r="E47" s="10" t="inlineStr">
        <is>
          <t>Vape Shop</t>
        </is>
      </c>
      <c r="F47" s="10" t="inlineStr">
        <is>
          <t>Vape hardware, e-liquids &amp; disposables</t>
        </is>
      </c>
      <c r="G47" s="10" t="inlineStr">
        <is>
          <t>Regional Chain</t>
        </is>
      </c>
      <c r="H47" s="10" t="inlineStr">
        <is>
          <t>40</t>
        </is>
      </c>
      <c r="I47" s="10" t="inlineStr">
        <is>
          <t>230 Stockport Road</t>
        </is>
      </c>
      <c r="J47" s="10" t="inlineStr">
        <is>
          <t>Altrincham</t>
        </is>
      </c>
      <c r="K47" s="10" t="inlineStr">
        <is>
          <t>WA15 7UN</t>
        </is>
      </c>
      <c r="L47" s="10" t="inlineStr"/>
      <c r="M47" s="10" t="inlineStr"/>
      <c r="N47" s="10" t="inlineStr"/>
      <c r="O47" s="10" t="inlineStr">
        <is>
          <t>https://theecig.co.uk/</t>
        </is>
      </c>
      <c r="P47" s="10" t="inlineStr">
        <is>
          <t>https://www.facebook.com/theEcigAlti/</t>
        </is>
      </c>
      <c r="Q47" s="10" t="inlineStr"/>
      <c r="R47" s="10" t="inlineStr"/>
      <c r="S47" s="10" t="inlineStr"/>
      <c r="T47" s="10" t="inlineStr"/>
      <c r="U47" s="10" t="inlineStr"/>
      <c r="V47" s="10" t="inlineStr">
        <is>
          <t>High</t>
        </is>
      </c>
      <c r="W47" s="10" t="inlineStr">
        <is>
          <t>Multi-site retailer; Core relevant category; Active website; Social presence</t>
        </is>
      </c>
      <c r="X47" s="10" t="inlineStr">
        <is>
          <t>Not Found</t>
        </is>
      </c>
      <c r="Y47" s="10" t="inlineStr">
        <is>
          <t>Website Found</t>
        </is>
      </c>
      <c r="Z47" s="10" t="inlineStr">
        <is>
          <t>Medium</t>
        </is>
      </c>
      <c r="AA47" s="10" t="inlineStr">
        <is>
          <t>Requires Verification</t>
        </is>
      </c>
      <c r="AB47" s="10" t="inlineStr">
        <is>
          <t>https://theecig.co.uk/pages/the-e-cig-store-timperley</t>
        </is>
      </c>
    </row>
    <row r="48">
      <c r="A48" s="5" t="inlineStr">
        <is>
          <t>UK-000324</t>
        </is>
      </c>
      <c r="B48" s="5" t="inlineStr">
        <is>
          <t>THEECIGSTO-02</t>
        </is>
      </c>
      <c r="C48" s="5" t="inlineStr">
        <is>
          <t>The E-Cig Store</t>
        </is>
      </c>
      <c r="D48" s="5" t="inlineStr">
        <is>
          <t>The E-Cig Store (West Timperley, Trafford)</t>
        </is>
      </c>
      <c r="E48" s="5" t="inlineStr">
        <is>
          <t>Vape Shop</t>
        </is>
      </c>
      <c r="F48" s="5" t="inlineStr">
        <is>
          <t>Vape hardware, e-liquids &amp; disposables</t>
        </is>
      </c>
      <c r="G48" s="5" t="inlineStr">
        <is>
          <t>Regional Chain</t>
        </is>
      </c>
      <c r="H48" s="5" t="inlineStr">
        <is>
          <t>40</t>
        </is>
      </c>
      <c r="I48" s="5" t="inlineStr">
        <is>
          <t>340 Manchester Road</t>
        </is>
      </c>
      <c r="J48" s="5" t="inlineStr">
        <is>
          <t>Altrincham</t>
        </is>
      </c>
      <c r="K48" s="5" t="inlineStr">
        <is>
          <t>WA14 5NH</t>
        </is>
      </c>
      <c r="L48" s="5" t="inlineStr"/>
      <c r="M48" s="5" t="inlineStr"/>
      <c r="N48" s="5" t="inlineStr"/>
      <c r="O48" s="5" t="inlineStr">
        <is>
          <t>https://theecig.co.uk/</t>
        </is>
      </c>
      <c r="P48" s="5" t="inlineStr">
        <is>
          <t>https://www.facebook.com/theEcigAlti/</t>
        </is>
      </c>
      <c r="Q48" s="5" t="inlineStr"/>
      <c r="R48" s="5" t="inlineStr"/>
      <c r="S48" s="5" t="inlineStr"/>
      <c r="T48" s="5" t="inlineStr"/>
      <c r="U48" s="5" t="inlineStr"/>
      <c r="V48" s="5" t="inlineStr">
        <is>
          <t>High</t>
        </is>
      </c>
      <c r="W48" s="5" t="inlineStr">
        <is>
          <t>Multi-site retailer; Core relevant category; Active website; Social presence</t>
        </is>
      </c>
      <c r="X48" s="5" t="inlineStr">
        <is>
          <t>Not Found</t>
        </is>
      </c>
      <c r="Y48" s="5" t="inlineStr">
        <is>
          <t>Website Found</t>
        </is>
      </c>
      <c r="Z48" s="5" t="inlineStr">
        <is>
          <t>Medium</t>
        </is>
      </c>
      <c r="AA48" s="5" t="inlineStr">
        <is>
          <t>Requires Verification</t>
        </is>
      </c>
      <c r="AB48" s="5" t="inlineStr">
        <is>
          <t>https://theecig.co.uk/pages/store-locator</t>
        </is>
      </c>
    </row>
    <row r="49">
      <c r="A49" s="10" t="inlineStr">
        <is>
          <t>UK-000325</t>
        </is>
      </c>
      <c r="B49" s="10" t="inlineStr">
        <is>
          <t>THEECIGSTO-01</t>
        </is>
      </c>
      <c r="C49" s="10" t="inlineStr">
        <is>
          <t>The E-Cig Store UK</t>
        </is>
      </c>
      <c r="D49" s="10" t="inlineStr">
        <is>
          <t>The E-Cig Store Stockport</t>
        </is>
      </c>
      <c r="E49" s="10" t="inlineStr">
        <is>
          <t>Vape Shop</t>
        </is>
      </c>
      <c r="F49" s="10" t="inlineStr"/>
      <c r="G49" s="10" t="inlineStr">
        <is>
          <t>Multi-Site Independent</t>
        </is>
      </c>
      <c r="H49" s="10" t="inlineStr">
        <is>
          <t>1</t>
        </is>
      </c>
      <c r="I49" s="10" t="inlineStr">
        <is>
          <t>Buxton Road</t>
        </is>
      </c>
      <c r="J49" s="10" t="inlineStr">
        <is>
          <t>Stockport</t>
        </is>
      </c>
      <c r="K49" s="10" t="inlineStr"/>
      <c r="L49" s="10" t="inlineStr"/>
      <c r="M49" s="10" t="inlineStr"/>
      <c r="N49" s="10" t="inlineStr"/>
      <c r="O49" s="10" t="inlineStr">
        <is>
          <t>https://theecig.co.uk/pages/the-e-cig-store-stockport</t>
        </is>
      </c>
      <c r="P49" s="10" t="inlineStr"/>
      <c r="Q49" s="10" t="inlineStr"/>
      <c r="R49" s="10" t="inlineStr"/>
      <c r="S49" s="10" t="inlineStr"/>
      <c r="T49" s="10" t="inlineStr"/>
      <c r="U49" s="10" t="inlineStr"/>
      <c r="V49" s="10" t="inlineStr">
        <is>
          <t>High</t>
        </is>
      </c>
      <c r="W49" s="10" t="inlineStr">
        <is>
          <t>Multi-site retailer; Independent retailer; Core relevant category; Active website</t>
        </is>
      </c>
      <c r="X49" s="10" t="inlineStr">
        <is>
          <t>Not Found</t>
        </is>
      </c>
      <c r="Y49" s="10" t="inlineStr">
        <is>
          <t>Website Found</t>
        </is>
      </c>
      <c r="Z49" s="10" t="inlineStr">
        <is>
          <t>Low</t>
        </is>
      </c>
      <c r="AA49" s="10" t="inlineStr">
        <is>
          <t>Requires Verification</t>
        </is>
      </c>
      <c r="AB49" s="10" t="inlineStr">
        <is>
          <t>https://theecig.co.uk/pages/the-e-cig-store-stockport</t>
        </is>
      </c>
    </row>
    <row r="50">
      <c r="A50" s="5" t="inlineStr">
        <is>
          <t>WY-0031</t>
        </is>
      </c>
      <c r="B50" s="5" t="inlineStr">
        <is>
          <t>THEVAPECEN-01</t>
        </is>
      </c>
      <c r="C50" s="5" t="inlineStr">
        <is>
          <t>The Vape Centre</t>
        </is>
      </c>
      <c r="D50" s="5" t="inlineStr">
        <is>
          <t>The Vape Centre (Wetherby)</t>
        </is>
      </c>
      <c r="E50" s="5" t="inlineStr">
        <is>
          <t>Vape Shop</t>
        </is>
      </c>
      <c r="F50" s="5" t="inlineStr"/>
      <c r="G50" s="5" t="inlineStr">
        <is>
          <t>Multi-Site Independent</t>
        </is>
      </c>
      <c r="H50" s="5" t="inlineStr">
        <is>
          <t>2</t>
        </is>
      </c>
      <c r="I50" s="5" t="inlineStr">
        <is>
          <t>16 Market Place</t>
        </is>
      </c>
      <c r="J50" s="5" t="inlineStr">
        <is>
          <t>Wetherby</t>
        </is>
      </c>
      <c r="K50" s="5" t="inlineStr">
        <is>
          <t>LS22 6NE</t>
        </is>
      </c>
      <c r="L50" s="5" t="inlineStr">
        <is>
          <t>07388 892397</t>
        </is>
      </c>
      <c r="M50" s="5" t="inlineStr"/>
      <c r="N50" s="5" t="inlineStr"/>
      <c r="O50" s="5" t="inlineStr">
        <is>
          <t>http://www.thevapecentre.co.uk/</t>
        </is>
      </c>
      <c r="P50" s="5" t="inlineStr"/>
      <c r="Q50" s="5" t="inlineStr"/>
      <c r="R50" s="5" t="inlineStr"/>
      <c r="S50" s="5" t="inlineStr"/>
      <c r="T50" s="5" t="inlineStr"/>
      <c r="U50" s="5" t="inlineStr"/>
      <c r="V50" s="5" t="inlineStr">
        <is>
          <t>High</t>
        </is>
      </c>
      <c r="W50" s="5" t="inlineStr">
        <is>
          <t>Multi-site retailer; Independent retailer; Core relevant category; Active website</t>
        </is>
      </c>
      <c r="X50" s="5" t="inlineStr">
        <is>
          <t>Verified directory</t>
        </is>
      </c>
      <c r="Y50" s="5" t="inlineStr">
        <is>
          <t>Website Found</t>
        </is>
      </c>
      <c r="Z50" s="5" t="inlineStr">
        <is>
          <t>Medium</t>
        </is>
      </c>
      <c r="AA50" s="5" t="inlineStr">
        <is>
          <t>Requires Verification</t>
        </is>
      </c>
      <c r="AB50" s="5" t="inlineStr">
        <is>
          <t>https://wetherbytowncouncil.gov.uk/our-businesses/vape-centre/</t>
        </is>
      </c>
    </row>
    <row r="51">
      <c r="A51" s="10" t="inlineStr">
        <is>
          <t>WY-0032</t>
        </is>
      </c>
      <c r="B51" s="10" t="inlineStr">
        <is>
          <t>TOTALLYWIC-01</t>
        </is>
      </c>
      <c r="C51" s="10" t="inlineStr">
        <is>
          <t>Totally Wicked</t>
        </is>
      </c>
      <c r="D51" s="10" t="inlineStr">
        <is>
          <t>Totally Wicked</t>
        </is>
      </c>
      <c r="E51" s="10" t="inlineStr">
        <is>
          <t>Vape Shop</t>
        </is>
      </c>
      <c r="F51" s="10" t="inlineStr">
        <is>
          <t>E-cigarette and e-liquid chain store</t>
        </is>
      </c>
      <c r="G51" s="10" t="inlineStr">
        <is>
          <t>National Chain</t>
        </is>
      </c>
      <c r="H51" s="10" t="inlineStr"/>
      <c r="I51" s="10" t="inlineStr">
        <is>
          <t>53-55 Bethel Street</t>
        </is>
      </c>
      <c r="J51" s="10" t="inlineStr">
        <is>
          <t>Brighouse</t>
        </is>
      </c>
      <c r="K51" s="10" t="inlineStr">
        <is>
          <t>HD6 1JR</t>
        </is>
      </c>
      <c r="L51" s="10" t="inlineStr">
        <is>
          <t>01484 769431</t>
        </is>
      </c>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Core relevant category</t>
        </is>
      </c>
      <c r="X51" s="10" t="inlineStr">
        <is>
          <t>Verified directory</t>
        </is>
      </c>
      <c r="Y51" s="10" t="inlineStr">
        <is>
          <t>Not Found</t>
        </is>
      </c>
      <c r="Z51" s="10" t="inlineStr">
        <is>
          <t>Medium</t>
        </is>
      </c>
      <c r="AA51" s="10" t="inlineStr">
        <is>
          <t>Requires Verification</t>
        </is>
      </c>
      <c r="AB51" s="10" t="inlineStr">
        <is>
          <t>https://brighouse.cylex-uk.co.uk/vape-shops/</t>
        </is>
      </c>
    </row>
    <row r="52">
      <c r="A52" s="5" t="inlineStr">
        <is>
          <t>WY-0033</t>
        </is>
      </c>
      <c r="B52" s="5" t="inlineStr">
        <is>
          <t>TOTALLYWIC-02</t>
        </is>
      </c>
      <c r="C52" s="5" t="inlineStr">
        <is>
          <t>Totally Wicked</t>
        </is>
      </c>
      <c r="D52" s="5" t="inlineStr">
        <is>
          <t>Totally Wicked</t>
        </is>
      </c>
      <c r="E52" s="5" t="inlineStr">
        <is>
          <t>Vape Shop</t>
        </is>
      </c>
      <c r="F52" s="5" t="inlineStr">
        <is>
          <t>E-cigarette and e-liquid chain store</t>
        </is>
      </c>
      <c r="G52" s="5" t="inlineStr">
        <is>
          <t>National Chain</t>
        </is>
      </c>
      <c r="H52" s="5" t="inlineStr"/>
      <c r="I52" s="5" t="inlineStr">
        <is>
          <t>10 Commercial Street</t>
        </is>
      </c>
      <c r="J52" s="5" t="inlineStr">
        <is>
          <t>Halifax</t>
        </is>
      </c>
      <c r="K52" s="5" t="inlineStr">
        <is>
          <t>HX1 1TA</t>
        </is>
      </c>
      <c r="L52" s="5" t="inlineStr">
        <is>
          <t>01422 320223</t>
        </is>
      </c>
      <c r="M52" s="5" t="inlineStr"/>
      <c r="N52" s="5" t="inlineStr"/>
      <c r="O52" s="5" t="inlineStr">
        <is>
          <t>https://www.totallywicked-eliquid.co.uk/stores/halifax-e-cigs-e-liquid-shop</t>
        </is>
      </c>
      <c r="P52" s="5" t="inlineStr"/>
      <c r="Q52" s="5" t="inlineStr"/>
      <c r="R52" s="5" t="inlineStr"/>
      <c r="S52" s="5" t="inlineStr"/>
      <c r="T52" s="5" t="inlineStr"/>
      <c r="U52" s="5" t="inlineStr"/>
      <c r="V52" s="5" t="inlineStr">
        <is>
          <t>Medium</t>
        </is>
      </c>
      <c r="W52" s="5" t="inlineStr">
        <is>
          <t>Multi-site retailer; Core relevant category; Active website</t>
        </is>
      </c>
      <c r="X52" s="5" t="inlineStr">
        <is>
          <t>Verified directory</t>
        </is>
      </c>
      <c r="Y52" s="5" t="inlineStr">
        <is>
          <t>Website Found</t>
        </is>
      </c>
      <c r="Z52" s="5" t="inlineStr">
        <is>
          <t>Medium</t>
        </is>
      </c>
      <c r="AA52" s="5" t="inlineStr">
        <is>
          <t>Requires Verification</t>
        </is>
      </c>
      <c r="AB52" s="5" t="inlineStr">
        <is>
          <t>https://www.totallywicked-eliquid.co.uk/stores/halifax-e-cigs-e-liquid-shop</t>
        </is>
      </c>
    </row>
    <row r="53">
      <c r="A53" s="10" t="inlineStr">
        <is>
          <t>UK-000562</t>
        </is>
      </c>
      <c r="B53" s="10" t="inlineStr">
        <is>
          <t>UKECIGSTOR-01</t>
        </is>
      </c>
      <c r="C53" s="10" t="inlineStr">
        <is>
          <t>UK Ecig Store</t>
        </is>
      </c>
      <c r="D53" s="10" t="inlineStr">
        <is>
          <t>UK E-Cig Store (Camden High Street)</t>
        </is>
      </c>
      <c r="E53" s="10" t="inlineStr">
        <is>
          <t>Vape Shop</t>
        </is>
      </c>
      <c r="F53" s="10" t="inlineStr">
        <is>
          <t>Vape hardware &amp; e-liquids</t>
        </is>
      </c>
      <c r="G53" s="10" t="inlineStr">
        <is>
          <t>Regional Chain</t>
        </is>
      </c>
      <c r="H53" s="10" t="inlineStr">
        <is>
          <t>1</t>
        </is>
      </c>
      <c r="I53" s="10" t="inlineStr">
        <is>
          <t>63 Camden High Street</t>
        </is>
      </c>
      <c r="J53" s="10" t="inlineStr">
        <is>
          <t>London</t>
        </is>
      </c>
      <c r="K53" s="10" t="inlineStr">
        <is>
          <t>NW1 7JL</t>
        </is>
      </c>
      <c r="L53" s="10" t="inlineStr">
        <is>
          <t>020 7388 8704</t>
        </is>
      </c>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Core relevant category</t>
        </is>
      </c>
      <c r="X53" s="10" t="inlineStr">
        <is>
          <t>Verified directory</t>
        </is>
      </c>
      <c r="Y53" s="10" t="inlineStr">
        <is>
          <t>Not Found</t>
        </is>
      </c>
      <c r="Z53" s="10" t="inlineStr">
        <is>
          <t>Medium</t>
        </is>
      </c>
      <c r="AA53" s="10" t="inlineStr">
        <is>
          <t>Requires Verification</t>
        </is>
      </c>
      <c r="AB53" s="10" t="inlineStr">
        <is>
          <t>https://www.yell.com/s/vape+shops-camden+town-central+london.html</t>
        </is>
      </c>
    </row>
    <row r="54">
      <c r="A54" s="5" t="inlineStr">
        <is>
          <t>UK-000216</t>
        </is>
      </c>
      <c r="B54" s="5" t="inlineStr">
        <is>
          <t>VAPEXSTORE-01</t>
        </is>
      </c>
      <c r="C54" s="5" t="inlineStr">
        <is>
          <t>VAPEx Stores</t>
        </is>
      </c>
      <c r="D54" s="5" t="inlineStr">
        <is>
          <t>VAPEx Doncaster</t>
        </is>
      </c>
      <c r="E54" s="5" t="inlineStr">
        <is>
          <t>Vape Shop</t>
        </is>
      </c>
      <c r="F54" s="5" t="inlineStr">
        <is>
          <t>E-cigarette and vape shop</t>
        </is>
      </c>
      <c r="G54" s="5" t="inlineStr">
        <is>
          <t>Multi-Site Independent</t>
        </is>
      </c>
      <c r="H54" s="5" t="inlineStr">
        <is>
          <t>1</t>
        </is>
      </c>
      <c r="I54" s="5" t="inlineStr">
        <is>
          <t>61a Carr House Road</t>
        </is>
      </c>
      <c r="J54" s="5" t="inlineStr">
        <is>
          <t>Doncaster</t>
        </is>
      </c>
      <c r="K54" s="5" t="inlineStr">
        <is>
          <t>DN1 2BY</t>
        </is>
      </c>
      <c r="L54" s="5" t="inlineStr">
        <is>
          <t>01302 315051</t>
        </is>
      </c>
      <c r="M54" s="5" t="inlineStr"/>
      <c r="N54" s="5" t="inlineStr"/>
      <c r="O54" s="5" t="inlineStr">
        <is>
          <t>https://vapexstores.co.uk/dn1</t>
        </is>
      </c>
      <c r="P54" s="5" t="inlineStr">
        <is>
          <t>https://www.facebook.com/vapexdoncaster/</t>
        </is>
      </c>
      <c r="Q54" s="5" t="inlineStr"/>
      <c r="R54" s="5" t="inlineStr"/>
      <c r="S54" s="5" t="inlineStr"/>
      <c r="T54" s="5" t="inlineStr"/>
      <c r="U54" s="5" t="inlineStr"/>
      <c r="V54" s="5" t="inlineStr">
        <is>
          <t>High</t>
        </is>
      </c>
      <c r="W54" s="5" t="inlineStr">
        <is>
          <t>Multi-site retailer; Independent retailer; Core relevant category; Active website; Social presence</t>
        </is>
      </c>
      <c r="X54" s="5" t="inlineStr">
        <is>
          <t>Verified directory</t>
        </is>
      </c>
      <c r="Y54" s="5" t="inlineStr">
        <is>
          <t>Website Found</t>
        </is>
      </c>
      <c r="Z54" s="5" t="inlineStr">
        <is>
          <t>Medium</t>
        </is>
      </c>
      <c r="AA54" s="5" t="inlineStr">
        <is>
          <t>Requires Verification</t>
        </is>
      </c>
      <c r="AB54" s="5" t="inlineStr">
        <is>
          <t>https://directory.gazettelive.co.uk/company/38099bbaff0399ea2ed5ae56d12efd2e</t>
        </is>
      </c>
    </row>
    <row r="55">
      <c r="A55" s="10" t="inlineStr">
        <is>
          <t>UK-000449</t>
        </is>
      </c>
      <c r="B55" s="10" t="inlineStr">
        <is>
          <t>VJVAPOURS-01</t>
        </is>
      </c>
      <c r="C55" s="10" t="inlineStr">
        <is>
          <t>VJ Vapours</t>
        </is>
      </c>
      <c r="D55" s="10" t="inlineStr">
        <is>
          <t>VJ Vapours</t>
        </is>
      </c>
      <c r="E55" s="10" t="inlineStr">
        <is>
          <t>Vape Shop</t>
        </is>
      </c>
      <c r="F55" s="10" t="inlineStr">
        <is>
          <t>Disposables &amp; nic pouches</t>
        </is>
      </c>
      <c r="G55" s="10" t="inlineStr">
        <is>
          <t>Multi-Site Independent</t>
        </is>
      </c>
      <c r="H55" s="10" t="inlineStr">
        <is>
          <t>2</t>
        </is>
      </c>
      <c r="I55" s="10" t="inlineStr">
        <is>
          <t>40 Bridge Street</t>
        </is>
      </c>
      <c r="J55" s="10" t="inlineStr">
        <is>
          <t>Walsall</t>
        </is>
      </c>
      <c r="K55" s="10" t="inlineStr">
        <is>
          <t>WS1 1HR</t>
        </is>
      </c>
      <c r="L55" s="10" t="inlineStr"/>
      <c r="M55" s="10" t="inlineStr"/>
      <c r="N55" s="10" t="inlineStr"/>
      <c r="O55" s="10" t="inlineStr">
        <is>
          <t>https://vjvapours.com/</t>
        </is>
      </c>
      <c r="P55" s="10" t="inlineStr"/>
      <c r="Q55" s="10" t="inlineStr"/>
      <c r="R55" s="10" t="inlineStr"/>
      <c r="S55" s="10" t="inlineStr"/>
      <c r="T55" s="10" t="inlineStr"/>
      <c r="U55" s="10" t="inlineStr"/>
      <c r="V55" s="10" t="inlineStr">
        <is>
          <t>High</t>
        </is>
      </c>
      <c r="W55" s="10" t="inlineStr">
        <is>
          <t>Multi-site retailer; Independent retailer; Core relevant category; Active website</t>
        </is>
      </c>
      <c r="X55" s="10" t="inlineStr">
        <is>
          <t>Not Found</t>
        </is>
      </c>
      <c r="Y55" s="10" t="inlineStr">
        <is>
          <t>Website Found</t>
        </is>
      </c>
      <c r="Z55" s="10" t="inlineStr">
        <is>
          <t>Medium</t>
        </is>
      </c>
      <c r="AA55" s="10" t="inlineStr">
        <is>
          <t>Partially Verified</t>
        </is>
      </c>
      <c r="AB55" s="10" t="inlineStr">
        <is>
          <t>https://vjvapours.com/</t>
        </is>
      </c>
    </row>
    <row r="56">
      <c r="A56" s="5" t="inlineStr">
        <is>
          <t>UK-000729</t>
        </is>
      </c>
      <c r="B56" s="5" t="inlineStr">
        <is>
          <t>VPZ-01</t>
        </is>
      </c>
      <c r="C56" s="5" t="inlineStr">
        <is>
          <t>VPZ</t>
        </is>
      </c>
      <c r="D56" s="5" t="inlineStr">
        <is>
          <t>VPZ Bathgate</t>
        </is>
      </c>
      <c r="E56" s="5" t="inlineStr">
        <is>
          <t>Vape Shop</t>
        </is>
      </c>
      <c r="F56" s="5" t="inlineStr">
        <is>
          <t>Vape kits, e-liquids &amp; disposables</t>
        </is>
      </c>
      <c r="G56" s="5" t="inlineStr">
        <is>
          <t>Regional Chain</t>
        </is>
      </c>
      <c r="H56" s="5" t="inlineStr">
        <is>
          <t>1</t>
        </is>
      </c>
      <c r="I56" s="5" t="inlineStr">
        <is>
          <t>South Mid Street</t>
        </is>
      </c>
      <c r="J56" s="5" t="inlineStr">
        <is>
          <t>Bathgate</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Core relevant category</t>
        </is>
      </c>
      <c r="X56" s="5" t="inlineStr">
        <is>
          <t>Not Found</t>
        </is>
      </c>
      <c r="Y56" s="5" t="inlineStr">
        <is>
          <t>Not Found</t>
        </is>
      </c>
      <c r="Z56" s="5" t="inlineStr">
        <is>
          <t>Low</t>
        </is>
      </c>
      <c r="AA56" s="5" t="inlineStr">
        <is>
          <t>Requires Verification</t>
        </is>
      </c>
      <c r="AB56" s="5" t="inlineStr">
        <is>
          <t>https://bathgate.cylex-uk.co.uk/company/vpz-26787205.html</t>
        </is>
      </c>
    </row>
    <row r="57">
      <c r="A57" s="10" t="inlineStr">
        <is>
          <t>UK-000730</t>
        </is>
      </c>
      <c r="B57" s="10" t="inlineStr">
        <is>
          <t>VPZ-02</t>
        </is>
      </c>
      <c r="C57" s="10" t="inlineStr">
        <is>
          <t>VPZ</t>
        </is>
      </c>
      <c r="D57" s="10" t="inlineStr">
        <is>
          <t>VPZ Clydebank</t>
        </is>
      </c>
      <c r="E57" s="10" t="inlineStr">
        <is>
          <t>Vape Shop</t>
        </is>
      </c>
      <c r="F57" s="10" t="inlineStr">
        <is>
          <t>Vape retail chain store</t>
        </is>
      </c>
      <c r="G57" s="10" t="inlineStr">
        <is>
          <t>National Chain</t>
        </is>
      </c>
      <c r="H57" s="10" t="inlineStr">
        <is>
          <t>1</t>
        </is>
      </c>
      <c r="I57" s="10" t="inlineStr">
        <is>
          <t>17 Sylvania Way South</t>
        </is>
      </c>
      <c r="J57" s="10" t="inlineStr">
        <is>
          <t>Clydebank</t>
        </is>
      </c>
      <c r="K57" s="10" t="inlineStr">
        <is>
          <t>G81 1EA</t>
        </is>
      </c>
      <c r="L57" s="10" t="inlineStr">
        <is>
          <t>0141 230 1996</t>
        </is>
      </c>
      <c r="M57" s="10" t="inlineStr"/>
      <c r="N57" s="10" t="inlineStr"/>
      <c r="O57" s="10" t="inlineStr">
        <is>
          <t>https://www.vpz.co.uk/</t>
        </is>
      </c>
      <c r="P57" s="10" t="inlineStr"/>
      <c r="Q57" s="10" t="inlineStr"/>
      <c r="R57" s="10" t="inlineStr"/>
      <c r="S57" s="10" t="inlineStr"/>
      <c r="T57" s="10" t="inlineStr"/>
      <c r="U57" s="10" t="inlineStr"/>
      <c r="V57" s="10" t="inlineStr">
        <is>
          <t>Medium</t>
        </is>
      </c>
      <c r="W57" s="10" t="inlineStr">
        <is>
          <t>Multi-site retailer; Core relevant category; Active website</t>
        </is>
      </c>
      <c r="X57" s="10" t="inlineStr">
        <is>
          <t>Verified directory</t>
        </is>
      </c>
      <c r="Y57" s="10" t="inlineStr">
        <is>
          <t>Website Found</t>
        </is>
      </c>
      <c r="Z57" s="10" t="inlineStr">
        <is>
          <t>Medium</t>
        </is>
      </c>
      <c r="AA57" s="10" t="inlineStr">
        <is>
          <t>Requires Verification</t>
        </is>
      </c>
      <c r="AB57" s="10" t="inlineStr">
        <is>
          <t>https://www.vpz.co.uk/stores/l/clydebank/17-sylvania-way-south/6168779</t>
        </is>
      </c>
    </row>
    <row r="58">
      <c r="A58" s="5" t="inlineStr">
        <is>
          <t>UK-000731</t>
        </is>
      </c>
      <c r="B58" s="5" t="inlineStr">
        <is>
          <t>VPZ-03</t>
        </is>
      </c>
      <c r="C58" s="5" t="inlineStr">
        <is>
          <t>VPZ</t>
        </is>
      </c>
      <c r="D58" s="5" t="inlineStr">
        <is>
          <t>VPZ Dunfermline</t>
        </is>
      </c>
      <c r="E58" s="5" t="inlineStr">
        <is>
          <t>Vape Shop</t>
        </is>
      </c>
      <c r="F58" s="5" t="inlineStr">
        <is>
          <t>Vape kits, e-liquids &amp; disposables</t>
        </is>
      </c>
      <c r="G58" s="5" t="inlineStr">
        <is>
          <t>Regional Chain</t>
        </is>
      </c>
      <c r="H58" s="5" t="inlineStr">
        <is>
          <t>1</t>
        </is>
      </c>
      <c r="I58" s="5" t="inlineStr">
        <is>
          <t>36-38 East Port</t>
        </is>
      </c>
      <c r="J58" s="5" t="inlineStr">
        <is>
          <t>Dunfermline</t>
        </is>
      </c>
      <c r="K58" s="5" t="inlineStr">
        <is>
          <t>KY12 7JB</t>
        </is>
      </c>
      <c r="L58" s="5" t="inlineStr">
        <is>
          <t>01383 871778</t>
        </is>
      </c>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Verified directory</t>
        </is>
      </c>
      <c r="Y58" s="5" t="inlineStr">
        <is>
          <t>Not Found</t>
        </is>
      </c>
      <c r="Z58" s="5" t="inlineStr">
        <is>
          <t>Medium</t>
        </is>
      </c>
      <c r="AA58" s="5" t="inlineStr">
        <is>
          <t>Requires Verification</t>
        </is>
      </c>
      <c r="AB58" s="5" t="inlineStr">
        <is>
          <t>https://dunfermline.cylex-uk.co.uk/company/vpz-26787208.html</t>
        </is>
      </c>
    </row>
    <row r="59">
      <c r="A59" s="10" t="inlineStr">
        <is>
          <t>UK-000732</t>
        </is>
      </c>
      <c r="B59" s="10" t="inlineStr">
        <is>
          <t>VPZ-04</t>
        </is>
      </c>
      <c r="C59" s="10" t="inlineStr">
        <is>
          <t>VPZ</t>
        </is>
      </c>
      <c r="D59" s="10" t="inlineStr">
        <is>
          <t>VPZ East Kilbride</t>
        </is>
      </c>
      <c r="E59" s="10" t="inlineStr">
        <is>
          <t>Vape Shop</t>
        </is>
      </c>
      <c r="F59" s="10" t="inlineStr">
        <is>
          <t>Vape retail chain store</t>
        </is>
      </c>
      <c r="G59" s="10" t="inlineStr">
        <is>
          <t>National Chain</t>
        </is>
      </c>
      <c r="H59" s="10" t="inlineStr">
        <is>
          <t>1</t>
        </is>
      </c>
      <c r="I59" s="10" t="inlineStr">
        <is>
          <t>Unit 27, Princes Mall</t>
        </is>
      </c>
      <c r="J59" s="10" t="inlineStr">
        <is>
          <t>East Kilbride</t>
        </is>
      </c>
      <c r="K59" s="10" t="inlineStr">
        <is>
          <t>G74 1LJ</t>
        </is>
      </c>
      <c r="L59" s="10" t="inlineStr">
        <is>
          <t>01355 231707</t>
        </is>
      </c>
      <c r="M59" s="10" t="inlineStr"/>
      <c r="N59" s="10" t="inlineStr"/>
      <c r="O59" s="10" t="inlineStr">
        <is>
          <t>https://www.vpz.co.uk/</t>
        </is>
      </c>
      <c r="P59" s="10" t="inlineStr"/>
      <c r="Q59" s="10" t="inlineStr"/>
      <c r="R59" s="10" t="inlineStr"/>
      <c r="S59" s="10" t="inlineStr"/>
      <c r="T59" s="10" t="inlineStr"/>
      <c r="U59" s="10" t="inlineStr"/>
      <c r="V59" s="10" t="inlineStr">
        <is>
          <t>Medium</t>
        </is>
      </c>
      <c r="W59" s="10" t="inlineStr">
        <is>
          <t>Multi-site retailer; Core relevant category; Active website</t>
        </is>
      </c>
      <c r="X59" s="10" t="inlineStr">
        <is>
          <t>Verified directory</t>
        </is>
      </c>
      <c r="Y59" s="10" t="inlineStr">
        <is>
          <t>Website Found</t>
        </is>
      </c>
      <c r="Z59" s="10" t="inlineStr">
        <is>
          <t>Medium</t>
        </is>
      </c>
      <c r="AA59" s="10" t="inlineStr">
        <is>
          <t>Requires Verification</t>
        </is>
      </c>
      <c r="AB59" s="10" t="inlineStr">
        <is>
          <t>https://www.vpz.co.uk/stores/l/east-kilbride/princes-mall/6168648</t>
        </is>
      </c>
    </row>
    <row r="60">
      <c r="A60" s="5" t="inlineStr">
        <is>
          <t>UK-000733</t>
        </is>
      </c>
      <c r="B60" s="5" t="inlineStr">
        <is>
          <t>VPZ-05</t>
        </is>
      </c>
      <c r="C60" s="5" t="inlineStr">
        <is>
          <t>VPZ</t>
        </is>
      </c>
      <c r="D60" s="5" t="inlineStr">
        <is>
          <t>VPZ Grangemouth</t>
        </is>
      </c>
      <c r="E60" s="5" t="inlineStr">
        <is>
          <t>Vape Shop</t>
        </is>
      </c>
      <c r="F60" s="5" t="inlineStr">
        <is>
          <t>Vape kits, e-liquids &amp; disposables</t>
        </is>
      </c>
      <c r="G60" s="5" t="inlineStr">
        <is>
          <t>Regional Chain</t>
        </is>
      </c>
      <c r="H60" s="5" t="inlineStr">
        <is>
          <t>1</t>
        </is>
      </c>
      <c r="I60" s="5" t="inlineStr">
        <is>
          <t>19 La Porte Precinct</t>
        </is>
      </c>
      <c r="J60" s="5" t="inlineStr">
        <is>
          <t>Grangemouth</t>
        </is>
      </c>
      <c r="K60" s="5" t="inlineStr">
        <is>
          <t>FK3 8AZ</t>
        </is>
      </c>
      <c r="L60" s="5" t="inlineStr">
        <is>
          <t>01324 473182</t>
        </is>
      </c>
      <c r="M60" s="5" t="inlineStr"/>
      <c r="N60" s="5" t="inlineStr"/>
      <c r="O60" s="5" t="inlineStr"/>
      <c r="P60" s="5" t="inlineStr"/>
      <c r="Q60" s="5" t="inlineStr"/>
      <c r="R60" s="5" t="inlineStr"/>
      <c r="S60" s="5" t="inlineStr"/>
      <c r="T60" s="5" t="inlineStr"/>
      <c r="U60" s="5" t="inlineStr"/>
      <c r="V60" s="5" t="inlineStr">
        <is>
          <t>Medium</t>
        </is>
      </c>
      <c r="W60" s="5" t="inlineStr">
        <is>
          <t>Multi-site retailer; Core relevant category</t>
        </is>
      </c>
      <c r="X60" s="5" t="inlineStr">
        <is>
          <t>Verified directory</t>
        </is>
      </c>
      <c r="Y60" s="5" t="inlineStr">
        <is>
          <t>Not Found</t>
        </is>
      </c>
      <c r="Z60" s="5" t="inlineStr">
        <is>
          <t>Medium</t>
        </is>
      </c>
      <c r="AA60" s="5" t="inlineStr">
        <is>
          <t>Requires Verification</t>
        </is>
      </c>
      <c r="AB60" s="5" t="inlineStr">
        <is>
          <t>https://grangemouth.cylex-uk.co.uk/company/vpz-26862956.html</t>
        </is>
      </c>
    </row>
    <row r="61">
      <c r="A61" s="10" t="inlineStr">
        <is>
          <t>UK-000734</t>
        </is>
      </c>
      <c r="B61" s="10" t="inlineStr">
        <is>
          <t>VPZ-06</t>
        </is>
      </c>
      <c r="C61" s="10" t="inlineStr">
        <is>
          <t>VPZ</t>
        </is>
      </c>
      <c r="D61" s="10" t="inlineStr">
        <is>
          <t>VPZ Hamilton</t>
        </is>
      </c>
      <c r="E61" s="10" t="inlineStr">
        <is>
          <t>Vape Shop</t>
        </is>
      </c>
      <c r="F61" s="10" t="inlineStr">
        <is>
          <t>Vape retail chain store</t>
        </is>
      </c>
      <c r="G61" s="10" t="inlineStr">
        <is>
          <t>National Chain</t>
        </is>
      </c>
      <c r="H61" s="10" t="inlineStr">
        <is>
          <t>1</t>
        </is>
      </c>
      <c r="I61" s="10" t="inlineStr">
        <is>
          <t>62-64 Quarry Street</t>
        </is>
      </c>
      <c r="J61" s="10" t="inlineStr">
        <is>
          <t>Hamilton</t>
        </is>
      </c>
      <c r="K61" s="10" t="inlineStr">
        <is>
          <t>ML3 7AU</t>
        </is>
      </c>
      <c r="L61" s="10" t="inlineStr">
        <is>
          <t>01698 423137</t>
        </is>
      </c>
      <c r="M61" s="10" t="inlineStr"/>
      <c r="N61" s="10" t="inlineStr"/>
      <c r="O61" s="10" t="inlineStr">
        <is>
          <t>https://www.vpz.co.uk/</t>
        </is>
      </c>
      <c r="P61" s="10" t="inlineStr"/>
      <c r="Q61" s="10" t="inlineStr"/>
      <c r="R61" s="10" t="inlineStr"/>
      <c r="S61" s="10" t="inlineStr"/>
      <c r="T61" s="10" t="inlineStr"/>
      <c r="U61" s="10" t="inlineStr"/>
      <c r="V61" s="10" t="inlineStr">
        <is>
          <t>Medium</t>
        </is>
      </c>
      <c r="W61" s="10" t="inlineStr">
        <is>
          <t>Multi-site retailer; Core relevant category; Active website</t>
        </is>
      </c>
      <c r="X61" s="10" t="inlineStr">
        <is>
          <t>Verified directory</t>
        </is>
      </c>
      <c r="Y61" s="10" t="inlineStr">
        <is>
          <t>Website Found</t>
        </is>
      </c>
      <c r="Z61" s="10" t="inlineStr">
        <is>
          <t>Medium</t>
        </is>
      </c>
      <c r="AA61" s="10" t="inlineStr">
        <is>
          <t>Requires Verification</t>
        </is>
      </c>
      <c r="AB61" s="10" t="inlineStr">
        <is>
          <t>https://firmania.co.uk/hamilton-south-lanarkshire/vpz-2713256</t>
        </is>
      </c>
    </row>
    <row r="62">
      <c r="A62" s="5" t="inlineStr">
        <is>
          <t>UK-000735</t>
        </is>
      </c>
      <c r="B62" s="5" t="inlineStr">
        <is>
          <t>VPZ-07</t>
        </is>
      </c>
      <c r="C62" s="5" t="inlineStr">
        <is>
          <t>VPZ</t>
        </is>
      </c>
      <c r="D62" s="5" t="inlineStr">
        <is>
          <t>VPZ Kirkcaldy</t>
        </is>
      </c>
      <c r="E62" s="5" t="inlineStr">
        <is>
          <t>Vape Shop</t>
        </is>
      </c>
      <c r="F62" s="5" t="inlineStr">
        <is>
          <t>Vape kits, e-liquids &amp; disposables</t>
        </is>
      </c>
      <c r="G62" s="5" t="inlineStr">
        <is>
          <t>Regional Chain</t>
        </is>
      </c>
      <c r="H62" s="5" t="inlineStr">
        <is>
          <t>1</t>
        </is>
      </c>
      <c r="I62" s="5" t="inlineStr">
        <is>
          <t>High Street</t>
        </is>
      </c>
      <c r="J62" s="5" t="inlineStr">
        <is>
          <t>Kirkcaldy</t>
        </is>
      </c>
      <c r="K62" s="5" t="inlineStr"/>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Core relevant category</t>
        </is>
      </c>
      <c r="X62" s="5" t="inlineStr">
        <is>
          <t>Not Found</t>
        </is>
      </c>
      <c r="Y62" s="5" t="inlineStr">
        <is>
          <t>Not Found</t>
        </is>
      </c>
      <c r="Z62" s="5" t="inlineStr">
        <is>
          <t>Low</t>
        </is>
      </c>
      <c r="AA62" s="5" t="inlineStr">
        <is>
          <t>Requires Verification</t>
        </is>
      </c>
      <c r="AB62" s="5" t="inlineStr">
        <is>
          <t>https://kirkcaldy.cylex-uk.co.uk/company/vpz-the-vaping-specialist-27217596.html</t>
        </is>
      </c>
    </row>
    <row r="63">
      <c r="A63" s="10" t="inlineStr">
        <is>
          <t>UK-000736</t>
        </is>
      </c>
      <c r="B63" s="10" t="inlineStr">
        <is>
          <t>VPZ-08</t>
        </is>
      </c>
      <c r="C63" s="10" t="inlineStr">
        <is>
          <t>VPZ</t>
        </is>
      </c>
      <c r="D63" s="10" t="inlineStr">
        <is>
          <t>VPZ Leith Walk</t>
        </is>
      </c>
      <c r="E63" s="10" t="inlineStr">
        <is>
          <t>Vape Shop</t>
        </is>
      </c>
      <c r="F63" s="10" t="inlineStr">
        <is>
          <t>Vape kits, e-liquids &amp; disposables</t>
        </is>
      </c>
      <c r="G63" s="10" t="inlineStr">
        <is>
          <t>Regional Chain</t>
        </is>
      </c>
      <c r="H63" s="10" t="inlineStr">
        <is>
          <t>1</t>
        </is>
      </c>
      <c r="I63" s="10" t="inlineStr">
        <is>
          <t>6a Middlefield</t>
        </is>
      </c>
      <c r="J63" s="10" t="inlineStr">
        <is>
          <t>Edinburgh</t>
        </is>
      </c>
      <c r="K63" s="10" t="inlineStr">
        <is>
          <t>EH7 4PF</t>
        </is>
      </c>
      <c r="L63" s="10" t="inlineStr">
        <is>
          <t>0131 561 1300</t>
        </is>
      </c>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Core relevant category</t>
        </is>
      </c>
      <c r="X63" s="10" t="inlineStr">
        <is>
          <t>Verified directory</t>
        </is>
      </c>
      <c r="Y63" s="10" t="inlineStr">
        <is>
          <t>Not Found</t>
        </is>
      </c>
      <c r="Z63" s="10" t="inlineStr">
        <is>
          <t>Medium</t>
        </is>
      </c>
      <c r="AA63" s="10" t="inlineStr">
        <is>
          <t>Requires Verification</t>
        </is>
      </c>
      <c r="AB63" s="10" t="inlineStr">
        <is>
          <t>https://www.yell.com/s/vape+shops-leith.html</t>
        </is>
      </c>
    </row>
    <row r="64">
      <c r="A64" s="5" t="inlineStr">
        <is>
          <t>UK-000737</t>
        </is>
      </c>
      <c r="B64" s="5" t="inlineStr">
        <is>
          <t>VPZ-09</t>
        </is>
      </c>
      <c r="C64" s="5" t="inlineStr">
        <is>
          <t>VPZ</t>
        </is>
      </c>
      <c r="D64" s="5" t="inlineStr">
        <is>
          <t>VPZ Livingston</t>
        </is>
      </c>
      <c r="E64" s="5" t="inlineStr">
        <is>
          <t>Vape Shop</t>
        </is>
      </c>
      <c r="F64" s="5" t="inlineStr">
        <is>
          <t>Vape kits, e-liquids &amp; disposables</t>
        </is>
      </c>
      <c r="G64" s="5" t="inlineStr">
        <is>
          <t>Regional Chain</t>
        </is>
      </c>
      <c r="H64" s="5" t="inlineStr">
        <is>
          <t>1</t>
        </is>
      </c>
      <c r="I64" s="5" t="inlineStr">
        <is>
          <t>Almondvale South</t>
        </is>
      </c>
      <c r="J64" s="5" t="inlineStr">
        <is>
          <t>Livingston</t>
        </is>
      </c>
      <c r="K64" s="5" t="inlineStr"/>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Core relevant category</t>
        </is>
      </c>
      <c r="X64" s="5" t="inlineStr">
        <is>
          <t>Not Found</t>
        </is>
      </c>
      <c r="Y64" s="5" t="inlineStr">
        <is>
          <t>Not Found</t>
        </is>
      </c>
      <c r="Z64" s="5" t="inlineStr">
        <is>
          <t>Low</t>
        </is>
      </c>
      <c r="AA64" s="5" t="inlineStr">
        <is>
          <t>Requires Verification</t>
        </is>
      </c>
      <c r="AB64" s="5" t="inlineStr">
        <is>
          <t>https://livingston.cylex-uk.co.uk/company/vpz-23906128.html</t>
        </is>
      </c>
    </row>
    <row r="65">
      <c r="A65" s="10" t="inlineStr">
        <is>
          <t>UK-000738</t>
        </is>
      </c>
      <c r="B65" s="10" t="inlineStr">
        <is>
          <t>VPZ-10</t>
        </is>
      </c>
      <c r="C65" s="10" t="inlineStr">
        <is>
          <t>VPZ</t>
        </is>
      </c>
      <c r="D65" s="10" t="inlineStr">
        <is>
          <t>VPZ Motherwell</t>
        </is>
      </c>
      <c r="E65" s="10" t="inlineStr">
        <is>
          <t>Vape Shop</t>
        </is>
      </c>
      <c r="F65" s="10" t="inlineStr">
        <is>
          <t>Vape retail chain store</t>
        </is>
      </c>
      <c r="G65" s="10" t="inlineStr">
        <is>
          <t>National Chain</t>
        </is>
      </c>
      <c r="H65" s="10" t="inlineStr">
        <is>
          <t>1</t>
        </is>
      </c>
      <c r="I65" s="10" t="inlineStr">
        <is>
          <t>11 Brandon Parade South</t>
        </is>
      </c>
      <c r="J65" s="10" t="inlineStr">
        <is>
          <t>Motherwell</t>
        </is>
      </c>
      <c r="K65" s="10" t="inlineStr">
        <is>
          <t>ML1 1RB</t>
        </is>
      </c>
      <c r="L65" s="10" t="inlineStr">
        <is>
          <t>01698 265111</t>
        </is>
      </c>
      <c r="M65" s="10" t="inlineStr"/>
      <c r="N65" s="10" t="inlineStr"/>
      <c r="O65" s="10" t="inlineStr">
        <is>
          <t>https://www.vpz.co.uk/</t>
        </is>
      </c>
      <c r="P65" s="10" t="inlineStr"/>
      <c r="Q65" s="10" t="inlineStr"/>
      <c r="R65" s="10" t="inlineStr"/>
      <c r="S65" s="10" t="inlineStr"/>
      <c r="T65" s="10" t="inlineStr"/>
      <c r="U65" s="10" t="inlineStr"/>
      <c r="V65" s="10" t="inlineStr">
        <is>
          <t>Medium</t>
        </is>
      </c>
      <c r="W65" s="10" t="inlineStr">
        <is>
          <t>Multi-site retailer; Core relevant category; Active website</t>
        </is>
      </c>
      <c r="X65" s="10" t="inlineStr">
        <is>
          <t>Verified directory</t>
        </is>
      </c>
      <c r="Y65" s="10" t="inlineStr">
        <is>
          <t>Website Found</t>
        </is>
      </c>
      <c r="Z65" s="10" t="inlineStr">
        <is>
          <t>Medium</t>
        </is>
      </c>
      <c r="AA65" s="10" t="inlineStr">
        <is>
          <t>Requires Verification</t>
        </is>
      </c>
      <c r="AB65" s="10" t="inlineStr">
        <is>
          <t>https://m.yelp.com/c/motherwell-north-lanarkshire-gb/vapeshops</t>
        </is>
      </c>
    </row>
    <row r="66">
      <c r="A66" s="5" t="inlineStr">
        <is>
          <t>UK-000739</t>
        </is>
      </c>
      <c r="B66" s="5" t="inlineStr">
        <is>
          <t>VPZ-11</t>
        </is>
      </c>
      <c r="C66" s="5" t="inlineStr">
        <is>
          <t>VPZ</t>
        </is>
      </c>
      <c r="D66" s="5" t="inlineStr">
        <is>
          <t>VPZ Paisley</t>
        </is>
      </c>
      <c r="E66" s="5" t="inlineStr">
        <is>
          <t>Vape Shop</t>
        </is>
      </c>
      <c r="F66" s="5" t="inlineStr">
        <is>
          <t>Vape retail chain store</t>
        </is>
      </c>
      <c r="G66" s="5" t="inlineStr">
        <is>
          <t>National Chain</t>
        </is>
      </c>
      <c r="H66" s="5" t="inlineStr">
        <is>
          <t>1</t>
        </is>
      </c>
      <c r="I66" s="5" t="inlineStr">
        <is>
          <t>Unit 3, 4 High Street</t>
        </is>
      </c>
      <c r="J66" s="5" t="inlineStr">
        <is>
          <t>Paisley</t>
        </is>
      </c>
      <c r="K66" s="5" t="inlineStr">
        <is>
          <t>PA1 2YA</t>
        </is>
      </c>
      <c r="L66" s="5" t="inlineStr">
        <is>
          <t>0141 889 3463</t>
        </is>
      </c>
      <c r="M66" s="5" t="inlineStr"/>
      <c r="N66" s="5" t="inlineStr"/>
      <c r="O66" s="5" t="inlineStr">
        <is>
          <t>https://www.vpz.co.uk/</t>
        </is>
      </c>
      <c r="P66" s="5" t="inlineStr"/>
      <c r="Q66" s="5" t="inlineStr"/>
      <c r="R66" s="5" t="inlineStr"/>
      <c r="S66" s="5" t="inlineStr"/>
      <c r="T66" s="5" t="inlineStr"/>
      <c r="U66" s="5" t="inlineStr"/>
      <c r="V66" s="5" t="inlineStr">
        <is>
          <t>Medium</t>
        </is>
      </c>
      <c r="W66" s="5" t="inlineStr">
        <is>
          <t>Multi-site retailer; Core relevant category; Active website</t>
        </is>
      </c>
      <c r="X66" s="5" t="inlineStr">
        <is>
          <t>Verified directory</t>
        </is>
      </c>
      <c r="Y66" s="5" t="inlineStr">
        <is>
          <t>Website Found</t>
        </is>
      </c>
      <c r="Z66" s="5" t="inlineStr">
        <is>
          <t>Medium</t>
        </is>
      </c>
      <c r="AA66" s="5" t="inlineStr">
        <is>
          <t>Requires Verification</t>
        </is>
      </c>
      <c r="AB66" s="5" t="inlineStr">
        <is>
          <t>https://m.yelp.com/biz/vpz-paisley-2</t>
        </is>
      </c>
    </row>
    <row r="67">
      <c r="A67" s="10" t="inlineStr">
        <is>
          <t>UK-000740</t>
        </is>
      </c>
      <c r="B67" s="10" t="inlineStr">
        <is>
          <t>VPZ-12</t>
        </is>
      </c>
      <c r="C67" s="10" t="inlineStr">
        <is>
          <t>VPZ</t>
        </is>
      </c>
      <c r="D67" s="10" t="inlineStr">
        <is>
          <t>VPZ Wishaw</t>
        </is>
      </c>
      <c r="E67" s="10" t="inlineStr">
        <is>
          <t>Vape Shop</t>
        </is>
      </c>
      <c r="F67" s="10" t="inlineStr">
        <is>
          <t>Vape retail chain store</t>
        </is>
      </c>
      <c r="G67" s="10" t="inlineStr">
        <is>
          <t>National Chain</t>
        </is>
      </c>
      <c r="H67" s="10" t="inlineStr">
        <is>
          <t>1</t>
        </is>
      </c>
      <c r="I67" s="10" t="inlineStr">
        <is>
          <t>15 Main Street</t>
        </is>
      </c>
      <c r="J67" s="10" t="inlineStr">
        <is>
          <t>Wishaw</t>
        </is>
      </c>
      <c r="K67" s="10" t="inlineStr">
        <is>
          <t>ML2 7AF</t>
        </is>
      </c>
      <c r="L67" s="10" t="inlineStr">
        <is>
          <t>01698 355102</t>
        </is>
      </c>
      <c r="M67" s="10" t="inlineStr"/>
      <c r="N67" s="10" t="inlineStr"/>
      <c r="O67" s="10" t="inlineStr">
        <is>
          <t>https://www.vpz.co.uk/</t>
        </is>
      </c>
      <c r="P67" s="10" t="inlineStr"/>
      <c r="Q67" s="10" t="inlineStr"/>
      <c r="R67" s="10" t="inlineStr"/>
      <c r="S67" s="10" t="inlineStr"/>
      <c r="T67" s="10" t="inlineStr"/>
      <c r="U67" s="10" t="inlineStr"/>
      <c r="V67" s="10" t="inlineStr">
        <is>
          <t>Medium</t>
        </is>
      </c>
      <c r="W67" s="10" t="inlineStr">
        <is>
          <t>Multi-site retailer; Core relevant category; Active website</t>
        </is>
      </c>
      <c r="X67" s="10" t="inlineStr">
        <is>
          <t>Verified directory</t>
        </is>
      </c>
      <c r="Y67" s="10" t="inlineStr">
        <is>
          <t>Website Found</t>
        </is>
      </c>
      <c r="Z67" s="10" t="inlineStr">
        <is>
          <t>Medium</t>
        </is>
      </c>
      <c r="AA67" s="10" t="inlineStr">
        <is>
          <t>Requires Verification</t>
        </is>
      </c>
      <c r="AB67" s="10" t="inlineStr">
        <is>
          <t>https://wishaw-north-lanarkshire.cylex-uk.co.uk/vape-shops/</t>
        </is>
      </c>
    </row>
    <row r="68">
      <c r="A68" s="5" t="inlineStr">
        <is>
          <t>UK-000741</t>
        </is>
      </c>
      <c r="B68" s="5" t="inlineStr">
        <is>
          <t>VAPABLE-01</t>
        </is>
      </c>
      <c r="C68" s="5" t="inlineStr">
        <is>
          <t>Vapable</t>
        </is>
      </c>
      <c r="D68" s="5" t="inlineStr">
        <is>
          <t>Vapable Southport</t>
        </is>
      </c>
      <c r="E68" s="5" t="inlineStr">
        <is>
          <t>Vape Shop</t>
        </is>
      </c>
      <c r="F68" s="5" t="inlineStr">
        <is>
          <t>E-cig and e-liquid shop</t>
        </is>
      </c>
      <c r="G68" s="5" t="inlineStr">
        <is>
          <t>Independent</t>
        </is>
      </c>
      <c r="H68" s="5" t="inlineStr">
        <is>
          <t>1</t>
        </is>
      </c>
      <c r="I68" s="5" t="inlineStr"/>
      <c r="J68" s="5" t="inlineStr">
        <is>
          <t>Southport</t>
        </is>
      </c>
      <c r="K68" s="5" t="inlineStr"/>
      <c r="L68" s="5" t="inlineStr">
        <is>
          <t>01704 222999</t>
        </is>
      </c>
      <c r="M68" s="5" t="inlineStr"/>
      <c r="N68" s="5" t="inlineStr"/>
      <c r="O68" s="5" t="inlineStr">
        <is>
          <t>https://vapable.com/southport-vape-shop/</t>
        </is>
      </c>
      <c r="P68" s="5" t="inlineStr"/>
      <c r="Q68" s="5" t="inlineStr"/>
      <c r="R68" s="5" t="inlineStr"/>
      <c r="S68" s="5" t="inlineStr"/>
      <c r="T68" s="5" t="inlineStr"/>
      <c r="U68" s="5" t="inlineStr"/>
      <c r="V68" s="5" t="inlineStr">
        <is>
          <t>High</t>
        </is>
      </c>
      <c r="W68" s="5" t="inlineStr">
        <is>
          <t>Multi-site retailer; Independent retailer; Core relevant category; Active website; Phone verified on official website</t>
        </is>
      </c>
      <c r="X68" s="5" t="inlineStr">
        <is>
          <t>Verified on official website</t>
        </is>
      </c>
      <c r="Y68" s="5" t="inlineStr">
        <is>
          <t>Website Found</t>
        </is>
      </c>
      <c r="Z68" s="5" t="inlineStr">
        <is>
          <t>Low</t>
        </is>
      </c>
      <c r="AA68" s="5" t="inlineStr">
        <is>
          <t>Requires Verification</t>
        </is>
      </c>
      <c r="AB68" s="5" t="inlineStr">
        <is>
          <t>https://vapable.com/southport-vape-shop/</t>
        </is>
      </c>
    </row>
    <row r="69">
      <c r="A69" s="10" t="inlineStr">
        <is>
          <t>WY-0036</t>
        </is>
      </c>
      <c r="B69" s="10" t="inlineStr">
        <is>
          <t>VAPARAMA-01</t>
        </is>
      </c>
      <c r="C69" s="10" t="inlineStr">
        <is>
          <t>Vaparama</t>
        </is>
      </c>
      <c r="D69" s="10" t="inlineStr">
        <is>
          <t>Vaparama (Featherstone)</t>
        </is>
      </c>
      <c r="E69" s="10" t="inlineStr">
        <is>
          <t>Vape Shop</t>
        </is>
      </c>
      <c r="F69" s="10" t="inlineStr">
        <is>
          <t>E-liquid specialist / vape retailer</t>
        </is>
      </c>
      <c r="G69" s="10" t="inlineStr">
        <is>
          <t>Regional Chain</t>
        </is>
      </c>
      <c r="H69" s="10" t="inlineStr">
        <is>
          <t>7</t>
        </is>
      </c>
      <c r="I69" s="10" t="inlineStr">
        <is>
          <t>73-75 Station Lane</t>
        </is>
      </c>
      <c r="J69" s="10" t="inlineStr">
        <is>
          <t>Featherstone</t>
        </is>
      </c>
      <c r="K69" s="10" t="inlineStr">
        <is>
          <t>WF7 5BJ</t>
        </is>
      </c>
      <c r="L69" s="10" t="inlineStr"/>
      <c r="M69" s="10" t="inlineStr"/>
      <c r="N69" s="10" t="inlineStr">
        <is>
          <t>shop@vaparama.co.uk</t>
        </is>
      </c>
      <c r="O69" s="10" t="inlineStr">
        <is>
          <t>https://www.vaparama.co.uk</t>
        </is>
      </c>
      <c r="P69" s="10" t="inlineStr">
        <is>
          <t>https://www.facebook.com/p/Vaparama-100063743672150/</t>
        </is>
      </c>
      <c r="Q69" s="10" t="inlineStr"/>
      <c r="R69" s="10" t="inlineStr"/>
      <c r="S69" s="10" t="inlineStr"/>
      <c r="T69" s="10" t="inlineStr">
        <is>
          <t>09736212</t>
        </is>
      </c>
      <c r="U69" s="10" t="inlineStr">
        <is>
          <t>Active</t>
        </is>
      </c>
      <c r="V69" s="10" t="inlineStr">
        <is>
          <t>High</t>
        </is>
      </c>
      <c r="W69" s="10" t="inlineStr">
        <is>
          <t>Multi-site retailer; Core relevant category; Public email available; Active website; Social presence</t>
        </is>
      </c>
      <c r="X69" s="10" t="inlineStr">
        <is>
          <t>Not Found</t>
        </is>
      </c>
      <c r="Y69" s="10" t="inlineStr">
        <is>
          <t>Publicly Listed</t>
        </is>
      </c>
      <c r="Z69" s="10" t="inlineStr">
        <is>
          <t>Medium</t>
        </is>
      </c>
      <c r="AA69" s="10" t="inlineStr">
        <is>
          <t>Partially Verified</t>
        </is>
      </c>
      <c r="AB69" s="10" t="inlineStr">
        <is>
          <t>https://www.vaparama.co.uk/contact/</t>
        </is>
      </c>
    </row>
    <row r="70">
      <c r="A70" s="5" t="inlineStr">
        <is>
          <t>WY-0037</t>
        </is>
      </c>
      <c r="B70" s="5" t="inlineStr">
        <is>
          <t>VAPARAMA-02</t>
        </is>
      </c>
      <c r="C70" s="5" t="inlineStr">
        <is>
          <t>Vaparama</t>
        </is>
      </c>
      <c r="D70" s="5" t="inlineStr">
        <is>
          <t>Vaparama (Pontefract)</t>
        </is>
      </c>
      <c r="E70" s="5" t="inlineStr">
        <is>
          <t>Vape Shop</t>
        </is>
      </c>
      <c r="F70" s="5" t="inlineStr">
        <is>
          <t>E-liquid specialist / vape retailer and wholesaler</t>
        </is>
      </c>
      <c r="G70" s="5" t="inlineStr">
        <is>
          <t>Regional Chain</t>
        </is>
      </c>
      <c r="H70" s="5" t="inlineStr">
        <is>
          <t>7</t>
        </is>
      </c>
      <c r="I70" s="5" t="inlineStr">
        <is>
          <t>13 Market Place</t>
        </is>
      </c>
      <c r="J70" s="5" t="inlineStr">
        <is>
          <t>Pontefract</t>
        </is>
      </c>
      <c r="K70" s="5" t="inlineStr">
        <is>
          <t>WF8 1AG</t>
        </is>
      </c>
      <c r="L70" s="5" t="inlineStr">
        <is>
          <t>01977 277170</t>
        </is>
      </c>
      <c r="M70" s="5" t="inlineStr">
        <is>
          <t>shop@vaparama.co.uk</t>
        </is>
      </c>
      <c r="N70" s="5" t="inlineStr"/>
      <c r="O70" s="5" t="inlineStr">
        <is>
          <t>https://www.vaparama.co.uk</t>
        </is>
      </c>
      <c r="P70" s="5" t="inlineStr">
        <is>
          <t>https://www.facebook.com/p/Vaparama-100063743672150/</t>
        </is>
      </c>
      <c r="Q70" s="5" t="inlineStr"/>
      <c r="R70" s="5" t="inlineStr"/>
      <c r="S70" s="5" t="inlineStr"/>
      <c r="T70" s="5" t="inlineStr">
        <is>
          <t>09736212</t>
        </is>
      </c>
      <c r="U70" s="5" t="inlineStr">
        <is>
          <t>Active</t>
        </is>
      </c>
      <c r="V70" s="5" t="inlineStr">
        <is>
          <t>High</t>
        </is>
      </c>
      <c r="W70" s="5" t="inlineStr">
        <is>
          <t>Multi-site retailer; Core relevant category; Public email available; Active website; Social presence</t>
        </is>
      </c>
      <c r="X70" s="5" t="inlineStr">
        <is>
          <t>Verified directory</t>
        </is>
      </c>
      <c r="Y70" s="5" t="inlineStr">
        <is>
          <t>Unverified</t>
        </is>
      </c>
      <c r="Z70" s="5" t="inlineStr">
        <is>
          <t>Medium</t>
        </is>
      </c>
      <c r="AA70" s="5" t="inlineStr">
        <is>
          <t>Partially Verified</t>
        </is>
      </c>
      <c r="AB70" s="5" t="inlineStr">
        <is>
          <t>https://find-and-update.company-information.service.gov.uk/company/09736212</t>
        </is>
      </c>
    </row>
    <row r="71">
      <c r="A71" s="10" t="inlineStr">
        <is>
          <t>WY-0038</t>
        </is>
      </c>
      <c r="B71" s="10" t="inlineStr">
        <is>
          <t>VAPARAMA-03</t>
        </is>
      </c>
      <c r="C71" s="10" t="inlineStr">
        <is>
          <t>Vaparama</t>
        </is>
      </c>
      <c r="D71" s="10" t="inlineStr">
        <is>
          <t>Vaparama (Wakefield)</t>
        </is>
      </c>
      <c r="E71" s="10" t="inlineStr">
        <is>
          <t>Vape Shop</t>
        </is>
      </c>
      <c r="F71" s="10" t="inlineStr">
        <is>
          <t>E-liquid specialist / vape retailer</t>
        </is>
      </c>
      <c r="G71" s="10" t="inlineStr">
        <is>
          <t>Regional Chain</t>
        </is>
      </c>
      <c r="H71" s="10" t="inlineStr">
        <is>
          <t>7</t>
        </is>
      </c>
      <c r="I71" s="10" t="inlineStr">
        <is>
          <t>Britannia House, 31 Warrengate</t>
        </is>
      </c>
      <c r="J71" s="10" t="inlineStr">
        <is>
          <t>Wakefield</t>
        </is>
      </c>
      <c r="K71" s="10" t="inlineStr"/>
      <c r="L71" s="10" t="inlineStr"/>
      <c r="M71" s="10" t="inlineStr"/>
      <c r="N71" s="10" t="inlineStr">
        <is>
          <t>shop@vaparama.co.uk</t>
        </is>
      </c>
      <c r="O71" s="10" t="inlineStr">
        <is>
          <t>https://www.vaparama.co.uk</t>
        </is>
      </c>
      <c r="P71" s="10" t="inlineStr">
        <is>
          <t>https://www.facebook.com/p/Vaparama-100063743672150/</t>
        </is>
      </c>
      <c r="Q71" s="10" t="inlineStr"/>
      <c r="R71" s="10" t="inlineStr"/>
      <c r="S71" s="10" t="inlineStr"/>
      <c r="T71" s="10" t="inlineStr">
        <is>
          <t>09736212</t>
        </is>
      </c>
      <c r="U71" s="10" t="inlineStr">
        <is>
          <t>Active</t>
        </is>
      </c>
      <c r="V71" s="10" t="inlineStr">
        <is>
          <t>High</t>
        </is>
      </c>
      <c r="W71" s="10" t="inlineStr">
        <is>
          <t>Multi-site retailer; Core relevant category; Public email available; Active website; Social presence</t>
        </is>
      </c>
      <c r="X71" s="10" t="inlineStr">
        <is>
          <t>Not Found</t>
        </is>
      </c>
      <c r="Y71" s="10" t="inlineStr">
        <is>
          <t>Publicly Listed</t>
        </is>
      </c>
      <c r="Z71" s="10" t="inlineStr">
        <is>
          <t>Medium</t>
        </is>
      </c>
      <c r="AA71" s="10" t="inlineStr">
        <is>
          <t>Partially Verified</t>
        </is>
      </c>
      <c r="AB71" s="10" t="inlineStr">
        <is>
          <t>https://www.vaparama.co.uk/contact/</t>
        </is>
      </c>
    </row>
    <row r="72">
      <c r="A72" s="5" t="inlineStr">
        <is>
          <t>UK-000742</t>
        </is>
      </c>
      <c r="B72" s="5" t="inlineStr">
        <is>
          <t>VAPECITY-01</t>
        </is>
      </c>
      <c r="C72" s="5" t="inlineStr">
        <is>
          <t>Vape City</t>
        </is>
      </c>
      <c r="D72" s="5" t="inlineStr">
        <is>
          <t>Vape City</t>
        </is>
      </c>
      <c r="E72" s="5" t="inlineStr">
        <is>
          <t>Vape Shop</t>
        </is>
      </c>
      <c r="F72" s="5" t="inlineStr">
        <is>
          <t>Vape supplier and retailer</t>
        </is>
      </c>
      <c r="G72" s="5" t="inlineStr">
        <is>
          <t>Multi-Site Independent</t>
        </is>
      </c>
      <c r="H72" s="5" t="inlineStr">
        <is>
          <t>2</t>
        </is>
      </c>
      <c r="I72" s="5" t="inlineStr">
        <is>
          <t>1069 Maryhill Road</t>
        </is>
      </c>
      <c r="J72" s="5" t="inlineStr">
        <is>
          <t>Glasgow</t>
        </is>
      </c>
      <c r="K72" s="5" t="inlineStr">
        <is>
          <t>G20 9AX</t>
        </is>
      </c>
      <c r="L72" s="5" t="inlineStr">
        <is>
          <t>0141 946 2117</t>
        </is>
      </c>
      <c r="M72" s="5" t="inlineStr"/>
      <c r="N72" s="5" t="inlineStr"/>
      <c r="O72" s="5" t="inlineStr">
        <is>
          <t>https://www.vape-city.co.uk/</t>
        </is>
      </c>
      <c r="P72" s="5" t="inlineStr"/>
      <c r="Q72" s="5" t="inlineStr"/>
      <c r="R72" s="5" t="inlineStr"/>
      <c r="S72" s="5" t="inlineStr"/>
      <c r="T72" s="5" t="inlineStr"/>
      <c r="U72" s="5" t="inlineStr"/>
      <c r="V72" s="5" t="inlineStr">
        <is>
          <t>High</t>
        </is>
      </c>
      <c r="W72" s="5" t="inlineStr">
        <is>
          <t>Multi-site retailer; Independent retailer; Core relevant category; Active website</t>
        </is>
      </c>
      <c r="X72" s="5" t="inlineStr">
        <is>
          <t>Verified directory</t>
        </is>
      </c>
      <c r="Y72" s="5" t="inlineStr">
        <is>
          <t>Website Found</t>
        </is>
      </c>
      <c r="Z72" s="5" t="inlineStr">
        <is>
          <t>Medium</t>
        </is>
      </c>
      <c r="AA72" s="5" t="inlineStr">
        <is>
          <t>Requires Verification</t>
        </is>
      </c>
      <c r="AB72" s="5" t="inlineStr">
        <is>
          <t>https://www.vape-city.co.uk/contact.php</t>
        </is>
      </c>
    </row>
    <row r="73">
      <c r="A73" s="10" t="inlineStr">
        <is>
          <t>UK-000218</t>
        </is>
      </c>
      <c r="B73" s="10" t="inlineStr">
        <is>
          <t>VAPESAFE-01</t>
        </is>
      </c>
      <c r="C73" s="10" t="inlineStr">
        <is>
          <t>Vape Safe</t>
        </is>
      </c>
      <c r="D73" s="10" t="inlineStr">
        <is>
          <t>Vape Safe Whitby</t>
        </is>
      </c>
      <c r="E73" s="10" t="inlineStr">
        <is>
          <t>Vape Shop</t>
        </is>
      </c>
      <c r="F73" s="10" t="inlineStr">
        <is>
          <t>Premium e-liquids, pods &amp; mods</t>
        </is>
      </c>
      <c r="G73" s="10" t="inlineStr">
        <is>
          <t>Multi-Site Independent</t>
        </is>
      </c>
      <c r="H73" s="10" t="inlineStr">
        <is>
          <t>2</t>
        </is>
      </c>
      <c r="I73" s="10" t="inlineStr">
        <is>
          <t>24 Baxtergate</t>
        </is>
      </c>
      <c r="J73" s="10" t="inlineStr">
        <is>
          <t>Whitby</t>
        </is>
      </c>
      <c r="K73" s="10" t="inlineStr">
        <is>
          <t>YO21 1BW</t>
        </is>
      </c>
      <c r="L73" s="10" t="inlineStr">
        <is>
          <t>01947 604873</t>
        </is>
      </c>
      <c r="M73" s="10" t="inlineStr"/>
      <c r="N73" s="10" t="inlineStr"/>
      <c r="O73" s="10" t="inlineStr">
        <is>
          <t>https://www.vapesafe.net/</t>
        </is>
      </c>
      <c r="P73" s="10" t="inlineStr"/>
      <c r="Q73" s="10" t="inlineStr"/>
      <c r="R73" s="10" t="inlineStr"/>
      <c r="S73" s="10" t="inlineStr"/>
      <c r="T73" s="10" t="inlineStr"/>
      <c r="U73" s="10" t="inlineStr"/>
      <c r="V73" s="10" t="inlineStr">
        <is>
          <t>High</t>
        </is>
      </c>
      <c r="W73" s="10" t="inlineStr">
        <is>
          <t>Multi-site retailer; Independent retailer; Core relevant category; Active website</t>
        </is>
      </c>
      <c r="X73" s="10" t="inlineStr">
        <is>
          <t>Verified directory</t>
        </is>
      </c>
      <c r="Y73" s="10" t="inlineStr">
        <is>
          <t>Not Found</t>
        </is>
      </c>
      <c r="Z73" s="10" t="inlineStr">
        <is>
          <t>Low</t>
        </is>
      </c>
      <c r="AA73" s="10" t="inlineStr">
        <is>
          <t>Requires Verification</t>
        </is>
      </c>
      <c r="AB73" s="10" t="inlineStr">
        <is>
          <t>https://www.vapesafe.net/</t>
        </is>
      </c>
    </row>
    <row r="74">
      <c r="A74" s="5" t="inlineStr">
        <is>
          <t>UK-000219</t>
        </is>
      </c>
      <c r="B74" s="5" t="inlineStr">
        <is>
          <t>VAPESAFE-02</t>
        </is>
      </c>
      <c r="C74" s="5" t="inlineStr">
        <is>
          <t>Vape Safe</t>
        </is>
      </c>
      <c r="D74" s="5" t="inlineStr">
        <is>
          <t>Vape Safe York</t>
        </is>
      </c>
      <c r="E74" s="5" t="inlineStr">
        <is>
          <t>Vape Shop</t>
        </is>
      </c>
      <c r="F74" s="5" t="inlineStr">
        <is>
          <t>Premium e-liquids, pods &amp; mods</t>
        </is>
      </c>
      <c r="G74" s="5" t="inlineStr">
        <is>
          <t>Multi-Site Independent</t>
        </is>
      </c>
      <c r="H74" s="5" t="inlineStr">
        <is>
          <t>2</t>
        </is>
      </c>
      <c r="I74" s="5" t="inlineStr">
        <is>
          <t>8 Stonegate</t>
        </is>
      </c>
      <c r="J74" s="5" t="inlineStr">
        <is>
          <t>York</t>
        </is>
      </c>
      <c r="K74" s="5" t="inlineStr">
        <is>
          <t>YO1 8AX</t>
        </is>
      </c>
      <c r="L74" s="5" t="inlineStr">
        <is>
          <t>01904 848488</t>
        </is>
      </c>
      <c r="M74" s="5" t="inlineStr"/>
      <c r="N74" s="5" t="inlineStr"/>
      <c r="O74" s="5" t="inlineStr">
        <is>
          <t>https://www.vapesafe.net/</t>
        </is>
      </c>
      <c r="P74" s="5" t="inlineStr"/>
      <c r="Q74" s="5" t="inlineStr"/>
      <c r="R74" s="5" t="inlineStr"/>
      <c r="S74" s="5" t="inlineStr"/>
      <c r="T74" s="5" t="inlineStr"/>
      <c r="U74" s="5" t="inlineStr"/>
      <c r="V74" s="5" t="inlineStr">
        <is>
          <t>High</t>
        </is>
      </c>
      <c r="W74" s="5" t="inlineStr">
        <is>
          <t>Multi-site retailer; Independent retailer; Core relevant category; Active website</t>
        </is>
      </c>
      <c r="X74" s="5" t="inlineStr">
        <is>
          <t>Verified directory</t>
        </is>
      </c>
      <c r="Y74" s="5" t="inlineStr">
        <is>
          <t>Website Found</t>
        </is>
      </c>
      <c r="Z74" s="5" t="inlineStr">
        <is>
          <t>Medium</t>
        </is>
      </c>
      <c r="AA74" s="5" t="inlineStr">
        <is>
          <t>Requires Verification</t>
        </is>
      </c>
      <c r="AB74" s="5" t="inlineStr">
        <is>
          <t>https://www.vapesafe.net/</t>
        </is>
      </c>
    </row>
    <row r="75">
      <c r="A75" s="10" t="inlineStr">
        <is>
          <t>UK-000220</t>
        </is>
      </c>
      <c r="B75" s="10" t="inlineStr">
        <is>
          <t>VAPESHACK-01</t>
        </is>
      </c>
      <c r="C75" s="10" t="inlineStr">
        <is>
          <t>Vape Shack</t>
        </is>
      </c>
      <c r="D75" s="10" t="inlineStr">
        <is>
          <t>The Vape Shack Beverley</t>
        </is>
      </c>
      <c r="E75" s="10" t="inlineStr">
        <is>
          <t>Vape Shop</t>
        </is>
      </c>
      <c r="F75" s="10" t="inlineStr">
        <is>
          <t>E-liquid and e-cigarette shop</t>
        </is>
      </c>
      <c r="G75" s="10" t="inlineStr">
        <is>
          <t>Multi-Site Independent</t>
        </is>
      </c>
      <c r="H75" s="10" t="inlineStr">
        <is>
          <t>2</t>
        </is>
      </c>
      <c r="I75" s="10" t="inlineStr">
        <is>
          <t>7 Sow Hill Road</t>
        </is>
      </c>
      <c r="J75" s="10" t="inlineStr">
        <is>
          <t>Beverley</t>
        </is>
      </c>
      <c r="K75" s="10" t="inlineStr">
        <is>
          <t>HU17 8BG</t>
        </is>
      </c>
      <c r="L75" s="10" t="inlineStr">
        <is>
          <t>07359 267997</t>
        </is>
      </c>
      <c r="M75" s="10" t="inlineStr"/>
      <c r="N75" s="10" t="inlineStr"/>
      <c r="O75" s="10" t="inlineStr">
        <is>
          <t>https://www.vape-shack.co.uk</t>
        </is>
      </c>
      <c r="P75" s="10" t="inlineStr">
        <is>
          <t>https://www.facebook.com/thevapeshackbeverley/</t>
        </is>
      </c>
      <c r="Q75" s="10" t="inlineStr"/>
      <c r="R75" s="10" t="inlineStr"/>
      <c r="S75" s="10" t="inlineStr"/>
      <c r="T75" s="10" t="inlineStr"/>
      <c r="U75" s="10" t="inlineStr"/>
      <c r="V75" s="10" t="inlineStr">
        <is>
          <t>High</t>
        </is>
      </c>
      <c r="W75" s="10" t="inlineStr">
        <is>
          <t>Multi-site retailer; Independent retailer; Core relevant category; Active website; Social presence</t>
        </is>
      </c>
      <c r="X75" s="10" t="inlineStr">
        <is>
          <t>Verified directory</t>
        </is>
      </c>
      <c r="Y75" s="10" t="inlineStr">
        <is>
          <t>Not Found</t>
        </is>
      </c>
      <c r="Z75" s="10" t="inlineStr">
        <is>
          <t>Medium</t>
        </is>
      </c>
      <c r="AA75" s="10" t="inlineStr">
        <is>
          <t>Partially Verified</t>
        </is>
      </c>
      <c r="AB75" s="10" t="inlineStr">
        <is>
          <t>https://www.vape-shack.co.uk/</t>
        </is>
      </c>
    </row>
    <row r="76">
      <c r="A76" s="5" t="inlineStr">
        <is>
          <t>UK-000221</t>
        </is>
      </c>
      <c r="B76" s="5" t="inlineStr">
        <is>
          <t>VAPESHACK-02</t>
        </is>
      </c>
      <c r="C76" s="5" t="inlineStr">
        <is>
          <t>Vape Shack</t>
        </is>
      </c>
      <c r="D76" s="5" t="inlineStr">
        <is>
          <t>Vape Shack Immingham</t>
        </is>
      </c>
      <c r="E76" s="5" t="inlineStr">
        <is>
          <t>Vape Shop</t>
        </is>
      </c>
      <c r="F76" s="5" t="inlineStr">
        <is>
          <t>Vape shop</t>
        </is>
      </c>
      <c r="G76" s="5" t="inlineStr">
        <is>
          <t>Multi-Site Independent</t>
        </is>
      </c>
      <c r="H76" s="5" t="inlineStr">
        <is>
          <t>2</t>
        </is>
      </c>
      <c r="I76" s="5" t="inlineStr">
        <is>
          <t>70 Pelham Road</t>
        </is>
      </c>
      <c r="J76" s="5" t="inlineStr">
        <is>
          <t>Immingham</t>
        </is>
      </c>
      <c r="K76" s="5" t="inlineStr"/>
      <c r="L76" s="5" t="inlineStr">
        <is>
          <t>01469 577493</t>
        </is>
      </c>
      <c r="M76" s="5" t="inlineStr"/>
      <c r="N76" s="5" t="inlineStr"/>
      <c r="O76" s="5" t="inlineStr"/>
      <c r="P76" s="5" t="inlineStr">
        <is>
          <t>https://www.facebook.com/vapeshackimmingham/</t>
        </is>
      </c>
      <c r="Q76" s="5" t="inlineStr"/>
      <c r="R76" s="5" t="inlineStr"/>
      <c r="S76" s="5" t="inlineStr"/>
      <c r="T76" s="5" t="inlineStr"/>
      <c r="U76" s="5" t="inlineStr"/>
      <c r="V76" s="5" t="inlineStr">
        <is>
          <t>High</t>
        </is>
      </c>
      <c r="W76" s="5" t="inlineStr">
        <is>
          <t>Multi-site retailer; Independent retailer; Core relevant category; Social presence</t>
        </is>
      </c>
      <c r="X76" s="5" t="inlineStr">
        <is>
          <t>Verified directory</t>
        </is>
      </c>
      <c r="Y76" s="5" t="inlineStr">
        <is>
          <t>Not Found</t>
        </is>
      </c>
      <c r="Z76" s="5" t="inlineStr">
        <is>
          <t>Low</t>
        </is>
      </c>
      <c r="AA76" s="5" t="inlineStr">
        <is>
          <t>Requires Verification</t>
        </is>
      </c>
      <c r="AB76" s="5" t="inlineStr">
        <is>
          <t>https://www.facebook.com/vapeshackimmingham/</t>
        </is>
      </c>
    </row>
    <row r="77">
      <c r="A77" s="10" t="inlineStr">
        <is>
          <t>UK-000450</t>
        </is>
      </c>
      <c r="B77" s="10" t="inlineStr">
        <is>
          <t>VAPESHOPBI-01</t>
        </is>
      </c>
      <c r="C77" s="10" t="inlineStr">
        <is>
          <t>Vape Shop Birmingham</t>
        </is>
      </c>
      <c r="D77" s="10" t="inlineStr">
        <is>
          <t>Vape Shop Birmingham</t>
        </is>
      </c>
      <c r="E77" s="10" t="inlineStr">
        <is>
          <t>Vape Shop</t>
        </is>
      </c>
      <c r="F77" s="10" t="inlineStr">
        <is>
          <t>Vape hardware and e-liquid retailer</t>
        </is>
      </c>
      <c r="G77" s="10" t="inlineStr">
        <is>
          <t>Regional Chain</t>
        </is>
      </c>
      <c r="H77" s="10" t="inlineStr">
        <is>
          <t>3</t>
        </is>
      </c>
      <c r="I77" s="10" t="inlineStr">
        <is>
          <t>19 Great Western Arcade</t>
        </is>
      </c>
      <c r="J77" s="10" t="inlineStr">
        <is>
          <t>Birmingham</t>
        </is>
      </c>
      <c r="K77" s="10" t="inlineStr">
        <is>
          <t>B2 5HU</t>
        </is>
      </c>
      <c r="L77" s="10" t="inlineStr"/>
      <c r="M77" s="10" t="inlineStr"/>
      <c r="N77" s="10" t="inlineStr"/>
      <c r="O77" s="10" t="inlineStr">
        <is>
          <t>https://vapeshopbirmingham.co.uk/</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Not Found</t>
        </is>
      </c>
      <c r="Y77" s="10" t="inlineStr">
        <is>
          <t>Website Found</t>
        </is>
      </c>
      <c r="Z77" s="10" t="inlineStr">
        <is>
          <t>Medium</t>
        </is>
      </c>
      <c r="AA77" s="10" t="inlineStr">
        <is>
          <t>Requires Verification</t>
        </is>
      </c>
      <c r="AB77" s="10" t="inlineStr">
        <is>
          <t>https://vapeshopbirmingham.co.uk/pages/birmingham-city-centre</t>
        </is>
      </c>
    </row>
    <row r="78">
      <c r="A78" s="5" t="inlineStr">
        <is>
          <t>UK-000222</t>
        </is>
      </c>
      <c r="B78" s="5" t="inlineStr">
        <is>
          <t>VAPESHOPGU-01</t>
        </is>
      </c>
      <c r="C78" s="5" t="inlineStr">
        <is>
          <t>Vape Shop Guy</t>
        </is>
      </c>
      <c r="D78" s="5" t="inlineStr">
        <is>
          <t>Vape Shop Guy Boroughbridge</t>
        </is>
      </c>
      <c r="E78" s="5" t="inlineStr">
        <is>
          <t>Vape Shop</t>
        </is>
      </c>
      <c r="F78" s="5" t="inlineStr">
        <is>
          <t>Vaping products &amp; e-liquids</t>
        </is>
      </c>
      <c r="G78" s="5" t="inlineStr">
        <is>
          <t>Multi-Site Independent</t>
        </is>
      </c>
      <c r="H78" s="5" t="inlineStr">
        <is>
          <t>4</t>
        </is>
      </c>
      <c r="I78" s="5" t="inlineStr">
        <is>
          <t>34 High Street</t>
        </is>
      </c>
      <c r="J78" s="5" t="inlineStr">
        <is>
          <t>Boroughbridge</t>
        </is>
      </c>
      <c r="K78" s="5" t="inlineStr"/>
      <c r="L78" s="5" t="inlineStr">
        <is>
          <t>01423 325924</t>
        </is>
      </c>
      <c r="M78" s="5" t="inlineStr"/>
      <c r="N78" s="5" t="inlineStr"/>
      <c r="O78" s="5" t="inlineStr">
        <is>
          <t>https://vapeshopguy.co.uk/</t>
        </is>
      </c>
      <c r="P78" s="5" t="inlineStr"/>
      <c r="Q78" s="5" t="inlineStr"/>
      <c r="R78" s="5" t="inlineStr"/>
      <c r="S78" s="5" t="inlineStr"/>
      <c r="T78" s="5" t="inlineStr"/>
      <c r="U78" s="5" t="inlineStr"/>
      <c r="V78" s="5" t="inlineStr">
        <is>
          <t>High</t>
        </is>
      </c>
      <c r="W78" s="5" t="inlineStr">
        <is>
          <t>Multi-site retailer; Independent retailer; Core relevant category; Active website; Phone verified on official website</t>
        </is>
      </c>
      <c r="X78" s="5" t="inlineStr">
        <is>
          <t>Verified on official website</t>
        </is>
      </c>
      <c r="Y78" s="5" t="inlineStr">
        <is>
          <t>Website Found</t>
        </is>
      </c>
      <c r="Z78" s="5" t="inlineStr">
        <is>
          <t>Medium</t>
        </is>
      </c>
      <c r="AA78" s="5" t="inlineStr">
        <is>
          <t>Requires Verification</t>
        </is>
      </c>
      <c r="AB78" s="5" t="inlineStr">
        <is>
          <t>https://vapeshopguy.co.uk/locations</t>
        </is>
      </c>
    </row>
    <row r="79">
      <c r="A79" s="10" t="inlineStr">
        <is>
          <t>UK-000223</t>
        </is>
      </c>
      <c r="B79" s="10" t="inlineStr">
        <is>
          <t>VAPESHOPGU-02</t>
        </is>
      </c>
      <c r="C79" s="10" t="inlineStr">
        <is>
          <t>Vape Shop Guy</t>
        </is>
      </c>
      <c r="D79" s="10" t="inlineStr">
        <is>
          <t>Vape Shop Guy Ripon</t>
        </is>
      </c>
      <c r="E79" s="10" t="inlineStr">
        <is>
          <t>Vape Shop</t>
        </is>
      </c>
      <c r="F79" s="10" t="inlineStr">
        <is>
          <t>Vaping products &amp; e-liquids</t>
        </is>
      </c>
      <c r="G79" s="10" t="inlineStr">
        <is>
          <t>Multi-Site Independent</t>
        </is>
      </c>
      <c r="H79" s="10" t="inlineStr">
        <is>
          <t>4</t>
        </is>
      </c>
      <c r="I79" s="10" t="inlineStr">
        <is>
          <t>4 North Street</t>
        </is>
      </c>
      <c r="J79" s="10" t="inlineStr">
        <is>
          <t>Ripon</t>
        </is>
      </c>
      <c r="K79" s="10" t="inlineStr"/>
      <c r="L79" s="10" t="inlineStr"/>
      <c r="M79" s="10" t="inlineStr"/>
      <c r="N79" s="10" t="inlineStr"/>
      <c r="O79" s="10" t="inlineStr">
        <is>
          <t>https://vapeshopguy.co.uk/</t>
        </is>
      </c>
      <c r="P79" s="10" t="inlineStr"/>
      <c r="Q79" s="10" t="inlineStr"/>
      <c r="R79" s="10" t="inlineStr"/>
      <c r="S79" s="10" t="inlineStr"/>
      <c r="T79" s="10" t="inlineStr">
        <is>
          <t>16398053</t>
        </is>
      </c>
      <c r="U79" s="10" t="inlineStr"/>
      <c r="V79" s="10" t="inlineStr">
        <is>
          <t>High</t>
        </is>
      </c>
      <c r="W79" s="10" t="inlineStr">
        <is>
          <t>Multi-site retailer; Independent retailer; Core relevant category; Active website</t>
        </is>
      </c>
      <c r="X79" s="10" t="inlineStr">
        <is>
          <t>Not Found</t>
        </is>
      </c>
      <c r="Y79" s="10" t="inlineStr">
        <is>
          <t>Website Found</t>
        </is>
      </c>
      <c r="Z79" s="10" t="inlineStr">
        <is>
          <t>Medium</t>
        </is>
      </c>
      <c r="AA79" s="10" t="inlineStr">
        <is>
          <t>Requires Verification</t>
        </is>
      </c>
      <c r="AB79" s="10" t="inlineStr">
        <is>
          <t>https://vapeshopguy.co.uk/locations</t>
        </is>
      </c>
    </row>
    <row r="80">
      <c r="A80" s="5" t="inlineStr">
        <is>
          <t>UK-000224</t>
        </is>
      </c>
      <c r="B80" s="5" t="inlineStr">
        <is>
          <t>VAPESHOPGU-03</t>
        </is>
      </c>
      <c r="C80" s="5" t="inlineStr">
        <is>
          <t>Vape Shop Guy</t>
        </is>
      </c>
      <c r="D80" s="5" t="inlineStr">
        <is>
          <t>Vape Shop Guy Thirsk</t>
        </is>
      </c>
      <c r="E80" s="5" t="inlineStr">
        <is>
          <t>Vape Shop</t>
        </is>
      </c>
      <c r="F80" s="5" t="inlineStr">
        <is>
          <t>Vaping products &amp; e-liquids</t>
        </is>
      </c>
      <c r="G80" s="5" t="inlineStr">
        <is>
          <t>Multi-Site Independent</t>
        </is>
      </c>
      <c r="H80" s="5" t="inlineStr">
        <is>
          <t>4</t>
        </is>
      </c>
      <c r="I80" s="5" t="inlineStr">
        <is>
          <t>2 Millgate</t>
        </is>
      </c>
      <c r="J80" s="5" t="inlineStr">
        <is>
          <t>Thirsk</t>
        </is>
      </c>
      <c r="K80" s="5" t="inlineStr"/>
      <c r="L80" s="5" t="inlineStr"/>
      <c r="M80" s="5" t="inlineStr"/>
      <c r="N80" s="5" t="inlineStr"/>
      <c r="O80" s="5" t="inlineStr">
        <is>
          <t>https://vapeshopguy.co.uk/</t>
        </is>
      </c>
      <c r="P80" s="5" t="inlineStr"/>
      <c r="Q80" s="5" t="inlineStr"/>
      <c r="R80" s="5" t="inlineStr"/>
      <c r="S80" s="5" t="inlineStr"/>
      <c r="T80" s="5" t="inlineStr">
        <is>
          <t>15869863</t>
        </is>
      </c>
      <c r="U80" s="5" t="inlineStr"/>
      <c r="V80" s="5" t="inlineStr">
        <is>
          <t>High</t>
        </is>
      </c>
      <c r="W80" s="5" t="inlineStr">
        <is>
          <t>Multi-site retailer; Independent retailer; Core relevant category; Active website</t>
        </is>
      </c>
      <c r="X80" s="5" t="inlineStr">
        <is>
          <t>Not Found</t>
        </is>
      </c>
      <c r="Y80" s="5" t="inlineStr">
        <is>
          <t>Website Found</t>
        </is>
      </c>
      <c r="Z80" s="5" t="inlineStr">
        <is>
          <t>Medium</t>
        </is>
      </c>
      <c r="AA80" s="5" t="inlineStr">
        <is>
          <t>Requires Verification</t>
        </is>
      </c>
      <c r="AB80" s="5" t="inlineStr">
        <is>
          <t>https://vapeshopguy.co.uk/locations</t>
        </is>
      </c>
    </row>
    <row r="81">
      <c r="A81" s="10" t="inlineStr">
        <is>
          <t>UK-000225</t>
        </is>
      </c>
      <c r="B81" s="10" t="inlineStr">
        <is>
          <t>VAPESHOPGU-04</t>
        </is>
      </c>
      <c r="C81" s="10" t="inlineStr">
        <is>
          <t>Vape Shop Guy</t>
        </is>
      </c>
      <c r="D81" s="10" t="inlineStr">
        <is>
          <t>Vapour Worx Knaresborough</t>
        </is>
      </c>
      <c r="E81" s="10" t="inlineStr">
        <is>
          <t>Vape Shop</t>
        </is>
      </c>
      <c r="F81" s="10" t="inlineStr">
        <is>
          <t>Vaping products &amp; e-liquids</t>
        </is>
      </c>
      <c r="G81" s="10" t="inlineStr">
        <is>
          <t>Multi-Site Independent</t>
        </is>
      </c>
      <c r="H81" s="10" t="inlineStr">
        <is>
          <t>4</t>
        </is>
      </c>
      <c r="I81" s="10" t="inlineStr">
        <is>
          <t>39a High Street</t>
        </is>
      </c>
      <c r="J81" s="10" t="inlineStr">
        <is>
          <t>Knaresborough</t>
        </is>
      </c>
      <c r="K81" s="10" t="inlineStr">
        <is>
          <t>HG5 0HB</t>
        </is>
      </c>
      <c r="L81" s="10" t="inlineStr">
        <is>
          <t>01423 610083</t>
        </is>
      </c>
      <c r="M81" s="10" t="inlineStr"/>
      <c r="N81" s="10" t="inlineStr"/>
      <c r="O81" s="10" t="inlineStr">
        <is>
          <t>https://vapeshopguy.co.uk/</t>
        </is>
      </c>
      <c r="P81" s="10" t="inlineStr"/>
      <c r="Q81" s="10" t="inlineStr"/>
      <c r="R81" s="10" t="inlineStr"/>
      <c r="S81" s="10" t="inlineStr"/>
      <c r="T81" s="10" t="inlineStr"/>
      <c r="U81" s="10" t="inlineStr"/>
      <c r="V81" s="10" t="inlineStr">
        <is>
          <t>High</t>
        </is>
      </c>
      <c r="W81" s="10" t="inlineStr">
        <is>
          <t>Multi-site retailer; Independent retailer; Core relevant category; Active website</t>
        </is>
      </c>
      <c r="X81" s="10" t="inlineStr">
        <is>
          <t>Verified directory</t>
        </is>
      </c>
      <c r="Y81" s="10" t="inlineStr">
        <is>
          <t>Website Found</t>
        </is>
      </c>
      <c r="Z81" s="10" t="inlineStr">
        <is>
          <t>Medium</t>
        </is>
      </c>
      <c r="AA81" s="10" t="inlineStr">
        <is>
          <t>Requires Verification</t>
        </is>
      </c>
      <c r="AB81" s="10" t="inlineStr">
        <is>
          <t>https://directory.crewechronicle.co.uk/company/1223189121957890</t>
        </is>
      </c>
    </row>
    <row r="82">
      <c r="A82" s="5" t="inlineStr">
        <is>
          <t>UK-000743</t>
        </is>
      </c>
      <c r="B82" s="5" t="inlineStr">
        <is>
          <t>VAPESHOPNO-01</t>
        </is>
      </c>
      <c r="C82" s="5" t="inlineStr">
        <is>
          <t>Vape Shop No 1 Wirral</t>
        </is>
      </c>
      <c r="D82" s="5" t="inlineStr">
        <is>
          <t>Vape Shop No 1 Wirral - Bebington</t>
        </is>
      </c>
      <c r="E82" s="5" t="inlineStr">
        <is>
          <t>Vape Shop</t>
        </is>
      </c>
      <c r="F82" s="5" t="inlineStr">
        <is>
          <t>Vape and CBD store</t>
        </is>
      </c>
      <c r="G82" s="5" t="inlineStr">
        <is>
          <t>Multi-Site Independent</t>
        </is>
      </c>
      <c r="H82" s="5" t="inlineStr">
        <is>
          <t>3</t>
        </is>
      </c>
      <c r="I82" s="5" t="inlineStr">
        <is>
          <t>224 Bebington Road</t>
        </is>
      </c>
      <c r="J82" s="5" t="inlineStr">
        <is>
          <t>Birkenhead</t>
        </is>
      </c>
      <c r="K82" s="5" t="inlineStr">
        <is>
          <t>CH42 4QF</t>
        </is>
      </c>
      <c r="L82" s="5" t="inlineStr">
        <is>
          <t>0151 208 1706</t>
        </is>
      </c>
      <c r="M82" s="5" t="inlineStr">
        <is>
          <t>orders@vapeshopno1.co.uk</t>
        </is>
      </c>
      <c r="N82" s="5" t="inlineStr">
        <is>
          <t>orders@vapeshopno1.co.uk</t>
        </is>
      </c>
      <c r="O82" s="5" t="inlineStr">
        <is>
          <t>https://vapeshopno1.co.uk/</t>
        </is>
      </c>
      <c r="P82" s="5" t="inlineStr">
        <is>
          <t>https://www.facebook.com/vapeshopno1wirral/</t>
        </is>
      </c>
      <c r="Q82" s="5" t="inlineStr"/>
      <c r="R82" s="5" t="inlineStr"/>
      <c r="S82" s="5" t="inlineStr"/>
      <c r="T82" s="5" t="inlineStr"/>
      <c r="U82" s="5" t="inlineStr"/>
      <c r="V82" s="5" t="inlineStr">
        <is>
          <t>High</t>
        </is>
      </c>
      <c r="W82" s="5" t="inlineStr">
        <is>
          <t>Multi-site retailer; Independent retailer; Core relevant category; Public trade/sales contact; Active website; Social presence</t>
        </is>
      </c>
      <c r="X82" s="5" t="inlineStr">
        <is>
          <t>Verified directory</t>
        </is>
      </c>
      <c r="Y82" s="5" t="inlineStr">
        <is>
          <t>Publicly Listed</t>
        </is>
      </c>
      <c r="Z82" s="5" t="inlineStr">
        <is>
          <t>High</t>
        </is>
      </c>
      <c r="AA82" s="5" t="inlineStr">
        <is>
          <t>Requires Verification</t>
        </is>
      </c>
      <c r="AB82" s="5" t="inlineStr">
        <is>
          <t>https://vapeshopno1.co.uk/contact-us-enquire/</t>
        </is>
      </c>
    </row>
    <row r="83">
      <c r="A83" s="10" t="inlineStr">
        <is>
          <t>UK-000744</t>
        </is>
      </c>
      <c r="B83" s="10" t="inlineStr">
        <is>
          <t>VAPESHOPNO-02</t>
        </is>
      </c>
      <c r="C83" s="10" t="inlineStr">
        <is>
          <t>Vape Shop No 1 Wirral</t>
        </is>
      </c>
      <c r="D83" s="10" t="inlineStr">
        <is>
          <t>Vape Shop No 1 Wirral - Greasby</t>
        </is>
      </c>
      <c r="E83" s="10" t="inlineStr">
        <is>
          <t>Vape Shop</t>
        </is>
      </c>
      <c r="F83" s="10" t="inlineStr">
        <is>
          <t>Vape and CBD store</t>
        </is>
      </c>
      <c r="G83" s="10" t="inlineStr">
        <is>
          <t>Multi-Site Independent</t>
        </is>
      </c>
      <c r="H83" s="10" t="inlineStr">
        <is>
          <t>3</t>
        </is>
      </c>
      <c r="I83" s="10" t="inlineStr">
        <is>
          <t>243 Greasby Road</t>
        </is>
      </c>
      <c r="J83" s="10" t="inlineStr">
        <is>
          <t>Wirral</t>
        </is>
      </c>
      <c r="K83" s="10" t="inlineStr">
        <is>
          <t>CH49 2PG</t>
        </is>
      </c>
      <c r="L83" s="10" t="inlineStr">
        <is>
          <t>0151 677 7533</t>
        </is>
      </c>
      <c r="M83" s="10" t="inlineStr">
        <is>
          <t>orders@vapeshopno1.co.uk</t>
        </is>
      </c>
      <c r="N83" s="10" t="inlineStr">
        <is>
          <t>orders@vapeshopno1.co.uk</t>
        </is>
      </c>
      <c r="O83" s="10" t="inlineStr">
        <is>
          <t>https://vapeshopno1.co.uk/</t>
        </is>
      </c>
      <c r="P83" s="10" t="inlineStr">
        <is>
          <t>https://www.facebook.com/vapeshopno1wirralgreasby/</t>
        </is>
      </c>
      <c r="Q83" s="10" t="inlineStr"/>
      <c r="R83" s="10" t="inlineStr"/>
      <c r="S83" s="10" t="inlineStr"/>
      <c r="T83" s="10" t="inlineStr"/>
      <c r="U83" s="10" t="inlineStr"/>
      <c r="V83" s="10" t="inlineStr">
        <is>
          <t>High</t>
        </is>
      </c>
      <c r="W83" s="10" t="inlineStr">
        <is>
          <t>Multi-site retailer; Independent retailer; Core relevant category; Public trade/sales contact; Active website; Social presence</t>
        </is>
      </c>
      <c r="X83" s="10" t="inlineStr">
        <is>
          <t>Verified directory</t>
        </is>
      </c>
      <c r="Y83" s="10" t="inlineStr">
        <is>
          <t>Publicly Listed</t>
        </is>
      </c>
      <c r="Z83" s="10" t="inlineStr">
        <is>
          <t>High</t>
        </is>
      </c>
      <c r="AA83" s="10" t="inlineStr">
        <is>
          <t>Requires Verification</t>
        </is>
      </c>
      <c r="AB83" s="10" t="inlineStr">
        <is>
          <t>https://vapeshopno1.co.uk/contact-us-enquire/</t>
        </is>
      </c>
    </row>
    <row r="84">
      <c r="A84" s="5" t="inlineStr">
        <is>
          <t>UK-000745</t>
        </is>
      </c>
      <c r="B84" s="5" t="inlineStr">
        <is>
          <t>VAPESHOPNO-03</t>
        </is>
      </c>
      <c r="C84" s="5" t="inlineStr">
        <is>
          <t>Vape Shop No 1 Wirral</t>
        </is>
      </c>
      <c r="D84" s="5" t="inlineStr">
        <is>
          <t>Vape Shop No 1 Wirral - Prenton</t>
        </is>
      </c>
      <c r="E84" s="5" t="inlineStr">
        <is>
          <t>Vape Shop</t>
        </is>
      </c>
      <c r="F84" s="5" t="inlineStr">
        <is>
          <t>Vape and CBD store</t>
        </is>
      </c>
      <c r="G84" s="5" t="inlineStr">
        <is>
          <t>Multi-Site Independent</t>
        </is>
      </c>
      <c r="H84" s="5" t="inlineStr">
        <is>
          <t>3</t>
        </is>
      </c>
      <c r="I84" s="5" t="inlineStr">
        <is>
          <t>4 Townfield Close</t>
        </is>
      </c>
      <c r="J84" s="5" t="inlineStr">
        <is>
          <t>Birkenhead</t>
        </is>
      </c>
      <c r="K84" s="5" t="inlineStr">
        <is>
          <t>CH43 9JW</t>
        </is>
      </c>
      <c r="L84" s="5" t="inlineStr">
        <is>
          <t>0151 652 0512</t>
        </is>
      </c>
      <c r="M84" s="5" t="inlineStr">
        <is>
          <t>orders@vapeshopno1.co.uk</t>
        </is>
      </c>
      <c r="N84" s="5" t="inlineStr">
        <is>
          <t>orders@vapeshopno1.co.uk</t>
        </is>
      </c>
      <c r="O84" s="5" t="inlineStr">
        <is>
          <t>https://vapeshopno1.co.uk/</t>
        </is>
      </c>
      <c r="P84" s="5" t="inlineStr">
        <is>
          <t>https://www.facebook.com/vapeshopno1wirral/</t>
        </is>
      </c>
      <c r="Q84" s="5" t="inlineStr"/>
      <c r="R84" s="5" t="inlineStr"/>
      <c r="S84" s="5" t="inlineStr"/>
      <c r="T84" s="5" t="inlineStr"/>
      <c r="U84" s="5" t="inlineStr"/>
      <c r="V84" s="5" t="inlineStr">
        <is>
          <t>High</t>
        </is>
      </c>
      <c r="W84" s="5" t="inlineStr">
        <is>
          <t>Multi-site retailer; Independent retailer; Core relevant category; Public trade/sales contact; Active website; Social presence</t>
        </is>
      </c>
      <c r="X84" s="5" t="inlineStr">
        <is>
          <t>Verified directory</t>
        </is>
      </c>
      <c r="Y84" s="5" t="inlineStr">
        <is>
          <t>Publicly Listed</t>
        </is>
      </c>
      <c r="Z84" s="5" t="inlineStr">
        <is>
          <t>Medium</t>
        </is>
      </c>
      <c r="AA84" s="5" t="inlineStr">
        <is>
          <t>Requires Verification</t>
        </is>
      </c>
      <c r="AB84" s="5" t="inlineStr">
        <is>
          <t>https://vapeshopno1.co.uk/contact-us-enquire/</t>
        </is>
      </c>
    </row>
    <row r="85">
      <c r="A85" s="10" t="inlineStr">
        <is>
          <t>UK-000563</t>
        </is>
      </c>
      <c r="B85" s="10" t="inlineStr">
        <is>
          <t>VAPESUPERS-01</t>
        </is>
      </c>
      <c r="C85" s="10" t="inlineStr">
        <is>
          <t>Vape Superstore</t>
        </is>
      </c>
      <c r="D85" s="10" t="inlineStr">
        <is>
          <t>Vape Superstore (Walthamstow)</t>
        </is>
      </c>
      <c r="E85" s="10" t="inlineStr">
        <is>
          <t>Vape Shop</t>
        </is>
      </c>
      <c r="F85" s="10" t="inlineStr">
        <is>
          <t>Vape hardware, e-liquids &amp; disposables</t>
        </is>
      </c>
      <c r="G85" s="10" t="inlineStr">
        <is>
          <t>Regional Chain</t>
        </is>
      </c>
      <c r="H85" s="10" t="inlineStr">
        <is>
          <t>2</t>
        </is>
      </c>
      <c r="I85" s="10" t="inlineStr">
        <is>
          <t>Unit 27B, 45 Selborne Road</t>
        </is>
      </c>
      <c r="J85" s="10" t="inlineStr">
        <is>
          <t>Walthamstow</t>
        </is>
      </c>
      <c r="K85" s="10" t="inlineStr">
        <is>
          <t>E17 7JR</t>
        </is>
      </c>
      <c r="L85" s="10" t="inlineStr">
        <is>
          <t>020 8520 5777</t>
        </is>
      </c>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Core relevant category</t>
        </is>
      </c>
      <c r="X85" s="10" t="inlineStr">
        <is>
          <t>Verified directory</t>
        </is>
      </c>
      <c r="Y85" s="10" t="inlineStr">
        <is>
          <t>Not Found</t>
        </is>
      </c>
      <c r="Z85" s="10" t="inlineStr">
        <is>
          <t>Medium</t>
        </is>
      </c>
      <c r="AA85" s="10" t="inlineStr">
        <is>
          <t>Requires Verification</t>
        </is>
      </c>
      <c r="AB85" s="10" t="inlineStr">
        <is>
          <t>https://www.yell.com/biz/vape-superstore-walthamstow-london-9443123/</t>
        </is>
      </c>
    </row>
    <row r="86">
      <c r="A86" s="5" t="inlineStr">
        <is>
          <t>UK-000564</t>
        </is>
      </c>
      <c r="B86" s="5" t="inlineStr">
        <is>
          <t>VAPESUPERS-02</t>
        </is>
      </c>
      <c r="C86" s="5" t="inlineStr">
        <is>
          <t>Vape Superstore</t>
        </is>
      </c>
      <c r="D86" s="5" t="inlineStr">
        <is>
          <t>Vape Superstore Soho</t>
        </is>
      </c>
      <c r="E86" s="5" t="inlineStr">
        <is>
          <t>Vape Shop</t>
        </is>
      </c>
      <c r="F86" s="5" t="inlineStr">
        <is>
          <t>Vape hardware, e-liquids &amp; disposables</t>
        </is>
      </c>
      <c r="G86" s="5" t="inlineStr">
        <is>
          <t>Regional Chain</t>
        </is>
      </c>
      <c r="H86" s="5" t="inlineStr">
        <is>
          <t>1</t>
        </is>
      </c>
      <c r="I86" s="5" t="inlineStr">
        <is>
          <t>51 Rupert Street</t>
        </is>
      </c>
      <c r="J86" s="5" t="inlineStr">
        <is>
          <t>London</t>
        </is>
      </c>
      <c r="K86" s="5" t="inlineStr">
        <is>
          <t>W1D 7PG</t>
        </is>
      </c>
      <c r="L86" s="5" t="inlineStr">
        <is>
          <t>020 7287 4524</t>
        </is>
      </c>
      <c r="M86" s="5" t="inlineStr"/>
      <c r="N86" s="5" t="inlineStr"/>
      <c r="O86" s="5" t="inlineStr"/>
      <c r="P86" s="5" t="inlineStr">
        <is>
          <t>https://www.facebook.com/vapesuperstoresoho</t>
        </is>
      </c>
      <c r="Q86" s="5" t="inlineStr"/>
      <c r="R86" s="5" t="inlineStr"/>
      <c r="S86" s="5" t="inlineStr"/>
      <c r="T86" s="5" t="inlineStr"/>
      <c r="U86" s="5" t="inlineStr"/>
      <c r="V86" s="5" t="inlineStr">
        <is>
          <t>Medium</t>
        </is>
      </c>
      <c r="W86" s="5" t="inlineStr">
        <is>
          <t>Multi-site retailer; Core relevant category; Social presence</t>
        </is>
      </c>
      <c r="X86" s="5" t="inlineStr">
        <is>
          <t>Verified directory</t>
        </is>
      </c>
      <c r="Y86" s="5" t="inlineStr">
        <is>
          <t>Not Found</t>
        </is>
      </c>
      <c r="Z86" s="5" t="inlineStr">
        <is>
          <t>Medium</t>
        </is>
      </c>
      <c r="AA86" s="5" t="inlineStr">
        <is>
          <t>Requires Verification</t>
        </is>
      </c>
      <c r="AB86" s="5" t="inlineStr">
        <is>
          <t>https://www.yell.com/biz/vape-superstore-soho-london-8853461/</t>
        </is>
      </c>
    </row>
    <row r="87">
      <c r="A87" s="10" t="inlineStr">
        <is>
          <t>UK-000326</t>
        </is>
      </c>
      <c r="B87" s="10" t="inlineStr">
        <is>
          <t>VAPEANDWAT-01</t>
        </is>
      </c>
      <c r="C87" s="10" t="inlineStr">
        <is>
          <t>Vape and Watts</t>
        </is>
      </c>
      <c r="D87" s="10" t="inlineStr">
        <is>
          <t>Vape and Watts Hyde</t>
        </is>
      </c>
      <c r="E87" s="10" t="inlineStr">
        <is>
          <t>Vape Shop</t>
        </is>
      </c>
      <c r="F87" s="10" t="inlineStr"/>
      <c r="G87" s="10" t="inlineStr">
        <is>
          <t>Multi-Site Independent</t>
        </is>
      </c>
      <c r="H87" s="10" t="inlineStr">
        <is>
          <t>2</t>
        </is>
      </c>
      <c r="I87" s="10" t="inlineStr">
        <is>
          <t>41 Clarendon Place</t>
        </is>
      </c>
      <c r="J87" s="10" t="inlineStr">
        <is>
          <t>Hyde</t>
        </is>
      </c>
      <c r="K87" s="10" t="inlineStr">
        <is>
          <t>SK14 2ND</t>
        </is>
      </c>
      <c r="L87" s="10" t="inlineStr"/>
      <c r="M87" s="10" t="inlineStr"/>
      <c r="N87" s="10" t="inlineStr"/>
      <c r="O87" s="10" t="inlineStr"/>
      <c r="P87" s="10" t="inlineStr">
        <is>
          <t>https://www.facebook.com/vapeandwatts/</t>
        </is>
      </c>
      <c r="Q87" s="10" t="inlineStr"/>
      <c r="R87" s="10" t="inlineStr"/>
      <c r="S87" s="10" t="inlineStr"/>
      <c r="T87" s="10" t="inlineStr"/>
      <c r="U87" s="10" t="inlineStr"/>
      <c r="V87" s="10" t="inlineStr">
        <is>
          <t>High</t>
        </is>
      </c>
      <c r="W87" s="10" t="inlineStr">
        <is>
          <t>Multi-site retailer; Independent retailer; Core relevant category; Social presence</t>
        </is>
      </c>
      <c r="X87" s="10" t="inlineStr">
        <is>
          <t>Not Found</t>
        </is>
      </c>
      <c r="Y87" s="10" t="inlineStr">
        <is>
          <t>Not Found</t>
        </is>
      </c>
      <c r="Z87" s="10" t="inlineStr">
        <is>
          <t>Low</t>
        </is>
      </c>
      <c r="AA87" s="10" t="inlineStr">
        <is>
          <t>Requires Verification</t>
        </is>
      </c>
      <c r="AB87" s="10" t="inlineStr">
        <is>
          <t>https://www.yell.com/biz/vape-and-watts-hyde-8811054/</t>
        </is>
      </c>
    </row>
    <row r="88">
      <c r="A88" s="5" t="inlineStr">
        <is>
          <t>UK-000327</t>
        </is>
      </c>
      <c r="B88" s="5" t="inlineStr">
        <is>
          <t>VAPEANDWAT-02</t>
        </is>
      </c>
      <c r="C88" s="5" t="inlineStr">
        <is>
          <t>Vape and Watts</t>
        </is>
      </c>
      <c r="D88" s="5" t="inlineStr">
        <is>
          <t>Vape and Watts Royton</t>
        </is>
      </c>
      <c r="E88" s="5" t="inlineStr">
        <is>
          <t>Vape Shop</t>
        </is>
      </c>
      <c r="F88" s="5" t="inlineStr"/>
      <c r="G88" s="5" t="inlineStr">
        <is>
          <t>Multi-Site Independent</t>
        </is>
      </c>
      <c r="H88" s="5" t="inlineStr">
        <is>
          <t>2</t>
        </is>
      </c>
      <c r="I88" s="5" t="inlineStr">
        <is>
          <t>112 Rochdale Road</t>
        </is>
      </c>
      <c r="J88" s="5" t="inlineStr">
        <is>
          <t>Royton</t>
        </is>
      </c>
      <c r="K88" s="5" t="inlineStr">
        <is>
          <t>OL2 6QF</t>
        </is>
      </c>
      <c r="L88" s="5" t="inlineStr"/>
      <c r="M88" s="5" t="inlineStr"/>
      <c r="N88" s="5" t="inlineStr"/>
      <c r="O88" s="5" t="inlineStr"/>
      <c r="P88" s="5" t="inlineStr">
        <is>
          <t>https://www.facebook.com/vapeandwatts/</t>
        </is>
      </c>
      <c r="Q88" s="5" t="inlineStr"/>
      <c r="R88" s="5" t="inlineStr"/>
      <c r="S88" s="5" t="inlineStr"/>
      <c r="T88" s="5" t="inlineStr"/>
      <c r="U88" s="5" t="inlineStr"/>
      <c r="V88" s="5" t="inlineStr">
        <is>
          <t>High</t>
        </is>
      </c>
      <c r="W88" s="5" t="inlineStr">
        <is>
          <t>Multi-site retailer; Independent retailer; Core relevant category; Social presence</t>
        </is>
      </c>
      <c r="X88" s="5" t="inlineStr">
        <is>
          <t>Not Found</t>
        </is>
      </c>
      <c r="Y88" s="5" t="inlineStr">
        <is>
          <t>Not Found</t>
        </is>
      </c>
      <c r="Z88" s="5" t="inlineStr">
        <is>
          <t>Low</t>
        </is>
      </c>
      <c r="AA88" s="5" t="inlineStr">
        <is>
          <t>Requires Verification</t>
        </is>
      </c>
      <c r="AB88" s="5" t="inlineStr">
        <is>
          <t>https://www.facebook.com/vapeandwatts/photos/available-at-royton-and-hyde-store/1539628500256452/</t>
        </is>
      </c>
    </row>
    <row r="89">
      <c r="A89" s="10" t="inlineStr">
        <is>
          <t>UK-000451</t>
        </is>
      </c>
      <c r="B89" s="10" t="inlineStr">
        <is>
          <t>VAPERZCORN-01</t>
        </is>
      </c>
      <c r="C89" s="10" t="inlineStr">
        <is>
          <t>Vaperz Corner</t>
        </is>
      </c>
      <c r="D89" s="10" t="inlineStr">
        <is>
          <t>Vaperz Corner - Acocks Green</t>
        </is>
      </c>
      <c r="E89" s="10" t="inlineStr">
        <is>
          <t>Vape Shop</t>
        </is>
      </c>
      <c r="F89" s="10" t="inlineStr">
        <is>
          <t>Vape hardware and e-liquid retailer</t>
        </is>
      </c>
      <c r="G89" s="10" t="inlineStr">
        <is>
          <t>Multi-Site Independent</t>
        </is>
      </c>
      <c r="H89" s="10" t="inlineStr">
        <is>
          <t>1</t>
        </is>
      </c>
      <c r="I89" s="10" t="inlineStr">
        <is>
          <t>34 Summer Road</t>
        </is>
      </c>
      <c r="J89" s="10" t="inlineStr">
        <is>
          <t>Birmingham</t>
        </is>
      </c>
      <c r="K89" s="10" t="inlineStr">
        <is>
          <t>B27 7UT</t>
        </is>
      </c>
      <c r="L89" s="10" t="inlineStr">
        <is>
          <t>0121 708 2710</t>
        </is>
      </c>
      <c r="M89" s="10" t="inlineStr"/>
      <c r="N89" s="10" t="inlineStr"/>
      <c r="O89" s="10" t="inlineStr">
        <is>
          <t>https://vaperzcorner.com/</t>
        </is>
      </c>
      <c r="P89" s="10" t="inlineStr"/>
      <c r="Q89" s="10" t="inlineStr"/>
      <c r="R89" s="10" t="inlineStr"/>
      <c r="S89" s="10" t="inlineStr"/>
      <c r="T89" s="10" t="inlineStr"/>
      <c r="U89" s="10" t="inlineStr"/>
      <c r="V89" s="10" t="inlineStr">
        <is>
          <t>High</t>
        </is>
      </c>
      <c r="W89" s="10" t="inlineStr">
        <is>
          <t>Multi-site retailer; Independent retailer; Core relevant category; Active website</t>
        </is>
      </c>
      <c r="X89" s="10" t="inlineStr">
        <is>
          <t>Verified directory</t>
        </is>
      </c>
      <c r="Y89" s="10" t="inlineStr">
        <is>
          <t>Website Found</t>
        </is>
      </c>
      <c r="Z89" s="10" t="inlineStr">
        <is>
          <t>Medium</t>
        </is>
      </c>
      <c r="AA89" s="10" t="inlineStr">
        <is>
          <t>Requires Verification</t>
        </is>
      </c>
      <c r="AB89" s="10" t="inlineStr">
        <is>
          <t>https://vaperzcorner.com/locations/</t>
        </is>
      </c>
    </row>
    <row r="90">
      <c r="A90" s="5" t="inlineStr">
        <is>
          <t>UK-000746</t>
        </is>
      </c>
      <c r="B90" s="5" t="inlineStr">
        <is>
          <t>VAPOURZ-01</t>
        </is>
      </c>
      <c r="C90" s="5" t="inlineStr">
        <is>
          <t>Vapourz</t>
        </is>
      </c>
      <c r="D90" s="5" t="inlineStr">
        <is>
          <t>Vapourz Alloa</t>
        </is>
      </c>
      <c r="E90" s="5" t="inlineStr">
        <is>
          <t>Vape Shop</t>
        </is>
      </c>
      <c r="F90" s="5" t="inlineStr">
        <is>
          <t>Vape shop / e-liquids</t>
        </is>
      </c>
      <c r="G90" s="5" t="inlineStr">
        <is>
          <t>Regional Chain</t>
        </is>
      </c>
      <c r="H90" s="5" t="inlineStr">
        <is>
          <t>1</t>
        </is>
      </c>
      <c r="I90" s="5" t="inlineStr">
        <is>
          <t>Mill Street</t>
        </is>
      </c>
      <c r="J90" s="5" t="inlineStr">
        <is>
          <t>Alloa</t>
        </is>
      </c>
      <c r="K90" s="5" t="inlineStr"/>
      <c r="L90" s="5" t="inlineStr"/>
      <c r="M90" s="5" t="inlineStr"/>
      <c r="N90" s="5" t="inlineStr"/>
      <c r="O90" s="5" t="inlineStr"/>
      <c r="P90" s="5" t="inlineStr"/>
      <c r="Q90" s="5" t="inlineStr"/>
      <c r="R90" s="5" t="inlineStr"/>
      <c r="S90" s="5" t="inlineStr"/>
      <c r="T90" s="5" t="inlineStr"/>
      <c r="U90" s="5" t="inlineStr"/>
      <c r="V90" s="5" t="inlineStr">
        <is>
          <t>Medium</t>
        </is>
      </c>
      <c r="W90" s="5" t="inlineStr">
        <is>
          <t>Multi-site retailer; Core relevant category</t>
        </is>
      </c>
      <c r="X90" s="5" t="inlineStr">
        <is>
          <t>Not Found</t>
        </is>
      </c>
      <c r="Y90" s="5" t="inlineStr">
        <is>
          <t>Not Found</t>
        </is>
      </c>
      <c r="Z90" s="5" t="inlineStr">
        <is>
          <t>Low</t>
        </is>
      </c>
      <c r="AA90" s="5" t="inlineStr">
        <is>
          <t>Requires Verification</t>
        </is>
      </c>
      <c r="AB90" s="5" t="inlineStr">
        <is>
          <t>https://alloa.cylex-uk.co.uk/company/vapourz-26787237.html</t>
        </is>
      </c>
    </row>
    <row r="91">
      <c r="A91" s="10" t="inlineStr">
        <is>
          <t>UK-000747</t>
        </is>
      </c>
      <c r="B91" s="10" t="inlineStr">
        <is>
          <t>VAPOURZ-02</t>
        </is>
      </c>
      <c r="C91" s="10" t="inlineStr">
        <is>
          <t>Vapourz</t>
        </is>
      </c>
      <c r="D91" s="10" t="inlineStr">
        <is>
          <t>Vapourz Falkirk</t>
        </is>
      </c>
      <c r="E91" s="10" t="inlineStr">
        <is>
          <t>Vape Shop</t>
        </is>
      </c>
      <c r="F91" s="10" t="inlineStr">
        <is>
          <t>Vape shop / e-liquids</t>
        </is>
      </c>
      <c r="G91" s="10" t="inlineStr">
        <is>
          <t>Regional Chain</t>
        </is>
      </c>
      <c r="H91" s="10" t="inlineStr">
        <is>
          <t>1</t>
        </is>
      </c>
      <c r="I91" s="10" t="inlineStr">
        <is>
          <t>100 High Street</t>
        </is>
      </c>
      <c r="J91" s="10" t="inlineStr">
        <is>
          <t>Falkirk</t>
        </is>
      </c>
      <c r="K91" s="10" t="inlineStr">
        <is>
          <t>FK1 1NW</t>
        </is>
      </c>
      <c r="L91" s="10" t="inlineStr">
        <is>
          <t>01324 626390</t>
        </is>
      </c>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Core relevant category</t>
        </is>
      </c>
      <c r="X91" s="10" t="inlineStr">
        <is>
          <t>Verified directory</t>
        </is>
      </c>
      <c r="Y91" s="10" t="inlineStr">
        <is>
          <t>Not Found</t>
        </is>
      </c>
      <c r="Z91" s="10" t="inlineStr">
        <is>
          <t>Medium</t>
        </is>
      </c>
      <c r="AA91" s="10" t="inlineStr">
        <is>
          <t>Requires Verification</t>
        </is>
      </c>
      <c r="AB91" s="10" t="inlineStr">
        <is>
          <t>https://falkirk.cylex-uk.co.uk/company/vapourz-26787238.html</t>
        </is>
      </c>
    </row>
    <row r="92">
      <c r="A92" s="5" t="inlineStr">
        <is>
          <t>UK-000748</t>
        </is>
      </c>
      <c r="B92" s="5" t="inlineStr">
        <is>
          <t>VAPOURZ-03</t>
        </is>
      </c>
      <c r="C92" s="5" t="inlineStr">
        <is>
          <t>Vapourz</t>
        </is>
      </c>
      <c r="D92" s="5" t="inlineStr">
        <is>
          <t>Vapourz Kirkcaldy</t>
        </is>
      </c>
      <c r="E92" s="5" t="inlineStr">
        <is>
          <t>Vape Shop</t>
        </is>
      </c>
      <c r="F92" s="5" t="inlineStr">
        <is>
          <t>Vape shop / e-liquids</t>
        </is>
      </c>
      <c r="G92" s="5" t="inlineStr">
        <is>
          <t>Regional Chain</t>
        </is>
      </c>
      <c r="H92" s="5" t="inlineStr">
        <is>
          <t>1</t>
        </is>
      </c>
      <c r="I92" s="5" t="inlineStr">
        <is>
          <t>High Street</t>
        </is>
      </c>
      <c r="J92" s="5" t="inlineStr">
        <is>
          <t>Kirkcaldy</t>
        </is>
      </c>
      <c r="K92" s="5" t="inlineStr"/>
      <c r="L92" s="5" t="inlineStr"/>
      <c r="M92" s="5" t="inlineStr"/>
      <c r="N92" s="5" t="inlineStr"/>
      <c r="O92" s="5" t="inlineStr"/>
      <c r="P92" s="5" t="inlineStr"/>
      <c r="Q92" s="5" t="inlineStr"/>
      <c r="R92" s="5" t="inlineStr"/>
      <c r="S92" s="5" t="inlineStr"/>
      <c r="T92" s="5" t="inlineStr"/>
      <c r="U92" s="5" t="inlineStr"/>
      <c r="V92" s="5" t="inlineStr">
        <is>
          <t>Medium</t>
        </is>
      </c>
      <c r="W92" s="5" t="inlineStr">
        <is>
          <t>Multi-site retailer; Core relevant category</t>
        </is>
      </c>
      <c r="X92" s="5" t="inlineStr">
        <is>
          <t>Not Found</t>
        </is>
      </c>
      <c r="Y92" s="5" t="inlineStr">
        <is>
          <t>Not Found</t>
        </is>
      </c>
      <c r="Z92" s="5" t="inlineStr">
        <is>
          <t>Low</t>
        </is>
      </c>
      <c r="AA92" s="5" t="inlineStr">
        <is>
          <t>Requires Verification</t>
        </is>
      </c>
      <c r="AB92" s="5" t="inlineStr">
        <is>
          <t>https://kirkcaldy.cylex-uk.co.uk/company/vapourz-26862998.html</t>
        </is>
      </c>
    </row>
    <row r="93">
      <c r="A93" s="10" t="inlineStr">
        <is>
          <t>UK-000749</t>
        </is>
      </c>
      <c r="B93" s="10" t="inlineStr">
        <is>
          <t>VAPOURZ-04</t>
        </is>
      </c>
      <c r="C93" s="10" t="inlineStr">
        <is>
          <t>Vapourz</t>
        </is>
      </c>
      <c r="D93" s="10" t="inlineStr">
        <is>
          <t>Vapourz Stirling</t>
        </is>
      </c>
      <c r="E93" s="10" t="inlineStr">
        <is>
          <t>Vape Shop</t>
        </is>
      </c>
      <c r="F93" s="10" t="inlineStr">
        <is>
          <t>Vape shop / e-liquids</t>
        </is>
      </c>
      <c r="G93" s="10" t="inlineStr">
        <is>
          <t>Regional Chain</t>
        </is>
      </c>
      <c r="H93" s="10" t="inlineStr">
        <is>
          <t>1</t>
        </is>
      </c>
      <c r="I93" s="10" t="inlineStr">
        <is>
          <t>King Street</t>
        </is>
      </c>
      <c r="J93" s="10" t="inlineStr">
        <is>
          <t>Stirling</t>
        </is>
      </c>
      <c r="K93" s="10" t="inlineStr"/>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Core relevant category</t>
        </is>
      </c>
      <c r="X93" s="10" t="inlineStr">
        <is>
          <t>Not Found</t>
        </is>
      </c>
      <c r="Y93" s="10" t="inlineStr">
        <is>
          <t>Not Found</t>
        </is>
      </c>
      <c r="Z93" s="10" t="inlineStr">
        <is>
          <t>Low</t>
        </is>
      </c>
      <c r="AA93" s="10" t="inlineStr">
        <is>
          <t>Requires Verification</t>
        </is>
      </c>
      <c r="AB93" s="10" t="inlineStr">
        <is>
          <t>https://stirling.cylex-uk.co.uk/company/vapourz-26641954.html</t>
        </is>
      </c>
    </row>
    <row r="94">
      <c r="A94" s="5" t="inlineStr">
        <is>
          <t>WY-0039</t>
        </is>
      </c>
      <c r="B94" s="5" t="inlineStr">
        <is>
          <t>WOWVAPE-01</t>
        </is>
      </c>
      <c r="C94" s="5" t="inlineStr">
        <is>
          <t>WOW Vape</t>
        </is>
      </c>
      <c r="D94" s="5" t="inlineStr">
        <is>
          <t>WOW Vape (Castleford)</t>
        </is>
      </c>
      <c r="E94" s="5" t="inlineStr">
        <is>
          <t>Vape Shop</t>
        </is>
      </c>
      <c r="F94" s="5" t="inlineStr">
        <is>
          <t>Vape retailer</t>
        </is>
      </c>
      <c r="G94" s="5" t="inlineStr">
        <is>
          <t>Multi-Site Independent</t>
        </is>
      </c>
      <c r="H94" s="5" t="inlineStr">
        <is>
          <t>2</t>
        </is>
      </c>
      <c r="I94" s="5" t="inlineStr">
        <is>
          <t>45 Carlton Street</t>
        </is>
      </c>
      <c r="J94" s="5" t="inlineStr">
        <is>
          <t>Castleford</t>
        </is>
      </c>
      <c r="K94" s="5" t="inlineStr">
        <is>
          <t>WF10 1BA</t>
        </is>
      </c>
      <c r="L94" s="5" t="inlineStr">
        <is>
          <t>01977 516062</t>
        </is>
      </c>
      <c r="M94" s="5" t="inlineStr"/>
      <c r="N94" s="5" t="inlineStr"/>
      <c r="O94" s="5" t="inlineStr">
        <is>
          <t>https://wow-vape.co.uk</t>
        </is>
      </c>
      <c r="P94" s="5" t="inlineStr">
        <is>
          <t>https://www.facebook.com/wowvapecas/</t>
        </is>
      </c>
      <c r="Q94" s="5" t="inlineStr">
        <is>
          <t>https://www.instagram.com/wow_vape_castleford/</t>
        </is>
      </c>
      <c r="R94" s="5" t="inlineStr"/>
      <c r="S94" s="5" t="inlineStr"/>
      <c r="T94" s="5" t="inlineStr"/>
      <c r="U94" s="5" t="inlineStr"/>
      <c r="V94" s="5" t="inlineStr">
        <is>
          <t>High</t>
        </is>
      </c>
      <c r="W94" s="5" t="inlineStr">
        <is>
          <t>Multi-site retailer; Independent retailer; Core relevant category; Active website; Social presence</t>
        </is>
      </c>
      <c r="X94" s="5" t="inlineStr">
        <is>
          <t>Verified directory</t>
        </is>
      </c>
      <c r="Y94" s="5" t="inlineStr">
        <is>
          <t>Not Found</t>
        </is>
      </c>
      <c r="Z94" s="5" t="inlineStr">
        <is>
          <t>Medium</t>
        </is>
      </c>
      <c r="AA94" s="5" t="inlineStr">
        <is>
          <t>Requires Verification</t>
        </is>
      </c>
      <c r="AB94" s="5" t="inlineStr">
        <is>
          <t>https://www.facebook.com/wowvapecas/</t>
        </is>
      </c>
    </row>
    <row r="95">
      <c r="A95" s="10" t="inlineStr">
        <is>
          <t>WY-0040</t>
        </is>
      </c>
      <c r="B95" s="10" t="inlineStr">
        <is>
          <t>WOWVAPE-02</t>
        </is>
      </c>
      <c r="C95" s="10" t="inlineStr">
        <is>
          <t>WOW Vape</t>
        </is>
      </c>
      <c r="D95" s="10" t="inlineStr">
        <is>
          <t>WOW Vape (Wakefield)</t>
        </is>
      </c>
      <c r="E95" s="10" t="inlineStr">
        <is>
          <t>Vape Shop</t>
        </is>
      </c>
      <c r="F95" s="10" t="inlineStr">
        <is>
          <t>Vape retailer</t>
        </is>
      </c>
      <c r="G95" s="10" t="inlineStr">
        <is>
          <t>Multi-Site Independent</t>
        </is>
      </c>
      <c r="H95" s="10" t="inlineStr">
        <is>
          <t>2</t>
        </is>
      </c>
      <c r="I95" s="10" t="inlineStr"/>
      <c r="J95" s="10" t="inlineStr">
        <is>
          <t>Wakefield</t>
        </is>
      </c>
      <c r="K95" s="10" t="inlineStr"/>
      <c r="L95" s="10" t="inlineStr"/>
      <c r="M95" s="10" t="inlineStr"/>
      <c r="N95" s="10" t="inlineStr"/>
      <c r="O95" s="10" t="inlineStr"/>
      <c r="P95" s="10" t="inlineStr"/>
      <c r="Q95" s="10" t="inlineStr">
        <is>
          <t>https://www.instagram.com/wowvapewakefield/</t>
        </is>
      </c>
      <c r="R95" s="10" t="inlineStr"/>
      <c r="S95" s="10" t="inlineStr"/>
      <c r="T95" s="10" t="inlineStr"/>
      <c r="U95" s="10" t="inlineStr"/>
      <c r="V95" s="10" t="inlineStr">
        <is>
          <t>High</t>
        </is>
      </c>
      <c r="W95" s="10" t="inlineStr">
        <is>
          <t>Multi-site retailer; Independent retailer; Core relevant category; Social presence</t>
        </is>
      </c>
      <c r="X95" s="10" t="inlineStr">
        <is>
          <t>Not Found</t>
        </is>
      </c>
      <c r="Y95" s="10" t="inlineStr">
        <is>
          <t>Not Found</t>
        </is>
      </c>
      <c r="Z95" s="10" t="inlineStr">
        <is>
          <t>Low</t>
        </is>
      </c>
      <c r="AA95" s="10" t="inlineStr">
        <is>
          <t>Requires Verification</t>
        </is>
      </c>
      <c r="AB95" s="10" t="inlineStr">
        <is>
          <t>https://www.instagram.com/wowvapewakefield/</t>
        </is>
      </c>
    </row>
    <row r="96">
      <c r="A96" s="5" t="inlineStr">
        <is>
          <t>WY-0041</t>
        </is>
      </c>
      <c r="B96" s="5" t="inlineStr">
        <is>
          <t>WEAREVAPES-01</t>
        </is>
      </c>
      <c r="C96" s="5" t="inlineStr">
        <is>
          <t>We Are Vapes</t>
        </is>
      </c>
      <c r="D96" s="5" t="inlineStr">
        <is>
          <t>We Are Vapes</t>
        </is>
      </c>
      <c r="E96" s="5" t="inlineStr">
        <is>
          <t>Vape Shop</t>
        </is>
      </c>
      <c r="F96" s="5" t="inlineStr">
        <is>
          <t>Vape kits, e-liquids &amp; accessories</t>
        </is>
      </c>
      <c r="G96" s="5" t="inlineStr">
        <is>
          <t>Multi-Site Independent</t>
        </is>
      </c>
      <c r="H96" s="5" t="inlineStr">
        <is>
          <t>3</t>
        </is>
      </c>
      <c r="I96" s="5" t="inlineStr">
        <is>
          <t>287 Tong Street</t>
        </is>
      </c>
      <c r="J96" s="5" t="inlineStr">
        <is>
          <t>Bradford</t>
        </is>
      </c>
      <c r="K96" s="5" t="inlineStr">
        <is>
          <t>BD4 9QJ</t>
        </is>
      </c>
      <c r="L96" s="5" t="inlineStr">
        <is>
          <t>01274 270773</t>
        </is>
      </c>
      <c r="M96" s="5" t="inlineStr"/>
      <c r="N96" s="5" t="inlineStr"/>
      <c r="O96" s="5" t="inlineStr">
        <is>
          <t>https://www.wearevapes.com/</t>
        </is>
      </c>
      <c r="P96" s="5" t="inlineStr"/>
      <c r="Q96" s="5" t="inlineStr"/>
      <c r="R96" s="5" t="inlineStr"/>
      <c r="S96" s="5" t="inlineStr"/>
      <c r="T96" s="5" t="inlineStr"/>
      <c r="U96" s="5" t="inlineStr"/>
      <c r="V96" s="5" t="inlineStr">
        <is>
          <t>High</t>
        </is>
      </c>
      <c r="W96" s="5" t="inlineStr">
        <is>
          <t>Multi-site retailer; Independent retailer; Core relevant category; Active website</t>
        </is>
      </c>
      <c r="X96" s="5" t="inlineStr">
        <is>
          <t>Verified directory</t>
        </is>
      </c>
      <c r="Y96" s="5" t="inlineStr">
        <is>
          <t>Website Found</t>
        </is>
      </c>
      <c r="Z96" s="5" t="inlineStr">
        <is>
          <t>Medium</t>
        </is>
      </c>
      <c r="AA96" s="5" t="inlineStr">
        <is>
          <t>Requires Verification</t>
        </is>
      </c>
      <c r="AB96" s="5" t="inlineStr">
        <is>
          <t>https://www.wearevapes.com/</t>
        </is>
      </c>
    </row>
    <row r="97">
      <c r="A97" s="10" t="inlineStr">
        <is>
          <t>WY-0042</t>
        </is>
      </c>
      <c r="B97" s="10" t="inlineStr">
        <is>
          <t>WEAREVAPES-02</t>
        </is>
      </c>
      <c r="C97" s="10" t="inlineStr">
        <is>
          <t>We Are Vapes</t>
        </is>
      </c>
      <c r="D97" s="10" t="inlineStr">
        <is>
          <t>We Are Vapes</t>
        </is>
      </c>
      <c r="E97" s="10" t="inlineStr">
        <is>
          <t>Vape Shop</t>
        </is>
      </c>
      <c r="F97" s="10" t="inlineStr">
        <is>
          <t>Vape kits, e-liquids &amp; accessories</t>
        </is>
      </c>
      <c r="G97" s="10" t="inlineStr">
        <is>
          <t>Multi-Site Independent</t>
        </is>
      </c>
      <c r="H97" s="10" t="inlineStr">
        <is>
          <t>3</t>
        </is>
      </c>
      <c r="I97" s="10" t="inlineStr">
        <is>
          <t>220 High Street</t>
        </is>
      </c>
      <c r="J97" s="10" t="inlineStr">
        <is>
          <t>Bradford</t>
        </is>
      </c>
      <c r="K97" s="10" t="inlineStr"/>
      <c r="L97" s="10" t="inlineStr">
        <is>
          <t>01274 634327</t>
        </is>
      </c>
      <c r="M97" s="10" t="inlineStr"/>
      <c r="N97" s="10" t="inlineStr"/>
      <c r="O97" s="10" t="inlineStr">
        <is>
          <t>https://www.wearevapes.com/</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Verified directory</t>
        </is>
      </c>
      <c r="Y97" s="10" t="inlineStr">
        <is>
          <t>Website Found</t>
        </is>
      </c>
      <c r="Z97" s="10" t="inlineStr">
        <is>
          <t>Medium</t>
        </is>
      </c>
      <c r="AA97" s="10" t="inlineStr">
        <is>
          <t>Requires Verification</t>
        </is>
      </c>
      <c r="AB97" s="10" t="inlineStr">
        <is>
          <t>https://www.wearevapes.com/</t>
        </is>
      </c>
    </row>
    <row r="98">
      <c r="A98" s="5" t="inlineStr">
        <is>
          <t>WY-0043</t>
        </is>
      </c>
      <c r="B98" s="5" t="inlineStr">
        <is>
          <t>WEAREVAPES-03</t>
        </is>
      </c>
      <c r="C98" s="5" t="inlineStr">
        <is>
          <t>We Are Vapes</t>
        </is>
      </c>
      <c r="D98" s="5" t="inlineStr">
        <is>
          <t>We Are Vapes</t>
        </is>
      </c>
      <c r="E98" s="5" t="inlineStr">
        <is>
          <t>Vape Shop</t>
        </is>
      </c>
      <c r="F98" s="5" t="inlineStr">
        <is>
          <t>Vape kits, e-liquids &amp; accessories</t>
        </is>
      </c>
      <c r="G98" s="5" t="inlineStr">
        <is>
          <t>Multi-Site Independent</t>
        </is>
      </c>
      <c r="H98" s="5" t="inlineStr">
        <is>
          <t>3</t>
        </is>
      </c>
      <c r="I98" s="5" t="inlineStr">
        <is>
          <t>446 Killinghall Road</t>
        </is>
      </c>
      <c r="J98" s="5" t="inlineStr">
        <is>
          <t>Bradford</t>
        </is>
      </c>
      <c r="K98" s="5" t="inlineStr"/>
      <c r="L98" s="5" t="inlineStr"/>
      <c r="M98" s="5" t="inlineStr"/>
      <c r="N98" s="5" t="inlineStr"/>
      <c r="O98" s="5" t="inlineStr">
        <is>
          <t>https://www.wearevapes.com/</t>
        </is>
      </c>
      <c r="P98" s="5" t="inlineStr"/>
      <c r="Q98" s="5" t="inlineStr"/>
      <c r="R98" s="5" t="inlineStr"/>
      <c r="S98" s="5" t="inlineStr"/>
      <c r="T98" s="5" t="inlineStr"/>
      <c r="U98" s="5" t="inlineStr"/>
      <c r="V98" s="5" t="inlineStr">
        <is>
          <t>High</t>
        </is>
      </c>
      <c r="W98" s="5" t="inlineStr">
        <is>
          <t>Multi-site retailer; Independent retailer; Core relevant category; Active website</t>
        </is>
      </c>
      <c r="X98" s="5" t="inlineStr">
        <is>
          <t>Not Found</t>
        </is>
      </c>
      <c r="Y98" s="5" t="inlineStr">
        <is>
          <t>Website Found</t>
        </is>
      </c>
      <c r="Z98" s="5" t="inlineStr">
        <is>
          <t>Low</t>
        </is>
      </c>
      <c r="AA98" s="5" t="inlineStr">
        <is>
          <t>Requires Verification</t>
        </is>
      </c>
      <c r="AB98" s="5" t="inlineStr">
        <is>
          <t>https://www.wearevapes.com/</t>
        </is>
      </c>
    </row>
    <row r="99">
      <c r="A99" s="10" t="inlineStr">
        <is>
          <t>UK-000751</t>
        </is>
      </c>
      <c r="B99" s="10" t="inlineStr">
        <is>
          <t>ECIGARUS-01</t>
        </is>
      </c>
      <c r="C99" s="10" t="inlineStr">
        <is>
          <t>e.cig.a.rus</t>
        </is>
      </c>
      <c r="D99" s="10" t="inlineStr">
        <is>
          <t>e.cig.a.rus Hamilton</t>
        </is>
      </c>
      <c r="E99" s="10" t="inlineStr">
        <is>
          <t>Vape Shop</t>
        </is>
      </c>
      <c r="F99" s="10" t="inlineStr">
        <is>
          <t>Vape shop</t>
        </is>
      </c>
      <c r="G99" s="10" t="inlineStr">
        <is>
          <t>Multi-Site Independent</t>
        </is>
      </c>
      <c r="H99" s="10" t="inlineStr">
        <is>
          <t>2</t>
        </is>
      </c>
      <c r="I99" s="10" t="inlineStr">
        <is>
          <t>28 Quarry Street</t>
        </is>
      </c>
      <c r="J99" s="10" t="inlineStr">
        <is>
          <t>Hamilton</t>
        </is>
      </c>
      <c r="K99" s="10" t="inlineStr">
        <is>
          <t>ML3 7AR</t>
        </is>
      </c>
      <c r="L99" s="10" t="inlineStr">
        <is>
          <t>01698 420068</t>
        </is>
      </c>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Independent retailer; Core relevant category</t>
        </is>
      </c>
      <c r="X99" s="10" t="inlineStr">
        <is>
          <t>Verified directory</t>
        </is>
      </c>
      <c r="Y99" s="10" t="inlineStr">
        <is>
          <t>Not Found</t>
        </is>
      </c>
      <c r="Z99" s="10" t="inlineStr">
        <is>
          <t>Medium</t>
        </is>
      </c>
      <c r="AA99" s="10" t="inlineStr">
        <is>
          <t>Requires Verification</t>
        </is>
      </c>
      <c r="AB99" s="10" t="inlineStr">
        <is>
          <t>https://ecigdirectory.co.uk/vape-shop/listing/e-cig-a-rus-hamilton</t>
        </is>
      </c>
    </row>
    <row r="100">
      <c r="A100" s="5" t="inlineStr">
        <is>
          <t>UK-000752</t>
        </is>
      </c>
      <c r="B100" s="5" t="inlineStr">
        <is>
          <t>ECIGARUS-02</t>
        </is>
      </c>
      <c r="C100" s="5" t="inlineStr">
        <is>
          <t>e.cig.a.rus</t>
        </is>
      </c>
      <c r="D100" s="5" t="inlineStr">
        <is>
          <t>e.cig.a.rus Wishaw</t>
        </is>
      </c>
      <c r="E100" s="5" t="inlineStr">
        <is>
          <t>Vape Shop</t>
        </is>
      </c>
      <c r="F100" s="5" t="inlineStr">
        <is>
          <t>Vape shop</t>
        </is>
      </c>
      <c r="G100" s="5" t="inlineStr">
        <is>
          <t>Multi-Site Independent</t>
        </is>
      </c>
      <c r="H100" s="5" t="inlineStr">
        <is>
          <t>2</t>
        </is>
      </c>
      <c r="I100" s="5" t="inlineStr">
        <is>
          <t>97 Main Street</t>
        </is>
      </c>
      <c r="J100" s="5" t="inlineStr">
        <is>
          <t>Wishaw</t>
        </is>
      </c>
      <c r="K100" s="5" t="inlineStr">
        <is>
          <t>ML2 7AU</t>
        </is>
      </c>
      <c r="L100" s="5" t="inlineStr">
        <is>
          <t>01698 296440</t>
        </is>
      </c>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Core relevant category</t>
        </is>
      </c>
      <c r="X100" s="5" t="inlineStr">
        <is>
          <t>Verified directory</t>
        </is>
      </c>
      <c r="Y100" s="5" t="inlineStr">
        <is>
          <t>Not Found</t>
        </is>
      </c>
      <c r="Z100" s="5" t="inlineStr">
        <is>
          <t>Medium</t>
        </is>
      </c>
      <c r="AA100" s="5" t="inlineStr">
        <is>
          <t>Requires Verification</t>
        </is>
      </c>
      <c r="AB100" s="5" t="inlineStr">
        <is>
          <t>https://ecigdirectory.co.uk/vape-shop/listing/e-cig-a-rus-wishaw</t>
        </is>
      </c>
    </row>
    <row r="101">
      <c r="A101" s="10" t="inlineStr">
        <is>
          <t>UK-000227</t>
        </is>
      </c>
      <c r="B101" s="10" t="inlineStr">
        <is>
          <t>ECIGARETTE-01</t>
        </is>
      </c>
      <c r="C101" s="10" t="inlineStr">
        <is>
          <t>eCigarette Outlet</t>
        </is>
      </c>
      <c r="D101" s="10" t="inlineStr">
        <is>
          <t>eCigarette Outlet</t>
        </is>
      </c>
      <c r="E101" s="10" t="inlineStr">
        <is>
          <t>Vape Shop</t>
        </is>
      </c>
      <c r="F101" s="10" t="inlineStr">
        <is>
          <t>E-cigarette specialist chain</t>
        </is>
      </c>
      <c r="G101" s="10" t="inlineStr">
        <is>
          <t>Regional Chain</t>
        </is>
      </c>
      <c r="H101" s="10" t="inlineStr">
        <is>
          <t>6</t>
        </is>
      </c>
      <c r="I101" s="10" t="inlineStr">
        <is>
          <t>53 Jameson Street</t>
        </is>
      </c>
      <c r="J101" s="10" t="inlineStr">
        <is>
          <t>Kingston upon Hull</t>
        </is>
      </c>
      <c r="K101" s="10" t="inlineStr"/>
      <c r="L101" s="10" t="inlineStr"/>
      <c r="M101" s="10" t="inlineStr">
        <is>
          <t>customer.service@ecigaretteoutlet.co.uk</t>
        </is>
      </c>
      <c r="N101" s="10" t="inlineStr"/>
      <c r="O101" s="10" t="inlineStr">
        <is>
          <t>https://ecigaretteoutlet.co.uk</t>
        </is>
      </c>
      <c r="P101" s="10" t="inlineStr">
        <is>
          <t>https://www.facebook.com/EcigaretteoutletHull/</t>
        </is>
      </c>
      <c r="Q101" s="10" t="inlineStr"/>
      <c r="R101" s="10" t="inlineStr"/>
      <c r="S101" s="10" t="inlineStr"/>
      <c r="T101" s="10" t="inlineStr"/>
      <c r="U101" s="10" t="inlineStr"/>
      <c r="V101" s="10" t="inlineStr">
        <is>
          <t>High</t>
        </is>
      </c>
      <c r="W101" s="10" t="inlineStr">
        <is>
          <t>Multi-site retailer; Core relevant category; Public email available; Active website; Social presence</t>
        </is>
      </c>
      <c r="X101" s="10" t="inlineStr">
        <is>
          <t>Not Found</t>
        </is>
      </c>
      <c r="Y101" s="10" t="inlineStr">
        <is>
          <t>Publicly Listed</t>
        </is>
      </c>
      <c r="Z101" s="10" t="inlineStr">
        <is>
          <t>Medium</t>
        </is>
      </c>
      <c r="AA101" s="10" t="inlineStr">
        <is>
          <t>Partially Verified</t>
        </is>
      </c>
      <c r="AB101" s="10" t="inlineStr">
        <is>
          <t>https://www.facebook.com/EcigaretteoutletHull/</t>
        </is>
      </c>
    </row>
    <row r="102">
      <c r="A102" s="5" t="inlineStr">
        <is>
          <t>UK-000228</t>
        </is>
      </c>
      <c r="B102" s="5" t="inlineStr">
        <is>
          <t>ECIGARETTE-02</t>
        </is>
      </c>
      <c r="C102" s="5" t="inlineStr">
        <is>
          <t>eCigarette Outlet</t>
        </is>
      </c>
      <c r="D102" s="5" t="inlineStr">
        <is>
          <t>eCigarette Outlet Cleethorpes</t>
        </is>
      </c>
      <c r="E102" s="5" t="inlineStr">
        <is>
          <t>Vape Shop</t>
        </is>
      </c>
      <c r="F102" s="5" t="inlineStr">
        <is>
          <t>E-cigarette specialist chain</t>
        </is>
      </c>
      <c r="G102" s="5" t="inlineStr">
        <is>
          <t>Regional Chain</t>
        </is>
      </c>
      <c r="H102" s="5" t="inlineStr">
        <is>
          <t>1</t>
        </is>
      </c>
      <c r="I102" s="5" t="inlineStr">
        <is>
          <t>3 St Peter's Avenue</t>
        </is>
      </c>
      <c r="J102" s="5" t="inlineStr">
        <is>
          <t>Cleethorpes</t>
        </is>
      </c>
      <c r="K102" s="5" t="inlineStr">
        <is>
          <t>DN35 8HQ</t>
        </is>
      </c>
      <c r="L102" s="5" t="inlineStr">
        <is>
          <t>01472 694619</t>
        </is>
      </c>
      <c r="M102" s="5" t="inlineStr">
        <is>
          <t>customer.service@ecigaretteoutlet.co.uk</t>
        </is>
      </c>
      <c r="N102" s="5" t="inlineStr"/>
      <c r="O102" s="5" t="inlineStr">
        <is>
          <t>https://ecigaretteoutlet.co.uk</t>
        </is>
      </c>
      <c r="P102" s="5" t="inlineStr"/>
      <c r="Q102" s="5" t="inlineStr"/>
      <c r="R102" s="5" t="inlineStr"/>
      <c r="S102" s="5" t="inlineStr"/>
      <c r="T102" s="5" t="inlineStr"/>
      <c r="U102" s="5" t="inlineStr"/>
      <c r="V102" s="5" t="inlineStr">
        <is>
          <t>High</t>
        </is>
      </c>
      <c r="W102" s="5" t="inlineStr">
        <is>
          <t>Multi-site retailer; Core relevant category; Public email available; Active website</t>
        </is>
      </c>
      <c r="X102" s="5" t="inlineStr">
        <is>
          <t>Verified directory</t>
        </is>
      </c>
      <c r="Y102" s="5" t="inlineStr">
        <is>
          <t>Publicly Listed</t>
        </is>
      </c>
      <c r="Z102" s="5" t="inlineStr">
        <is>
          <t>Medium</t>
        </is>
      </c>
      <c r="AA102" s="5" t="inlineStr">
        <is>
          <t>Partially Verified</t>
        </is>
      </c>
      <c r="AB102" s="5" t="inlineStr">
        <is>
          <t>https://vapeshop-nearme.com/listing/ecigarette-outlet-cleethorpes/</t>
        </is>
      </c>
    </row>
    <row r="103">
      <c r="A103" s="10" t="inlineStr">
        <is>
          <t>UK-000229</t>
        </is>
      </c>
      <c r="B103" s="10" t="inlineStr">
        <is>
          <t>ECIGARETTE-03</t>
        </is>
      </c>
      <c r="C103" s="10" t="inlineStr">
        <is>
          <t>eCigarette Outlet</t>
        </is>
      </c>
      <c r="D103" s="10" t="inlineStr">
        <is>
          <t>eCigarette Outlet Scunthorpe</t>
        </is>
      </c>
      <c r="E103" s="10" t="inlineStr">
        <is>
          <t>Vape Shop</t>
        </is>
      </c>
      <c r="F103" s="10" t="inlineStr">
        <is>
          <t>E-cigarette specialist chain</t>
        </is>
      </c>
      <c r="G103" s="10" t="inlineStr">
        <is>
          <t>Regional Chain</t>
        </is>
      </c>
      <c r="H103" s="10" t="inlineStr">
        <is>
          <t>1</t>
        </is>
      </c>
      <c r="I103" s="10" t="inlineStr">
        <is>
          <t>14 Laneham Street</t>
        </is>
      </c>
      <c r="J103" s="10" t="inlineStr">
        <is>
          <t>Scunthorpe</t>
        </is>
      </c>
      <c r="K103" s="10" t="inlineStr">
        <is>
          <t>DN15 6LJ</t>
        </is>
      </c>
      <c r="L103" s="10" t="inlineStr"/>
      <c r="M103" s="10" t="inlineStr">
        <is>
          <t>customer.service@ecigaretteoutlet.co.uk</t>
        </is>
      </c>
      <c r="N103" s="10" t="inlineStr"/>
      <c r="O103" s="10" t="inlineStr">
        <is>
          <t>https://ecigaretteoutlet.co.uk</t>
        </is>
      </c>
      <c r="P103" s="10" t="inlineStr">
        <is>
          <t>https://www.facebook.com/Ecigaretteoutlet/</t>
        </is>
      </c>
      <c r="Q103" s="10" t="inlineStr"/>
      <c r="R103" s="10" t="inlineStr"/>
      <c r="S103" s="10" t="inlineStr"/>
      <c r="T103" s="10" t="inlineStr"/>
      <c r="U103" s="10" t="inlineStr"/>
      <c r="V103" s="10" t="inlineStr">
        <is>
          <t>High</t>
        </is>
      </c>
      <c r="W103" s="10" t="inlineStr">
        <is>
          <t>Multi-site retailer; Core relevant category; Public email available; Active website; Social presence</t>
        </is>
      </c>
      <c r="X103" s="10" t="inlineStr">
        <is>
          <t>Not Found</t>
        </is>
      </c>
      <c r="Y103" s="10" t="inlineStr">
        <is>
          <t>Publicly Listed</t>
        </is>
      </c>
      <c r="Z103" s="10" t="inlineStr">
        <is>
          <t>Medium</t>
        </is>
      </c>
      <c r="AA103" s="10" t="inlineStr">
        <is>
          <t>Partially Verified</t>
        </is>
      </c>
      <c r="AB103" s="10" t="inlineStr">
        <is>
          <t>https://www.facebook.com/Ecigaretteoutlet/</t>
        </is>
      </c>
    </row>
    <row r="104">
      <c r="A104" s="5" t="inlineStr">
        <is>
          <t>UK-000230</t>
        </is>
      </c>
      <c r="B104" s="5" t="inlineStr">
        <is>
          <t>IVAPESTORE-01</t>
        </is>
      </c>
      <c r="C104" s="5" t="inlineStr">
        <is>
          <t>iVape Store</t>
        </is>
      </c>
      <c r="D104" s="5" t="inlineStr">
        <is>
          <t>iVape Harrogate</t>
        </is>
      </c>
      <c r="E104" s="5" t="inlineStr">
        <is>
          <t>Vape Shop</t>
        </is>
      </c>
      <c r="F104" s="5" t="inlineStr">
        <is>
          <t>Disposables, e-liquids &amp; devices</t>
        </is>
      </c>
      <c r="G104" s="5" t="inlineStr">
        <is>
          <t>Regional Chain</t>
        </is>
      </c>
      <c r="H104" s="5" t="inlineStr"/>
      <c r="I104" s="5" t="inlineStr">
        <is>
          <t>8 Beulah Street</t>
        </is>
      </c>
      <c r="J104" s="5" t="inlineStr">
        <is>
          <t>Harrogate</t>
        </is>
      </c>
      <c r="K104" s="5" t="inlineStr">
        <is>
          <t>HG1 1QQ</t>
        </is>
      </c>
      <c r="L104" s="5" t="inlineStr">
        <is>
          <t>01423 509009</t>
        </is>
      </c>
      <c r="M104" s="5" t="inlineStr"/>
      <c r="N104" s="5" t="inlineStr"/>
      <c r="O104" s="5" t="inlineStr">
        <is>
          <t>https://ivapestore.co.uk/stores/ivape-harrogate</t>
        </is>
      </c>
      <c r="P104" s="5" t="inlineStr">
        <is>
          <t>https://www.facebook.com/iVapeHarrogateUK/</t>
        </is>
      </c>
      <c r="Q104" s="5" t="inlineStr"/>
      <c r="R104" s="5" t="inlineStr"/>
      <c r="S104" s="5" t="inlineStr"/>
      <c r="T104" s="5" t="inlineStr"/>
      <c r="U104" s="5" t="inlineStr"/>
      <c r="V104" s="5" t="inlineStr">
        <is>
          <t>High</t>
        </is>
      </c>
      <c r="W104" s="5" t="inlineStr">
        <is>
          <t>Multi-site retailer; Core relevant category; Active website; Social presence</t>
        </is>
      </c>
      <c r="X104" s="5" t="inlineStr">
        <is>
          <t>Verified directory</t>
        </is>
      </c>
      <c r="Y104" s="5" t="inlineStr">
        <is>
          <t>Website Found</t>
        </is>
      </c>
      <c r="Z104" s="5" t="inlineStr">
        <is>
          <t>Medium</t>
        </is>
      </c>
      <c r="AA104" s="5" t="inlineStr">
        <is>
          <t>Requires Verification</t>
        </is>
      </c>
      <c r="AB104" s="5" t="inlineStr">
        <is>
          <t>https://ivapestore.co.uk/stores/ivape-harrogate</t>
        </is>
      </c>
    </row>
    <row r="105">
      <c r="A105" s="10" t="inlineStr">
        <is>
          <t>UK-000565</t>
        </is>
      </c>
      <c r="B105" s="10" t="inlineStr">
        <is>
          <t>MYCIGARA-01</t>
        </is>
      </c>
      <c r="C105" s="10" t="inlineStr">
        <is>
          <t>myCigara</t>
        </is>
      </c>
      <c r="D105" s="10" t="inlineStr">
        <is>
          <t>myCigara - Hammersmith (King Street)</t>
        </is>
      </c>
      <c r="E105" s="10" t="inlineStr">
        <is>
          <t>Vape Shop</t>
        </is>
      </c>
      <c r="F105" s="10" t="inlineStr">
        <is>
          <t>Vape store &amp; e-liquids</t>
        </is>
      </c>
      <c r="G105" s="10" t="inlineStr">
        <is>
          <t>Regional Chain</t>
        </is>
      </c>
      <c r="H105" s="10" t="inlineStr">
        <is>
          <t>1</t>
        </is>
      </c>
      <c r="I105" s="10" t="inlineStr">
        <is>
          <t>106 King Street</t>
        </is>
      </c>
      <c r="J105" s="10" t="inlineStr">
        <is>
          <t>London</t>
        </is>
      </c>
      <c r="K105" s="10" t="inlineStr">
        <is>
          <t>W6 0QP</t>
        </is>
      </c>
      <c r="L105" s="10" t="inlineStr"/>
      <c r="M105" s="10" t="inlineStr"/>
      <c r="N105" s="10" t="inlineStr"/>
      <c r="O105" s="10" t="inlineStr">
        <is>
          <t>https://www.mycigara.com/</t>
        </is>
      </c>
      <c r="P105" s="10" t="inlineStr"/>
      <c r="Q105" s="10" t="inlineStr"/>
      <c r="R105" s="10" t="inlineStr"/>
      <c r="S105" s="10" t="inlineStr"/>
      <c r="T105" s="10" t="inlineStr"/>
      <c r="U105" s="10" t="inlineStr"/>
      <c r="V105" s="10" t="inlineStr">
        <is>
          <t>Medium</t>
        </is>
      </c>
      <c r="W105" s="10" t="inlineStr">
        <is>
          <t>Multi-site retailer; Core relevant category; Active website</t>
        </is>
      </c>
      <c r="X105" s="10" t="inlineStr">
        <is>
          <t>Not Found</t>
        </is>
      </c>
      <c r="Y105" s="10" t="inlineStr">
        <is>
          <t>Not Found</t>
        </is>
      </c>
      <c r="Z105" s="10" t="inlineStr">
        <is>
          <t>Low</t>
        </is>
      </c>
      <c r="AA105" s="10" t="inlineStr">
        <is>
          <t>Requires Verification</t>
        </is>
      </c>
      <c r="AB105" s="10" t="inlineStr">
        <is>
          <t>https://www.yell.com/biz/cigara-hammersmith-and-fulham-london-8957652/</t>
        </is>
      </c>
    </row>
    <row r="106">
      <c r="A106" s="5" t="inlineStr">
        <is>
          <t>UK-000566</t>
        </is>
      </c>
      <c r="B106" s="5" t="inlineStr">
        <is>
          <t>MYCIGARA-02</t>
        </is>
      </c>
      <c r="C106" s="5" t="inlineStr">
        <is>
          <t>myCigara</t>
        </is>
      </c>
      <c r="D106" s="5" t="inlineStr">
        <is>
          <t>myCigara - Holborn (Theobald's Road)</t>
        </is>
      </c>
      <c r="E106" s="5" t="inlineStr">
        <is>
          <t>Vape Shop</t>
        </is>
      </c>
      <c r="F106" s="5" t="inlineStr">
        <is>
          <t>Vape store &amp; e-liquids</t>
        </is>
      </c>
      <c r="G106" s="5" t="inlineStr">
        <is>
          <t>Regional Chain</t>
        </is>
      </c>
      <c r="H106" s="5" t="inlineStr">
        <is>
          <t>1</t>
        </is>
      </c>
      <c r="I106" s="5" t="inlineStr">
        <is>
          <t>41 Theobald's Road</t>
        </is>
      </c>
      <c r="J106" s="5" t="inlineStr">
        <is>
          <t>London</t>
        </is>
      </c>
      <c r="K106" s="5" t="inlineStr">
        <is>
          <t>WC1X 8SP</t>
        </is>
      </c>
      <c r="L106" s="5" t="inlineStr">
        <is>
          <t>020 7242 0800</t>
        </is>
      </c>
      <c r="M106" s="5" t="inlineStr"/>
      <c r="N106" s="5" t="inlineStr"/>
      <c r="O106" s="5" t="inlineStr">
        <is>
          <t>https://www.mycigara.com/</t>
        </is>
      </c>
      <c r="P106" s="5" t="inlineStr"/>
      <c r="Q106" s="5" t="inlineStr"/>
      <c r="R106" s="5" t="inlineStr"/>
      <c r="S106" s="5" t="inlineStr"/>
      <c r="T106" s="5" t="inlineStr"/>
      <c r="U106" s="5" t="inlineStr"/>
      <c r="V106" s="5" t="inlineStr">
        <is>
          <t>Medium</t>
        </is>
      </c>
      <c r="W106" s="5" t="inlineStr">
        <is>
          <t>Multi-site retailer; Core relevant category; Active website</t>
        </is>
      </c>
      <c r="X106" s="5" t="inlineStr">
        <is>
          <t>Verified directory</t>
        </is>
      </c>
      <c r="Y106" s="5" t="inlineStr">
        <is>
          <t>Not Found</t>
        </is>
      </c>
      <c r="Z106" s="5" t="inlineStr">
        <is>
          <t>Medium</t>
        </is>
      </c>
      <c r="AA106" s="5" t="inlineStr">
        <is>
          <t>Requires Verification</t>
        </is>
      </c>
      <c r="AB106" s="5" t="inlineStr">
        <is>
          <t>https://www.mycigara.com/pages/mycigara-vape-shop-store-locator</t>
        </is>
      </c>
    </row>
    <row r="107">
      <c r="A107" s="10" t="inlineStr">
        <is>
          <t>UK-000231</t>
        </is>
      </c>
      <c r="B107" s="10" t="inlineStr">
        <is>
          <t>UK-000231-01</t>
        </is>
      </c>
      <c r="C107" s="10" t="inlineStr"/>
      <c r="D107" s="10" t="inlineStr">
        <is>
          <t>A Touch of Glass</t>
        </is>
      </c>
      <c r="E107" s="10" t="inlineStr">
        <is>
          <t>Vape Shop</t>
        </is>
      </c>
      <c r="F107" s="10" t="inlineStr">
        <is>
          <t>E-cig and e-liquid shop</t>
        </is>
      </c>
      <c r="G107" s="10" t="inlineStr">
        <is>
          <t>Independent</t>
        </is>
      </c>
      <c r="H107" s="10" t="inlineStr">
        <is>
          <t>1</t>
        </is>
      </c>
      <c r="I107" s="10" t="inlineStr">
        <is>
          <t>2 Chapel Street</t>
        </is>
      </c>
      <c r="J107" s="10" t="inlineStr">
        <is>
          <t>Bridlington</t>
        </is>
      </c>
      <c r="K107" s="10" t="inlineStr">
        <is>
          <t>YO15 2DW</t>
        </is>
      </c>
      <c r="L107" s="10" t="inlineStr">
        <is>
          <t>01262 677677</t>
        </is>
      </c>
      <c r="M107" s="10" t="inlineStr"/>
      <c r="N107" s="10" t="inlineStr"/>
      <c r="O107" s="10" t="inlineStr"/>
      <c r="P107" s="10" t="inlineStr"/>
      <c r="Q107" s="10" t="inlineStr"/>
      <c r="R107" s="10" t="inlineStr"/>
      <c r="S107" s="10" t="inlineStr"/>
      <c r="T107" s="10" t="inlineStr"/>
      <c r="U107" s="10" t="inlineStr"/>
      <c r="V107" s="10" t="inlineStr">
        <is>
          <t>Medium</t>
        </is>
      </c>
      <c r="W107" s="10" t="inlineStr">
        <is>
          <t>Independent retailer; Core relevant category</t>
        </is>
      </c>
      <c r="X107" s="10" t="inlineStr">
        <is>
          <t>Verified directory</t>
        </is>
      </c>
      <c r="Y107" s="10" t="inlineStr">
        <is>
          <t>Not Found</t>
        </is>
      </c>
      <c r="Z107" s="10" t="inlineStr">
        <is>
          <t>Medium</t>
        </is>
      </c>
      <c r="AA107" s="10" t="inlineStr">
        <is>
          <t>Requires Verification</t>
        </is>
      </c>
      <c r="AB107" s="10" t="inlineStr">
        <is>
          <t>https://ecigdirectory.co.uk/vape-shop/listing/a-touch-of-class-bridlington</t>
        </is>
      </c>
    </row>
    <row r="108">
      <c r="A108" s="5" t="inlineStr">
        <is>
          <t>UK-000753</t>
        </is>
      </c>
      <c r="B108" s="5" t="inlineStr">
        <is>
          <t>UK-000753-01</t>
        </is>
      </c>
      <c r="C108" s="5" t="inlineStr"/>
      <c r="D108" s="5" t="inlineStr">
        <is>
          <t>Ace of Vapes Wirral</t>
        </is>
      </c>
      <c r="E108" s="5" t="inlineStr">
        <is>
          <t>Vape Shop</t>
        </is>
      </c>
      <c r="F108" s="5" t="inlineStr">
        <is>
          <t>Vape shop</t>
        </is>
      </c>
      <c r="G108" s="5" t="inlineStr">
        <is>
          <t>Independent</t>
        </is>
      </c>
      <c r="H108" s="5" t="inlineStr">
        <is>
          <t>1</t>
        </is>
      </c>
      <c r="I108" s="5" t="inlineStr">
        <is>
          <t>10a Seaview Road</t>
        </is>
      </c>
      <c r="J108" s="5" t="inlineStr">
        <is>
          <t>Wallasey</t>
        </is>
      </c>
      <c r="K108" s="5" t="inlineStr">
        <is>
          <t>CH45 4TH</t>
        </is>
      </c>
      <c r="L108" s="5" t="inlineStr">
        <is>
          <t>0151 638 5076</t>
        </is>
      </c>
      <c r="M108" s="5" t="inlineStr">
        <is>
          <t>aceofvapeswirral@gmail.com</t>
        </is>
      </c>
      <c r="N108" s="5" t="inlineStr"/>
      <c r="O108" s="5" t="inlineStr">
        <is>
          <t>https://www.aceofvapeswirral.co.uk/</t>
        </is>
      </c>
      <c r="P108" s="5" t="inlineStr">
        <is>
          <t>https://www.facebook.com/people/Ace-Of-Vapes-Wirral/61565129616661/</t>
        </is>
      </c>
      <c r="Q108" s="5" t="inlineStr"/>
      <c r="R108" s="5" t="inlineStr"/>
      <c r="S108" s="5" t="inlineStr"/>
      <c r="T108" s="5" t="inlineStr"/>
      <c r="U108" s="5" t="inlineStr"/>
      <c r="V108" s="5" t="inlineStr">
        <is>
          <t>High</t>
        </is>
      </c>
      <c r="W108" s="5" t="inlineStr">
        <is>
          <t>Independent retailer; Core relevant category; Public email available; Active website; Social presence</t>
        </is>
      </c>
      <c r="X108" s="5" t="inlineStr">
        <is>
          <t>Verified directory</t>
        </is>
      </c>
      <c r="Y108" s="5" t="inlineStr">
        <is>
          <t>Publicly Listed</t>
        </is>
      </c>
      <c r="Z108" s="5" t="inlineStr">
        <is>
          <t>High</t>
        </is>
      </c>
      <c r="AA108" s="5" t="inlineStr">
        <is>
          <t>Requires Verification</t>
        </is>
      </c>
      <c r="AB108" s="5" t="inlineStr">
        <is>
          <t>https://www.aceofvapeswirral.co.uk/contact/</t>
        </is>
      </c>
    </row>
    <row r="109">
      <c r="A109" s="10" t="inlineStr">
        <is>
          <t>UK-000235</t>
        </is>
      </c>
      <c r="B109" s="10" t="inlineStr">
        <is>
          <t>UK-000235-01</t>
        </is>
      </c>
      <c r="C109" s="10" t="inlineStr"/>
      <c r="D109" s="10" t="inlineStr">
        <is>
          <t>Alchemist Vape Shop Parkgate</t>
        </is>
      </c>
      <c r="E109" s="10" t="inlineStr">
        <is>
          <t>Vape Shop</t>
        </is>
      </c>
      <c r="F109" s="10" t="inlineStr">
        <is>
          <t>Vape, e-liquid and CBD shop</t>
        </is>
      </c>
      <c r="G109" s="10" t="inlineStr">
        <is>
          <t>Independent</t>
        </is>
      </c>
      <c r="H109" s="10" t="inlineStr">
        <is>
          <t>1</t>
        </is>
      </c>
      <c r="I109" s="10" t="inlineStr"/>
      <c r="J109" s="10" t="inlineStr">
        <is>
          <t>Rotherham</t>
        </is>
      </c>
      <c r="K109" s="10" t="inlineStr"/>
      <c r="L109" s="10" t="inlineStr"/>
      <c r="M109" s="10" t="inlineStr"/>
      <c r="N109" s="10" t="inlineStr"/>
      <c r="O109" s="10" t="inlineStr"/>
      <c r="P109" s="10" t="inlineStr">
        <is>
          <t>https://www.facebook.com/AlchemistParkgate/</t>
        </is>
      </c>
      <c r="Q109" s="10" t="inlineStr"/>
      <c r="R109" s="10" t="inlineStr"/>
      <c r="S109" s="10" t="inlineStr"/>
      <c r="T109" s="10" t="inlineStr"/>
      <c r="U109" s="10" t="inlineStr"/>
      <c r="V109" s="10" t="inlineStr">
        <is>
          <t>Medium</t>
        </is>
      </c>
      <c r="W109" s="10" t="inlineStr">
        <is>
          <t>Independent retailer; Core relevant category; Social presence</t>
        </is>
      </c>
      <c r="X109" s="10" t="inlineStr">
        <is>
          <t>Not Found</t>
        </is>
      </c>
      <c r="Y109" s="10" t="inlineStr">
        <is>
          <t>Not Found</t>
        </is>
      </c>
      <c r="Z109" s="10" t="inlineStr">
        <is>
          <t>Low</t>
        </is>
      </c>
      <c r="AA109" s="10" t="inlineStr">
        <is>
          <t>Requires Verification</t>
        </is>
      </c>
      <c r="AB109" s="10" t="inlineStr">
        <is>
          <t>https://www.facebook.com/AlchemistParkgate/</t>
        </is>
      </c>
    </row>
    <row r="110">
      <c r="A110" s="5" t="inlineStr">
        <is>
          <t>UK-000236</t>
        </is>
      </c>
      <c r="B110" s="5" t="inlineStr">
        <is>
          <t>UK-000236-01</t>
        </is>
      </c>
      <c r="C110" s="5" t="inlineStr"/>
      <c r="D110" s="5" t="inlineStr">
        <is>
          <t>Angel Smoke e-Cigarettes</t>
        </is>
      </c>
      <c r="E110" s="5" t="inlineStr">
        <is>
          <t>Vape Shop</t>
        </is>
      </c>
      <c r="F110" s="5" t="inlineStr">
        <is>
          <t>E-cigarette shop (also fireworks)</t>
        </is>
      </c>
      <c r="G110" s="5" t="inlineStr">
        <is>
          <t>Independent</t>
        </is>
      </c>
      <c r="H110" s="5" t="inlineStr">
        <is>
          <t>1</t>
        </is>
      </c>
      <c r="I110" s="5" t="inlineStr">
        <is>
          <t>62-64 Rawmarsh Hill</t>
        </is>
      </c>
      <c r="J110" s="5" t="inlineStr">
        <is>
          <t>Rotherham</t>
        </is>
      </c>
      <c r="K110" s="5" t="inlineStr">
        <is>
          <t>S62 6EU</t>
        </is>
      </c>
      <c r="L110" s="5" t="inlineStr">
        <is>
          <t>01709 322634</t>
        </is>
      </c>
      <c r="M110" s="5" t="inlineStr"/>
      <c r="N110" s="5" t="inlineStr"/>
      <c r="O110" s="5" t="inlineStr">
        <is>
          <t>https://angelsmoke.co.uk</t>
        </is>
      </c>
      <c r="P110" s="5" t="inlineStr">
        <is>
          <t>https://www.facebook.com/angelsmokeshop/</t>
        </is>
      </c>
      <c r="Q110" s="5" t="inlineStr"/>
      <c r="R110" s="5" t="inlineStr"/>
      <c r="S110" s="5" t="inlineStr"/>
      <c r="T110" s="5" t="inlineStr"/>
      <c r="U110" s="5" t="inlineStr"/>
      <c r="V110" s="5" t="inlineStr">
        <is>
          <t>Medium</t>
        </is>
      </c>
      <c r="W110" s="5" t="inlineStr">
        <is>
          <t>Independent retailer; Core relevant category; Active website; Social presence</t>
        </is>
      </c>
      <c r="X110" s="5" t="inlineStr">
        <is>
          <t>Verified directory</t>
        </is>
      </c>
      <c r="Y110" s="5" t="inlineStr">
        <is>
          <t>Website Found</t>
        </is>
      </c>
      <c r="Z110" s="5" t="inlineStr">
        <is>
          <t>Medium</t>
        </is>
      </c>
      <c r="AA110" s="5" t="inlineStr">
        <is>
          <t>Requires Verification</t>
        </is>
      </c>
      <c r="AB110" s="5" t="inlineStr">
        <is>
          <t>https://www.chamberofcommerce.uk/business-directory/england/sheffield/miscellaneous/307306-angel-smoke-vape-shop-rotherham-fireworks</t>
        </is>
      </c>
    </row>
    <row r="111">
      <c r="A111" s="10" t="inlineStr">
        <is>
          <t>UK-000453</t>
        </is>
      </c>
      <c r="B111" s="10" t="inlineStr">
        <is>
          <t>UK-000453-01</t>
        </is>
      </c>
      <c r="C111" s="10" t="inlineStr"/>
      <c r="D111" s="10" t="inlineStr">
        <is>
          <t>Artisan Vapor Oldbury</t>
        </is>
      </c>
      <c r="E111" s="10" t="inlineStr">
        <is>
          <t>Vape Shop</t>
        </is>
      </c>
      <c r="F111" s="10" t="inlineStr">
        <is>
          <t>Personal vaporisers, e-liquid &amp; e-cigarettes</t>
        </is>
      </c>
      <c r="G111" s="10" t="inlineStr">
        <is>
          <t>Independent</t>
        </is>
      </c>
      <c r="H111" s="10" t="inlineStr">
        <is>
          <t>1</t>
        </is>
      </c>
      <c r="I111" s="10" t="inlineStr"/>
      <c r="J111" s="10" t="inlineStr">
        <is>
          <t>Oldbury</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Independent retailer; Core relevant category</t>
        </is>
      </c>
      <c r="X111" s="10" t="inlineStr">
        <is>
          <t>Not Found</t>
        </is>
      </c>
      <c r="Y111" s="10" t="inlineStr">
        <is>
          <t>Not Found</t>
        </is>
      </c>
      <c r="Z111" s="10" t="inlineStr">
        <is>
          <t>Low</t>
        </is>
      </c>
      <c r="AA111" s="10" t="inlineStr">
        <is>
          <t>Requires Verification</t>
        </is>
      </c>
      <c r="AB111" s="10" t="inlineStr">
        <is>
          <t>https://ecigdirectory.co.uk/vape-shop/listing/artisan-vapor-oldbury</t>
        </is>
      </c>
    </row>
    <row r="112">
      <c r="A112" s="5" t="inlineStr">
        <is>
          <t>WY-0053</t>
        </is>
      </c>
      <c r="B112" s="5" t="inlineStr">
        <is>
          <t>WY-0053-01</t>
        </is>
      </c>
      <c r="C112" s="5" t="inlineStr"/>
      <c r="D112" s="5" t="inlineStr">
        <is>
          <t>Azeem's Vape Shop</t>
        </is>
      </c>
      <c r="E112" s="5" t="inlineStr">
        <is>
          <t>Vape Shop</t>
        </is>
      </c>
      <c r="F112" s="5" t="inlineStr">
        <is>
          <t>Vape shop with CBD, e-liquids, drinks</t>
        </is>
      </c>
      <c r="G112" s="5" t="inlineStr">
        <is>
          <t>Independent</t>
        </is>
      </c>
      <c r="H112" s="5" t="inlineStr">
        <is>
          <t>1</t>
        </is>
      </c>
      <c r="I112" s="5" t="inlineStr">
        <is>
          <t>130 Lawkholme Lane</t>
        </is>
      </c>
      <c r="J112" s="5" t="inlineStr">
        <is>
          <t>Keighley</t>
        </is>
      </c>
      <c r="K112" s="5" t="inlineStr">
        <is>
          <t>BD21 3LU</t>
        </is>
      </c>
      <c r="L112" s="5" t="inlineStr">
        <is>
          <t>01535 213920</t>
        </is>
      </c>
      <c r="M112" s="5" t="inlineStr">
        <is>
          <t>info@azeemsvapeshop.co.uk</t>
        </is>
      </c>
      <c r="N112" s="5" t="inlineStr"/>
      <c r="O112" s="5" t="inlineStr">
        <is>
          <t>https://azeemsvapeshop.co.uk/</t>
        </is>
      </c>
      <c r="P112" s="5" t="inlineStr">
        <is>
          <t>https://www.facebook.com/azeemskeighley1/</t>
        </is>
      </c>
      <c r="Q112" s="5" t="inlineStr">
        <is>
          <t>https://www.instagram.com/azeems_vape_shop/</t>
        </is>
      </c>
      <c r="R112" s="5" t="inlineStr"/>
      <c r="S112" s="5" t="inlineStr"/>
      <c r="T112" s="5" t="inlineStr">
        <is>
          <t>13574720</t>
        </is>
      </c>
      <c r="U112" s="5" t="inlineStr">
        <is>
          <t>Dissolved</t>
        </is>
      </c>
      <c r="V112" s="5" t="inlineStr">
        <is>
          <t>High</t>
        </is>
      </c>
      <c r="W112" s="5" t="inlineStr">
        <is>
          <t>Independent retailer; Core relevant category; Public email available; Active website; Social presence</t>
        </is>
      </c>
      <c r="X112" s="5" t="inlineStr">
        <is>
          <t>Verified directory</t>
        </is>
      </c>
      <c r="Y112" s="5" t="inlineStr">
        <is>
          <t>Website Found</t>
        </is>
      </c>
      <c r="Z112" s="5" t="inlineStr">
        <is>
          <t>Medium</t>
        </is>
      </c>
      <c r="AA112" s="5" t="inlineStr">
        <is>
          <t>Partially Verified</t>
        </is>
      </c>
      <c r="AB112" s="5" t="inlineStr">
        <is>
          <t>https://azeemsvapeshop.co.uk/contact/</t>
        </is>
      </c>
    </row>
    <row r="113">
      <c r="A113" s="10" t="inlineStr">
        <is>
          <t>WY-0054</t>
        </is>
      </c>
      <c r="B113" s="10" t="inlineStr">
        <is>
          <t>WY-0054-01</t>
        </is>
      </c>
      <c r="C113" s="10" t="inlineStr"/>
      <c r="D113" s="10" t="inlineStr">
        <is>
          <t>Azeem's Vape Shop</t>
        </is>
      </c>
      <c r="E113" s="10" t="inlineStr">
        <is>
          <t>Vape Shop</t>
        </is>
      </c>
      <c r="F113" s="10" t="inlineStr"/>
      <c r="G113" s="10" t="inlineStr">
        <is>
          <t>Independent</t>
        </is>
      </c>
      <c r="H113" s="10" t="inlineStr">
        <is>
          <t>1</t>
        </is>
      </c>
      <c r="I113" s="10" t="inlineStr"/>
      <c r="J113" s="10" t="inlineStr">
        <is>
          <t>Todmorden</t>
        </is>
      </c>
      <c r="K113" s="10" t="inlineStr"/>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Independent retailer; Core relevant category</t>
        </is>
      </c>
      <c r="X113" s="10" t="inlineStr">
        <is>
          <t>Not Found</t>
        </is>
      </c>
      <c r="Y113" s="10" t="inlineStr">
        <is>
          <t>Not Found</t>
        </is>
      </c>
      <c r="Z113" s="10" t="inlineStr">
        <is>
          <t>Low</t>
        </is>
      </c>
      <c r="AA113" s="10" t="inlineStr">
        <is>
          <t>Requires Verification</t>
        </is>
      </c>
      <c r="AB113" s="10" t="inlineStr">
        <is>
          <t>https://tobaccoshops.co.uk/05958051/Azeem%E2%80%99s_vape_shop</t>
        </is>
      </c>
    </row>
    <row r="114">
      <c r="A114" s="5" t="inlineStr">
        <is>
          <t>WY-0064</t>
        </is>
      </c>
      <c r="B114" s="5" t="inlineStr">
        <is>
          <t>WY-0064-01</t>
        </is>
      </c>
      <c r="C114" s="5" t="inlineStr"/>
      <c r="D114" s="5" t="inlineStr">
        <is>
          <t>Big D Vapes</t>
        </is>
      </c>
      <c r="E114" s="5" t="inlineStr">
        <is>
          <t>Vape Shop</t>
        </is>
      </c>
      <c r="F114" s="5" t="inlineStr">
        <is>
          <t>Vape shop and dry herb vape lounge</t>
        </is>
      </c>
      <c r="G114" s="5" t="inlineStr">
        <is>
          <t>Independent</t>
        </is>
      </c>
      <c r="H114" s="5" t="inlineStr">
        <is>
          <t>1</t>
        </is>
      </c>
      <c r="I114" s="5" t="inlineStr">
        <is>
          <t>1139 Manchester Road</t>
        </is>
      </c>
      <c r="J114" s="5" t="inlineStr">
        <is>
          <t>Slaithwaite</t>
        </is>
      </c>
      <c r="K114" s="5" t="inlineStr">
        <is>
          <t>HD7 5LU</t>
        </is>
      </c>
      <c r="L114" s="5" t="inlineStr">
        <is>
          <t>01484 843253</t>
        </is>
      </c>
      <c r="M114" s="5" t="inlineStr"/>
      <c r="N114" s="5" t="inlineStr"/>
      <c r="O114" s="5" t="inlineStr"/>
      <c r="P114" s="5" t="inlineStr">
        <is>
          <t>https://www.facebook.com/BigDVapesSlaithwaite</t>
        </is>
      </c>
      <c r="Q114" s="5" t="inlineStr"/>
      <c r="R114" s="5" t="inlineStr"/>
      <c r="S114" s="5" t="inlineStr"/>
      <c r="T114" s="5" t="inlineStr">
        <is>
          <t>12029439</t>
        </is>
      </c>
      <c r="U114" s="5" t="inlineStr"/>
      <c r="V114" s="5" t="inlineStr">
        <is>
          <t>Medium</t>
        </is>
      </c>
      <c r="W114" s="5" t="inlineStr">
        <is>
          <t>Independent retailer; Core relevant category; Social presence</t>
        </is>
      </c>
      <c r="X114" s="5" t="inlineStr">
        <is>
          <t>Verified directory</t>
        </is>
      </c>
      <c r="Y114" s="5" t="inlineStr">
        <is>
          <t>Not Found</t>
        </is>
      </c>
      <c r="Z114" s="5" t="inlineStr">
        <is>
          <t>Medium</t>
        </is>
      </c>
      <c r="AA114" s="5" t="inlineStr">
        <is>
          <t>Requires Verification</t>
        </is>
      </c>
      <c r="AB114" s="5" t="inlineStr">
        <is>
          <t>https://find-and-update.company-information.service.gov.uk/company/12029439</t>
        </is>
      </c>
    </row>
    <row r="115">
      <c r="A115" s="10" t="inlineStr">
        <is>
          <t>WY-0065</t>
        </is>
      </c>
      <c r="B115" s="10" t="inlineStr">
        <is>
          <t>WY-0065-01</t>
        </is>
      </c>
      <c r="C115" s="10" t="inlineStr"/>
      <c r="D115" s="10" t="inlineStr">
        <is>
          <t>Bingley Vape Shop</t>
        </is>
      </c>
      <c r="E115" s="10" t="inlineStr">
        <is>
          <t>Vape Shop</t>
        </is>
      </c>
      <c r="F115" s="10" t="inlineStr">
        <is>
          <t>Vape shop, e-cigs, smoking accessories, phone cases</t>
        </is>
      </c>
      <c r="G115" s="10" t="inlineStr">
        <is>
          <t>Independent</t>
        </is>
      </c>
      <c r="H115" s="10" t="inlineStr">
        <is>
          <t>1</t>
        </is>
      </c>
      <c r="I115" s="10" t="inlineStr">
        <is>
          <t>67-69 Main Street</t>
        </is>
      </c>
      <c r="J115" s="10" t="inlineStr">
        <is>
          <t>Bingley</t>
        </is>
      </c>
      <c r="K115" s="10" t="inlineStr">
        <is>
          <t>BD16 2JA</t>
        </is>
      </c>
      <c r="L115" s="10" t="inlineStr">
        <is>
          <t>01535 213290</t>
        </is>
      </c>
      <c r="M115" s="10" t="inlineStr"/>
      <c r="N115" s="10" t="inlineStr"/>
      <c r="O115" s="10" t="inlineStr"/>
      <c r="P115" s="10" t="inlineStr">
        <is>
          <t>https://www.facebook.com/BingleyVapeShop/</t>
        </is>
      </c>
      <c r="Q115" s="10" t="inlineStr"/>
      <c r="R115" s="10" t="inlineStr"/>
      <c r="S115" s="10" t="inlineStr"/>
      <c r="T115" s="10" t="inlineStr">
        <is>
          <t>11788618</t>
        </is>
      </c>
      <c r="U115" s="10" t="inlineStr"/>
      <c r="V115" s="10" t="inlineStr">
        <is>
          <t>Medium</t>
        </is>
      </c>
      <c r="W115" s="10" t="inlineStr">
        <is>
          <t>Independent retailer; Core relevant category; Social presence</t>
        </is>
      </c>
      <c r="X115" s="10" t="inlineStr">
        <is>
          <t>Unverified</t>
        </is>
      </c>
      <c r="Y115" s="10" t="inlineStr">
        <is>
          <t>Not Found</t>
        </is>
      </c>
      <c r="Z115" s="10" t="inlineStr">
        <is>
          <t>Medium</t>
        </is>
      </c>
      <c r="AA115" s="10" t="inlineStr">
        <is>
          <t>Partially Verified</t>
        </is>
      </c>
      <c r="AB115" s="10" t="inlineStr">
        <is>
          <t>https://find-and-update.company-information.service.gov.uk/company/11788618</t>
        </is>
      </c>
    </row>
    <row r="116">
      <c r="A116" s="5" t="inlineStr">
        <is>
          <t>UK-000585</t>
        </is>
      </c>
      <c r="B116" s="5" t="inlineStr">
        <is>
          <t>UK-000585-01</t>
        </is>
      </c>
      <c r="C116" s="5" t="inlineStr"/>
      <c r="D116" s="5" t="inlineStr">
        <is>
          <t>Blowers Vape Shop Ltd</t>
        </is>
      </c>
      <c r="E116" s="5" t="inlineStr">
        <is>
          <t>Vape Shop</t>
        </is>
      </c>
      <c r="F116" s="5" t="inlineStr"/>
      <c r="G116" s="5" t="inlineStr">
        <is>
          <t>Independent</t>
        </is>
      </c>
      <c r="H116" s="5" t="inlineStr">
        <is>
          <t>1</t>
        </is>
      </c>
      <c r="I116" s="5" t="inlineStr">
        <is>
          <t>9 The New Arcade</t>
        </is>
      </c>
      <c r="J116" s="5" t="inlineStr">
        <is>
          <t>Uxbridge</t>
        </is>
      </c>
      <c r="K116" s="5" t="inlineStr">
        <is>
          <t>UB8 1LG</t>
        </is>
      </c>
      <c r="L116" s="5" t="inlineStr">
        <is>
          <t>01895 254502</t>
        </is>
      </c>
      <c r="M116" s="5" t="inlineStr"/>
      <c r="N116" s="5" t="inlineStr"/>
      <c r="O116" s="5" t="inlineStr"/>
      <c r="P116" s="5" t="inlineStr">
        <is>
          <t>https://www.facebook.com/BlowersVapes/</t>
        </is>
      </c>
      <c r="Q116" s="5" t="inlineStr"/>
      <c r="R116" s="5" t="inlineStr"/>
      <c r="S116" s="5" t="inlineStr"/>
      <c r="T116" s="5" t="inlineStr">
        <is>
          <t>11795235</t>
        </is>
      </c>
      <c r="U116" s="5" t="inlineStr"/>
      <c r="V116" s="5" t="inlineStr">
        <is>
          <t>Medium</t>
        </is>
      </c>
      <c r="W116" s="5" t="inlineStr">
        <is>
          <t>Independent retailer; Core relevant category; Social presence</t>
        </is>
      </c>
      <c r="X116" s="5" t="inlineStr">
        <is>
          <t>Verified directory</t>
        </is>
      </c>
      <c r="Y116" s="5" t="inlineStr">
        <is>
          <t>Not Found</t>
        </is>
      </c>
      <c r="Z116" s="5" t="inlineStr">
        <is>
          <t>Medium</t>
        </is>
      </c>
      <c r="AA116" s="5" t="inlineStr">
        <is>
          <t>Partially Verified</t>
        </is>
      </c>
      <c r="AB116" s="5" t="inlineStr">
        <is>
          <t>https://find-and-update.company-information.service.gov.uk/company/11795235</t>
        </is>
      </c>
    </row>
    <row r="117">
      <c r="A117" s="10" t="inlineStr">
        <is>
          <t>UK-000347</t>
        </is>
      </c>
      <c r="B117" s="10" t="inlineStr">
        <is>
          <t>UK-000347-01</t>
        </is>
      </c>
      <c r="C117" s="10" t="inlineStr"/>
      <c r="D117" s="10" t="inlineStr">
        <is>
          <t>Bolton Vape Store</t>
        </is>
      </c>
      <c r="E117" s="10" t="inlineStr">
        <is>
          <t>Vape Shop</t>
        </is>
      </c>
      <c r="F117" s="10" t="inlineStr">
        <is>
          <t>Online and physical vape retailer</t>
        </is>
      </c>
      <c r="G117" s="10" t="inlineStr">
        <is>
          <t>Independent</t>
        </is>
      </c>
      <c r="H117" s="10" t="inlineStr">
        <is>
          <t>1</t>
        </is>
      </c>
      <c r="I117" s="10" t="inlineStr">
        <is>
          <t>Sector 1, The Office, Britannia Way</t>
        </is>
      </c>
      <c r="J117" s="10" t="inlineStr">
        <is>
          <t>Bolton</t>
        </is>
      </c>
      <c r="K117" s="10" t="inlineStr">
        <is>
          <t>BL2 2HH</t>
        </is>
      </c>
      <c r="L117" s="10" t="inlineStr">
        <is>
          <t>07478 718602</t>
        </is>
      </c>
      <c r="M117" s="10" t="inlineStr"/>
      <c r="N117" s="10" t="inlineStr"/>
      <c r="O117" s="10" t="inlineStr">
        <is>
          <t>https://boltonvape.com/</t>
        </is>
      </c>
      <c r="P117" s="10" t="inlineStr"/>
      <c r="Q117" s="10" t="inlineStr"/>
      <c r="R117" s="10" t="inlineStr"/>
      <c r="S117" s="10" t="inlineStr"/>
      <c r="T117" s="10" t="inlineStr"/>
      <c r="U117" s="10" t="inlineStr"/>
      <c r="V117" s="10" t="inlineStr">
        <is>
          <t>Medium</t>
        </is>
      </c>
      <c r="W117" s="10" t="inlineStr">
        <is>
          <t>Independent retailer; Core relevant category; Active website; Phone verified on official website</t>
        </is>
      </c>
      <c r="X117" s="10" t="inlineStr">
        <is>
          <t>Verified on official website</t>
        </is>
      </c>
      <c r="Y117" s="10" t="inlineStr">
        <is>
          <t>Website Found</t>
        </is>
      </c>
      <c r="Z117" s="10" t="inlineStr">
        <is>
          <t>Medium</t>
        </is>
      </c>
      <c r="AA117" s="10" t="inlineStr">
        <is>
          <t>Requires Verification</t>
        </is>
      </c>
      <c r="AB117" s="10" t="inlineStr">
        <is>
          <t>https://boltonvape.com/pages/contact-us</t>
        </is>
      </c>
    </row>
    <row r="118">
      <c r="A118" s="5" t="inlineStr">
        <is>
          <t>UK-000759</t>
        </is>
      </c>
      <c r="B118" s="5" t="inlineStr">
        <is>
          <t>UK-000759-01</t>
        </is>
      </c>
      <c r="C118" s="5" t="inlineStr"/>
      <c r="D118" s="5" t="inlineStr">
        <is>
          <t>Brothers Vape Store</t>
        </is>
      </c>
      <c r="E118" s="5" t="inlineStr">
        <is>
          <t>Vape Shop</t>
        </is>
      </c>
      <c r="F118" s="5" t="inlineStr">
        <is>
          <t>Independent vape retailer</t>
        </is>
      </c>
      <c r="G118" s="5" t="inlineStr">
        <is>
          <t>Independent</t>
        </is>
      </c>
      <c r="H118" s="5" t="inlineStr">
        <is>
          <t>1</t>
        </is>
      </c>
      <c r="I118" s="5" t="inlineStr">
        <is>
          <t>410 Clock Face Road</t>
        </is>
      </c>
      <c r="J118" s="5" t="inlineStr">
        <is>
          <t>St Helens</t>
        </is>
      </c>
      <c r="K118" s="5" t="inlineStr">
        <is>
          <t>WA9 4QS</t>
        </is>
      </c>
      <c r="L118" s="5" t="inlineStr"/>
      <c r="M118" s="5" t="inlineStr"/>
      <c r="N118" s="5" t="inlineStr"/>
      <c r="O118" s="5" t="inlineStr">
        <is>
          <t>https://www.brothersvapestore.co.uk/</t>
        </is>
      </c>
      <c r="P118" s="5" t="inlineStr">
        <is>
          <t>https://www.facebook.com/Brothers.Vape.Store/</t>
        </is>
      </c>
      <c r="Q118" s="5" t="inlineStr"/>
      <c r="R118" s="5" t="inlineStr"/>
      <c r="S118" s="5" t="inlineStr"/>
      <c r="T118" s="5" t="inlineStr">
        <is>
          <t>14550614</t>
        </is>
      </c>
      <c r="U118" s="5" t="inlineStr">
        <is>
          <t>Active</t>
        </is>
      </c>
      <c r="V118" s="5" t="inlineStr">
        <is>
          <t>Medium</t>
        </is>
      </c>
      <c r="W118" s="5" t="inlineStr">
        <is>
          <t>Independent retailer; Core relevant category; Active website; Social presence</t>
        </is>
      </c>
      <c r="X118" s="5" t="inlineStr">
        <is>
          <t>Not Found</t>
        </is>
      </c>
      <c r="Y118" s="5" t="inlineStr">
        <is>
          <t>Website Found</t>
        </is>
      </c>
      <c r="Z118" s="5" t="inlineStr">
        <is>
          <t>High</t>
        </is>
      </c>
      <c r="AA118" s="5" t="inlineStr">
        <is>
          <t>Requires Verification</t>
        </is>
      </c>
      <c r="AB118" s="5" t="inlineStr">
        <is>
          <t>https://www.brothersvapestore.co.uk/about-us/</t>
        </is>
      </c>
    </row>
    <row r="119">
      <c r="A119" s="10" t="inlineStr">
        <is>
          <t>UK-000590</t>
        </is>
      </c>
      <c r="B119" s="10" t="inlineStr">
        <is>
          <t>UK-000590-01</t>
        </is>
      </c>
      <c r="C119" s="10" t="inlineStr"/>
      <c r="D119" s="10" t="inlineStr">
        <is>
          <t>Camden Vape</t>
        </is>
      </c>
      <c r="E119" s="10" t="inlineStr">
        <is>
          <t>Vape Shop</t>
        </is>
      </c>
      <c r="F119" s="10" t="inlineStr">
        <is>
          <t>Vape hardware &amp; e-liquids</t>
        </is>
      </c>
      <c r="G119" s="10" t="inlineStr">
        <is>
          <t>Independent</t>
        </is>
      </c>
      <c r="H119" s="10" t="inlineStr">
        <is>
          <t>1</t>
        </is>
      </c>
      <c r="I119" s="10" t="inlineStr">
        <is>
          <t>28b Chalk Farm Road</t>
        </is>
      </c>
      <c r="J119" s="10" t="inlineStr">
        <is>
          <t>London</t>
        </is>
      </c>
      <c r="K119" s="10" t="inlineStr">
        <is>
          <t>NW1 8AG</t>
        </is>
      </c>
      <c r="L119" s="10" t="inlineStr">
        <is>
          <t>0333 305 2822</t>
        </is>
      </c>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Verified directory</t>
        </is>
      </c>
      <c r="Y119" s="10" t="inlineStr">
        <is>
          <t>Not Found</t>
        </is>
      </c>
      <c r="Z119" s="10" t="inlineStr">
        <is>
          <t>Low</t>
        </is>
      </c>
      <c r="AA119" s="10" t="inlineStr">
        <is>
          <t>Duplicate Review Required</t>
        </is>
      </c>
      <c r="AB119" s="10" t="inlineStr">
        <is>
          <t>https://www.yell.com/biz/camden-vape-london-10104712/</t>
        </is>
      </c>
    </row>
    <row r="120">
      <c r="A120" s="5" t="inlineStr">
        <is>
          <t>UK-000763</t>
        </is>
      </c>
      <c r="B120" s="5" t="inlineStr">
        <is>
          <t>UK-000763-01</t>
        </is>
      </c>
      <c r="C120" s="5" t="inlineStr"/>
      <c r="D120" s="5" t="inlineStr">
        <is>
          <t>Cignil Vapour</t>
        </is>
      </c>
      <c r="E120" s="5" t="inlineStr">
        <is>
          <t>Vape Shop</t>
        </is>
      </c>
      <c r="F120" s="5" t="inlineStr">
        <is>
          <t>Vape shop / e-liquids</t>
        </is>
      </c>
      <c r="G120" s="5" t="inlineStr">
        <is>
          <t>Independent</t>
        </is>
      </c>
      <c r="H120" s="5" t="inlineStr">
        <is>
          <t>1</t>
        </is>
      </c>
      <c r="I120" s="5" t="inlineStr"/>
      <c r="J120" s="5" t="inlineStr">
        <is>
          <t>Livingston</t>
        </is>
      </c>
      <c r="K120" s="5" t="inlineStr"/>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Independent retailer; Core relevant category</t>
        </is>
      </c>
      <c r="X120" s="5" t="inlineStr">
        <is>
          <t>Not Found</t>
        </is>
      </c>
      <c r="Y120" s="5" t="inlineStr">
        <is>
          <t>Not Found</t>
        </is>
      </c>
      <c r="Z120" s="5" t="inlineStr">
        <is>
          <t>Low</t>
        </is>
      </c>
      <c r="AA120" s="5" t="inlineStr">
        <is>
          <t>Requires Verification</t>
        </is>
      </c>
      <c r="AB120" s="5" t="inlineStr">
        <is>
          <t>https://livingston.cylex-uk.co.uk/vape-shops/</t>
        </is>
      </c>
    </row>
    <row r="121">
      <c r="A121" s="10" t="inlineStr">
        <is>
          <t>UK-000241</t>
        </is>
      </c>
      <c r="B121" s="10" t="inlineStr">
        <is>
          <t>UK-000241-01</t>
        </is>
      </c>
      <c r="C121" s="10" t="inlineStr"/>
      <c r="D121" s="10" t="inlineStr">
        <is>
          <t>Cirrus Vape Hull</t>
        </is>
      </c>
      <c r="E121" s="10" t="inlineStr">
        <is>
          <t>Vape Shop</t>
        </is>
      </c>
      <c r="F121" s="10" t="inlineStr">
        <is>
          <t>E-cigarette shop</t>
        </is>
      </c>
      <c r="G121" s="10" t="inlineStr">
        <is>
          <t>Independent</t>
        </is>
      </c>
      <c r="H121" s="10" t="inlineStr">
        <is>
          <t>1</t>
        </is>
      </c>
      <c r="I121" s="10" t="inlineStr"/>
      <c r="J121" s="10" t="inlineStr">
        <is>
          <t>Kingston upon Hull</t>
        </is>
      </c>
      <c r="K121" s="10" t="inlineStr"/>
      <c r="L121" s="10" t="inlineStr"/>
      <c r="M121" s="10" t="inlineStr"/>
      <c r="N121" s="10" t="inlineStr"/>
      <c r="O121" s="10" t="inlineStr"/>
      <c r="P121" s="10" t="inlineStr">
        <is>
          <t>https://www.facebook.com/cirrusvapecirrusvape/</t>
        </is>
      </c>
      <c r="Q121" s="10" t="inlineStr"/>
      <c r="R121" s="10" t="inlineStr"/>
      <c r="S121" s="10" t="inlineStr"/>
      <c r="T121" s="10" t="inlineStr"/>
      <c r="U121" s="10" t="inlineStr"/>
      <c r="V121" s="10" t="inlineStr">
        <is>
          <t>Medium</t>
        </is>
      </c>
      <c r="W121" s="10" t="inlineStr">
        <is>
          <t>Independent retailer; Core relevant category; Social presence</t>
        </is>
      </c>
      <c r="X121" s="10" t="inlineStr">
        <is>
          <t>Not Found</t>
        </is>
      </c>
      <c r="Y121" s="10" t="inlineStr">
        <is>
          <t>Not Found</t>
        </is>
      </c>
      <c r="Z121" s="10" t="inlineStr">
        <is>
          <t>Low</t>
        </is>
      </c>
      <c r="AA121" s="10" t="inlineStr">
        <is>
          <t>Requires Verification</t>
        </is>
      </c>
      <c r="AB121" s="10" t="inlineStr">
        <is>
          <t>https://www.facebook.com/cirrusvapecirrusvape/</t>
        </is>
      </c>
    </row>
    <row r="122">
      <c r="A122" s="5" t="inlineStr">
        <is>
          <t>UK-000764</t>
        </is>
      </c>
      <c r="B122" s="5" t="inlineStr">
        <is>
          <t>UK-000764-01</t>
        </is>
      </c>
      <c r="C122" s="5" t="inlineStr"/>
      <c r="D122" s="5" t="inlineStr">
        <is>
          <t>Coatbridge Vape Shop</t>
        </is>
      </c>
      <c r="E122" s="5" t="inlineStr">
        <is>
          <t>Vape Shop</t>
        </is>
      </c>
      <c r="F122" s="5" t="inlineStr">
        <is>
          <t>Vape shop</t>
        </is>
      </c>
      <c r="G122" s="5" t="inlineStr">
        <is>
          <t>Independent</t>
        </is>
      </c>
      <c r="H122" s="5" t="inlineStr">
        <is>
          <t>1</t>
        </is>
      </c>
      <c r="I122" s="5" t="inlineStr">
        <is>
          <t>20 Calder Street</t>
        </is>
      </c>
      <c r="J122" s="5" t="inlineStr">
        <is>
          <t>Coatbridge</t>
        </is>
      </c>
      <c r="K122" s="5" t="inlineStr">
        <is>
          <t>ML5 4EX</t>
        </is>
      </c>
      <c r="L122" s="5" t="inlineStr">
        <is>
          <t>01236 437101</t>
        </is>
      </c>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Verified directory</t>
        </is>
      </c>
      <c r="Y122" s="5" t="inlineStr">
        <is>
          <t>Not Found</t>
        </is>
      </c>
      <c r="Z122" s="5" t="inlineStr">
        <is>
          <t>Medium</t>
        </is>
      </c>
      <c r="AA122" s="5" t="inlineStr">
        <is>
          <t>Requires Verification</t>
        </is>
      </c>
      <c r="AB122" s="5" t="inlineStr">
        <is>
          <t>https://coatbridge-sct.business-dir.co.uk/coatbridge-vape-shop/</t>
        </is>
      </c>
    </row>
    <row r="123">
      <c r="A123" s="10" t="inlineStr">
        <is>
          <t>UK-000462</t>
        </is>
      </c>
      <c r="B123" s="10" t="inlineStr">
        <is>
          <t>UK-000462-01</t>
        </is>
      </c>
      <c r="C123" s="10" t="inlineStr"/>
      <c r="D123" s="10" t="inlineStr">
        <is>
          <t>Colley-Vape</t>
        </is>
      </c>
      <c r="E123" s="10" t="inlineStr">
        <is>
          <t>Vape Shop</t>
        </is>
      </c>
      <c r="F123" s="10" t="inlineStr">
        <is>
          <t>Vape shop &amp; delivery service</t>
        </is>
      </c>
      <c r="G123" s="10" t="inlineStr">
        <is>
          <t>Independent</t>
        </is>
      </c>
      <c r="H123" s="10" t="inlineStr">
        <is>
          <t>1</t>
        </is>
      </c>
      <c r="I123" s="10" t="inlineStr">
        <is>
          <t>Colley Gate</t>
        </is>
      </c>
      <c r="J123" s="10" t="inlineStr">
        <is>
          <t>Halesowen</t>
        </is>
      </c>
      <c r="K123" s="10" t="inlineStr">
        <is>
          <t>B63 2BU</t>
        </is>
      </c>
      <c r="L123" s="10" t="inlineStr"/>
      <c r="M123" s="10" t="inlineStr"/>
      <c r="N123" s="10" t="inlineStr"/>
      <c r="O123" s="10" t="inlineStr"/>
      <c r="P123" s="10" t="inlineStr">
        <is>
          <t>https://www.facebook.com/Colleyvape/</t>
        </is>
      </c>
      <c r="Q123" s="10" t="inlineStr"/>
      <c r="R123" s="10" t="inlineStr"/>
      <c r="S123" s="10" t="inlineStr"/>
      <c r="T123" s="10" t="inlineStr"/>
      <c r="U123" s="10" t="inlineStr"/>
      <c r="V123" s="10" t="inlineStr">
        <is>
          <t>Medium</t>
        </is>
      </c>
      <c r="W123" s="10" t="inlineStr">
        <is>
          <t>Independent retailer; Core relevant category; Social presence</t>
        </is>
      </c>
      <c r="X123" s="10" t="inlineStr">
        <is>
          <t>Not Found</t>
        </is>
      </c>
      <c r="Y123" s="10" t="inlineStr">
        <is>
          <t>Not Found</t>
        </is>
      </c>
      <c r="Z123" s="10" t="inlineStr">
        <is>
          <t>Low</t>
        </is>
      </c>
      <c r="AA123" s="10" t="inlineStr">
        <is>
          <t>Requires Verification</t>
        </is>
      </c>
      <c r="AB123" s="10" t="inlineStr">
        <is>
          <t>https://www.facebook.com/Colleyvape/</t>
        </is>
      </c>
    </row>
    <row r="124">
      <c r="A124" s="5" t="inlineStr">
        <is>
          <t>UK-000242</t>
        </is>
      </c>
      <c r="B124" s="5" t="inlineStr">
        <is>
          <t>UK-000242-01</t>
        </is>
      </c>
      <c r="C124" s="5" t="inlineStr"/>
      <c r="D124" s="5" t="inlineStr">
        <is>
          <t>Cram Vape Doncaster</t>
        </is>
      </c>
      <c r="E124" s="5" t="inlineStr">
        <is>
          <t>Vape Shop</t>
        </is>
      </c>
      <c r="F124" s="5" t="inlineStr">
        <is>
          <t>Vape shop</t>
        </is>
      </c>
      <c r="G124" s="5" t="inlineStr">
        <is>
          <t>Independent</t>
        </is>
      </c>
      <c r="H124" s="5" t="inlineStr">
        <is>
          <t>1</t>
        </is>
      </c>
      <c r="I124" s="5" t="inlineStr"/>
      <c r="J124" s="5" t="inlineStr">
        <is>
          <t>Doncaster</t>
        </is>
      </c>
      <c r="K124" s="5" t="inlineStr"/>
      <c r="L124" s="5" t="inlineStr"/>
      <c r="M124" s="5" t="inlineStr"/>
      <c r="N124" s="5" t="inlineStr"/>
      <c r="O124" s="5" t="inlineStr">
        <is>
          <t>https://cram-vape.ueniweb.com/</t>
        </is>
      </c>
      <c r="P124" s="5" t="inlineStr"/>
      <c r="Q124" s="5" t="inlineStr"/>
      <c r="R124" s="5" t="inlineStr"/>
      <c r="S124" s="5" t="inlineStr"/>
      <c r="T124" s="5" t="inlineStr"/>
      <c r="U124" s="5" t="inlineStr"/>
      <c r="V124" s="5" t="inlineStr">
        <is>
          <t>Medium</t>
        </is>
      </c>
      <c r="W124" s="5" t="inlineStr">
        <is>
          <t>Independent retailer; Core relevant category; Active website</t>
        </is>
      </c>
      <c r="X124" s="5" t="inlineStr">
        <is>
          <t>Not Found</t>
        </is>
      </c>
      <c r="Y124" s="5" t="inlineStr">
        <is>
          <t>Website Found</t>
        </is>
      </c>
      <c r="Z124" s="5" t="inlineStr">
        <is>
          <t>Low</t>
        </is>
      </c>
      <c r="AA124" s="5" t="inlineStr">
        <is>
          <t>Requires Verification</t>
        </is>
      </c>
      <c r="AB124" s="5" t="inlineStr">
        <is>
          <t>https://cram-vape.ueniweb.com/</t>
        </is>
      </c>
    </row>
    <row r="125">
      <c r="A125" s="10" t="inlineStr">
        <is>
          <t>WY-0078</t>
        </is>
      </c>
      <c r="B125" s="10" t="inlineStr">
        <is>
          <t>WY-0078-01</t>
        </is>
      </c>
      <c r="C125" s="10" t="inlineStr"/>
      <c r="D125" s="10" t="inlineStr">
        <is>
          <t>Crazycloudzzz</t>
        </is>
      </c>
      <c r="E125" s="10" t="inlineStr">
        <is>
          <t>Vape Shop</t>
        </is>
      </c>
      <c r="F125" s="10" t="inlineStr"/>
      <c r="G125" s="10" t="inlineStr">
        <is>
          <t>Independent</t>
        </is>
      </c>
      <c r="H125" s="10" t="inlineStr">
        <is>
          <t>1</t>
        </is>
      </c>
      <c r="I125" s="10" t="inlineStr">
        <is>
          <t>20 Bull Green</t>
        </is>
      </c>
      <c r="J125" s="10" t="inlineStr">
        <is>
          <t>Halifax</t>
        </is>
      </c>
      <c r="K125" s="10" t="inlineStr">
        <is>
          <t>HX1 5AB</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Independent retailer; Core relevant category</t>
        </is>
      </c>
      <c r="X125" s="10" t="inlineStr">
        <is>
          <t>Not Found</t>
        </is>
      </c>
      <c r="Y125" s="10" t="inlineStr">
        <is>
          <t>Not Found</t>
        </is>
      </c>
      <c r="Z125" s="10" t="inlineStr">
        <is>
          <t>Low</t>
        </is>
      </c>
      <c r="AA125" s="10" t="inlineStr">
        <is>
          <t>Requires Verification</t>
        </is>
      </c>
      <c r="AB125" s="10" t="inlineStr">
        <is>
          <t>https://www.yell.com/s/tobacconists-halifax.html</t>
        </is>
      </c>
    </row>
    <row r="126">
      <c r="A126" s="5" t="inlineStr">
        <is>
          <t>UK-000592</t>
        </is>
      </c>
      <c r="B126" s="5" t="inlineStr">
        <is>
          <t>UK-000592-01</t>
        </is>
      </c>
      <c r="C126" s="5" t="inlineStr"/>
      <c r="D126" s="5" t="inlineStr">
        <is>
          <t>Custom Vapes</t>
        </is>
      </c>
      <c r="E126" s="5" t="inlineStr">
        <is>
          <t>Vape Shop</t>
        </is>
      </c>
      <c r="F126" s="5" t="inlineStr">
        <is>
          <t>Vape hardware &amp; e-liquids</t>
        </is>
      </c>
      <c r="G126" s="5" t="inlineStr">
        <is>
          <t>Independent</t>
        </is>
      </c>
      <c r="H126" s="5" t="inlineStr">
        <is>
          <t>1</t>
        </is>
      </c>
      <c r="I126" s="5" t="inlineStr">
        <is>
          <t>151 Plaistow Road</t>
        </is>
      </c>
      <c r="J126" s="5" t="inlineStr">
        <is>
          <t>Stratford</t>
        </is>
      </c>
      <c r="K126" s="5" t="inlineStr">
        <is>
          <t>E15 3ET</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Independent retailer; Core relevant category</t>
        </is>
      </c>
      <c r="X126" s="5" t="inlineStr">
        <is>
          <t>Not Found</t>
        </is>
      </c>
      <c r="Y126" s="5" t="inlineStr">
        <is>
          <t>Not Found</t>
        </is>
      </c>
      <c r="Z126" s="5" t="inlineStr">
        <is>
          <t>Low</t>
        </is>
      </c>
      <c r="AA126" s="5" t="inlineStr">
        <is>
          <t>Requires Verification</t>
        </is>
      </c>
      <c r="AB126" s="5" t="inlineStr">
        <is>
          <t>https://www.yell.com/s/vape+shops-stratford-east+london.html</t>
        </is>
      </c>
    </row>
    <row r="127">
      <c r="A127" s="10" t="inlineStr">
        <is>
          <t>UK-000463</t>
        </is>
      </c>
      <c r="B127" s="10" t="inlineStr">
        <is>
          <t>UK-000463-01</t>
        </is>
      </c>
      <c r="C127" s="10" t="inlineStr"/>
      <c r="D127" s="10" t="inlineStr">
        <is>
          <t>DNB Vapes</t>
        </is>
      </c>
      <c r="E127" s="10" t="inlineStr">
        <is>
          <t>Vape Shop</t>
        </is>
      </c>
      <c r="F127" s="10" t="inlineStr">
        <is>
          <t>Vape hardware &amp; e-liquids</t>
        </is>
      </c>
      <c r="G127" s="10" t="inlineStr">
        <is>
          <t>Independent</t>
        </is>
      </c>
      <c r="H127" s="10" t="inlineStr">
        <is>
          <t>1</t>
        </is>
      </c>
      <c r="I127" s="10" t="inlineStr"/>
      <c r="J127" s="10" t="inlineStr">
        <is>
          <t>Brierley Hill</t>
        </is>
      </c>
      <c r="K127" s="10" t="inlineStr"/>
      <c r="L127" s="10" t="inlineStr"/>
      <c r="M127" s="10" t="inlineStr"/>
      <c r="N127" s="10" t="inlineStr"/>
      <c r="O127" s="10" t="inlineStr">
        <is>
          <t>https://www.dnbvapes.co.uk/</t>
        </is>
      </c>
      <c r="P127" s="10" t="inlineStr"/>
      <c r="Q127" s="10" t="inlineStr"/>
      <c r="R127" s="10" t="inlineStr"/>
      <c r="S127" s="10" t="inlineStr"/>
      <c r="T127" s="10" t="inlineStr"/>
      <c r="U127" s="10" t="inlineStr"/>
      <c r="V127" s="10" t="inlineStr">
        <is>
          <t>Medium</t>
        </is>
      </c>
      <c r="W127" s="10" t="inlineStr">
        <is>
          <t>Independent retailer; Core relevant category; Active website</t>
        </is>
      </c>
      <c r="X127" s="10" t="inlineStr">
        <is>
          <t>Not Found</t>
        </is>
      </c>
      <c r="Y127" s="10" t="inlineStr">
        <is>
          <t>Website Found</t>
        </is>
      </c>
      <c r="Z127" s="10" t="inlineStr">
        <is>
          <t>Low</t>
        </is>
      </c>
      <c r="AA127" s="10" t="inlineStr">
        <is>
          <t>Requires Verification</t>
        </is>
      </c>
      <c r="AB127" s="10" t="inlineStr">
        <is>
          <t>https://www.dnbvapes.co.uk/</t>
        </is>
      </c>
    </row>
    <row r="128">
      <c r="A128" s="5" t="inlineStr">
        <is>
          <t>UK-000354</t>
        </is>
      </c>
      <c r="B128" s="5" t="inlineStr">
        <is>
          <t>UK-000354-01</t>
        </is>
      </c>
      <c r="C128" s="5" t="inlineStr"/>
      <c r="D128" s="5" t="inlineStr">
        <is>
          <t>Dragon Vape Leigh</t>
        </is>
      </c>
      <c r="E128" s="5" t="inlineStr">
        <is>
          <t>Vape Shop</t>
        </is>
      </c>
      <c r="F128" s="5" t="inlineStr"/>
      <c r="G128" s="5" t="inlineStr">
        <is>
          <t>Independent</t>
        </is>
      </c>
      <c r="H128" s="5" t="inlineStr">
        <is>
          <t>1</t>
        </is>
      </c>
      <c r="I128" s="5" t="inlineStr">
        <is>
          <t>47A-49A Leigh Road</t>
        </is>
      </c>
      <c r="J128" s="5" t="inlineStr">
        <is>
          <t>Leigh</t>
        </is>
      </c>
      <c r="K128" s="5" t="inlineStr"/>
      <c r="L128" s="5" t="inlineStr">
        <is>
          <t>0161 723 0064</t>
        </is>
      </c>
      <c r="M128" s="5" t="inlineStr"/>
      <c r="N128" s="5" t="inlineStr"/>
      <c r="O128" s="5" t="inlineStr">
        <is>
          <t>https://dragonvapeuk.com/</t>
        </is>
      </c>
      <c r="P128" s="5" t="inlineStr"/>
      <c r="Q128" s="5" t="inlineStr"/>
      <c r="R128" s="5" t="inlineStr"/>
      <c r="S128" s="5" t="inlineStr"/>
      <c r="T128" s="5" t="inlineStr"/>
      <c r="U128" s="5" t="inlineStr"/>
      <c r="V128" s="5" t="inlineStr">
        <is>
          <t>Medium</t>
        </is>
      </c>
      <c r="W128" s="5" t="inlineStr">
        <is>
          <t>Independent retailer; Core relevant category; Active website; Phone verified on official website</t>
        </is>
      </c>
      <c r="X128" s="5" t="inlineStr">
        <is>
          <t>Verified on official website</t>
        </is>
      </c>
      <c r="Y128" s="5" t="inlineStr">
        <is>
          <t>Website Found</t>
        </is>
      </c>
      <c r="Z128" s="5" t="inlineStr">
        <is>
          <t>Medium</t>
        </is>
      </c>
      <c r="AA128" s="5" t="inlineStr">
        <is>
          <t>Requires Verification</t>
        </is>
      </c>
      <c r="AB128" s="5" t="inlineStr">
        <is>
          <t>https://dragonvapeuk.com/more/</t>
        </is>
      </c>
    </row>
    <row r="129">
      <c r="A129" s="10" t="inlineStr">
        <is>
          <t>UK-000768</t>
        </is>
      </c>
      <c r="B129" s="10" t="inlineStr">
        <is>
          <t>UK-000768-01</t>
        </is>
      </c>
      <c r="C129" s="10" t="inlineStr"/>
      <c r="D129" s="10" t="inlineStr">
        <is>
          <t>Drip Crazy Vapes</t>
        </is>
      </c>
      <c r="E129" s="10" t="inlineStr">
        <is>
          <t>Vape Shop</t>
        </is>
      </c>
      <c r="F129" s="10" t="inlineStr">
        <is>
          <t>Vape shop / e-liquids</t>
        </is>
      </c>
      <c r="G129" s="10" t="inlineStr">
        <is>
          <t>Independent</t>
        </is>
      </c>
      <c r="H129" s="10" t="inlineStr">
        <is>
          <t>1</t>
        </is>
      </c>
      <c r="I129" s="10" t="inlineStr">
        <is>
          <t>12-13 Olympia Arcade</t>
        </is>
      </c>
      <c r="J129" s="10" t="inlineStr">
        <is>
          <t>Kirkcaldy</t>
        </is>
      </c>
      <c r="K129" s="10" t="inlineStr">
        <is>
          <t>KY1 1QF</t>
        </is>
      </c>
      <c r="L129" s="10" t="inlineStr">
        <is>
          <t>01592 560398</t>
        </is>
      </c>
      <c r="M129" s="10" t="inlineStr"/>
      <c r="N129" s="10" t="inlineStr"/>
      <c r="O129" s="10" t="inlineStr"/>
      <c r="P129" s="10" t="inlineStr"/>
      <c r="Q129" s="10" t="inlineStr"/>
      <c r="R129" s="10" t="inlineStr"/>
      <c r="S129" s="10" t="inlineStr"/>
      <c r="T129" s="10" t="inlineStr"/>
      <c r="U129" s="10" t="inlineStr"/>
      <c r="V129" s="10" t="inlineStr">
        <is>
          <t>Medium</t>
        </is>
      </c>
      <c r="W129" s="10" t="inlineStr">
        <is>
          <t>Independent retailer; Core relevant category</t>
        </is>
      </c>
      <c r="X129" s="10" t="inlineStr">
        <is>
          <t>Verified directory</t>
        </is>
      </c>
      <c r="Y129" s="10" t="inlineStr">
        <is>
          <t>Not Found</t>
        </is>
      </c>
      <c r="Z129" s="10" t="inlineStr">
        <is>
          <t>Medium</t>
        </is>
      </c>
      <c r="AA129" s="10" t="inlineStr">
        <is>
          <t>Requires Verification</t>
        </is>
      </c>
      <c r="AB129" s="10" t="inlineStr">
        <is>
          <t>https://kirkcaldy.cylex-uk.co.uk/company/drip-crazy-vapes-26497256.html</t>
        </is>
      </c>
    </row>
    <row r="130">
      <c r="A130" s="5" t="inlineStr">
        <is>
          <t>UK-000357</t>
        </is>
      </c>
      <c r="B130" s="5" t="inlineStr">
        <is>
          <t>UK-000357-01</t>
        </is>
      </c>
      <c r="C130" s="5" t="inlineStr"/>
      <c r="D130" s="5" t="inlineStr">
        <is>
          <t>E-cig &amp; Gadget Shop</t>
        </is>
      </c>
      <c r="E130" s="5" t="inlineStr">
        <is>
          <t>Vape Shop</t>
        </is>
      </c>
      <c r="F130" s="5" t="inlineStr">
        <is>
          <t>Vape &amp; gadgets</t>
        </is>
      </c>
      <c r="G130" s="5" t="inlineStr">
        <is>
          <t>Independent</t>
        </is>
      </c>
      <c r="H130" s="5" t="inlineStr">
        <is>
          <t>1</t>
        </is>
      </c>
      <c r="I130" s="5" t="inlineStr">
        <is>
          <t>13 Yorkshire Street</t>
        </is>
      </c>
      <c r="J130" s="5" t="inlineStr">
        <is>
          <t>Rochdale</t>
        </is>
      </c>
      <c r="K130" s="5" t="inlineStr"/>
      <c r="L130" s="5" t="inlineStr">
        <is>
          <t>07544 490446</t>
        </is>
      </c>
      <c r="M130" s="5" t="inlineStr">
        <is>
          <t>admin@ecig-gadgets.com</t>
        </is>
      </c>
      <c r="N130" s="5" t="inlineStr"/>
      <c r="O130" s="5" t="inlineStr"/>
      <c r="P130" s="5" t="inlineStr">
        <is>
          <t>https://www.facebook.com/p/Ecig-and-gadget-shop-100057478808075/</t>
        </is>
      </c>
      <c r="Q130" s="5" t="inlineStr"/>
      <c r="R130" s="5" t="inlineStr"/>
      <c r="S130" s="5" t="inlineStr"/>
      <c r="T130" s="5" t="inlineStr"/>
      <c r="U130" s="5" t="inlineStr"/>
      <c r="V130" s="5" t="inlineStr">
        <is>
          <t>Medium</t>
        </is>
      </c>
      <c r="W130" s="5" t="inlineStr">
        <is>
          <t>Independent retailer; Core relevant category; Public email available; Social presence</t>
        </is>
      </c>
      <c r="X130" s="5" t="inlineStr">
        <is>
          <t>Verified directory</t>
        </is>
      </c>
      <c r="Y130" s="5" t="inlineStr">
        <is>
          <t>Publicly Listed</t>
        </is>
      </c>
      <c r="Z130" s="5" t="inlineStr">
        <is>
          <t>Low</t>
        </is>
      </c>
      <c r="AA130" s="5" t="inlineStr">
        <is>
          <t>Requires Verification</t>
        </is>
      </c>
      <c r="AB130" s="5" t="inlineStr">
        <is>
          <t>https://vapeshops.puffingbird.com/england/rochdale/e-cig-gadget-shop</t>
        </is>
      </c>
    </row>
    <row r="131">
      <c r="A131" s="10" t="inlineStr">
        <is>
          <t>UK-000597</t>
        </is>
      </c>
      <c r="B131" s="10" t="inlineStr">
        <is>
          <t>UK-000597-01</t>
        </is>
      </c>
      <c r="C131" s="10" t="inlineStr"/>
      <c r="D131" s="10" t="inlineStr">
        <is>
          <t>E17 Vape Bar</t>
        </is>
      </c>
      <c r="E131" s="10" t="inlineStr">
        <is>
          <t>Vape Shop</t>
        </is>
      </c>
      <c r="F131" s="10" t="inlineStr">
        <is>
          <t>Vape hardware &amp; e-liquids</t>
        </is>
      </c>
      <c r="G131" s="10" t="inlineStr">
        <is>
          <t>Independent</t>
        </is>
      </c>
      <c r="H131" s="10" t="inlineStr">
        <is>
          <t>1</t>
        </is>
      </c>
      <c r="I131" s="10" t="inlineStr">
        <is>
          <t>52 High Street</t>
        </is>
      </c>
      <c r="J131" s="10" t="inlineStr">
        <is>
          <t>Walthamstow</t>
        </is>
      </c>
      <c r="K131" s="10" t="inlineStr">
        <is>
          <t>E17 7LD</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Requires Verification</t>
        </is>
      </c>
      <c r="AB131" s="10" t="inlineStr">
        <is>
          <t>https://www.yell.com/biz/e17-vape-bar-london-9131218/</t>
        </is>
      </c>
    </row>
    <row r="132">
      <c r="A132" s="5" t="inlineStr">
        <is>
          <t>WY-0081</t>
        </is>
      </c>
      <c r="B132" s="5" t="inlineStr">
        <is>
          <t>WY-0081-01</t>
        </is>
      </c>
      <c r="C132" s="5" t="inlineStr"/>
      <c r="D132" s="5" t="inlineStr">
        <is>
          <t>ECigarette Outlet</t>
        </is>
      </c>
      <c r="E132" s="5" t="inlineStr">
        <is>
          <t>Vape Shop</t>
        </is>
      </c>
      <c r="F132" s="5" t="inlineStr">
        <is>
          <t>E-cigarette retailer</t>
        </is>
      </c>
      <c r="G132" s="5" t="inlineStr">
        <is>
          <t>Independent</t>
        </is>
      </c>
      <c r="H132" s="5" t="inlineStr">
        <is>
          <t>1</t>
        </is>
      </c>
      <c r="I132" s="5" t="inlineStr">
        <is>
          <t>27 Kirkgate</t>
        </is>
      </c>
      <c r="J132" s="5" t="inlineStr">
        <is>
          <t>Shipley</t>
        </is>
      </c>
      <c r="K132" s="5" t="inlineStr">
        <is>
          <t>BD18 3QW</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Independent retailer; Core relevant category</t>
        </is>
      </c>
      <c r="X132" s="5" t="inlineStr">
        <is>
          <t>Not Found</t>
        </is>
      </c>
      <c r="Y132" s="5" t="inlineStr">
        <is>
          <t>Not Found</t>
        </is>
      </c>
      <c r="Z132" s="5" t="inlineStr">
        <is>
          <t>Medium</t>
        </is>
      </c>
      <c r="AA132" s="5" t="inlineStr">
        <is>
          <t>Requires Verification</t>
        </is>
      </c>
      <c r="AB132" s="5" t="inlineStr">
        <is>
          <t>https://ecigdirectory.co.uk/vape-shop/listing/ecigarette-outlet-shipley</t>
        </is>
      </c>
    </row>
    <row r="133">
      <c r="A133" s="10" t="inlineStr">
        <is>
          <t>WY-0082</t>
        </is>
      </c>
      <c r="B133" s="10" t="inlineStr">
        <is>
          <t>WY-0082-01</t>
        </is>
      </c>
      <c r="C133" s="10" t="inlineStr"/>
      <c r="D133" s="10" t="inlineStr">
        <is>
          <t>Ecig N Vape</t>
        </is>
      </c>
      <c r="E133" s="10" t="inlineStr">
        <is>
          <t>Vape Shop</t>
        </is>
      </c>
      <c r="F133" s="10" t="inlineStr">
        <is>
          <t>Vape retailer</t>
        </is>
      </c>
      <c r="G133" s="10" t="inlineStr">
        <is>
          <t>Independent</t>
        </is>
      </c>
      <c r="H133" s="10" t="inlineStr">
        <is>
          <t>1</t>
        </is>
      </c>
      <c r="I133" s="10" t="inlineStr">
        <is>
          <t>49 Market Street</t>
        </is>
      </c>
      <c r="J133" s="10" t="inlineStr">
        <is>
          <t>Heckmondwike</t>
        </is>
      </c>
      <c r="K133" s="10" t="inlineStr">
        <is>
          <t>WF16 0EU</t>
        </is>
      </c>
      <c r="L133" s="10" t="inlineStr">
        <is>
          <t>01924 402342</t>
        </is>
      </c>
      <c r="M133" s="10" t="inlineStr"/>
      <c r="N133" s="10" t="inlineStr"/>
      <c r="O133" s="10" t="inlineStr"/>
      <c r="P133" s="10" t="inlineStr"/>
      <c r="Q133" s="10" t="inlineStr"/>
      <c r="R133" s="10" t="inlineStr"/>
      <c r="S133" s="10" t="inlineStr"/>
      <c r="T133" s="10" t="inlineStr"/>
      <c r="U133" s="10" t="inlineStr"/>
      <c r="V133" s="10" t="inlineStr">
        <is>
          <t>Medium</t>
        </is>
      </c>
      <c r="W133" s="10" t="inlineStr">
        <is>
          <t>Independent retailer; Core relevant category</t>
        </is>
      </c>
      <c r="X133" s="10" t="inlineStr">
        <is>
          <t>Verified directory</t>
        </is>
      </c>
      <c r="Y133" s="10" t="inlineStr">
        <is>
          <t>Not Found</t>
        </is>
      </c>
      <c r="Z133" s="10" t="inlineStr">
        <is>
          <t>Medium</t>
        </is>
      </c>
      <c r="AA133" s="10" t="inlineStr">
        <is>
          <t>Requires Verification</t>
        </is>
      </c>
      <c r="AB133" s="10" t="inlineStr">
        <is>
          <t>https://heckmondwike.cylex-uk.co.uk/company/ecig-n-vape-26993170.html</t>
        </is>
      </c>
    </row>
    <row r="134">
      <c r="A134" s="5" t="inlineStr">
        <is>
          <t>UK-000243</t>
        </is>
      </c>
      <c r="B134" s="5" t="inlineStr">
        <is>
          <t>UK-000243-01</t>
        </is>
      </c>
      <c r="C134" s="5" t="inlineStr"/>
      <c r="D134" s="5" t="inlineStr">
        <is>
          <t>Ecigbox Northallerton</t>
        </is>
      </c>
      <c r="E134" s="5" t="inlineStr">
        <is>
          <t>Vape Shop</t>
        </is>
      </c>
      <c r="F134" s="5" t="inlineStr">
        <is>
          <t>E-cigarette &amp; e-liquid shop</t>
        </is>
      </c>
      <c r="G134" s="5" t="inlineStr">
        <is>
          <t>Independent</t>
        </is>
      </c>
      <c r="H134" s="5" t="inlineStr">
        <is>
          <t>1</t>
        </is>
      </c>
      <c r="I134" s="5" t="inlineStr">
        <is>
          <t>231 High Street</t>
        </is>
      </c>
      <c r="J134" s="5" t="inlineStr">
        <is>
          <t>Northallerton</t>
        </is>
      </c>
      <c r="K134" s="5" t="inlineStr">
        <is>
          <t>DL7 8LU</t>
        </is>
      </c>
      <c r="L134" s="5" t="inlineStr"/>
      <c r="M134" s="5" t="inlineStr"/>
      <c r="N134" s="5" t="inlineStr"/>
      <c r="O134" s="5" t="inlineStr"/>
      <c r="P134" s="5" t="inlineStr">
        <is>
          <t>https://www.facebook.com/Ecigboxnorthallerton/</t>
        </is>
      </c>
      <c r="Q134" s="5" t="inlineStr"/>
      <c r="R134" s="5" t="inlineStr"/>
      <c r="S134" s="5" t="inlineStr"/>
      <c r="T134" s="5" t="inlineStr"/>
      <c r="U134" s="5" t="inlineStr"/>
      <c r="V134" s="5" t="inlineStr">
        <is>
          <t>Medium</t>
        </is>
      </c>
      <c r="W134" s="5" t="inlineStr">
        <is>
          <t>Independent retailer; Core relevant category; Social presence</t>
        </is>
      </c>
      <c r="X134" s="5" t="inlineStr">
        <is>
          <t>Not Found</t>
        </is>
      </c>
      <c r="Y134" s="5" t="inlineStr">
        <is>
          <t>Not Found</t>
        </is>
      </c>
      <c r="Z134" s="5" t="inlineStr">
        <is>
          <t>Low</t>
        </is>
      </c>
      <c r="AA134" s="5" t="inlineStr">
        <is>
          <t>Requires Verification</t>
        </is>
      </c>
      <c r="AB134" s="5" t="inlineStr">
        <is>
          <t>https://www.facebook.com/Ecigboxnorthallerton/</t>
        </is>
      </c>
    </row>
    <row r="135">
      <c r="A135" s="10" t="inlineStr">
        <is>
          <t>UK-000770</t>
        </is>
      </c>
      <c r="B135" s="10" t="inlineStr">
        <is>
          <t>UK-000770-01</t>
        </is>
      </c>
      <c r="C135" s="10" t="inlineStr"/>
      <c r="D135" s="10" t="inlineStr">
        <is>
          <t>Electro Vapors</t>
        </is>
      </c>
      <c r="E135" s="10" t="inlineStr">
        <is>
          <t>Vape Shop</t>
        </is>
      </c>
      <c r="F135" s="10" t="inlineStr">
        <is>
          <t>Vape &amp; e-liquid retailer</t>
        </is>
      </c>
      <c r="G135" s="10" t="inlineStr">
        <is>
          <t>Independent</t>
        </is>
      </c>
      <c r="H135" s="10" t="inlineStr">
        <is>
          <t>1</t>
        </is>
      </c>
      <c r="I135" s="10" t="inlineStr">
        <is>
          <t>268 Stanley Road</t>
        </is>
      </c>
      <c r="J135" s="10" t="inlineStr">
        <is>
          <t>Bootle</t>
        </is>
      </c>
      <c r="K135" s="10" t="inlineStr">
        <is>
          <t>L20 3ER</t>
        </is>
      </c>
      <c r="L135" s="10" t="inlineStr">
        <is>
          <t>0151 922 3994</t>
        </is>
      </c>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Verified directory</t>
        </is>
      </c>
      <c r="Y135" s="10" t="inlineStr">
        <is>
          <t>Not Found</t>
        </is>
      </c>
      <c r="Z135" s="10" t="inlineStr">
        <is>
          <t>Medium</t>
        </is>
      </c>
      <c r="AA135" s="10" t="inlineStr">
        <is>
          <t>Requires Verification</t>
        </is>
      </c>
      <c r="AB135" s="10" t="inlineStr">
        <is>
          <t>https://www.192.com/atoz/business/bootle-l20/smokers-requisites/electro-vapors/ac598b271ee3f114bcec85266ae32878ffa1c07b/ml/</t>
        </is>
      </c>
    </row>
    <row r="136">
      <c r="A136" s="5" t="inlineStr">
        <is>
          <t>UK-000601</t>
        </is>
      </c>
      <c r="B136" s="5" t="inlineStr">
        <is>
          <t>UK-000601-01</t>
        </is>
      </c>
      <c r="C136" s="5" t="inlineStr"/>
      <c r="D136" s="5" t="inlineStr">
        <is>
          <t>Eliquid Base (Kentish Town)</t>
        </is>
      </c>
      <c r="E136" s="5" t="inlineStr">
        <is>
          <t>Vape Shop</t>
        </is>
      </c>
      <c r="F136" s="5" t="inlineStr">
        <is>
          <t>E-liquids &amp; vape hardware</t>
        </is>
      </c>
      <c r="G136" s="5" t="inlineStr">
        <is>
          <t>Independent</t>
        </is>
      </c>
      <c r="H136" s="5" t="inlineStr">
        <is>
          <t>1</t>
        </is>
      </c>
      <c r="I136" s="5" t="inlineStr">
        <is>
          <t>17 Kentish Town Road</t>
        </is>
      </c>
      <c r="J136" s="5" t="inlineStr">
        <is>
          <t>London</t>
        </is>
      </c>
      <c r="K136" s="5" t="inlineStr">
        <is>
          <t>NW1 8NH</t>
        </is>
      </c>
      <c r="L136" s="5" t="inlineStr">
        <is>
          <t>020 3475 6519</t>
        </is>
      </c>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Verified directory</t>
        </is>
      </c>
      <c r="Y136" s="5" t="inlineStr">
        <is>
          <t>Not Found</t>
        </is>
      </c>
      <c r="Z136" s="5" t="inlineStr">
        <is>
          <t>Medium</t>
        </is>
      </c>
      <c r="AA136" s="5" t="inlineStr">
        <is>
          <t>Requires Verification</t>
        </is>
      </c>
      <c r="AB136" s="5" t="inlineStr">
        <is>
          <t>https://www.yell.com/s/vape+shops-camden+town-central+london.html</t>
        </is>
      </c>
    </row>
    <row r="137">
      <c r="A137" s="10" t="inlineStr">
        <is>
          <t>WY-0083</t>
        </is>
      </c>
      <c r="B137" s="10" t="inlineStr">
        <is>
          <t>WY-0083-01</t>
        </is>
      </c>
      <c r="C137" s="10" t="inlineStr"/>
      <c r="D137" s="10" t="inlineStr">
        <is>
          <t>Emporium Vapez</t>
        </is>
      </c>
      <c r="E137" s="10" t="inlineStr">
        <is>
          <t>Vape Shop</t>
        </is>
      </c>
      <c r="F137" s="10" t="inlineStr">
        <is>
          <t>Vape retailer</t>
        </is>
      </c>
      <c r="G137" s="10" t="inlineStr">
        <is>
          <t>Independent</t>
        </is>
      </c>
      <c r="H137" s="10" t="inlineStr">
        <is>
          <t>1</t>
        </is>
      </c>
      <c r="I137" s="10" t="inlineStr">
        <is>
          <t>21 Crackenedge Lane</t>
        </is>
      </c>
      <c r="J137" s="10" t="inlineStr">
        <is>
          <t>Dewsbury</t>
        </is>
      </c>
      <c r="K137" s="10" t="inlineStr">
        <is>
          <t>WF13 1PU</t>
        </is>
      </c>
      <c r="L137" s="10" t="inlineStr">
        <is>
          <t>07375 706970</t>
        </is>
      </c>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Verified directory</t>
        </is>
      </c>
      <c r="Y137" s="10" t="inlineStr">
        <is>
          <t>Not Found</t>
        </is>
      </c>
      <c r="Z137" s="10" t="inlineStr">
        <is>
          <t>Medium</t>
        </is>
      </c>
      <c r="AA137" s="10" t="inlineStr">
        <is>
          <t>Requires Verification</t>
        </is>
      </c>
      <c r="AB137" s="10" t="inlineStr">
        <is>
          <t>https://www.yelp.com/biz/emporium-vapez-dewsbury</t>
        </is>
      </c>
    </row>
    <row r="138">
      <c r="A138" s="5" t="inlineStr">
        <is>
          <t>UK-000774</t>
        </is>
      </c>
      <c r="B138" s="5" t="inlineStr">
        <is>
          <t>UK-000774-01</t>
        </is>
      </c>
      <c r="C138" s="5" t="inlineStr"/>
      <c r="D138" s="5" t="inlineStr">
        <is>
          <t>Emporium Vapour</t>
        </is>
      </c>
      <c r="E138" s="5" t="inlineStr">
        <is>
          <t>Vape Shop</t>
        </is>
      </c>
      <c r="F138" s="5" t="inlineStr">
        <is>
          <t>Vape shop / e-liquids</t>
        </is>
      </c>
      <c r="G138" s="5" t="inlineStr">
        <is>
          <t>Independent</t>
        </is>
      </c>
      <c r="H138" s="5" t="inlineStr">
        <is>
          <t>1</t>
        </is>
      </c>
      <c r="I138" s="5" t="inlineStr">
        <is>
          <t>1 Dalderse Avenue</t>
        </is>
      </c>
      <c r="J138" s="5" t="inlineStr">
        <is>
          <t>Falkirk</t>
        </is>
      </c>
      <c r="K138" s="5" t="inlineStr">
        <is>
          <t>FK2 7EF</t>
        </is>
      </c>
      <c r="L138" s="5" t="inlineStr">
        <is>
          <t>0800 612 7270</t>
        </is>
      </c>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Verified directory</t>
        </is>
      </c>
      <c r="Y138" s="5" t="inlineStr">
        <is>
          <t>Not Found</t>
        </is>
      </c>
      <c r="Z138" s="5" t="inlineStr">
        <is>
          <t>Medium</t>
        </is>
      </c>
      <c r="AA138" s="5" t="inlineStr">
        <is>
          <t>Requires Verification</t>
        </is>
      </c>
      <c r="AB138" s="5" t="inlineStr">
        <is>
          <t>https://www.yell.com/s/vape+shops-falkirk.html</t>
        </is>
      </c>
    </row>
    <row r="139">
      <c r="A139" s="10" t="inlineStr">
        <is>
          <t>UK-000358</t>
        </is>
      </c>
      <c r="B139" s="10" t="inlineStr">
        <is>
          <t>UK-000358-01</t>
        </is>
      </c>
      <c r="C139" s="10" t="inlineStr"/>
      <c r="D139" s="10" t="inlineStr">
        <is>
          <t>Ezee-Quit</t>
        </is>
      </c>
      <c r="E139" s="10" t="inlineStr">
        <is>
          <t>Vape Shop</t>
        </is>
      </c>
      <c r="F139" s="10" t="inlineStr"/>
      <c r="G139" s="10" t="inlineStr">
        <is>
          <t>Independent</t>
        </is>
      </c>
      <c r="H139" s="10" t="inlineStr">
        <is>
          <t>1</t>
        </is>
      </c>
      <c r="I139" s="10" t="inlineStr">
        <is>
          <t>7b Windmill Lane</t>
        </is>
      </c>
      <c r="J139" s="10" t="inlineStr">
        <is>
          <t>Denton</t>
        </is>
      </c>
      <c r="K139" s="10" t="inlineStr">
        <is>
          <t>M34 3DS</t>
        </is>
      </c>
      <c r="L139" s="10" t="inlineStr"/>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Not Found</t>
        </is>
      </c>
      <c r="Y139" s="10" t="inlineStr">
        <is>
          <t>Not Found</t>
        </is>
      </c>
      <c r="Z139" s="10" t="inlineStr">
        <is>
          <t>Low</t>
        </is>
      </c>
      <c r="AA139" s="10" t="inlineStr">
        <is>
          <t>Requires Verification</t>
        </is>
      </c>
      <c r="AB139" s="10" t="inlineStr">
        <is>
          <t>https://denton-tameside.cylex-uk.co.uk/vape-shops/</t>
        </is>
      </c>
    </row>
    <row r="140">
      <c r="A140" s="5" t="inlineStr">
        <is>
          <t>UK-000244</t>
        </is>
      </c>
      <c r="B140" s="5" t="inlineStr">
        <is>
          <t>UK-000244-01</t>
        </is>
      </c>
      <c r="C140" s="5" t="inlineStr"/>
      <c r="D140" s="5" t="inlineStr">
        <is>
          <t>Fantasy Vapez</t>
        </is>
      </c>
      <c r="E140" s="5" t="inlineStr">
        <is>
          <t>Vape Shop</t>
        </is>
      </c>
      <c r="F140" s="5" t="inlineStr">
        <is>
          <t>Vape shop</t>
        </is>
      </c>
      <c r="G140" s="5" t="inlineStr">
        <is>
          <t>Independent</t>
        </is>
      </c>
      <c r="H140" s="5" t="inlineStr">
        <is>
          <t>1</t>
        </is>
      </c>
      <c r="I140" s="5" t="inlineStr">
        <is>
          <t>4 Market Street</t>
        </is>
      </c>
      <c r="J140" s="5" t="inlineStr">
        <is>
          <t>Cleethorpes</t>
        </is>
      </c>
      <c r="K140" s="5" t="inlineStr">
        <is>
          <t>DN35 8LY</t>
        </is>
      </c>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Independent retailer; Core relevant category</t>
        </is>
      </c>
      <c r="X140" s="5" t="inlineStr">
        <is>
          <t>Not Found</t>
        </is>
      </c>
      <c r="Y140" s="5" t="inlineStr">
        <is>
          <t>Not Found</t>
        </is>
      </c>
      <c r="Z140" s="5" t="inlineStr">
        <is>
          <t>Low</t>
        </is>
      </c>
      <c r="AA140" s="5" t="inlineStr">
        <is>
          <t>Requires Verification</t>
        </is>
      </c>
      <c r="AB140" s="5" t="inlineStr">
        <is>
          <t>https://cleethorpes.cylex-uk.co.uk/vape-shops/</t>
        </is>
      </c>
    </row>
    <row r="141">
      <c r="A141" s="10" t="inlineStr">
        <is>
          <t>UK-000247</t>
        </is>
      </c>
      <c r="B141" s="10" t="inlineStr">
        <is>
          <t>UK-000247-01</t>
        </is>
      </c>
      <c r="C141" s="10" t="inlineStr"/>
      <c r="D141" s="10" t="inlineStr">
        <is>
          <t>FonFix &amp; Vape Shop</t>
        </is>
      </c>
      <c r="E141" s="10" t="inlineStr">
        <is>
          <t>Vape Shop</t>
        </is>
      </c>
      <c r="F141" s="10" t="inlineStr">
        <is>
          <t>Phone repair and vape shop</t>
        </is>
      </c>
      <c r="G141" s="10" t="inlineStr">
        <is>
          <t>Independent</t>
        </is>
      </c>
      <c r="H141" s="10" t="inlineStr">
        <is>
          <t>1</t>
        </is>
      </c>
      <c r="I141" s="10" t="inlineStr">
        <is>
          <t>217 Freeman Street</t>
        </is>
      </c>
      <c r="J141" s="10" t="inlineStr">
        <is>
          <t>Grimsby</t>
        </is>
      </c>
      <c r="K141" s="10" t="inlineStr"/>
      <c r="L141" s="10" t="inlineStr">
        <is>
          <t>07404 435088</t>
        </is>
      </c>
      <c r="M141" s="10" t="inlineStr"/>
      <c r="N141" s="10" t="inlineStr"/>
      <c r="O141" s="10" t="inlineStr"/>
      <c r="P141" s="10" t="inlineStr">
        <is>
          <t>https://www.facebook.com/p/FonFix-Vape-Shop-100067673350065/</t>
        </is>
      </c>
      <c r="Q141" s="10" t="inlineStr"/>
      <c r="R141" s="10" t="inlineStr"/>
      <c r="S141" s="10" t="inlineStr"/>
      <c r="T141" s="10" t="inlineStr"/>
      <c r="U141" s="10" t="inlineStr"/>
      <c r="V141" s="10" t="inlineStr">
        <is>
          <t>Medium</t>
        </is>
      </c>
      <c r="W141" s="10" t="inlineStr">
        <is>
          <t>Independent retailer; Core relevant category; Social presence</t>
        </is>
      </c>
      <c r="X141" s="10" t="inlineStr">
        <is>
          <t>Verified directory</t>
        </is>
      </c>
      <c r="Y141" s="10" t="inlineStr">
        <is>
          <t>Not Found</t>
        </is>
      </c>
      <c r="Z141" s="10" t="inlineStr">
        <is>
          <t>Low</t>
        </is>
      </c>
      <c r="AA141" s="10" t="inlineStr">
        <is>
          <t>Requires Verification</t>
        </is>
      </c>
      <c r="AB141" s="10" t="inlineStr">
        <is>
          <t>https://www.facebook.com/p/FonFix-Vape-Shop-100067673350065/</t>
        </is>
      </c>
    </row>
    <row r="142">
      <c r="A142" s="5" t="inlineStr">
        <is>
          <t>WY-0085</t>
        </is>
      </c>
      <c r="B142" s="5" t="inlineStr">
        <is>
          <t>WY-0085-01</t>
        </is>
      </c>
      <c r="C142" s="5" t="inlineStr"/>
      <c r="D142" s="5" t="inlineStr">
        <is>
          <t>Forever Vapes</t>
        </is>
      </c>
      <c r="E142" s="5" t="inlineStr">
        <is>
          <t>Vape Shop</t>
        </is>
      </c>
      <c r="F142" s="5" t="inlineStr">
        <is>
          <t>Vape retailer</t>
        </is>
      </c>
      <c r="G142" s="5" t="inlineStr">
        <is>
          <t>Independent</t>
        </is>
      </c>
      <c r="H142" s="5" t="inlineStr">
        <is>
          <t>1</t>
        </is>
      </c>
      <c r="I142" s="5" t="inlineStr">
        <is>
          <t>Market Street</t>
        </is>
      </c>
      <c r="J142" s="5" t="inlineStr">
        <is>
          <t>Heckmondwike</t>
        </is>
      </c>
      <c r="K142" s="5" t="inlineStr">
        <is>
          <t>WF16 0JU</t>
        </is>
      </c>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Not Found</t>
        </is>
      </c>
      <c r="Y142" s="5" t="inlineStr">
        <is>
          <t>Not Found</t>
        </is>
      </c>
      <c r="Z142" s="5" t="inlineStr">
        <is>
          <t>Low</t>
        </is>
      </c>
      <c r="AA142" s="5" t="inlineStr">
        <is>
          <t>Requires Verification</t>
        </is>
      </c>
      <c r="AB142" s="5" t="inlineStr">
        <is>
          <t>https://vapeshops.puffingbird.com/yorkshire-and-the-humber/heckmondwike/forever-vapes-ltd</t>
        </is>
      </c>
    </row>
    <row r="143">
      <c r="A143" s="10" t="inlineStr">
        <is>
          <t>UK-000250</t>
        </is>
      </c>
      <c r="B143" s="10" t="inlineStr">
        <is>
          <t>UK-000250-01</t>
        </is>
      </c>
      <c r="C143" s="10" t="inlineStr"/>
      <c r="D143" s="10" t="inlineStr">
        <is>
          <t>GDF Vape Shop</t>
        </is>
      </c>
      <c r="E143" s="10" t="inlineStr">
        <is>
          <t>Vape Shop</t>
        </is>
      </c>
      <c r="F143" s="10" t="inlineStr">
        <is>
          <t>Vape shop</t>
        </is>
      </c>
      <c r="G143" s="10" t="inlineStr">
        <is>
          <t>Independent</t>
        </is>
      </c>
      <c r="H143" s="10" t="inlineStr">
        <is>
          <t>1</t>
        </is>
      </c>
      <c r="I143" s="10" t="inlineStr"/>
      <c r="J143" s="10" t="inlineStr">
        <is>
          <t>Doncaster</t>
        </is>
      </c>
      <c r="K143" s="10" t="inlineStr"/>
      <c r="L143" s="10" t="inlineStr"/>
      <c r="M143" s="10" t="inlineStr"/>
      <c r="N143" s="10" t="inlineStr"/>
      <c r="O143" s="10" t="inlineStr">
        <is>
          <t>https://gdf-vape-shop.ueniweb.com/</t>
        </is>
      </c>
      <c r="P143" s="10" t="inlineStr"/>
      <c r="Q143" s="10" t="inlineStr"/>
      <c r="R143" s="10" t="inlineStr"/>
      <c r="S143" s="10" t="inlineStr"/>
      <c r="T143" s="10" t="inlineStr"/>
      <c r="U143" s="10" t="inlineStr"/>
      <c r="V143" s="10" t="inlineStr">
        <is>
          <t>Medium</t>
        </is>
      </c>
      <c r="W143" s="10" t="inlineStr">
        <is>
          <t>Independent retailer; Core relevant category; Active website</t>
        </is>
      </c>
      <c r="X143" s="10" t="inlineStr">
        <is>
          <t>Not Found</t>
        </is>
      </c>
      <c r="Y143" s="10" t="inlineStr">
        <is>
          <t>Website Found</t>
        </is>
      </c>
      <c r="Z143" s="10" t="inlineStr">
        <is>
          <t>Low</t>
        </is>
      </c>
      <c r="AA143" s="10" t="inlineStr">
        <is>
          <t>Requires Verification</t>
        </is>
      </c>
      <c r="AB143" s="10" t="inlineStr">
        <is>
          <t>https://gdf-vape-shop.ueniweb.com/</t>
        </is>
      </c>
    </row>
    <row r="144">
      <c r="A144" s="5" t="inlineStr">
        <is>
          <t>UK-000472</t>
        </is>
      </c>
      <c r="B144" s="5" t="inlineStr">
        <is>
          <t>UK-000472-01</t>
        </is>
      </c>
      <c r="C144" s="5" t="inlineStr"/>
      <c r="D144" s="5" t="inlineStr">
        <is>
          <t>Gadgets And Vape House</t>
        </is>
      </c>
      <c r="E144" s="5" t="inlineStr">
        <is>
          <t>Vape Shop</t>
        </is>
      </c>
      <c r="F144" s="5" t="inlineStr">
        <is>
          <t>Vapes, e-cigarettes &amp; accessories</t>
        </is>
      </c>
      <c r="G144" s="5" t="inlineStr">
        <is>
          <t>Independent</t>
        </is>
      </c>
      <c r="H144" s="5" t="inlineStr">
        <is>
          <t>1</t>
        </is>
      </c>
      <c r="I144" s="5" t="inlineStr"/>
      <c r="J144" s="5" t="inlineStr">
        <is>
          <t>Dudley</t>
        </is>
      </c>
      <c r="K144" s="5" t="inlineStr"/>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Independent retailer; Core relevant category</t>
        </is>
      </c>
      <c r="X144" s="5" t="inlineStr">
        <is>
          <t>Not Found</t>
        </is>
      </c>
      <c r="Y144" s="5" t="inlineStr">
        <is>
          <t>Not Found</t>
        </is>
      </c>
      <c r="Z144" s="5" t="inlineStr">
        <is>
          <t>Low</t>
        </is>
      </c>
      <c r="AA144" s="5" t="inlineStr">
        <is>
          <t>Requires Verification</t>
        </is>
      </c>
      <c r="AB144" s="5" t="inlineStr">
        <is>
          <t>https://shopdudley.co.uk/listing/gadgets-and-vape-house/</t>
        </is>
      </c>
    </row>
    <row r="145">
      <c r="A145" s="10" t="inlineStr">
        <is>
          <t>WY-0088</t>
        </is>
      </c>
      <c r="B145" s="10" t="inlineStr">
        <is>
          <t>WY-0088-01</t>
        </is>
      </c>
      <c r="C145" s="10" t="inlineStr"/>
      <c r="D145" s="10" t="inlineStr">
        <is>
          <t>Get Plugged</t>
        </is>
      </c>
      <c r="E145" s="10" t="inlineStr">
        <is>
          <t>Vape Shop</t>
        </is>
      </c>
      <c r="F145" s="10" t="inlineStr">
        <is>
          <t>Vape shop and convenience snacks</t>
        </is>
      </c>
      <c r="G145" s="10" t="inlineStr">
        <is>
          <t>Independent</t>
        </is>
      </c>
      <c r="H145" s="10" t="inlineStr">
        <is>
          <t>1</t>
        </is>
      </c>
      <c r="I145" s="10" t="inlineStr">
        <is>
          <t>Bradford Road</t>
        </is>
      </c>
      <c r="J145" s="10" t="inlineStr">
        <is>
          <t>Huddersfield</t>
        </is>
      </c>
      <c r="K145" s="10" t="inlineStr"/>
      <c r="L145" s="10" t="inlineStr"/>
      <c r="M145" s="10" t="inlineStr"/>
      <c r="N145" s="10" t="inlineStr"/>
      <c r="O145" s="10" t="inlineStr">
        <is>
          <t>https://getplugged.co.uk/</t>
        </is>
      </c>
      <c r="P145" s="10" t="inlineStr">
        <is>
          <t>https://www.facebook.com/p/Get-Plugged-61559687350403/</t>
        </is>
      </c>
      <c r="Q145" s="10" t="inlineStr"/>
      <c r="R145" s="10" t="inlineStr"/>
      <c r="S145" s="10" t="inlineStr"/>
      <c r="T145" s="10" t="inlineStr"/>
      <c r="U145" s="10" t="inlineStr"/>
      <c r="V145" s="10" t="inlineStr">
        <is>
          <t>Medium</t>
        </is>
      </c>
      <c r="W145" s="10" t="inlineStr">
        <is>
          <t>Independent retailer; Core relevant category; Active website; Social presence</t>
        </is>
      </c>
      <c r="X145" s="10" t="inlineStr">
        <is>
          <t>Not Found</t>
        </is>
      </c>
      <c r="Y145" s="10" t="inlineStr">
        <is>
          <t>Website Found</t>
        </is>
      </c>
      <c r="Z145" s="10" t="inlineStr">
        <is>
          <t>Medium</t>
        </is>
      </c>
      <c r="AA145" s="10" t="inlineStr">
        <is>
          <t>Requires Verification</t>
        </is>
      </c>
      <c r="AB145" s="10" t="inlineStr">
        <is>
          <t>https://getplugged.co.uk/</t>
        </is>
      </c>
    </row>
    <row r="146">
      <c r="A146" s="5" t="inlineStr">
        <is>
          <t>UK-000252</t>
        </is>
      </c>
      <c r="B146" s="5" t="inlineStr">
        <is>
          <t>UK-000252-01</t>
        </is>
      </c>
      <c r="C146" s="5" t="inlineStr"/>
      <c r="D146" s="5" t="inlineStr">
        <is>
          <t>Grimsby Toys and Vapes</t>
        </is>
      </c>
      <c r="E146" s="5" t="inlineStr">
        <is>
          <t>Vape Shop</t>
        </is>
      </c>
      <c r="F146" s="5" t="inlineStr">
        <is>
          <t>Vape and toy shop</t>
        </is>
      </c>
      <c r="G146" s="5" t="inlineStr">
        <is>
          <t>Independent</t>
        </is>
      </c>
      <c r="H146" s="5" t="inlineStr">
        <is>
          <t>1</t>
        </is>
      </c>
      <c r="I146" s="5" t="inlineStr">
        <is>
          <t>Pasture Street</t>
        </is>
      </c>
      <c r="J146" s="5" t="inlineStr">
        <is>
          <t>Grimsby</t>
        </is>
      </c>
      <c r="K146" s="5" t="inlineStr"/>
      <c r="L146" s="5" t="inlineStr">
        <is>
          <t>07429 286555</t>
        </is>
      </c>
      <c r="M146" s="5" t="inlineStr"/>
      <c r="N146" s="5" t="inlineStr"/>
      <c r="O146" s="5" t="inlineStr"/>
      <c r="P146" s="5" t="inlineStr"/>
      <c r="Q146" s="5" t="inlineStr"/>
      <c r="R146" s="5" t="inlineStr"/>
      <c r="S146" s="5" t="inlineStr"/>
      <c r="T146" s="5" t="inlineStr"/>
      <c r="U146" s="5" t="inlineStr"/>
      <c r="V146" s="5" t="inlineStr">
        <is>
          <t>Medium</t>
        </is>
      </c>
      <c r="W146" s="5" t="inlineStr">
        <is>
          <t>Independent retailer; Core relevant category</t>
        </is>
      </c>
      <c r="X146" s="5" t="inlineStr">
        <is>
          <t>Verified directory</t>
        </is>
      </c>
      <c r="Y146" s="5" t="inlineStr">
        <is>
          <t>Not Found</t>
        </is>
      </c>
      <c r="Z146" s="5" t="inlineStr">
        <is>
          <t>Low</t>
        </is>
      </c>
      <c r="AA146" s="5" t="inlineStr">
        <is>
          <t>Requires Verification</t>
        </is>
      </c>
      <c r="AB146" s="5" t="inlineStr">
        <is>
          <t>https://grimsbylocal.co.uk/businesses/grimsby-toys-and-vapes</t>
        </is>
      </c>
    </row>
    <row r="147">
      <c r="A147" s="10" t="inlineStr">
        <is>
          <t>UK-000613</t>
        </is>
      </c>
      <c r="B147" s="10" t="inlineStr">
        <is>
          <t>UK-000613-01</t>
        </is>
      </c>
      <c r="C147" s="10" t="inlineStr"/>
      <c r="D147" s="10" t="inlineStr">
        <is>
          <t>Hayes Vapes</t>
        </is>
      </c>
      <c r="E147" s="10" t="inlineStr">
        <is>
          <t>Vape Shop</t>
        </is>
      </c>
      <c r="F147" s="10" t="inlineStr"/>
      <c r="G147" s="10" t="inlineStr">
        <is>
          <t>Independent</t>
        </is>
      </c>
      <c r="H147" s="10" t="inlineStr">
        <is>
          <t>1</t>
        </is>
      </c>
      <c r="I147" s="10" t="inlineStr">
        <is>
          <t>111-113 Station Road</t>
        </is>
      </c>
      <c r="J147" s="10" t="inlineStr">
        <is>
          <t>Hayes</t>
        </is>
      </c>
      <c r="K147" s="10" t="inlineStr">
        <is>
          <t>UB3 4BX</t>
        </is>
      </c>
      <c r="L147" s="10" t="inlineStr">
        <is>
          <t>020 3261 2053</t>
        </is>
      </c>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Verified directory</t>
        </is>
      </c>
      <c r="Y147" s="10" t="inlineStr">
        <is>
          <t>Not Found</t>
        </is>
      </c>
      <c r="Z147" s="10" t="inlineStr">
        <is>
          <t>Medium</t>
        </is>
      </c>
      <c r="AA147" s="10" t="inlineStr">
        <is>
          <t>Requires Verification</t>
        </is>
      </c>
      <c r="AB147" s="10" t="inlineStr">
        <is>
          <t>https://www.yell.com/biz/hayes-vapes-hayes-10161586/</t>
        </is>
      </c>
    </row>
    <row r="148">
      <c r="A148" s="5" t="inlineStr">
        <is>
          <t>UK-000255</t>
        </is>
      </c>
      <c r="B148" s="5" t="inlineStr">
        <is>
          <t>UK-000255-01</t>
        </is>
      </c>
      <c r="C148" s="5" t="inlineStr"/>
      <c r="D148" s="5" t="inlineStr">
        <is>
          <t>Hillsborough Vape Lounge</t>
        </is>
      </c>
      <c r="E148" s="5" t="inlineStr">
        <is>
          <t>Vape Shop</t>
        </is>
      </c>
      <c r="F148" s="5" t="inlineStr">
        <is>
          <t>E-cigarette and e-liquid shop</t>
        </is>
      </c>
      <c r="G148" s="5" t="inlineStr">
        <is>
          <t>Independent</t>
        </is>
      </c>
      <c r="H148" s="5" t="inlineStr">
        <is>
          <t>1</t>
        </is>
      </c>
      <c r="I148" s="5" t="inlineStr">
        <is>
          <t>66 Owlerton Green</t>
        </is>
      </c>
      <c r="J148" s="5" t="inlineStr">
        <is>
          <t>Sheffield</t>
        </is>
      </c>
      <c r="K148" s="5" t="inlineStr">
        <is>
          <t>S6 2BH</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https://ecigdirectory.co.uk/vape-shop/listing/hillsborough-vape-lounge-sheffield</t>
        </is>
      </c>
    </row>
    <row r="149">
      <c r="A149" s="10" t="inlineStr">
        <is>
          <t>UK-000361</t>
        </is>
      </c>
      <c r="B149" s="10" t="inlineStr">
        <is>
          <t>UK-000361-01</t>
        </is>
      </c>
      <c r="C149" s="10" t="inlineStr"/>
      <c r="D149" s="10" t="inlineStr">
        <is>
          <t>House of Vapez Rochdale</t>
        </is>
      </c>
      <c r="E149" s="10" t="inlineStr">
        <is>
          <t>Vape Shop</t>
        </is>
      </c>
      <c r="F149" s="10" t="inlineStr"/>
      <c r="G149" s="10" t="inlineStr">
        <is>
          <t>Independent</t>
        </is>
      </c>
      <c r="H149" s="10" t="inlineStr">
        <is>
          <t>1</t>
        </is>
      </c>
      <c r="I149" s="10" t="inlineStr">
        <is>
          <t>99 Yorkshire Street</t>
        </is>
      </c>
      <c r="J149" s="10" t="inlineStr">
        <is>
          <t>Rochdale</t>
        </is>
      </c>
      <c r="K149" s="10" t="inlineStr">
        <is>
          <t>OL16 1DW</t>
        </is>
      </c>
      <c r="L149" s="10" t="inlineStr">
        <is>
          <t>01706 458162</t>
        </is>
      </c>
      <c r="M149" s="10" t="inlineStr">
        <is>
          <t>houseofvapezROCHDALE@gmail.com</t>
        </is>
      </c>
      <c r="N149" s="10" t="inlineStr"/>
      <c r="O149" s="10" t="inlineStr"/>
      <c r="P149" s="10" t="inlineStr"/>
      <c r="Q149" s="10" t="inlineStr">
        <is>
          <t>https://www.instagram.com/houseofvapezrochdale/</t>
        </is>
      </c>
      <c r="R149" s="10" t="inlineStr"/>
      <c r="S149" s="10" t="inlineStr"/>
      <c r="T149" s="10" t="inlineStr"/>
      <c r="U149" s="10" t="inlineStr"/>
      <c r="V149" s="10" t="inlineStr">
        <is>
          <t>Medium</t>
        </is>
      </c>
      <c r="W149" s="10" t="inlineStr">
        <is>
          <t>Independent retailer; Core relevant category; Public email available; Social presence</t>
        </is>
      </c>
      <c r="X149" s="10" t="inlineStr">
        <is>
          <t>Verified directory</t>
        </is>
      </c>
      <c r="Y149" s="10" t="inlineStr">
        <is>
          <t>Publicly Listed</t>
        </is>
      </c>
      <c r="Z149" s="10" t="inlineStr">
        <is>
          <t>Medium</t>
        </is>
      </c>
      <c r="AA149" s="10" t="inlineStr">
        <is>
          <t>Requires Verification</t>
        </is>
      </c>
      <c r="AB149" s="10" t="inlineStr">
        <is>
          <t>https://www.instagram.com/houseofvapezrochdale/</t>
        </is>
      </c>
    </row>
    <row r="150">
      <c r="A150" s="5" t="inlineStr">
        <is>
          <t>WY-0097</t>
        </is>
      </c>
      <c r="B150" s="5" t="inlineStr">
        <is>
          <t>WY-0097-01</t>
        </is>
      </c>
      <c r="C150" s="5" t="inlineStr"/>
      <c r="D150" s="5" t="inlineStr">
        <is>
          <t>House of Vapour</t>
        </is>
      </c>
      <c r="E150" s="5" t="inlineStr">
        <is>
          <t>Vape Shop</t>
        </is>
      </c>
      <c r="F150" s="5" t="inlineStr">
        <is>
          <t>Premium e-cigarette products</t>
        </is>
      </c>
      <c r="G150" s="5" t="inlineStr">
        <is>
          <t>Independent</t>
        </is>
      </c>
      <c r="H150" s="5" t="inlineStr">
        <is>
          <t>1</t>
        </is>
      </c>
      <c r="I150" s="5" t="inlineStr">
        <is>
          <t>Barnsley Road</t>
        </is>
      </c>
      <c r="J150" s="5" t="inlineStr">
        <is>
          <t>South Elmsall</t>
        </is>
      </c>
      <c r="K150" s="5" t="inlineStr">
        <is>
          <t>WF9 2AL</t>
        </is>
      </c>
      <c r="L150" s="5" t="inlineStr">
        <is>
          <t>01977 647969</t>
        </is>
      </c>
      <c r="M150" s="5" t="inlineStr"/>
      <c r="N150" s="5" t="inlineStr"/>
      <c r="O150" s="5" t="inlineStr">
        <is>
          <t>https://www.houseofvapour.net</t>
        </is>
      </c>
      <c r="P150" s="5" t="inlineStr"/>
      <c r="Q150" s="5" t="inlineStr"/>
      <c r="R150" s="5" t="inlineStr"/>
      <c r="S150" s="5" t="inlineStr"/>
      <c r="T150" s="5" t="inlineStr"/>
      <c r="U150" s="5" t="inlineStr"/>
      <c r="V150" s="5" t="inlineStr">
        <is>
          <t>Medium</t>
        </is>
      </c>
      <c r="W150" s="5" t="inlineStr">
        <is>
          <t>Independent retailer; Core relevant category; Active website</t>
        </is>
      </c>
      <c r="X150" s="5" t="inlineStr">
        <is>
          <t>Verified directory</t>
        </is>
      </c>
      <c r="Y150" s="5" t="inlineStr">
        <is>
          <t>Website Found</t>
        </is>
      </c>
      <c r="Z150" s="5" t="inlineStr">
        <is>
          <t>Medium</t>
        </is>
      </c>
      <c r="AA150" s="5" t="inlineStr">
        <is>
          <t>Requires Verification</t>
        </is>
      </c>
      <c r="AB150" s="5" t="inlineStr">
        <is>
          <t>https://www.houseofvapour.net/</t>
        </is>
      </c>
    </row>
    <row r="151">
      <c r="A151" s="10" t="inlineStr">
        <is>
          <t>UK-000365</t>
        </is>
      </c>
      <c r="B151" s="10" t="inlineStr">
        <is>
          <t>UK-000365-01</t>
        </is>
      </c>
      <c r="C151" s="10" t="inlineStr"/>
      <c r="D151" s="10" t="inlineStr">
        <is>
          <t>Iblaze Vape (Walkden, Salford)</t>
        </is>
      </c>
      <c r="E151" s="10" t="inlineStr">
        <is>
          <t>Vape Shop</t>
        </is>
      </c>
      <c r="F151" s="10" t="inlineStr">
        <is>
          <t>Vaporiser shop</t>
        </is>
      </c>
      <c r="G151" s="10" t="inlineStr">
        <is>
          <t>Independent</t>
        </is>
      </c>
      <c r="H151" s="10" t="inlineStr">
        <is>
          <t>1</t>
        </is>
      </c>
      <c r="I151" s="10" t="inlineStr">
        <is>
          <t>9 Bolton Road</t>
        </is>
      </c>
      <c r="J151" s="10" t="inlineStr">
        <is>
          <t>Salford</t>
        </is>
      </c>
      <c r="K151" s="10" t="inlineStr">
        <is>
          <t>M28 3AX</t>
        </is>
      </c>
      <c r="L151" s="10" t="inlineStr">
        <is>
          <t>0161 222 0708</t>
        </is>
      </c>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Verified directory</t>
        </is>
      </c>
      <c r="Y151" s="10" t="inlineStr">
        <is>
          <t>Not Found</t>
        </is>
      </c>
      <c r="Z151" s="10" t="inlineStr">
        <is>
          <t>Medium</t>
        </is>
      </c>
      <c r="AA151" s="10" t="inlineStr">
        <is>
          <t>Requires Verification</t>
        </is>
      </c>
      <c r="AB151" s="10" t="inlineStr">
        <is>
          <t>https://www.localexposurenw.co.uk/enterprise/9247/iblaze-vape-walkden--vaporiser-shop-in-walkden</t>
        </is>
      </c>
    </row>
    <row r="152">
      <c r="A152" s="5" t="inlineStr">
        <is>
          <t>UK-000784</t>
        </is>
      </c>
      <c r="B152" s="5" t="inlineStr">
        <is>
          <t>UK-000784-01</t>
        </is>
      </c>
      <c r="C152" s="5" t="inlineStr"/>
      <c r="D152" s="5" t="inlineStr">
        <is>
          <t>Infinity Vapour Airdrie</t>
        </is>
      </c>
      <c r="E152" s="5" t="inlineStr">
        <is>
          <t>Vape Shop</t>
        </is>
      </c>
      <c r="F152" s="5" t="inlineStr">
        <is>
          <t>Vape shop</t>
        </is>
      </c>
      <c r="G152" s="5" t="inlineStr">
        <is>
          <t>Independent</t>
        </is>
      </c>
      <c r="H152" s="5" t="inlineStr">
        <is>
          <t>1</t>
        </is>
      </c>
      <c r="I152" s="5" t="inlineStr">
        <is>
          <t>24 Alexander Street</t>
        </is>
      </c>
      <c r="J152" s="5" t="inlineStr">
        <is>
          <t>Airdrie</t>
        </is>
      </c>
      <c r="K152" s="5" t="inlineStr">
        <is>
          <t>ML6 0BA</t>
        </is>
      </c>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Not Found</t>
        </is>
      </c>
      <c r="Y152" s="5" t="inlineStr">
        <is>
          <t>Not Found</t>
        </is>
      </c>
      <c r="Z152" s="5" t="inlineStr">
        <is>
          <t>Low</t>
        </is>
      </c>
      <c r="AA152" s="5" t="inlineStr">
        <is>
          <t>Requires Verification</t>
        </is>
      </c>
      <c r="AB152" s="5" t="inlineStr">
        <is>
          <t>https://vapemaps.co/scotland/north-lanarkshire/coatbridge</t>
        </is>
      </c>
    </row>
    <row r="153">
      <c r="A153" s="10" t="inlineStr">
        <is>
          <t>UK-000786</t>
        </is>
      </c>
      <c r="B153" s="10" t="inlineStr">
        <is>
          <t>UK-000786-01</t>
        </is>
      </c>
      <c r="C153" s="10" t="inlineStr"/>
      <c r="D153" s="10" t="inlineStr">
        <is>
          <t>JK's E-Cig Warehouse</t>
        </is>
      </c>
      <c r="E153" s="10" t="inlineStr">
        <is>
          <t>Vape Shop</t>
        </is>
      </c>
      <c r="F153" s="10" t="inlineStr">
        <is>
          <t>Vape &amp; e-liquid retailer</t>
        </is>
      </c>
      <c r="G153" s="10" t="inlineStr">
        <is>
          <t>Independent</t>
        </is>
      </c>
      <c r="H153" s="10" t="inlineStr">
        <is>
          <t>1</t>
        </is>
      </c>
      <c r="I153" s="10" t="inlineStr">
        <is>
          <t>73 The Hexagon</t>
        </is>
      </c>
      <c r="J153" s="10" t="inlineStr">
        <is>
          <t>Bootle</t>
        </is>
      </c>
      <c r="K153" s="10" t="inlineStr">
        <is>
          <t>L20 4XX</t>
        </is>
      </c>
      <c r="L153" s="10" t="inlineStr">
        <is>
          <t>0151 345 1171</t>
        </is>
      </c>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Verified directory</t>
        </is>
      </c>
      <c r="Y153" s="10" t="inlineStr">
        <is>
          <t>Not Found</t>
        </is>
      </c>
      <c r="Z153" s="10" t="inlineStr">
        <is>
          <t>Low</t>
        </is>
      </c>
      <c r="AA153" s="10" t="inlineStr">
        <is>
          <t>Requires Verification</t>
        </is>
      </c>
      <c r="AB153" s="10" t="inlineStr">
        <is>
          <t>https://bootle-merseyside.cylex-uk.co.uk/company/jk's-e-cig-warehouse-23900198.html</t>
        </is>
      </c>
    </row>
    <row r="154">
      <c r="A154" s="5" t="inlineStr">
        <is>
          <t>UK-000260</t>
        </is>
      </c>
      <c r="B154" s="5" t="inlineStr">
        <is>
          <t>UK-000260-01</t>
        </is>
      </c>
      <c r="C154" s="5" t="inlineStr"/>
      <c r="D154" s="5" t="inlineStr">
        <is>
          <t>Juice &amp; Coil Co</t>
        </is>
      </c>
      <c r="E154" s="5" t="inlineStr">
        <is>
          <t>Vape Shop</t>
        </is>
      </c>
      <c r="F154" s="5" t="inlineStr">
        <is>
          <t>E-liquid and coil specialist</t>
        </is>
      </c>
      <c r="G154" s="5" t="inlineStr">
        <is>
          <t>Independent</t>
        </is>
      </c>
      <c r="H154" s="5" t="inlineStr">
        <is>
          <t>1</t>
        </is>
      </c>
      <c r="I154" s="5" t="inlineStr">
        <is>
          <t>851 Chesterfield Road</t>
        </is>
      </c>
      <c r="J154" s="5" t="inlineStr">
        <is>
          <t>Sheffield</t>
        </is>
      </c>
      <c r="K154" s="5" t="inlineStr">
        <is>
          <t>S8 0SQ</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Not Found</t>
        </is>
      </c>
      <c r="Y154" s="5" t="inlineStr">
        <is>
          <t>Not Found</t>
        </is>
      </c>
      <c r="Z154" s="5" t="inlineStr">
        <is>
          <t>Low</t>
        </is>
      </c>
      <c r="AA154" s="5" t="inlineStr">
        <is>
          <t>Requires Verification</t>
        </is>
      </c>
      <c r="AB154" s="5" t="inlineStr">
        <is>
          <t>https://www.yelp.com/search?cflt=vapeshops&amp;find_loc=Unit+12+Parkway+Close%2C+Sheffield+S9+4WJ%2C+United+Kingdom</t>
        </is>
      </c>
    </row>
    <row r="155">
      <c r="A155" s="10" t="inlineStr">
        <is>
          <t>UK-000618</t>
        </is>
      </c>
      <c r="B155" s="10" t="inlineStr">
        <is>
          <t>UK-000618-01</t>
        </is>
      </c>
      <c r="C155" s="10" t="inlineStr"/>
      <c r="D155" s="10" t="inlineStr">
        <is>
          <t>Juiceshop</t>
        </is>
      </c>
      <c r="E155" s="10" t="inlineStr">
        <is>
          <t>Vape Shop</t>
        </is>
      </c>
      <c r="F155" s="10" t="inlineStr">
        <is>
          <t>Vape / smokers requisites</t>
        </is>
      </c>
      <c r="G155" s="10" t="inlineStr">
        <is>
          <t>Independent</t>
        </is>
      </c>
      <c r="H155" s="10" t="inlineStr">
        <is>
          <t>1</t>
        </is>
      </c>
      <c r="I155" s="10" t="inlineStr"/>
      <c r="J155" s="10" t="inlineStr">
        <is>
          <t>Edmonton</t>
        </is>
      </c>
      <c r="K155" s="10" t="inlineStr">
        <is>
          <t>N18 1ND</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Not Found</t>
        </is>
      </c>
      <c r="Y155" s="10" t="inlineStr">
        <is>
          <t>Not Found</t>
        </is>
      </c>
      <c r="Z155" s="10" t="inlineStr">
        <is>
          <t>Low</t>
        </is>
      </c>
      <c r="AA155" s="10" t="inlineStr">
        <is>
          <t>Requires Verification</t>
        </is>
      </c>
      <c r="AB155" s="10" t="inlineStr">
        <is>
          <t>https://www.192.com/atoz/business/london-n18/smokers-requisites/juiceshop/4c047a1058e014f909e7c51434d959de23d404c6/ml/</t>
        </is>
      </c>
    </row>
    <row r="156">
      <c r="A156" s="5" t="inlineStr">
        <is>
          <t>UK-000367</t>
        </is>
      </c>
      <c r="B156" s="5" t="inlineStr">
        <is>
          <t>UK-000367-01</t>
        </is>
      </c>
      <c r="C156" s="5" t="inlineStr"/>
      <c r="D156" s="5" t="inlineStr">
        <is>
          <t>Just Vapours (Eccles, Salford)</t>
        </is>
      </c>
      <c r="E156" s="5" t="inlineStr">
        <is>
          <t>Vape Shop</t>
        </is>
      </c>
      <c r="F156" s="5" t="inlineStr">
        <is>
          <t>Vape hardware, e-liquids &amp; disposables</t>
        </is>
      </c>
      <c r="G156" s="5" t="inlineStr">
        <is>
          <t>Independent</t>
        </is>
      </c>
      <c r="H156" s="5" t="inlineStr">
        <is>
          <t>1</t>
        </is>
      </c>
      <c r="I156" s="5" t="inlineStr">
        <is>
          <t>110 Church Street</t>
        </is>
      </c>
      <c r="J156" s="5" t="inlineStr">
        <is>
          <t>Eccles</t>
        </is>
      </c>
      <c r="K156" s="5" t="inlineStr">
        <is>
          <t>M30 0LH</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Independent retailer; Core relevant category</t>
        </is>
      </c>
      <c r="X156" s="5" t="inlineStr">
        <is>
          <t>Not Found</t>
        </is>
      </c>
      <c r="Y156" s="5" t="inlineStr">
        <is>
          <t>Not Found</t>
        </is>
      </c>
      <c r="Z156" s="5" t="inlineStr">
        <is>
          <t>Low</t>
        </is>
      </c>
      <c r="AA156" s="5" t="inlineStr">
        <is>
          <t>Requires Verification</t>
        </is>
      </c>
      <c r="AB156" s="5" t="inlineStr">
        <is>
          <t>https://eccles-city-of-salford.cylex-uk.co.uk/vape-shops/</t>
        </is>
      </c>
    </row>
    <row r="157">
      <c r="A157" s="10" t="inlineStr">
        <is>
          <t>UK-000262</t>
        </is>
      </c>
      <c r="B157" s="10" t="inlineStr">
        <is>
          <t>UK-000262-01</t>
        </is>
      </c>
      <c r="C157" s="10" t="inlineStr"/>
      <c r="D157" s="10" t="inlineStr">
        <is>
          <t>Kick Ash Vapes Cleethorpes</t>
        </is>
      </c>
      <c r="E157" s="10" t="inlineStr">
        <is>
          <t>Vape Shop</t>
        </is>
      </c>
      <c r="F157" s="10" t="inlineStr">
        <is>
          <t>Vape shop</t>
        </is>
      </c>
      <c r="G157" s="10" t="inlineStr">
        <is>
          <t>Independent</t>
        </is>
      </c>
      <c r="H157" s="10" t="inlineStr">
        <is>
          <t>1</t>
        </is>
      </c>
      <c r="I157" s="10" t="inlineStr">
        <is>
          <t>201 Grimsby Road</t>
        </is>
      </c>
      <c r="J157" s="10" t="inlineStr">
        <is>
          <t>Cleethorpes</t>
        </is>
      </c>
      <c r="K157" s="10" t="inlineStr">
        <is>
          <t>DN35 7HB</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https://kick-ash-vapes-cleethorpes.wheree.com/</t>
        </is>
      </c>
    </row>
    <row r="158">
      <c r="A158" s="5" t="inlineStr">
        <is>
          <t>UK-000792</t>
        </is>
      </c>
      <c r="B158" s="5" t="inlineStr">
        <is>
          <t>UK-000792-01</t>
        </is>
      </c>
      <c r="C158" s="5" t="inlineStr"/>
      <c r="D158" s="5" t="inlineStr">
        <is>
          <t>Kilted Vapor</t>
        </is>
      </c>
      <c r="E158" s="5" t="inlineStr">
        <is>
          <t>Vape Shop</t>
        </is>
      </c>
      <c r="F158" s="5" t="inlineStr">
        <is>
          <t>Vape shop</t>
        </is>
      </c>
      <c r="G158" s="5" t="inlineStr">
        <is>
          <t>Independent</t>
        </is>
      </c>
      <c r="H158" s="5" t="inlineStr">
        <is>
          <t>1</t>
        </is>
      </c>
      <c r="I158" s="5" t="inlineStr">
        <is>
          <t>367 Kilbowie Road</t>
        </is>
      </c>
      <c r="J158" s="5" t="inlineStr">
        <is>
          <t>Clydebank</t>
        </is>
      </c>
      <c r="K158" s="5" t="inlineStr">
        <is>
          <t>G81 2TU</t>
        </is>
      </c>
      <c r="L158" s="5" t="inlineStr">
        <is>
          <t>0141 952 3687</t>
        </is>
      </c>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Verified directory</t>
        </is>
      </c>
      <c r="Y158" s="5" t="inlineStr">
        <is>
          <t>Not Found</t>
        </is>
      </c>
      <c r="Z158" s="5" t="inlineStr">
        <is>
          <t>Medium</t>
        </is>
      </c>
      <c r="AA158" s="5" t="inlineStr">
        <is>
          <t>Requires Verification</t>
        </is>
      </c>
      <c r="AB158" s="5" t="inlineStr">
        <is>
          <t>https://ecigdirectory.co.uk/vape-shop/listing/kilted-vapor-clydebank</t>
        </is>
      </c>
    </row>
    <row r="159">
      <c r="A159" s="10" t="inlineStr">
        <is>
          <t>UK-000793</t>
        </is>
      </c>
      <c r="B159" s="10" t="inlineStr">
        <is>
          <t>UK-000793-01</t>
        </is>
      </c>
      <c r="C159" s="10" t="inlineStr"/>
      <c r="D159" s="10" t="inlineStr">
        <is>
          <t>King Vape Paisley</t>
        </is>
      </c>
      <c r="E159" s="10" t="inlineStr">
        <is>
          <t>Vape Shop</t>
        </is>
      </c>
      <c r="F159" s="10" t="inlineStr">
        <is>
          <t>Vape shop</t>
        </is>
      </c>
      <c r="G159" s="10" t="inlineStr">
        <is>
          <t>Independent</t>
        </is>
      </c>
      <c r="H159" s="10" t="inlineStr">
        <is>
          <t>1</t>
        </is>
      </c>
      <c r="I159" s="10" t="inlineStr">
        <is>
          <t>13 Moss Street</t>
        </is>
      </c>
      <c r="J159" s="10" t="inlineStr">
        <is>
          <t>Paisley</t>
        </is>
      </c>
      <c r="K159" s="10" t="inlineStr">
        <is>
          <t>PA1 1BE</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Independent retailer; Core relevant category</t>
        </is>
      </c>
      <c r="X159" s="10" t="inlineStr">
        <is>
          <t>Not Found</t>
        </is>
      </c>
      <c r="Y159" s="10" t="inlineStr">
        <is>
          <t>Not Found</t>
        </is>
      </c>
      <c r="Z159" s="10" t="inlineStr">
        <is>
          <t>Low</t>
        </is>
      </c>
      <c r="AA159" s="10" t="inlineStr">
        <is>
          <t>Requires Verification</t>
        </is>
      </c>
      <c r="AB159" s="10" t="inlineStr">
        <is>
          <t>https://firmania.co.uk/paisley/king-vape-paisley-6635214</t>
        </is>
      </c>
    </row>
    <row r="160">
      <c r="A160" s="5" t="inlineStr">
        <is>
          <t>UK-000263</t>
        </is>
      </c>
      <c r="B160" s="5" t="inlineStr">
        <is>
          <t>UK-000263-01</t>
        </is>
      </c>
      <c r="C160" s="5" t="inlineStr"/>
      <c r="D160" s="5" t="inlineStr">
        <is>
          <t>Kings Lites Acomb</t>
        </is>
      </c>
      <c r="E160" s="5" t="inlineStr">
        <is>
          <t>Vape Shop</t>
        </is>
      </c>
      <c r="F160" s="5" t="inlineStr">
        <is>
          <t>Vaping specialist</t>
        </is>
      </c>
      <c r="G160" s="5" t="inlineStr">
        <is>
          <t>Independent</t>
        </is>
      </c>
      <c r="H160" s="5" t="inlineStr">
        <is>
          <t>1</t>
        </is>
      </c>
      <c r="I160" s="5" t="inlineStr"/>
      <c r="J160" s="5" t="inlineStr">
        <is>
          <t>York</t>
        </is>
      </c>
      <c r="K160" s="5" t="inlineStr"/>
      <c r="L160" s="5" t="inlineStr"/>
      <c r="M160" s="5" t="inlineStr"/>
      <c r="N160" s="5" t="inlineStr"/>
      <c r="O160" s="5" t="inlineStr">
        <is>
          <t>https://www.kingslites.co.uk/acomb</t>
        </is>
      </c>
      <c r="P160" s="5" t="inlineStr"/>
      <c r="Q160" s="5" t="inlineStr"/>
      <c r="R160" s="5" t="inlineStr"/>
      <c r="S160" s="5" t="inlineStr"/>
      <c r="T160" s="5" t="inlineStr"/>
      <c r="U160" s="5" t="inlineStr"/>
      <c r="V160" s="5" t="inlineStr">
        <is>
          <t>Medium</t>
        </is>
      </c>
      <c r="W160" s="5" t="inlineStr">
        <is>
          <t>Independent retailer; Core relevant category; Active website</t>
        </is>
      </c>
      <c r="X160" s="5" t="inlineStr">
        <is>
          <t>Not Found</t>
        </is>
      </c>
      <c r="Y160" s="5" t="inlineStr">
        <is>
          <t>Website Found</t>
        </is>
      </c>
      <c r="Z160" s="5" t="inlineStr">
        <is>
          <t>Low</t>
        </is>
      </c>
      <c r="AA160" s="5" t="inlineStr">
        <is>
          <t>Requires Verification</t>
        </is>
      </c>
      <c r="AB160" s="5" t="inlineStr">
        <is>
          <t>https://www.kingslites.co.uk/acomb</t>
        </is>
      </c>
    </row>
    <row r="161">
      <c r="A161" s="10" t="inlineStr">
        <is>
          <t>UK-000622</t>
        </is>
      </c>
      <c r="B161" s="10" t="inlineStr">
        <is>
          <t>UK-000622-01</t>
        </is>
      </c>
      <c r="C161" s="10" t="inlineStr"/>
      <c r="D161" s="10" t="inlineStr">
        <is>
          <t>Kings of Vapes</t>
        </is>
      </c>
      <c r="E161" s="10" t="inlineStr">
        <is>
          <t>Vape Shop</t>
        </is>
      </c>
      <c r="F161" s="10" t="inlineStr">
        <is>
          <t>Vape retail / wholesale</t>
        </is>
      </c>
      <c r="G161" s="10" t="inlineStr">
        <is>
          <t>Independent</t>
        </is>
      </c>
      <c r="H161" s="10" t="inlineStr">
        <is>
          <t>1</t>
        </is>
      </c>
      <c r="I161" s="10" t="inlineStr">
        <is>
          <t>9b Grand Union Enterprise Park</t>
        </is>
      </c>
      <c r="J161" s="10" t="inlineStr">
        <is>
          <t>Southall</t>
        </is>
      </c>
      <c r="K161" s="10" t="inlineStr">
        <is>
          <t>UB2 4EX</t>
        </is>
      </c>
      <c r="L161" s="10" t="inlineStr"/>
      <c r="M161" s="10" t="inlineStr"/>
      <c r="N161" s="10" t="inlineStr"/>
      <c r="O161" s="10" t="inlineStr"/>
      <c r="P161" s="10" t="inlineStr"/>
      <c r="Q161" s="10" t="inlineStr"/>
      <c r="R161" s="10" t="inlineStr"/>
      <c r="S161" s="10" t="inlineStr"/>
      <c r="T161" s="10" t="inlineStr"/>
      <c r="U161" s="10" t="inlineStr"/>
      <c r="V161" s="10" t="inlineStr">
        <is>
          <t>Medium</t>
        </is>
      </c>
      <c r="W161" s="10" t="inlineStr">
        <is>
          <t>Independent retailer; Core relevant category</t>
        </is>
      </c>
      <c r="X161" s="10" t="inlineStr">
        <is>
          <t>Not Found</t>
        </is>
      </c>
      <c r="Y161" s="10" t="inlineStr">
        <is>
          <t>Not Found</t>
        </is>
      </c>
      <c r="Z161" s="10" t="inlineStr">
        <is>
          <t>Low</t>
        </is>
      </c>
      <c r="AA161" s="10" t="inlineStr">
        <is>
          <t>Requires Verification</t>
        </is>
      </c>
      <c r="AB161" s="10" t="inlineStr">
        <is>
          <t>https://www.yell.com/biz/kings-of-vapes-southall-9448970/</t>
        </is>
      </c>
    </row>
    <row r="162">
      <c r="A162" s="5" t="inlineStr">
        <is>
          <t>UK-000486</t>
        </is>
      </c>
      <c r="B162" s="5" t="inlineStr">
        <is>
          <t>UK-000486-01</t>
        </is>
      </c>
      <c r="C162" s="5" t="inlineStr"/>
      <c r="D162" s="5" t="inlineStr">
        <is>
          <t>Land of Vapes</t>
        </is>
      </c>
      <c r="E162" s="5" t="inlineStr">
        <is>
          <t>Vape Shop</t>
        </is>
      </c>
      <c r="F162" s="5" t="inlineStr">
        <is>
          <t>E-liquid specialist</t>
        </is>
      </c>
      <c r="G162" s="5" t="inlineStr">
        <is>
          <t>Independent</t>
        </is>
      </c>
      <c r="H162" s="5" t="inlineStr">
        <is>
          <t>1</t>
        </is>
      </c>
      <c r="I162" s="5" t="inlineStr">
        <is>
          <t>10 Broad Street</t>
        </is>
      </c>
      <c r="J162" s="5" t="inlineStr">
        <is>
          <t>Wolverhampton</t>
        </is>
      </c>
      <c r="K162" s="5" t="inlineStr">
        <is>
          <t>WV1 1HP</t>
        </is>
      </c>
      <c r="L162" s="5" t="inlineStr">
        <is>
          <t>01902 426610</t>
        </is>
      </c>
      <c r="M162" s="5" t="inlineStr"/>
      <c r="N162" s="5" t="inlineStr"/>
      <c r="O162" s="5" t="inlineStr"/>
      <c r="P162" s="5" t="inlineStr">
        <is>
          <t>https://www.facebook.com/LandofVapes1/</t>
        </is>
      </c>
      <c r="Q162" s="5" t="inlineStr"/>
      <c r="R162" s="5" t="inlineStr"/>
      <c r="S162" s="5" t="inlineStr"/>
      <c r="T162" s="5" t="inlineStr"/>
      <c r="U162" s="5" t="inlineStr"/>
      <c r="V162" s="5" t="inlineStr">
        <is>
          <t>Medium</t>
        </is>
      </c>
      <c r="W162" s="5" t="inlineStr">
        <is>
          <t>Independent retailer; Core relevant category; Social presence</t>
        </is>
      </c>
      <c r="X162" s="5" t="inlineStr">
        <is>
          <t>Verified directory</t>
        </is>
      </c>
      <c r="Y162" s="5" t="inlineStr">
        <is>
          <t>Not Found</t>
        </is>
      </c>
      <c r="Z162" s="5" t="inlineStr">
        <is>
          <t>Medium</t>
        </is>
      </c>
      <c r="AA162" s="5" t="inlineStr">
        <is>
          <t>Requires Verification</t>
        </is>
      </c>
      <c r="AB162" s="5" t="inlineStr">
        <is>
          <t>https://ecigdirectory.co.uk/vape-shop/listing/land-of-vapes-wolverhampton</t>
        </is>
      </c>
    </row>
    <row r="163">
      <c r="A163" s="10" t="inlineStr">
        <is>
          <t>WY-0110</t>
        </is>
      </c>
      <c r="B163" s="10" t="inlineStr">
        <is>
          <t>WY-0110-01</t>
        </is>
      </c>
      <c r="C163" s="10" t="inlineStr"/>
      <c r="D163" s="10" t="inlineStr">
        <is>
          <t>Liquid Mafia The King of Vapes</t>
        </is>
      </c>
      <c r="E163" s="10" t="inlineStr">
        <is>
          <t>Vape Shop</t>
        </is>
      </c>
      <c r="F163" s="10" t="inlineStr">
        <is>
          <t>Vape retailer</t>
        </is>
      </c>
      <c r="G163" s="10" t="inlineStr">
        <is>
          <t>Independent</t>
        </is>
      </c>
      <c r="H163" s="10" t="inlineStr">
        <is>
          <t>1</t>
        </is>
      </c>
      <c r="I163" s="10" t="inlineStr">
        <is>
          <t>506 Huddersfield Road</t>
        </is>
      </c>
      <c r="J163" s="10" t="inlineStr">
        <is>
          <t>Dewsbury</t>
        </is>
      </c>
      <c r="K163" s="10" t="inlineStr">
        <is>
          <t>WF13 3ET</t>
        </is>
      </c>
      <c r="L163" s="10" t="inlineStr">
        <is>
          <t>07512 340800</t>
        </is>
      </c>
      <c r="M163" s="10" t="inlineStr"/>
      <c r="N163" s="10" t="inlineStr"/>
      <c r="O163" s="10" t="inlineStr"/>
      <c r="P163" s="10" t="inlineStr"/>
      <c r="Q163" s="10" t="inlineStr">
        <is>
          <t>https://www.instagram.com/liquidmafiaofficial/</t>
        </is>
      </c>
      <c r="R163" s="10" t="inlineStr"/>
      <c r="S163" s="10" t="inlineStr"/>
      <c r="T163" s="10" t="inlineStr"/>
      <c r="U163" s="10" t="inlineStr"/>
      <c r="V163" s="10" t="inlineStr">
        <is>
          <t>Medium</t>
        </is>
      </c>
      <c r="W163" s="10" t="inlineStr">
        <is>
          <t>Independent retailer; Core relevant category; Social presence</t>
        </is>
      </c>
      <c r="X163" s="10" t="inlineStr">
        <is>
          <t>Verified directory</t>
        </is>
      </c>
      <c r="Y163" s="10" t="inlineStr">
        <is>
          <t>Not Found</t>
        </is>
      </c>
      <c r="Z163" s="10" t="inlineStr">
        <is>
          <t>Medium</t>
        </is>
      </c>
      <c r="AA163" s="10" t="inlineStr">
        <is>
          <t>Requires Verification</t>
        </is>
      </c>
      <c r="AB163" s="10" t="inlineStr">
        <is>
          <t>https://www.instagram.com/liquidmafiaofficial/</t>
        </is>
      </c>
    </row>
    <row r="164">
      <c r="A164" s="5" t="inlineStr">
        <is>
          <t>UK-000795</t>
        </is>
      </c>
      <c r="B164" s="5" t="inlineStr">
        <is>
          <t>UK-000795-01</t>
        </is>
      </c>
      <c r="C164" s="5" t="inlineStr"/>
      <c r="D164" s="5" t="inlineStr">
        <is>
          <t>Liverpool Vape Shack</t>
        </is>
      </c>
      <c r="E164" s="5" t="inlineStr">
        <is>
          <t>Vape Shop</t>
        </is>
      </c>
      <c r="F164" s="5" t="inlineStr">
        <is>
          <t>Vape &amp; e-liquid retailer</t>
        </is>
      </c>
      <c r="G164" s="5" t="inlineStr">
        <is>
          <t>Independent</t>
        </is>
      </c>
      <c r="H164" s="5" t="inlineStr">
        <is>
          <t>1</t>
        </is>
      </c>
      <c r="I164" s="5" t="inlineStr">
        <is>
          <t>12 Church Street</t>
        </is>
      </c>
      <c r="J164" s="5" t="inlineStr">
        <is>
          <t>Prescot</t>
        </is>
      </c>
      <c r="K164" s="5" t="inlineStr">
        <is>
          <t>L34 3LA</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Not Found</t>
        </is>
      </c>
      <c r="Y164" s="5" t="inlineStr">
        <is>
          <t>Not Found</t>
        </is>
      </c>
      <c r="Z164" s="5" t="inlineStr">
        <is>
          <t>Low</t>
        </is>
      </c>
      <c r="AA164" s="5" t="inlineStr">
        <is>
          <t>Requires Verification</t>
        </is>
      </c>
      <c r="AB164" s="5" t="inlineStr">
        <is>
          <t>https://www.yell.com/biz/vape-shack-prescot-8046036/</t>
        </is>
      </c>
    </row>
    <row r="165">
      <c r="A165" s="10" t="inlineStr">
        <is>
          <t>UK-000629</t>
        </is>
      </c>
      <c r="B165" s="10" t="inlineStr">
        <is>
          <t>UK-000629-01</t>
        </is>
      </c>
      <c r="C165" s="10" t="inlineStr"/>
      <c r="D165" s="10" t="inlineStr">
        <is>
          <t>London Fog Vapery</t>
        </is>
      </c>
      <c r="E165" s="10" t="inlineStr">
        <is>
          <t>Vape Shop</t>
        </is>
      </c>
      <c r="F165" s="10" t="inlineStr">
        <is>
          <t>Vape hardware &amp; e-liquids</t>
        </is>
      </c>
      <c r="G165" s="10" t="inlineStr">
        <is>
          <t>Independent</t>
        </is>
      </c>
      <c r="H165" s="10" t="inlineStr">
        <is>
          <t>1</t>
        </is>
      </c>
      <c r="I165" s="10" t="inlineStr">
        <is>
          <t>222 Hornsey Road</t>
        </is>
      </c>
      <c r="J165" s="10" t="inlineStr">
        <is>
          <t>Islington</t>
        </is>
      </c>
      <c r="K165" s="10" t="inlineStr">
        <is>
          <t>N7 7LL</t>
        </is>
      </c>
      <c r="L165" s="10" t="inlineStr">
        <is>
          <t>07754 181177</t>
        </is>
      </c>
      <c r="M165" s="10" t="inlineStr"/>
      <c r="N165" s="10" t="inlineStr"/>
      <c r="O165" s="10" t="inlineStr"/>
      <c r="P165" s="10" t="inlineStr"/>
      <c r="Q165" s="10" t="inlineStr"/>
      <c r="R165" s="10" t="inlineStr"/>
      <c r="S165" s="10" t="inlineStr"/>
      <c r="T165" s="10" t="inlineStr"/>
      <c r="U165" s="10" t="inlineStr"/>
      <c r="V165" s="10" t="inlineStr">
        <is>
          <t>Medium</t>
        </is>
      </c>
      <c r="W165" s="10" t="inlineStr">
        <is>
          <t>Independent retailer; Core relevant category</t>
        </is>
      </c>
      <c r="X165" s="10" t="inlineStr">
        <is>
          <t>Verified directory</t>
        </is>
      </c>
      <c r="Y165" s="10" t="inlineStr">
        <is>
          <t>Not Found</t>
        </is>
      </c>
      <c r="Z165" s="10" t="inlineStr">
        <is>
          <t>Medium</t>
        </is>
      </c>
      <c r="AA165" s="10" t="inlineStr">
        <is>
          <t>Requires Verification</t>
        </is>
      </c>
      <c r="AB165" s="10" t="inlineStr">
        <is>
          <t>https://www.yell.com/s/vape+shops-islington-central+london.html</t>
        </is>
      </c>
    </row>
    <row r="166">
      <c r="A166" s="5" t="inlineStr">
        <is>
          <t>UK-000797</t>
        </is>
      </c>
      <c r="B166" s="5" t="inlineStr">
        <is>
          <t>UK-000797-01</t>
        </is>
      </c>
      <c r="C166" s="5" t="inlineStr"/>
      <c r="D166" s="5" t="inlineStr">
        <is>
          <t>Lots Of Vape</t>
        </is>
      </c>
      <c r="E166" s="5" t="inlineStr">
        <is>
          <t>Vape Shop</t>
        </is>
      </c>
      <c r="F166" s="5" t="inlineStr">
        <is>
          <t>Vape shop</t>
        </is>
      </c>
      <c r="G166" s="5" t="inlineStr">
        <is>
          <t>Independent</t>
        </is>
      </c>
      <c r="H166" s="5" t="inlineStr">
        <is>
          <t>1</t>
        </is>
      </c>
      <c r="I166" s="5" t="inlineStr">
        <is>
          <t>131 Forefield Lane</t>
        </is>
      </c>
      <c r="J166" s="5" t="inlineStr">
        <is>
          <t>Liverpool</t>
        </is>
      </c>
      <c r="K166" s="5" t="inlineStr">
        <is>
          <t>L23 9SL</t>
        </is>
      </c>
      <c r="L166" s="5" t="inlineStr">
        <is>
          <t>07852 392659</t>
        </is>
      </c>
      <c r="M166" s="5" t="inlineStr"/>
      <c r="N166" s="5" t="inlineStr"/>
      <c r="O166" s="5" t="inlineStr"/>
      <c r="P166" s="5" t="inlineStr"/>
      <c r="Q166" s="5" t="inlineStr"/>
      <c r="R166" s="5" t="inlineStr"/>
      <c r="S166" s="5" t="inlineStr"/>
      <c r="T166" s="5" t="inlineStr"/>
      <c r="U166" s="5" t="inlineStr"/>
      <c r="V166" s="5" t="inlineStr">
        <is>
          <t>Medium</t>
        </is>
      </c>
      <c r="W166" s="5" t="inlineStr">
        <is>
          <t>Independent retailer; Core relevant category</t>
        </is>
      </c>
      <c r="X166" s="5" t="inlineStr">
        <is>
          <t>Verified directory</t>
        </is>
      </c>
      <c r="Y166" s="5" t="inlineStr">
        <is>
          <t>Not Found</t>
        </is>
      </c>
      <c r="Z166" s="5" t="inlineStr">
        <is>
          <t>Low</t>
        </is>
      </c>
      <c r="AA166" s="5" t="inlineStr">
        <is>
          <t>Requires Verification</t>
        </is>
      </c>
      <c r="AB166" s="5" t="inlineStr">
        <is>
          <t>https://waterloo-sefton.cylex-uk.co.uk/company/virgin-vapours-27370213.html</t>
        </is>
      </c>
    </row>
    <row r="167">
      <c r="A167" s="10" t="inlineStr">
        <is>
          <t>UK-000630</t>
        </is>
      </c>
      <c r="B167" s="10" t="inlineStr">
        <is>
          <t>UK-000630-01</t>
        </is>
      </c>
      <c r="C167" s="10" t="inlineStr"/>
      <c r="D167" s="10" t="inlineStr">
        <is>
          <t>Love Vape Brixton</t>
        </is>
      </c>
      <c r="E167" s="10" t="inlineStr">
        <is>
          <t>Vape Shop</t>
        </is>
      </c>
      <c r="F167" s="10" t="inlineStr"/>
      <c r="G167" s="10" t="inlineStr">
        <is>
          <t>Independent</t>
        </is>
      </c>
      <c r="H167" s="10" t="inlineStr">
        <is>
          <t>1</t>
        </is>
      </c>
      <c r="I167" s="10" t="inlineStr"/>
      <c r="J167" s="10" t="inlineStr">
        <is>
          <t>London</t>
        </is>
      </c>
      <c r="K167" s="10" t="inlineStr"/>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Independent retailer; Core relevant category</t>
        </is>
      </c>
      <c r="X167" s="10" t="inlineStr">
        <is>
          <t>Not Found</t>
        </is>
      </c>
      <c r="Y167" s="10" t="inlineStr">
        <is>
          <t>Not Found</t>
        </is>
      </c>
      <c r="Z167" s="10" t="inlineStr">
        <is>
          <t>Low</t>
        </is>
      </c>
      <c r="AA167" s="10" t="inlineStr">
        <is>
          <t>Requires Verification</t>
        </is>
      </c>
      <c r="AB167" s="10" t="inlineStr">
        <is>
          <t>https://www.yell.com/biz/love-vape-brixton-london-8747292/</t>
        </is>
      </c>
    </row>
    <row r="168">
      <c r="A168" s="5" t="inlineStr">
        <is>
          <t>UK-000800</t>
        </is>
      </c>
      <c r="B168" s="5" t="inlineStr">
        <is>
          <t>UK-000800-01</t>
        </is>
      </c>
      <c r="C168" s="5" t="inlineStr"/>
      <c r="D168" s="5" t="inlineStr">
        <is>
          <t>Mersey Vapour Maghull</t>
        </is>
      </c>
      <c r="E168" s="5" t="inlineStr">
        <is>
          <t>Vape Shop</t>
        </is>
      </c>
      <c r="F168" s="5" t="inlineStr">
        <is>
          <t>Vape shop</t>
        </is>
      </c>
      <c r="G168" s="5" t="inlineStr">
        <is>
          <t>Independent</t>
        </is>
      </c>
      <c r="H168" s="5" t="inlineStr">
        <is>
          <t>1</t>
        </is>
      </c>
      <c r="I168" s="5" t="inlineStr">
        <is>
          <t>5 Tree View Court</t>
        </is>
      </c>
      <c r="J168" s="5" t="inlineStr">
        <is>
          <t>Maghull</t>
        </is>
      </c>
      <c r="K168" s="5" t="inlineStr">
        <is>
          <t>L31 3HF</t>
        </is>
      </c>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Independent retailer; Core relevant category</t>
        </is>
      </c>
      <c r="X168" s="5" t="inlineStr">
        <is>
          <t>Not Found</t>
        </is>
      </c>
      <c r="Y168" s="5" t="inlineStr">
        <is>
          <t>Not Found</t>
        </is>
      </c>
      <c r="Z168" s="5" t="inlineStr">
        <is>
          <t>Low</t>
        </is>
      </c>
      <c r="AA168" s="5" t="inlineStr">
        <is>
          <t>Requires Verification</t>
        </is>
      </c>
      <c r="AB168" s="5" t="inlineStr">
        <is>
          <t>https://waterloo-sefton.cylex-uk.co.uk/company/virgin-vapours-27370213.html</t>
        </is>
      </c>
    </row>
    <row r="169">
      <c r="A169" s="10" t="inlineStr">
        <is>
          <t>WY-0121</t>
        </is>
      </c>
      <c r="B169" s="10" t="inlineStr">
        <is>
          <t>WY-0121-01</t>
        </is>
      </c>
      <c r="C169" s="10" t="inlineStr"/>
      <c r="D169" s="10" t="inlineStr">
        <is>
          <t>Mister Motivaper</t>
        </is>
      </c>
      <c r="E169" s="10" t="inlineStr">
        <is>
          <t>Vape Shop</t>
        </is>
      </c>
      <c r="F169" s="10" t="inlineStr">
        <is>
          <t>Vape retailer</t>
        </is>
      </c>
      <c r="G169" s="10" t="inlineStr">
        <is>
          <t>Independent</t>
        </is>
      </c>
      <c r="H169" s="10" t="inlineStr">
        <is>
          <t>1</t>
        </is>
      </c>
      <c r="I169" s="10" t="inlineStr">
        <is>
          <t>7 Horse Fair</t>
        </is>
      </c>
      <c r="J169" s="10" t="inlineStr">
        <is>
          <t>Pontefract</t>
        </is>
      </c>
      <c r="K169" s="10" t="inlineStr"/>
      <c r="L169" s="10" t="inlineStr">
        <is>
          <t>01274 987430</t>
        </is>
      </c>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Verified directory</t>
        </is>
      </c>
      <c r="Y169" s="10" t="inlineStr">
        <is>
          <t>Not Found</t>
        </is>
      </c>
      <c r="Z169" s="10" t="inlineStr">
        <is>
          <t>Low</t>
        </is>
      </c>
      <c r="AA169" s="10" t="inlineStr">
        <is>
          <t>Requires Verification</t>
        </is>
      </c>
      <c r="AB169" s="10" t="inlineStr">
        <is>
          <t>https://ecigdirectory.co.uk/vape-shop/listing/mister-motivaper-pontefract</t>
        </is>
      </c>
    </row>
    <row r="170">
      <c r="A170" s="5" t="inlineStr">
        <is>
          <t>UK-000804</t>
        </is>
      </c>
      <c r="B170" s="5" t="inlineStr">
        <is>
          <t>UK-000804-01</t>
        </is>
      </c>
      <c r="C170" s="5" t="inlineStr"/>
      <c r="D170" s="5" t="inlineStr">
        <is>
          <t>Mobile Tech &amp; Vape</t>
        </is>
      </c>
      <c r="E170" s="5" t="inlineStr">
        <is>
          <t>Vape Shop</t>
        </is>
      </c>
      <c r="F170" s="5" t="inlineStr">
        <is>
          <t>Vape &amp; mobile accessories</t>
        </is>
      </c>
      <c r="G170" s="5" t="inlineStr">
        <is>
          <t>Independent</t>
        </is>
      </c>
      <c r="H170" s="5" t="inlineStr">
        <is>
          <t>1</t>
        </is>
      </c>
      <c r="I170" s="5" t="inlineStr">
        <is>
          <t>48 Grahams Road</t>
        </is>
      </c>
      <c r="J170" s="5" t="inlineStr">
        <is>
          <t>Falkirk</t>
        </is>
      </c>
      <c r="K170" s="5" t="inlineStr">
        <is>
          <t>FK1 1HR</t>
        </is>
      </c>
      <c r="L170" s="5" t="inlineStr">
        <is>
          <t>07450 116416</t>
        </is>
      </c>
      <c r="M170" s="5" t="inlineStr"/>
      <c r="N170" s="5" t="inlineStr"/>
      <c r="O170" s="5" t="inlineStr"/>
      <c r="P170" s="5" t="inlineStr"/>
      <c r="Q170" s="5" t="inlineStr"/>
      <c r="R170" s="5" t="inlineStr"/>
      <c r="S170" s="5" t="inlineStr"/>
      <c r="T170" s="5" t="inlineStr"/>
      <c r="U170" s="5" t="inlineStr"/>
      <c r="V170" s="5" t="inlineStr">
        <is>
          <t>Medium</t>
        </is>
      </c>
      <c r="W170" s="5" t="inlineStr">
        <is>
          <t>Independent retailer; Core relevant category</t>
        </is>
      </c>
      <c r="X170" s="5" t="inlineStr">
        <is>
          <t>Verified directory</t>
        </is>
      </c>
      <c r="Y170" s="5" t="inlineStr">
        <is>
          <t>Not Found</t>
        </is>
      </c>
      <c r="Z170" s="5" t="inlineStr">
        <is>
          <t>Low</t>
        </is>
      </c>
      <c r="AA170" s="5" t="inlineStr">
        <is>
          <t>Requires Verification</t>
        </is>
      </c>
      <c r="AB170" s="5" t="inlineStr">
        <is>
          <t>https://www.yell.com/s/vape+shops-falkirk.html</t>
        </is>
      </c>
    </row>
    <row r="171">
      <c r="A171" s="10" t="inlineStr">
        <is>
          <t>UK-000373</t>
        </is>
      </c>
      <c r="B171" s="10" t="inlineStr">
        <is>
          <t>UK-000373-01</t>
        </is>
      </c>
      <c r="C171" s="10" t="inlineStr"/>
      <c r="D171" s="10" t="inlineStr">
        <is>
          <t>Mobile and Vape Shop Hindley</t>
        </is>
      </c>
      <c r="E171" s="10" t="inlineStr">
        <is>
          <t>Vape Shop</t>
        </is>
      </c>
      <c r="F171" s="10" t="inlineStr">
        <is>
          <t>Mobile phone and vape retailer</t>
        </is>
      </c>
      <c r="G171" s="10" t="inlineStr">
        <is>
          <t>Independent</t>
        </is>
      </c>
      <c r="H171" s="10" t="inlineStr">
        <is>
          <t>1</t>
        </is>
      </c>
      <c r="I171" s="10" t="inlineStr">
        <is>
          <t>77 Market Street</t>
        </is>
      </c>
      <c r="J171" s="10" t="inlineStr">
        <is>
          <t>Wigan</t>
        </is>
      </c>
      <c r="K171" s="10" t="inlineStr"/>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Independent retailer; Core relevant category</t>
        </is>
      </c>
      <c r="X171" s="10" t="inlineStr">
        <is>
          <t>Not Found</t>
        </is>
      </c>
      <c r="Y171" s="10" t="inlineStr">
        <is>
          <t>Not Found</t>
        </is>
      </c>
      <c r="Z171" s="10" t="inlineStr">
        <is>
          <t>Low</t>
        </is>
      </c>
      <c r="AA171" s="10" t="inlineStr">
        <is>
          <t>Requires Verification</t>
        </is>
      </c>
      <c r="AB171" s="10" t="inlineStr">
        <is>
          <t>https://www.yelp.com/biz/mobile-and-vape-shop-hindley</t>
        </is>
      </c>
    </row>
    <row r="172">
      <c r="A172" s="5" t="inlineStr">
        <is>
          <t>WY-0123</t>
        </is>
      </c>
      <c r="B172" s="5" t="inlineStr">
        <is>
          <t>WY-0123-01</t>
        </is>
      </c>
      <c r="C172" s="5" t="inlineStr"/>
      <c r="D172" s="5" t="inlineStr">
        <is>
          <t>Mount Vapes</t>
        </is>
      </c>
      <c r="E172" s="5" t="inlineStr">
        <is>
          <t>Vape Shop</t>
        </is>
      </c>
      <c r="F172" s="5" t="inlineStr"/>
      <c r="G172" s="5" t="inlineStr">
        <is>
          <t>Independent</t>
        </is>
      </c>
      <c r="H172" s="5" t="inlineStr">
        <is>
          <t>1</t>
        </is>
      </c>
      <c r="I172" s="5" t="inlineStr"/>
      <c r="J172" s="5" t="inlineStr">
        <is>
          <t>Halifax</t>
        </is>
      </c>
      <c r="K172" s="5" t="inlineStr">
        <is>
          <t>HX3 6EE</t>
        </is>
      </c>
      <c r="L172" s="5" t="inlineStr">
        <is>
          <t>07843 846154</t>
        </is>
      </c>
      <c r="M172" s="5" t="inlineStr"/>
      <c r="N172" s="5" t="inlineStr"/>
      <c r="O172" s="5" t="inlineStr">
        <is>
          <t>https://mountvapes.co.uk/</t>
        </is>
      </c>
      <c r="P172" s="5" t="inlineStr">
        <is>
          <t>https://www.facebook.com/MountVapes/</t>
        </is>
      </c>
      <c r="Q172" s="5" t="inlineStr"/>
      <c r="R172" s="5" t="inlineStr"/>
      <c r="S172" s="5" t="inlineStr"/>
      <c r="T172" s="5" t="inlineStr"/>
      <c r="U172" s="5" t="inlineStr"/>
      <c r="V172" s="5" t="inlineStr">
        <is>
          <t>Medium</t>
        </is>
      </c>
      <c r="W172" s="5" t="inlineStr">
        <is>
          <t>Independent retailer; Core relevant category; Active website; Social presence</t>
        </is>
      </c>
      <c r="X172" s="5" t="inlineStr">
        <is>
          <t>Verified directory</t>
        </is>
      </c>
      <c r="Y172" s="5" t="inlineStr">
        <is>
          <t>Website Found</t>
        </is>
      </c>
      <c r="Z172" s="5" t="inlineStr">
        <is>
          <t>Medium</t>
        </is>
      </c>
      <c r="AA172" s="5" t="inlineStr">
        <is>
          <t>Requires Verification</t>
        </is>
      </c>
      <c r="AB172" s="5" t="inlineStr">
        <is>
          <t>https://mountvapes.co.uk/</t>
        </is>
      </c>
    </row>
    <row r="173">
      <c r="A173" s="10" t="inlineStr">
        <is>
          <t>UK-000374</t>
        </is>
      </c>
      <c r="B173" s="10" t="inlineStr">
        <is>
          <t>UK-000374-01</t>
        </is>
      </c>
      <c r="C173" s="10" t="inlineStr"/>
      <c r="D173" s="10" t="inlineStr">
        <is>
          <t>Mr Ciggies</t>
        </is>
      </c>
      <c r="E173" s="10" t="inlineStr">
        <is>
          <t>Vape Shop</t>
        </is>
      </c>
      <c r="F173" s="10" t="inlineStr"/>
      <c r="G173" s="10" t="inlineStr">
        <is>
          <t>Independent</t>
        </is>
      </c>
      <c r="H173" s="10" t="inlineStr">
        <is>
          <t>1</t>
        </is>
      </c>
      <c r="I173" s="10" t="inlineStr">
        <is>
          <t>41 Melbourne Street</t>
        </is>
      </c>
      <c r="J173" s="10" t="inlineStr">
        <is>
          <t>Stalybridge</t>
        </is>
      </c>
      <c r="K173" s="10" t="inlineStr">
        <is>
          <t>SK15 2JJ</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Not Found</t>
        </is>
      </c>
      <c r="Y173" s="10" t="inlineStr">
        <is>
          <t>Not Found</t>
        </is>
      </c>
      <c r="Z173" s="10" t="inlineStr">
        <is>
          <t>Low</t>
        </is>
      </c>
      <c r="AA173" s="10" t="inlineStr">
        <is>
          <t>Requires Verification</t>
        </is>
      </c>
      <c r="AB173" s="10" t="inlineStr">
        <is>
          <t>https://denton-tameside.cylex-uk.co.uk/vape-shops/</t>
        </is>
      </c>
    </row>
    <row r="174">
      <c r="A174" s="5" t="inlineStr">
        <is>
          <t>UK-000805</t>
        </is>
      </c>
      <c r="B174" s="5" t="inlineStr">
        <is>
          <t>UK-000805-01</t>
        </is>
      </c>
      <c r="C174" s="5" t="inlineStr"/>
      <c r="D174" s="5" t="inlineStr">
        <is>
          <t>Mr MotiVapor</t>
        </is>
      </c>
      <c r="E174" s="5" t="inlineStr">
        <is>
          <t>Vape Shop</t>
        </is>
      </c>
      <c r="F174" s="5" t="inlineStr">
        <is>
          <t>Vape shop / e-liquids</t>
        </is>
      </c>
      <c r="G174" s="5" t="inlineStr">
        <is>
          <t>Independent</t>
        </is>
      </c>
      <c r="H174" s="5" t="inlineStr">
        <is>
          <t>1</t>
        </is>
      </c>
      <c r="I174" s="5" t="inlineStr"/>
      <c r="J174" s="5" t="inlineStr">
        <is>
          <t>Bathgate</t>
        </is>
      </c>
      <c r="K174" s="5" t="inlineStr"/>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https://bathgate.cylex-uk.co.uk/vape-shops/</t>
        </is>
      </c>
    </row>
    <row r="175">
      <c r="A175" s="10" t="inlineStr">
        <is>
          <t>UK-000638</t>
        </is>
      </c>
      <c r="B175" s="10" t="inlineStr">
        <is>
          <t>UK-000638-01</t>
        </is>
      </c>
      <c r="C175" s="10" t="inlineStr"/>
      <c r="D175" s="10" t="inlineStr">
        <is>
          <t>Mr Vape</t>
        </is>
      </c>
      <c r="E175" s="10" t="inlineStr">
        <is>
          <t>Vape Shop</t>
        </is>
      </c>
      <c r="F175" s="10" t="inlineStr"/>
      <c r="G175" s="10" t="inlineStr">
        <is>
          <t>Independent</t>
        </is>
      </c>
      <c r="H175" s="10" t="inlineStr">
        <is>
          <t>1</t>
        </is>
      </c>
      <c r="I175" s="10" t="inlineStr">
        <is>
          <t>111 Streatham High Road</t>
        </is>
      </c>
      <c r="J175" s="10" t="inlineStr">
        <is>
          <t>London</t>
        </is>
      </c>
      <c r="K175" s="10" t="inlineStr">
        <is>
          <t>SW16 1HJ</t>
        </is>
      </c>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Independent retailer; Core relevant category</t>
        </is>
      </c>
      <c r="X175" s="10" t="inlineStr">
        <is>
          <t>Not Found</t>
        </is>
      </c>
      <c r="Y175" s="10" t="inlineStr">
        <is>
          <t>Not Found</t>
        </is>
      </c>
      <c r="Z175" s="10" t="inlineStr">
        <is>
          <t>Low</t>
        </is>
      </c>
      <c r="AA175" s="10" t="inlineStr">
        <is>
          <t>Requires Verification</t>
        </is>
      </c>
      <c r="AB175" s="10" t="inlineStr">
        <is>
          <t>https://www.yell.com/s/tobacconists-streatham-south+west+london.html</t>
        </is>
      </c>
    </row>
    <row r="176">
      <c r="A176" s="5" t="inlineStr">
        <is>
          <t>UK-000375</t>
        </is>
      </c>
      <c r="B176" s="5" t="inlineStr">
        <is>
          <t>UK-000375-01</t>
        </is>
      </c>
      <c r="C176" s="5" t="inlineStr"/>
      <c r="D176" s="5" t="inlineStr">
        <is>
          <t>NJ Vapes (Urmston, Trafford)</t>
        </is>
      </c>
      <c r="E176" s="5" t="inlineStr">
        <is>
          <t>Vape Shop</t>
        </is>
      </c>
      <c r="F176" s="5" t="inlineStr">
        <is>
          <t>Vape hardware, e-liquids &amp; disposables</t>
        </is>
      </c>
      <c r="G176" s="5" t="inlineStr">
        <is>
          <t>Independent</t>
        </is>
      </c>
      <c r="H176" s="5" t="inlineStr">
        <is>
          <t>1</t>
        </is>
      </c>
      <c r="I176" s="5" t="inlineStr">
        <is>
          <t>64 Flixton Road</t>
        </is>
      </c>
      <c r="J176" s="5" t="inlineStr">
        <is>
          <t>Urmston</t>
        </is>
      </c>
      <c r="K176" s="5" t="inlineStr">
        <is>
          <t>M41 5AB</t>
        </is>
      </c>
      <c r="L176" s="5" t="inlineStr">
        <is>
          <t>0161 376 4170</t>
        </is>
      </c>
      <c r="M176" s="5" t="inlineStr"/>
      <c r="N176" s="5" t="inlineStr"/>
      <c r="O176" s="5" t="inlineStr"/>
      <c r="P176" s="5" t="inlineStr"/>
      <c r="Q176" s="5" t="inlineStr"/>
      <c r="R176" s="5" t="inlineStr"/>
      <c r="S176" s="5" t="inlineStr"/>
      <c r="T176" s="5" t="inlineStr"/>
      <c r="U176" s="5" t="inlineStr"/>
      <c r="V176" s="5" t="inlineStr">
        <is>
          <t>Medium</t>
        </is>
      </c>
      <c r="W176" s="5" t="inlineStr">
        <is>
          <t>Independent retailer; Core relevant category</t>
        </is>
      </c>
      <c r="X176" s="5" t="inlineStr">
        <is>
          <t>Verified directory</t>
        </is>
      </c>
      <c r="Y176" s="5" t="inlineStr">
        <is>
          <t>Not Found</t>
        </is>
      </c>
      <c r="Z176" s="5" t="inlineStr">
        <is>
          <t>Low</t>
        </is>
      </c>
      <c r="AA176" s="5" t="inlineStr">
        <is>
          <t>Requires Verification</t>
        </is>
      </c>
      <c r="AB176" s="5" t="inlineStr">
        <is>
          <t>https://www.waze.com/live-map/directions?from=place.ChIJTwimv2Cte0gR0NgFFiLEShA</t>
        </is>
      </c>
    </row>
    <row r="177">
      <c r="A177" s="10" t="inlineStr">
        <is>
          <t>UK-000495</t>
        </is>
      </c>
      <c r="B177" s="10" t="inlineStr">
        <is>
          <t>UK-000495-01</t>
        </is>
      </c>
      <c r="C177" s="10" t="inlineStr"/>
      <c r="D177" s="10" t="inlineStr">
        <is>
          <t>Nanostix Birmingham</t>
        </is>
      </c>
      <c r="E177" s="10" t="inlineStr">
        <is>
          <t>Vape Shop</t>
        </is>
      </c>
      <c r="F177" s="10" t="inlineStr">
        <is>
          <t>Vape hardware and e-liquid retailer</t>
        </is>
      </c>
      <c r="G177" s="10" t="inlineStr">
        <is>
          <t>Independent</t>
        </is>
      </c>
      <c r="H177" s="10" t="inlineStr">
        <is>
          <t>1</t>
        </is>
      </c>
      <c r="I177" s="10" t="inlineStr">
        <is>
          <t>144 Alcester Road</t>
        </is>
      </c>
      <c r="J177" s="10" t="inlineStr">
        <is>
          <t>Birmingham</t>
        </is>
      </c>
      <c r="K177" s="10" t="inlineStr">
        <is>
          <t>B13 8HS</t>
        </is>
      </c>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Not Found</t>
        </is>
      </c>
      <c r="Y177" s="10" t="inlineStr">
        <is>
          <t>Not Found</t>
        </is>
      </c>
      <c r="Z177" s="10" t="inlineStr">
        <is>
          <t>Low</t>
        </is>
      </c>
      <c r="AA177" s="10" t="inlineStr">
        <is>
          <t>Requires Verification</t>
        </is>
      </c>
      <c r="AB177" s="10" t="inlineStr">
        <is>
          <t>https://m.yelp.com/search?cflt=vapeshops&amp;find_loc=361-365+Moseley+Rd%2C+Birmingham+B12+9DE</t>
        </is>
      </c>
    </row>
    <row r="178">
      <c r="A178" s="5" t="inlineStr">
        <is>
          <t>UK-000376</t>
        </is>
      </c>
      <c r="B178" s="5" t="inlineStr">
        <is>
          <t>UK-000376-01</t>
        </is>
      </c>
      <c r="C178" s="5" t="inlineStr"/>
      <c r="D178" s="5" t="inlineStr">
        <is>
          <t>Neon Vaperz CBD (Salford)</t>
        </is>
      </c>
      <c r="E178" s="5" t="inlineStr">
        <is>
          <t>Vape Shop</t>
        </is>
      </c>
      <c r="F178" s="5" t="inlineStr">
        <is>
          <t>Vape &amp; CBD store</t>
        </is>
      </c>
      <c r="G178" s="5" t="inlineStr">
        <is>
          <t>Independent</t>
        </is>
      </c>
      <c r="H178" s="5" t="inlineStr">
        <is>
          <t>1</t>
        </is>
      </c>
      <c r="I178" s="5" t="inlineStr">
        <is>
          <t>201 Eccles Old Road</t>
        </is>
      </c>
      <c r="J178" s="5" t="inlineStr">
        <is>
          <t>Salford</t>
        </is>
      </c>
      <c r="K178" s="5" t="inlineStr">
        <is>
          <t>M6 8HA</t>
        </is>
      </c>
      <c r="L178" s="5" t="inlineStr">
        <is>
          <t>0161 707 2228</t>
        </is>
      </c>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Verified directory</t>
        </is>
      </c>
      <c r="Y178" s="5" t="inlineStr">
        <is>
          <t>Not Found</t>
        </is>
      </c>
      <c r="Z178" s="5" t="inlineStr">
        <is>
          <t>Low</t>
        </is>
      </c>
      <c r="AA178" s="5" t="inlineStr">
        <is>
          <t>Requires Verification</t>
        </is>
      </c>
      <c r="AB178" s="5" t="inlineStr">
        <is>
          <t>https://salford-city-of-salford.cylex-uk.co.uk/vape-shops/</t>
        </is>
      </c>
    </row>
    <row r="179">
      <c r="A179" s="10" t="inlineStr">
        <is>
          <t>WY-0131</t>
        </is>
      </c>
      <c r="B179" s="10" t="inlineStr">
        <is>
          <t>WY-0131-01</t>
        </is>
      </c>
      <c r="C179" s="10" t="inlineStr"/>
      <c r="D179" s="10" t="inlineStr">
        <is>
          <t>Phantom Vape Store</t>
        </is>
      </c>
      <c r="E179" s="10" t="inlineStr">
        <is>
          <t>Vape Shop</t>
        </is>
      </c>
      <c r="F179" s="10" t="inlineStr">
        <is>
          <t>Pods, kits, e-liquids and accessories</t>
        </is>
      </c>
      <c r="G179" s="10" t="inlineStr">
        <is>
          <t>Independent</t>
        </is>
      </c>
      <c r="H179" s="10" t="inlineStr">
        <is>
          <t>1</t>
        </is>
      </c>
      <c r="I179" s="10" t="inlineStr">
        <is>
          <t>17 Slaithwaite Road</t>
        </is>
      </c>
      <c r="J179" s="10" t="inlineStr">
        <is>
          <t>Dewsbury</t>
        </is>
      </c>
      <c r="K179" s="10" t="inlineStr">
        <is>
          <t>WF12 9DJ</t>
        </is>
      </c>
      <c r="L179" s="10" t="inlineStr"/>
      <c r="M179" s="10" t="inlineStr"/>
      <c r="N179" s="10" t="inlineStr"/>
      <c r="O179" s="10" t="inlineStr">
        <is>
          <t>https://www.phantomvapes.co.uk/</t>
        </is>
      </c>
      <c r="P179" s="10" t="inlineStr">
        <is>
          <t>https://www.facebook.com/61578393599194/</t>
        </is>
      </c>
      <c r="Q179" s="10" t="inlineStr"/>
      <c r="R179" s="10" t="inlineStr"/>
      <c r="S179" s="10" t="inlineStr"/>
      <c r="T179" s="10" t="inlineStr"/>
      <c r="U179" s="10" t="inlineStr"/>
      <c r="V179" s="10" t="inlineStr">
        <is>
          <t>Medium</t>
        </is>
      </c>
      <c r="W179" s="10" t="inlineStr">
        <is>
          <t>Independent retailer; Core relevant category; Active website; Social presence</t>
        </is>
      </c>
      <c r="X179" s="10" t="inlineStr">
        <is>
          <t>Not Found</t>
        </is>
      </c>
      <c r="Y179" s="10" t="inlineStr">
        <is>
          <t>Website Found</t>
        </is>
      </c>
      <c r="Z179" s="10" t="inlineStr">
        <is>
          <t>Medium</t>
        </is>
      </c>
      <c r="AA179" s="10" t="inlineStr">
        <is>
          <t>Requires Verification</t>
        </is>
      </c>
      <c r="AB179" s="10" t="inlineStr">
        <is>
          <t>https://www.phantomvapes.co.uk/vape-shop-dewsbury</t>
        </is>
      </c>
    </row>
    <row r="180">
      <c r="A180" s="5" t="inlineStr">
        <is>
          <t>UK-000499</t>
        </is>
      </c>
      <c r="B180" s="5" t="inlineStr">
        <is>
          <t>UK-000499-01</t>
        </is>
      </c>
      <c r="C180" s="5" t="inlineStr"/>
      <c r="D180" s="5" t="inlineStr">
        <is>
          <t>Phone Care &amp; Vape</t>
        </is>
      </c>
      <c r="E180" s="5" t="inlineStr">
        <is>
          <t>Vape Shop</t>
        </is>
      </c>
      <c r="F180" s="5" t="inlineStr">
        <is>
          <t>Vape &amp; phone repair (DHL point)</t>
        </is>
      </c>
      <c r="G180" s="5" t="inlineStr">
        <is>
          <t>Independent</t>
        </is>
      </c>
      <c r="H180" s="5" t="inlineStr">
        <is>
          <t>1</t>
        </is>
      </c>
      <c r="I180" s="5" t="inlineStr">
        <is>
          <t>606 Bloxwich Road</t>
        </is>
      </c>
      <c r="J180" s="5" t="inlineStr">
        <is>
          <t>Walsall</t>
        </is>
      </c>
      <c r="K180" s="5" t="inlineStr">
        <is>
          <t>WS3 2XE</t>
        </is>
      </c>
      <c r="L180" s="5" t="inlineStr">
        <is>
          <t>01922 320998</t>
        </is>
      </c>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Verified directory</t>
        </is>
      </c>
      <c r="Y180" s="5" t="inlineStr">
        <is>
          <t>Not Found</t>
        </is>
      </c>
      <c r="Z180" s="5" t="inlineStr">
        <is>
          <t>Medium</t>
        </is>
      </c>
      <c r="AA180" s="5" t="inlineStr">
        <is>
          <t>Requires Verification</t>
        </is>
      </c>
      <c r="AB180" s="5" t="inlineStr">
        <is>
          <t>https://find-open.co.uk/walsall/phone-care-vape-2811202</t>
        </is>
      </c>
    </row>
    <row r="181">
      <c r="A181" s="10" t="inlineStr">
        <is>
          <t>UK-000500</t>
        </is>
      </c>
      <c r="B181" s="10" t="inlineStr">
        <is>
          <t>UK-000500-01</t>
        </is>
      </c>
      <c r="C181" s="10" t="inlineStr"/>
      <c r="D181" s="10" t="inlineStr">
        <is>
          <t>Phone Fix &amp; Vape Ltd</t>
        </is>
      </c>
      <c r="E181" s="10" t="inlineStr">
        <is>
          <t>Vape Shop</t>
        </is>
      </c>
      <c r="F181" s="10" t="inlineStr">
        <is>
          <t>Vape and phone repair shop</t>
        </is>
      </c>
      <c r="G181" s="10" t="inlineStr">
        <is>
          <t>Independent</t>
        </is>
      </c>
      <c r="H181" s="10" t="inlineStr">
        <is>
          <t>1</t>
        </is>
      </c>
      <c r="I181" s="10" t="inlineStr">
        <is>
          <t>806 Stratford Road</t>
        </is>
      </c>
      <c r="J181" s="10" t="inlineStr">
        <is>
          <t>Birmingham</t>
        </is>
      </c>
      <c r="K181" s="10" t="inlineStr">
        <is>
          <t>B11 4BS</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https://directory.shropshirestar.co.uk/company/1231398485651457</t>
        </is>
      </c>
    </row>
    <row r="182">
      <c r="A182" s="5" t="inlineStr">
        <is>
          <t>UK-000501</t>
        </is>
      </c>
      <c r="B182" s="5" t="inlineStr">
        <is>
          <t>UK-000501-01</t>
        </is>
      </c>
      <c r="C182" s="5" t="inlineStr"/>
      <c r="D182" s="5" t="inlineStr">
        <is>
          <t>Phones &amp; Vapes Kings Heath</t>
        </is>
      </c>
      <c r="E182" s="5" t="inlineStr">
        <is>
          <t>Vape Shop</t>
        </is>
      </c>
      <c r="F182" s="5" t="inlineStr">
        <is>
          <t>Vape and mobile phone accessories</t>
        </is>
      </c>
      <c r="G182" s="5" t="inlineStr">
        <is>
          <t>Independent</t>
        </is>
      </c>
      <c r="H182" s="5" t="inlineStr">
        <is>
          <t>1</t>
        </is>
      </c>
      <c r="I182" s="5" t="inlineStr">
        <is>
          <t>58a High Street</t>
        </is>
      </c>
      <c r="J182" s="5" t="inlineStr">
        <is>
          <t>Birmingham</t>
        </is>
      </c>
      <c r="K182" s="5" t="inlineStr">
        <is>
          <t>B14 7JZ</t>
        </is>
      </c>
      <c r="L182" s="5" t="inlineStr">
        <is>
          <t>07516 034606</t>
        </is>
      </c>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Verified directory</t>
        </is>
      </c>
      <c r="Y182" s="5" t="inlineStr">
        <is>
          <t>Not Found</t>
        </is>
      </c>
      <c r="Z182" s="5" t="inlineStr">
        <is>
          <t>Low</t>
        </is>
      </c>
      <c r="AA182" s="5" t="inlineStr">
        <is>
          <t>Requires Verification</t>
        </is>
      </c>
      <c r="AB182" s="5" t="inlineStr">
        <is>
          <t>https://firmania.co.uk/birmingham/phones-vapes-kings-heath-4615006</t>
        </is>
      </c>
    </row>
    <row r="183">
      <c r="A183" s="10" t="inlineStr">
        <is>
          <t>UK-000267</t>
        </is>
      </c>
      <c r="B183" s="10" t="inlineStr">
        <is>
          <t>UK-000267-01</t>
        </is>
      </c>
      <c r="C183" s="10" t="inlineStr"/>
      <c r="D183" s="10" t="inlineStr">
        <is>
          <t>Platinum Vape Hull</t>
        </is>
      </c>
      <c r="E183" s="10" t="inlineStr">
        <is>
          <t>Vape Shop</t>
        </is>
      </c>
      <c r="F183" s="10" t="inlineStr">
        <is>
          <t>Disposables and e-liquid shop</t>
        </is>
      </c>
      <c r="G183" s="10" t="inlineStr">
        <is>
          <t>Independent</t>
        </is>
      </c>
      <c r="H183" s="10" t="inlineStr">
        <is>
          <t>1</t>
        </is>
      </c>
      <c r="I183" s="10" t="inlineStr"/>
      <c r="J183" s="10" t="inlineStr">
        <is>
          <t>Kingston upon Hull</t>
        </is>
      </c>
      <c r="K183" s="10" t="inlineStr"/>
      <c r="L183" s="10" t="inlineStr"/>
      <c r="M183" s="10" t="inlineStr"/>
      <c r="N183" s="10" t="inlineStr"/>
      <c r="O183" s="10" t="inlineStr"/>
      <c r="P183" s="10" t="inlineStr">
        <is>
          <t>https://www.facebook.com/PlatinumVapehull/</t>
        </is>
      </c>
      <c r="Q183" s="10" t="inlineStr"/>
      <c r="R183" s="10" t="inlineStr"/>
      <c r="S183" s="10" t="inlineStr"/>
      <c r="T183" s="10" t="inlineStr"/>
      <c r="U183" s="10" t="inlineStr"/>
      <c r="V183" s="10" t="inlineStr">
        <is>
          <t>Medium</t>
        </is>
      </c>
      <c r="W183" s="10" t="inlineStr">
        <is>
          <t>Independent retailer; Core relevant category; Social presence</t>
        </is>
      </c>
      <c r="X183" s="10" t="inlineStr">
        <is>
          <t>Not Found</t>
        </is>
      </c>
      <c r="Y183" s="10" t="inlineStr">
        <is>
          <t>Not Found</t>
        </is>
      </c>
      <c r="Z183" s="10" t="inlineStr">
        <is>
          <t>Low</t>
        </is>
      </c>
      <c r="AA183" s="10" t="inlineStr">
        <is>
          <t>Requires Verification</t>
        </is>
      </c>
      <c r="AB183" s="10" t="inlineStr">
        <is>
          <t>https://www.facebook.com/PlatinumVapehull/</t>
        </is>
      </c>
    </row>
    <row r="184">
      <c r="A184" s="5" t="inlineStr">
        <is>
          <t>UK-000503</t>
        </is>
      </c>
      <c r="B184" s="5" t="inlineStr">
        <is>
          <t>UK-000503-01</t>
        </is>
      </c>
      <c r="C184" s="5" t="inlineStr"/>
      <c r="D184" s="5" t="inlineStr">
        <is>
          <t>Red Hot Vaping</t>
        </is>
      </c>
      <c r="E184" s="5" t="inlineStr">
        <is>
          <t>Vape Shop</t>
        </is>
      </c>
      <c r="F184" s="5" t="inlineStr">
        <is>
          <t>Vape kits, e-liquids &amp; accessories</t>
        </is>
      </c>
      <c r="G184" s="5" t="inlineStr">
        <is>
          <t>Independent</t>
        </is>
      </c>
      <c r="H184" s="5" t="inlineStr">
        <is>
          <t>1</t>
        </is>
      </c>
      <c r="I184" s="5" t="inlineStr"/>
      <c r="J184" s="5" t="inlineStr">
        <is>
          <t>Wednesbury</t>
        </is>
      </c>
      <c r="K184" s="5" t="inlineStr"/>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Not Found</t>
        </is>
      </c>
      <c r="Y184" s="5" t="inlineStr">
        <is>
          <t>Not Found</t>
        </is>
      </c>
      <c r="Z184" s="5" t="inlineStr">
        <is>
          <t>Low</t>
        </is>
      </c>
      <c r="AA184" s="5" t="inlineStr">
        <is>
          <t>Requires Verification</t>
        </is>
      </c>
      <c r="AB184" s="5" t="inlineStr">
        <is>
          <t>https://vapeshops.puffingbird.com/england/wednesbury</t>
        </is>
      </c>
    </row>
    <row r="185">
      <c r="A185" s="10" t="inlineStr">
        <is>
          <t>UK-000504</t>
        </is>
      </c>
      <c r="B185" s="10" t="inlineStr">
        <is>
          <t>UK-000504-01</t>
        </is>
      </c>
      <c r="C185" s="10" t="inlineStr"/>
      <c r="D185" s="10" t="inlineStr">
        <is>
          <t>Regimental Vape</t>
        </is>
      </c>
      <c r="E185" s="10" t="inlineStr">
        <is>
          <t>Vape Shop</t>
        </is>
      </c>
      <c r="F185" s="10" t="inlineStr">
        <is>
          <t>E-cigarette &amp; e-liquid retailer</t>
        </is>
      </c>
      <c r="G185" s="10" t="inlineStr">
        <is>
          <t>Independent</t>
        </is>
      </c>
      <c r="H185" s="10" t="inlineStr">
        <is>
          <t>1</t>
        </is>
      </c>
      <c r="I185" s="10" t="inlineStr">
        <is>
          <t>288-290 Linthouse Lane</t>
        </is>
      </c>
      <c r="J185" s="10" t="inlineStr">
        <is>
          <t>Wolverhampton</t>
        </is>
      </c>
      <c r="K185" s="10" t="inlineStr">
        <is>
          <t>WV11 3TT</t>
        </is>
      </c>
      <c r="L185" s="10" t="inlineStr">
        <is>
          <t>01902 903456</t>
        </is>
      </c>
      <c r="M185" s="10" t="inlineStr"/>
      <c r="N185" s="10" t="inlineStr"/>
      <c r="O185" s="10" t="inlineStr">
        <is>
          <t>https://www.regimentalvape.co.uk/</t>
        </is>
      </c>
      <c r="P185" s="10" t="inlineStr">
        <is>
          <t>https://www.facebook.com/regimentalvapeltd/</t>
        </is>
      </c>
      <c r="Q185" s="10" t="inlineStr"/>
      <c r="R185" s="10" t="inlineStr"/>
      <c r="S185" s="10" t="inlineStr"/>
      <c r="T185" s="10" t="inlineStr">
        <is>
          <t>12283647</t>
        </is>
      </c>
      <c r="U185" s="10" t="inlineStr"/>
      <c r="V185" s="10" t="inlineStr">
        <is>
          <t>High</t>
        </is>
      </c>
      <c r="W185" s="10" t="inlineStr">
        <is>
          <t>Independent retailer; Core relevant category; Active website; Social presence; Phone verified on official website</t>
        </is>
      </c>
      <c r="X185" s="10" t="inlineStr">
        <is>
          <t>Verified on official website</t>
        </is>
      </c>
      <c r="Y185" s="10" t="inlineStr">
        <is>
          <t>Website Found</t>
        </is>
      </c>
      <c r="Z185" s="10" t="inlineStr">
        <is>
          <t>High</t>
        </is>
      </c>
      <c r="AA185" s="10" t="inlineStr">
        <is>
          <t>Verified (website + Companies House)</t>
        </is>
      </c>
      <c r="AB185" s="10" t="inlineStr">
        <is>
          <t>https://www.regimentalvape.co.uk/contact</t>
        </is>
      </c>
    </row>
    <row r="186">
      <c r="A186" s="5" t="inlineStr">
        <is>
          <t>WY-0138</t>
        </is>
      </c>
      <c r="B186" s="5" t="inlineStr">
        <is>
          <t>WY-0138-01</t>
        </is>
      </c>
      <c r="C186" s="5" t="inlineStr"/>
      <c r="D186" s="5" t="inlineStr">
        <is>
          <t>Revo Vapes</t>
        </is>
      </c>
      <c r="E186" s="5" t="inlineStr">
        <is>
          <t>Vape Shop</t>
        </is>
      </c>
      <c r="F186" s="5" t="inlineStr"/>
      <c r="G186" s="5" t="inlineStr">
        <is>
          <t>Independent</t>
        </is>
      </c>
      <c r="H186" s="5" t="inlineStr">
        <is>
          <t>1</t>
        </is>
      </c>
      <c r="I186" s="5" t="inlineStr">
        <is>
          <t>Unit 1a, 91 Queen Street</t>
        </is>
      </c>
      <c r="J186" s="5" t="inlineStr">
        <is>
          <t>Morley</t>
        </is>
      </c>
      <c r="K186" s="5" t="inlineStr">
        <is>
          <t>LS27 8DW</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Independent retailer; Core relevant category</t>
        </is>
      </c>
      <c r="X186" s="5" t="inlineStr">
        <is>
          <t>Not Found</t>
        </is>
      </c>
      <c r="Y186" s="5" t="inlineStr">
        <is>
          <t>Not Found</t>
        </is>
      </c>
      <c r="Z186" s="5" t="inlineStr">
        <is>
          <t>Low</t>
        </is>
      </c>
      <c r="AA186" s="5" t="inlineStr">
        <is>
          <t>Requires Verification</t>
        </is>
      </c>
      <c r="AB186" s="5" t="inlineStr">
        <is>
          <t>https://revo-vapes.wheree.com/</t>
        </is>
      </c>
    </row>
    <row r="187">
      <c r="A187" s="10" t="inlineStr">
        <is>
          <t>UK-000270</t>
        </is>
      </c>
      <c r="B187" s="10" t="inlineStr">
        <is>
          <t>UK-000270-01</t>
        </is>
      </c>
      <c r="C187" s="10" t="inlineStr"/>
      <c r="D187" s="10" t="inlineStr">
        <is>
          <t>Revolution Vape</t>
        </is>
      </c>
      <c r="E187" s="10" t="inlineStr">
        <is>
          <t>Vape Shop</t>
        </is>
      </c>
      <c r="F187" s="10" t="inlineStr">
        <is>
          <t>Vape shop</t>
        </is>
      </c>
      <c r="G187" s="10" t="inlineStr">
        <is>
          <t>Independent</t>
        </is>
      </c>
      <c r="H187" s="10" t="inlineStr">
        <is>
          <t>1</t>
        </is>
      </c>
      <c r="I187" s="10" t="inlineStr">
        <is>
          <t>75 High Street</t>
        </is>
      </c>
      <c r="J187" s="10" t="inlineStr">
        <is>
          <t>Rotherham</t>
        </is>
      </c>
      <c r="K187" s="10" t="inlineStr">
        <is>
          <t>S63 7QB</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Independent retailer; Core relevant category</t>
        </is>
      </c>
      <c r="X187" s="10" t="inlineStr">
        <is>
          <t>Not Found</t>
        </is>
      </c>
      <c r="Y187" s="10" t="inlineStr">
        <is>
          <t>Not Found</t>
        </is>
      </c>
      <c r="Z187" s="10" t="inlineStr">
        <is>
          <t>Low</t>
        </is>
      </c>
      <c r="AA187" s="10" t="inlineStr">
        <is>
          <t>Requires Verification</t>
        </is>
      </c>
      <c r="AB187" s="10" t="inlineStr">
        <is>
          <t>https://wath-upon-dearne.cylex-uk.co.uk/company/revolution-vape-19882113.html</t>
        </is>
      </c>
    </row>
    <row r="188">
      <c r="A188" s="5" t="inlineStr">
        <is>
          <t>UK-000505</t>
        </is>
      </c>
      <c r="B188" s="5" t="inlineStr">
        <is>
          <t>UK-000505-01</t>
        </is>
      </c>
      <c r="C188" s="5" t="inlineStr"/>
      <c r="D188" s="5" t="inlineStr">
        <is>
          <t>Rhythm 'N' Vape Sedgley</t>
        </is>
      </c>
      <c r="E188" s="5" t="inlineStr">
        <is>
          <t>Vape Shop</t>
        </is>
      </c>
      <c r="F188" s="5" t="inlineStr">
        <is>
          <t>Vape kits, e-liquids &amp; accessories</t>
        </is>
      </c>
      <c r="G188" s="5" t="inlineStr">
        <is>
          <t>Independent</t>
        </is>
      </c>
      <c r="H188" s="5" t="inlineStr">
        <is>
          <t>1</t>
        </is>
      </c>
      <c r="I188" s="5" t="inlineStr">
        <is>
          <t>2 Bull Ring</t>
        </is>
      </c>
      <c r="J188" s="5" t="inlineStr">
        <is>
          <t>Dudley</t>
        </is>
      </c>
      <c r="K188" s="5" t="inlineStr">
        <is>
          <t>DY3 1SG</t>
        </is>
      </c>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t>
        </is>
      </c>
      <c r="X188" s="5" t="inlineStr">
        <is>
          <t>Not Found</t>
        </is>
      </c>
      <c r="Y188" s="5" t="inlineStr">
        <is>
          <t>Not Found</t>
        </is>
      </c>
      <c r="Z188" s="5" t="inlineStr">
        <is>
          <t>Low</t>
        </is>
      </c>
      <c r="AA188" s="5" t="inlineStr">
        <is>
          <t>Requires Verification</t>
        </is>
      </c>
      <c r="AB188" s="5" t="inlineStr">
        <is>
          <t>https://www.yelp.com/search?cflt=vapeshops&amp;find_loc=Dudley%2C+West+Midlands</t>
        </is>
      </c>
    </row>
    <row r="189">
      <c r="A189" s="10" t="inlineStr">
        <is>
          <t>UK-000271</t>
        </is>
      </c>
      <c r="B189" s="10" t="inlineStr">
        <is>
          <t>UK-000271-01</t>
        </is>
      </c>
      <c r="C189" s="10" t="inlineStr"/>
      <c r="D189" s="10" t="inlineStr">
        <is>
          <t>RicherVapes</t>
        </is>
      </c>
      <c r="E189" s="10" t="inlineStr">
        <is>
          <t>Vape Shop</t>
        </is>
      </c>
      <c r="F189" s="10" t="inlineStr">
        <is>
          <t>E-cigarette, e-liquid &amp; hardware specialist</t>
        </is>
      </c>
      <c r="G189" s="10" t="inlineStr">
        <is>
          <t>Independent</t>
        </is>
      </c>
      <c r="H189" s="10" t="inlineStr">
        <is>
          <t>1</t>
        </is>
      </c>
      <c r="I189" s="10" t="inlineStr">
        <is>
          <t>2 Skeldergate</t>
        </is>
      </c>
      <c r="J189" s="10" t="inlineStr">
        <is>
          <t>York</t>
        </is>
      </c>
      <c r="K189" s="10" t="inlineStr">
        <is>
          <t>YO1 6DG</t>
        </is>
      </c>
      <c r="L189" s="10" t="inlineStr">
        <is>
          <t>07879 654682</t>
        </is>
      </c>
      <c r="M189" s="10" t="inlineStr">
        <is>
          <t>richervapes@gmail.com</t>
        </is>
      </c>
      <c r="N189" s="10" t="inlineStr"/>
      <c r="O189" s="10" t="inlineStr">
        <is>
          <t>https://richervapes.com/</t>
        </is>
      </c>
      <c r="P189" s="10" t="inlineStr">
        <is>
          <t>https://www.facebook.com/richervapes/</t>
        </is>
      </c>
      <c r="Q189" s="10" t="inlineStr"/>
      <c r="R189" s="10" t="inlineStr"/>
      <c r="S189" s="10" t="inlineStr"/>
      <c r="T189" s="10" t="inlineStr"/>
      <c r="U189" s="10" t="inlineStr"/>
      <c r="V189" s="10" t="inlineStr">
        <is>
          <t>High</t>
        </is>
      </c>
      <c r="W189" s="10" t="inlineStr">
        <is>
          <t>Independent retailer; Core relevant category; Public email available; Active website; Social presence</t>
        </is>
      </c>
      <c r="X189" s="10" t="inlineStr">
        <is>
          <t>Verified directory</t>
        </is>
      </c>
      <c r="Y189" s="10" t="inlineStr">
        <is>
          <t>Publicly Listed</t>
        </is>
      </c>
      <c r="Z189" s="10" t="inlineStr">
        <is>
          <t>Medium</t>
        </is>
      </c>
      <c r="AA189" s="10" t="inlineStr">
        <is>
          <t>Requires Verification</t>
        </is>
      </c>
      <c r="AB189" s="10" t="inlineStr">
        <is>
          <t>https://richervapes.com/pages/come-and-visit-us</t>
        </is>
      </c>
    </row>
    <row r="190">
      <c r="A190" s="5" t="inlineStr">
        <is>
          <t>UK-000273</t>
        </is>
      </c>
      <c r="B190" s="5" t="inlineStr">
        <is>
          <t>UK-000273-01</t>
        </is>
      </c>
      <c r="C190" s="5" t="inlineStr"/>
      <c r="D190" s="5" t="inlineStr">
        <is>
          <t>Ryedale Vapour</t>
        </is>
      </c>
      <c r="E190" s="5" t="inlineStr">
        <is>
          <t>Vape Shop</t>
        </is>
      </c>
      <c r="F190" s="5" t="inlineStr">
        <is>
          <t>Premium vape juices, e-liquids &amp; accessories</t>
        </is>
      </c>
      <c r="G190" s="5" t="inlineStr">
        <is>
          <t>Independent</t>
        </is>
      </c>
      <c r="H190" s="5" t="inlineStr">
        <is>
          <t>1</t>
        </is>
      </c>
      <c r="I190" s="5" t="inlineStr">
        <is>
          <t>15 Yorkersgate</t>
        </is>
      </c>
      <c r="J190" s="5" t="inlineStr">
        <is>
          <t>Malton</t>
        </is>
      </c>
      <c r="K190" s="5" t="inlineStr">
        <is>
          <t>YO17 7AA</t>
        </is>
      </c>
      <c r="L190" s="5" t="inlineStr">
        <is>
          <t>01653 228160</t>
        </is>
      </c>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Verified directory</t>
        </is>
      </c>
      <c r="Y190" s="5" t="inlineStr">
        <is>
          <t>Not Found</t>
        </is>
      </c>
      <c r="Z190" s="5" t="inlineStr">
        <is>
          <t>Low</t>
        </is>
      </c>
      <c r="AA190" s="5" t="inlineStr">
        <is>
          <t>Requires Verification</t>
        </is>
      </c>
      <c r="AB190" s="5" t="inlineStr">
        <is>
          <t>https://www.yelp.com/search?cflt=vapeshops&amp;find_loc=Malton+YO17</t>
        </is>
      </c>
    </row>
    <row r="191">
      <c r="A191" s="10" t="inlineStr">
        <is>
          <t>WY-0140</t>
        </is>
      </c>
      <c r="B191" s="10" t="inlineStr">
        <is>
          <t>WY-0140-01</t>
        </is>
      </c>
      <c r="C191" s="10" t="inlineStr"/>
      <c r="D191" s="10" t="inlineStr">
        <is>
          <t>SMKD</t>
        </is>
      </c>
      <c r="E191" s="10" t="inlineStr">
        <is>
          <t>Vape Shop</t>
        </is>
      </c>
      <c r="F191" s="10" t="inlineStr">
        <is>
          <t>Online vape retailer with same-day West Yorkshire delivery (former multi-store chain)</t>
        </is>
      </c>
      <c r="G191" s="10" t="inlineStr">
        <is>
          <t>Independent</t>
        </is>
      </c>
      <c r="H191" s="10" t="inlineStr">
        <is>
          <t>1</t>
        </is>
      </c>
      <c r="I191" s="10" t="inlineStr">
        <is>
          <t>Unit 7, Bradford Chamber Business Park</t>
        </is>
      </c>
      <c r="J191" s="10" t="inlineStr">
        <is>
          <t>Bradford</t>
        </is>
      </c>
      <c r="K191" s="10" t="inlineStr">
        <is>
          <t>BD4 8BX</t>
        </is>
      </c>
      <c r="L191" s="10" t="inlineStr">
        <is>
          <t>01274 270303</t>
        </is>
      </c>
      <c r="M191" s="10" t="inlineStr">
        <is>
          <t>info@smkd.com</t>
        </is>
      </c>
      <c r="N191" s="10" t="inlineStr"/>
      <c r="O191" s="10" t="inlineStr">
        <is>
          <t>https://smkd.com/</t>
        </is>
      </c>
      <c r="P191" s="10" t="inlineStr">
        <is>
          <t>https://www.facebook.com/SmkdVapeShop/</t>
        </is>
      </c>
      <c r="Q191" s="10" t="inlineStr"/>
      <c r="R191" s="10" t="inlineStr"/>
      <c r="S191" s="10" t="inlineStr"/>
      <c r="T191" s="10" t="inlineStr"/>
      <c r="U191" s="10" t="inlineStr"/>
      <c r="V191" s="10" t="inlineStr">
        <is>
          <t>High</t>
        </is>
      </c>
      <c r="W191" s="10" t="inlineStr">
        <is>
          <t>Independent retailer; Core relevant category; Public email available; Active website; Social presence; Phone verified on official website</t>
        </is>
      </c>
      <c r="X191" s="10" t="inlineStr">
        <is>
          <t>Verified on official website</t>
        </is>
      </c>
      <c r="Y191" s="10" t="inlineStr">
        <is>
          <t>Publicly Listed</t>
        </is>
      </c>
      <c r="Z191" s="10" t="inlineStr">
        <is>
          <t>Medium</t>
        </is>
      </c>
      <c r="AA191" s="10" t="inlineStr">
        <is>
          <t>Partially Verified</t>
        </is>
      </c>
      <c r="AB191" s="10" t="inlineStr">
        <is>
          <t>https://smkd.com/vape-shop-locator/</t>
        </is>
      </c>
    </row>
    <row r="192">
      <c r="A192" s="5" t="inlineStr">
        <is>
          <t>UK-000652</t>
        </is>
      </c>
      <c r="B192" s="5" t="inlineStr">
        <is>
          <t>UK-000652-01</t>
        </is>
      </c>
      <c r="C192" s="5" t="inlineStr"/>
      <c r="D192" s="5" t="inlineStr">
        <is>
          <t>SW9 Vapes</t>
        </is>
      </c>
      <c r="E192" s="5" t="inlineStr">
        <is>
          <t>Vape Shop</t>
        </is>
      </c>
      <c r="F192" s="5" t="inlineStr"/>
      <c r="G192" s="5" t="inlineStr">
        <is>
          <t>Independent</t>
        </is>
      </c>
      <c r="H192" s="5" t="inlineStr">
        <is>
          <t>1</t>
        </is>
      </c>
      <c r="I192" s="5" t="inlineStr">
        <is>
          <t>418 Brixton Road</t>
        </is>
      </c>
      <c r="J192" s="5" t="inlineStr">
        <is>
          <t>London</t>
        </is>
      </c>
      <c r="K192" s="5" t="inlineStr">
        <is>
          <t>SW9 7AY</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https://www.yell.com/biz/sw9-vapes-london-9756375/</t>
        </is>
      </c>
    </row>
    <row r="193">
      <c r="A193" s="10" t="inlineStr">
        <is>
          <t>UK-000276</t>
        </is>
      </c>
      <c r="B193" s="10" t="inlineStr">
        <is>
          <t>UK-000276-01</t>
        </is>
      </c>
      <c r="C193" s="10" t="inlineStr"/>
      <c r="D193" s="10" t="inlineStr">
        <is>
          <t>Selby Vapes</t>
        </is>
      </c>
      <c r="E193" s="10" t="inlineStr">
        <is>
          <t>Vape Shop</t>
        </is>
      </c>
      <c r="F193" s="10" t="inlineStr">
        <is>
          <t>E-liquids, nic salts &amp; vape kits</t>
        </is>
      </c>
      <c r="G193" s="10" t="inlineStr">
        <is>
          <t>Independent</t>
        </is>
      </c>
      <c r="H193" s="10" t="inlineStr">
        <is>
          <t>1</t>
        </is>
      </c>
      <c r="I193" s="10" t="inlineStr">
        <is>
          <t>24 Abbots Court</t>
        </is>
      </c>
      <c r="J193" s="10" t="inlineStr">
        <is>
          <t>Selby</t>
        </is>
      </c>
      <c r="K193" s="10" t="inlineStr">
        <is>
          <t>YO8 8BF</t>
        </is>
      </c>
      <c r="L193" s="10" t="inlineStr">
        <is>
          <t>07772 913458</t>
        </is>
      </c>
      <c r="M193" s="10" t="inlineStr"/>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 Social presence</t>
        </is>
      </c>
      <c r="X193" s="10" t="inlineStr">
        <is>
          <t>Verified directory</t>
        </is>
      </c>
      <c r="Y193" s="10" t="inlineStr">
        <is>
          <t>Not Found</t>
        </is>
      </c>
      <c r="Z193" s="10" t="inlineStr">
        <is>
          <t>Medium</t>
        </is>
      </c>
      <c r="AA193" s="10" t="inlineStr">
        <is>
          <t>Requires Verification</t>
        </is>
      </c>
      <c r="AB193" s="10" t="inlineStr">
        <is>
          <t>https://www.bizify.co.uk/vape-shops/york/YO8-8FB/selby-vapes</t>
        </is>
      </c>
    </row>
    <row r="194">
      <c r="A194" s="5" t="inlineStr">
        <is>
          <t>UK-000514</t>
        </is>
      </c>
      <c r="B194" s="5" t="inlineStr">
        <is>
          <t>UK-000514-01</t>
        </is>
      </c>
      <c r="C194" s="5" t="inlineStr"/>
      <c r="D194" s="5" t="inlineStr">
        <is>
          <t>Shade E-Vaping</t>
        </is>
      </c>
      <c r="E194" s="5" t="inlineStr">
        <is>
          <t>Vape Shop</t>
        </is>
      </c>
      <c r="F194" s="5" t="inlineStr">
        <is>
          <t>Vape kits, e-liquids &amp; accessories</t>
        </is>
      </c>
      <c r="G194" s="5" t="inlineStr">
        <is>
          <t>Independent</t>
        </is>
      </c>
      <c r="H194" s="5" t="inlineStr">
        <is>
          <t>1</t>
        </is>
      </c>
      <c r="I194" s="5" t="inlineStr">
        <is>
          <t>31 King Street</t>
        </is>
      </c>
      <c r="J194" s="5" t="inlineStr">
        <is>
          <t>Dudley</t>
        </is>
      </c>
      <c r="K194" s="5" t="inlineStr">
        <is>
          <t>DY2 8NY</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Not Found</t>
        </is>
      </c>
      <c r="Y194" s="5" t="inlineStr">
        <is>
          <t>Not Found</t>
        </is>
      </c>
      <c r="Z194" s="5" t="inlineStr">
        <is>
          <t>Low</t>
        </is>
      </c>
      <c r="AA194" s="5" t="inlineStr">
        <is>
          <t>Requires Verification</t>
        </is>
      </c>
      <c r="AB194" s="5" t="inlineStr">
        <is>
          <t>https://www.yelp.com/search?cflt=vapeshops&amp;find_loc=Dudley%2C+West+Midlands</t>
        </is>
      </c>
    </row>
    <row r="195">
      <c r="A195" s="10" t="inlineStr">
        <is>
          <t>UK-000812</t>
        </is>
      </c>
      <c r="B195" s="10" t="inlineStr">
        <is>
          <t>UK-000812-01</t>
        </is>
      </c>
      <c r="C195" s="10" t="inlineStr"/>
      <c r="D195" s="10" t="inlineStr">
        <is>
          <t>Simply Vape</t>
        </is>
      </c>
      <c r="E195" s="10" t="inlineStr">
        <is>
          <t>Vape Shop</t>
        </is>
      </c>
      <c r="F195" s="10" t="inlineStr">
        <is>
          <t>Vape &amp; e-liquid retailer</t>
        </is>
      </c>
      <c r="G195" s="10" t="inlineStr">
        <is>
          <t>Independent</t>
        </is>
      </c>
      <c r="H195" s="10" t="inlineStr">
        <is>
          <t>1</t>
        </is>
      </c>
      <c r="I195" s="10" t="inlineStr">
        <is>
          <t>The Esplanade</t>
        </is>
      </c>
      <c r="J195" s="10" t="inlineStr">
        <is>
          <t>Bootle</t>
        </is>
      </c>
      <c r="K195" s="10" t="inlineStr">
        <is>
          <t>L20 4SX</t>
        </is>
      </c>
      <c r="L195" s="10" t="inlineStr"/>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Not Found</t>
        </is>
      </c>
      <c r="Y195" s="10" t="inlineStr">
        <is>
          <t>Not Found</t>
        </is>
      </c>
      <c r="Z195" s="10" t="inlineStr">
        <is>
          <t>Low</t>
        </is>
      </c>
      <c r="AA195" s="10" t="inlineStr">
        <is>
          <t>Requires Verification</t>
        </is>
      </c>
      <c r="AB195" s="10" t="inlineStr">
        <is>
          <t>https://www.yell.com/biz/simply-vape-bootle-9726011/</t>
        </is>
      </c>
    </row>
    <row r="196">
      <c r="A196" s="5" t="inlineStr">
        <is>
          <t>UK-000278</t>
        </is>
      </c>
      <c r="B196" s="5" t="inlineStr">
        <is>
          <t>UK-000278-01</t>
        </is>
      </c>
      <c r="C196" s="5" t="inlineStr"/>
      <c r="D196" s="5" t="inlineStr">
        <is>
          <t>Smoke Free Skipton</t>
        </is>
      </c>
      <c r="E196" s="5" t="inlineStr">
        <is>
          <t>Vape Shop</t>
        </is>
      </c>
      <c r="F196" s="5" t="inlineStr">
        <is>
          <t>E-cigarette &amp; e-liquid shop</t>
        </is>
      </c>
      <c r="G196" s="5" t="inlineStr">
        <is>
          <t>Independent</t>
        </is>
      </c>
      <c r="H196" s="5" t="inlineStr">
        <is>
          <t>1</t>
        </is>
      </c>
      <c r="I196" s="5" t="inlineStr">
        <is>
          <t>19 Water Street</t>
        </is>
      </c>
      <c r="J196" s="5" t="inlineStr">
        <is>
          <t>Skipton</t>
        </is>
      </c>
      <c r="K196" s="5" t="inlineStr">
        <is>
          <t>BD23 1PQ</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Not Found</t>
        </is>
      </c>
      <c r="Y196" s="5" t="inlineStr">
        <is>
          <t>Not Found</t>
        </is>
      </c>
      <c r="Z196" s="5" t="inlineStr">
        <is>
          <t>Low</t>
        </is>
      </c>
      <c r="AA196" s="5" t="inlineStr">
        <is>
          <t>Requires Verification</t>
        </is>
      </c>
      <c r="AB196" s="5" t="inlineStr">
        <is>
          <t>https://ecigdirectory.co.uk/vape-shop/listing/smoke-free-skipton</t>
        </is>
      </c>
    </row>
    <row r="197">
      <c r="A197" s="10" t="inlineStr">
        <is>
          <t>WY-0149</t>
        </is>
      </c>
      <c r="B197" s="10" t="inlineStr">
        <is>
          <t>WY-0149-01</t>
        </is>
      </c>
      <c r="C197" s="10" t="inlineStr"/>
      <c r="D197" s="10" t="inlineStr">
        <is>
          <t>Smokers D'Lite</t>
        </is>
      </c>
      <c r="E197" s="10" t="inlineStr">
        <is>
          <t>Vape Shop</t>
        </is>
      </c>
      <c r="F197" s="10" t="inlineStr">
        <is>
          <t>Vape and smoking accessories</t>
        </is>
      </c>
      <c r="G197" s="10" t="inlineStr">
        <is>
          <t>Independent</t>
        </is>
      </c>
      <c r="H197" s="10" t="inlineStr">
        <is>
          <t>1</t>
        </is>
      </c>
      <c r="I197" s="10" t="inlineStr">
        <is>
          <t>20 Thorntons Arcade</t>
        </is>
      </c>
      <c r="J197" s="10" t="inlineStr">
        <is>
          <t>Leeds</t>
        </is>
      </c>
      <c r="K197" s="10" t="inlineStr">
        <is>
          <t>LS1 6LQ</t>
        </is>
      </c>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Not Found</t>
        </is>
      </c>
      <c r="Y197" s="10" t="inlineStr">
        <is>
          <t>Not Found</t>
        </is>
      </c>
      <c r="Z197" s="10" t="inlineStr">
        <is>
          <t>Low</t>
        </is>
      </c>
      <c r="AA197" s="10" t="inlineStr">
        <is>
          <t>Requires Verification</t>
        </is>
      </c>
      <c r="AB197" s="10" t="inlineStr">
        <is>
          <t>https://ecigdirectory.co.uk/vape-shop-leeds/</t>
        </is>
      </c>
    </row>
    <row r="198">
      <c r="A198" s="5" t="inlineStr">
        <is>
          <t>UK-000660</t>
        </is>
      </c>
      <c r="B198" s="5" t="inlineStr">
        <is>
          <t>UK-000660-01</t>
        </is>
      </c>
      <c r="C198" s="5" t="inlineStr"/>
      <c r="D198" s="5" t="inlineStr">
        <is>
          <t>Smoketronics Vape &amp; Coffee Shop</t>
        </is>
      </c>
      <c r="E198" s="5" t="inlineStr">
        <is>
          <t>Vape Shop</t>
        </is>
      </c>
      <c r="F198" s="5" t="inlineStr">
        <is>
          <t>Vape and coffee shop</t>
        </is>
      </c>
      <c r="G198" s="5" t="inlineStr">
        <is>
          <t>Independent</t>
        </is>
      </c>
      <c r="H198" s="5" t="inlineStr">
        <is>
          <t>1</t>
        </is>
      </c>
      <c r="I198" s="5" t="inlineStr">
        <is>
          <t>273 Lower Addiscombe Road</t>
        </is>
      </c>
      <c r="J198" s="5" t="inlineStr">
        <is>
          <t>Croydon</t>
        </is>
      </c>
      <c r="K198" s="5" t="inlineStr">
        <is>
          <t>CR0 6RD</t>
        </is>
      </c>
      <c r="L198" s="5" t="inlineStr">
        <is>
          <t>020 8656 6683</t>
        </is>
      </c>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Verified directory</t>
        </is>
      </c>
      <c r="Y198" s="5" t="inlineStr">
        <is>
          <t>Not Found</t>
        </is>
      </c>
      <c r="Z198" s="5" t="inlineStr">
        <is>
          <t>Medium</t>
        </is>
      </c>
      <c r="AA198" s="5" t="inlineStr">
        <is>
          <t>Requires Verification</t>
        </is>
      </c>
      <c r="AB198" s="5" t="inlineStr">
        <is>
          <t>https://www.allinlondon.co.uk/directory/tobacconists/213596-smoketronics</t>
        </is>
      </c>
    </row>
    <row r="199">
      <c r="A199" s="10" t="inlineStr">
        <is>
          <t>UK-000819</t>
        </is>
      </c>
      <c r="B199" s="10" t="inlineStr">
        <is>
          <t>UK-000819-01</t>
        </is>
      </c>
      <c r="C199" s="10" t="inlineStr"/>
      <c r="D199" s="10" t="inlineStr">
        <is>
          <t>Steamworx Vape Room</t>
        </is>
      </c>
      <c r="E199" s="10" t="inlineStr">
        <is>
          <t>Vape Shop</t>
        </is>
      </c>
      <c r="F199" s="10" t="inlineStr">
        <is>
          <t>Vape &amp; e-liquid retailer</t>
        </is>
      </c>
      <c r="G199" s="10" t="inlineStr">
        <is>
          <t>Independent</t>
        </is>
      </c>
      <c r="H199" s="10" t="inlineStr">
        <is>
          <t>1</t>
        </is>
      </c>
      <c r="I199" s="10" t="inlineStr">
        <is>
          <t>202 Knowsley Road</t>
        </is>
      </c>
      <c r="J199" s="10" t="inlineStr">
        <is>
          <t>Bootle</t>
        </is>
      </c>
      <c r="K199" s="10" t="inlineStr">
        <is>
          <t>L20 4NU</t>
        </is>
      </c>
      <c r="L199" s="10" t="inlineStr"/>
      <c r="M199" s="10" t="inlineStr"/>
      <c r="N199" s="10" t="inlineStr"/>
      <c r="O199" s="10" t="inlineStr"/>
      <c r="P199" s="10" t="inlineStr"/>
      <c r="Q199" s="10" t="inlineStr"/>
      <c r="R199" s="10" t="inlineStr"/>
      <c r="S199" s="10" t="inlineStr"/>
      <c r="T199" s="10" t="inlineStr"/>
      <c r="U199" s="10" t="inlineStr"/>
      <c r="V199" s="10" t="inlineStr">
        <is>
          <t>Medium</t>
        </is>
      </c>
      <c r="W199" s="10" t="inlineStr">
        <is>
          <t>Independent retailer; Core relevant category</t>
        </is>
      </c>
      <c r="X199" s="10" t="inlineStr">
        <is>
          <t>Not Found</t>
        </is>
      </c>
      <c r="Y199" s="10" t="inlineStr">
        <is>
          <t>Not Found</t>
        </is>
      </c>
      <c r="Z199" s="10" t="inlineStr">
        <is>
          <t>Low</t>
        </is>
      </c>
      <c r="AA199" s="10" t="inlineStr">
        <is>
          <t>Requires Verification</t>
        </is>
      </c>
      <c r="AB199" s="10" t="inlineStr">
        <is>
          <t>https://www.yell.com/biz/steamworx-vape-room-bootle-9782515/</t>
        </is>
      </c>
    </row>
    <row r="200">
      <c r="A200" s="5" t="inlineStr">
        <is>
          <t>UK-000519</t>
        </is>
      </c>
      <c r="B200" s="5" t="inlineStr">
        <is>
          <t>UK-000519-01</t>
        </is>
      </c>
      <c r="C200" s="5" t="inlineStr"/>
      <c r="D200" s="5" t="inlineStr">
        <is>
          <t>Stourbridge Gadgets And Vape House LTD</t>
        </is>
      </c>
      <c r="E200" s="5" t="inlineStr">
        <is>
          <t>Vape Shop</t>
        </is>
      </c>
      <c r="F200" s="5" t="inlineStr">
        <is>
          <t>Vapes, hookah, phone repairs &amp; accessories</t>
        </is>
      </c>
      <c r="G200" s="5" t="inlineStr">
        <is>
          <t>Independent</t>
        </is>
      </c>
      <c r="H200" s="5" t="inlineStr">
        <is>
          <t>1</t>
        </is>
      </c>
      <c r="I200" s="5" t="inlineStr"/>
      <c r="J200" s="5" t="inlineStr">
        <is>
          <t>Stourbridge</t>
        </is>
      </c>
      <c r="K200" s="5" t="inlineStr"/>
      <c r="L200" s="5" t="inlineStr">
        <is>
          <t>07884 477704</t>
        </is>
      </c>
      <c r="M200" s="5" t="inlineStr"/>
      <c r="N200" s="5" t="inlineStr"/>
      <c r="O200" s="5" t="inlineStr"/>
      <c r="P200" s="5" t="inlineStr">
        <is>
          <t>https://www.facebook.com/stourbridgegadgetsandvapehouse/</t>
        </is>
      </c>
      <c r="Q200" s="5" t="inlineStr"/>
      <c r="R200" s="5" t="inlineStr"/>
      <c r="S200" s="5" t="inlineStr"/>
      <c r="T200" s="5" t="inlineStr"/>
      <c r="U200" s="5" t="inlineStr"/>
      <c r="V200" s="5" t="inlineStr">
        <is>
          <t>Medium</t>
        </is>
      </c>
      <c r="W200" s="5" t="inlineStr">
        <is>
          <t>Independent retailer; Core relevant category; Social presence</t>
        </is>
      </c>
      <c r="X200" s="5" t="inlineStr">
        <is>
          <t>Verified directory</t>
        </is>
      </c>
      <c r="Y200" s="5" t="inlineStr">
        <is>
          <t>Not Found</t>
        </is>
      </c>
      <c r="Z200" s="5" t="inlineStr">
        <is>
          <t>Medium</t>
        </is>
      </c>
      <c r="AA200" s="5" t="inlineStr">
        <is>
          <t>Requires Verification</t>
        </is>
      </c>
      <c r="AB200" s="5" t="inlineStr">
        <is>
          <t>https://www.facebook.com/stourbridgegadgetsandvapehouse/</t>
        </is>
      </c>
    </row>
    <row r="201">
      <c r="A201" s="10" t="inlineStr">
        <is>
          <t>UK-000820</t>
        </is>
      </c>
      <c r="B201" s="10" t="inlineStr">
        <is>
          <t>UK-000820-01</t>
        </is>
      </c>
      <c r="C201" s="10" t="inlineStr"/>
      <c r="D201" s="10" t="inlineStr">
        <is>
          <t>Super Vapes Coatbridge</t>
        </is>
      </c>
      <c r="E201" s="10" t="inlineStr">
        <is>
          <t>Vape Shop</t>
        </is>
      </c>
      <c r="F201" s="10" t="inlineStr">
        <is>
          <t>Vape shop</t>
        </is>
      </c>
      <c r="G201" s="10" t="inlineStr">
        <is>
          <t>Independent</t>
        </is>
      </c>
      <c r="H201" s="10" t="inlineStr">
        <is>
          <t>1</t>
        </is>
      </c>
      <c r="I201" s="10" t="inlineStr">
        <is>
          <t>100 Main Street</t>
        </is>
      </c>
      <c r="J201" s="10" t="inlineStr">
        <is>
          <t>Coatbridge</t>
        </is>
      </c>
      <c r="K201" s="10" t="inlineStr">
        <is>
          <t>ML5 3BQ</t>
        </is>
      </c>
      <c r="L201" s="10" t="inlineStr">
        <is>
          <t>01236 341834</t>
        </is>
      </c>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Verified directory</t>
        </is>
      </c>
      <c r="Y201" s="10" t="inlineStr">
        <is>
          <t>Not Found</t>
        </is>
      </c>
      <c r="Z201" s="10" t="inlineStr">
        <is>
          <t>Low</t>
        </is>
      </c>
      <c r="AA201" s="10" t="inlineStr">
        <is>
          <t>Requires Verification</t>
        </is>
      </c>
      <c r="AB201" s="10" t="inlineStr">
        <is>
          <t>https://coatbridge.cylex-uk.co.uk/company/super-vapes-27202224.html</t>
        </is>
      </c>
    </row>
    <row r="202">
      <c r="A202" s="5" t="inlineStr">
        <is>
          <t>UK-000383</t>
        </is>
      </c>
      <c r="B202" s="5" t="inlineStr">
        <is>
          <t>UK-000383-01</t>
        </is>
      </c>
      <c r="C202" s="5" t="inlineStr"/>
      <c r="D202" s="5" t="inlineStr">
        <is>
          <t>Swinton Vape (Swinton Market, Salford)</t>
        </is>
      </c>
      <c r="E202" s="5" t="inlineStr">
        <is>
          <t>Vape Shop</t>
        </is>
      </c>
      <c r="F202" s="5" t="inlineStr">
        <is>
          <t>Market vape stall/shop</t>
        </is>
      </c>
      <c r="G202" s="5" t="inlineStr">
        <is>
          <t>Independent</t>
        </is>
      </c>
      <c r="H202" s="5" t="inlineStr">
        <is>
          <t>1</t>
        </is>
      </c>
      <c r="I202" s="5" t="inlineStr">
        <is>
          <t>Swinton Market, Chorley Road</t>
        </is>
      </c>
      <c r="J202" s="5" t="inlineStr">
        <is>
          <t>Salford</t>
        </is>
      </c>
      <c r="K202" s="5" t="inlineStr">
        <is>
          <t>M27 4BH</t>
        </is>
      </c>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Not Found</t>
        </is>
      </c>
      <c r="Y202" s="5" t="inlineStr">
        <is>
          <t>Not Found</t>
        </is>
      </c>
      <c r="Z202" s="5" t="inlineStr">
        <is>
          <t>Low</t>
        </is>
      </c>
      <c r="AA202" s="5" t="inlineStr">
        <is>
          <t>Requires Verification</t>
        </is>
      </c>
      <c r="AB202" s="5" t="inlineStr">
        <is>
          <t>https://ecigdirectory.co.uk/vape-shop/listing/swinton-vape</t>
        </is>
      </c>
    </row>
    <row r="203">
      <c r="A203" s="10" t="inlineStr">
        <is>
          <t>UK-000385</t>
        </is>
      </c>
      <c r="B203" s="10" t="inlineStr">
        <is>
          <t>UK-000385-01</t>
        </is>
      </c>
      <c r="C203" s="10" t="inlineStr"/>
      <c r="D203" s="10" t="inlineStr">
        <is>
          <t>Tameside Ecigs</t>
        </is>
      </c>
      <c r="E203" s="10" t="inlineStr">
        <is>
          <t>Vape Shop</t>
        </is>
      </c>
      <c r="F203" s="10" t="inlineStr"/>
      <c r="G203" s="10" t="inlineStr">
        <is>
          <t>Independent</t>
        </is>
      </c>
      <c r="H203" s="10" t="inlineStr">
        <is>
          <t>1</t>
        </is>
      </c>
      <c r="I203" s="10" t="inlineStr">
        <is>
          <t>78 Cavendish Street</t>
        </is>
      </c>
      <c r="J203" s="10" t="inlineStr">
        <is>
          <t>Ashton-under-Lyne</t>
        </is>
      </c>
      <c r="K203" s="10" t="inlineStr">
        <is>
          <t>OL6 7DN</t>
        </is>
      </c>
      <c r="L203" s="10" t="inlineStr"/>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Not Found</t>
        </is>
      </c>
      <c r="Y203" s="10" t="inlineStr">
        <is>
          <t>Not Found</t>
        </is>
      </c>
      <c r="Z203" s="10" t="inlineStr">
        <is>
          <t>Low</t>
        </is>
      </c>
      <c r="AA203" s="10" t="inlineStr">
        <is>
          <t>Requires Verification</t>
        </is>
      </c>
      <c r="AB203" s="10" t="inlineStr">
        <is>
          <t>https://ecigdirectory.co.uk/vape-shop/listing/tameside-ecigs-ashton-under-lyne</t>
        </is>
      </c>
    </row>
    <row r="204">
      <c r="A204" s="5" t="inlineStr">
        <is>
          <t>UK-000664</t>
        </is>
      </c>
      <c r="B204" s="5" t="inlineStr">
        <is>
          <t>UK-000664-01</t>
        </is>
      </c>
      <c r="C204" s="5" t="inlineStr"/>
      <c r="D204" s="5" t="inlineStr">
        <is>
          <t>Tech Repairs &amp; Ladbroke Vapes</t>
        </is>
      </c>
      <c r="E204" s="5" t="inlineStr">
        <is>
          <t>Vape Shop</t>
        </is>
      </c>
      <c r="F204" s="5" t="inlineStr">
        <is>
          <t>Vape shop &amp; phone/tech repairs</t>
        </is>
      </c>
      <c r="G204" s="5" t="inlineStr">
        <is>
          <t>Independent</t>
        </is>
      </c>
      <c r="H204" s="5" t="inlineStr">
        <is>
          <t>1</t>
        </is>
      </c>
      <c r="I204" s="5" t="inlineStr">
        <is>
          <t>150 Ladbroke Grove</t>
        </is>
      </c>
      <c r="J204" s="5" t="inlineStr">
        <is>
          <t>London</t>
        </is>
      </c>
      <c r="K204" s="5" t="inlineStr">
        <is>
          <t>W10 5NE</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https://www.yell.com/s/tobacconists-ladbroke+grove-west+london.html</t>
        </is>
      </c>
    </row>
    <row r="205">
      <c r="A205" s="10" t="inlineStr">
        <is>
          <t>UK-000665</t>
        </is>
      </c>
      <c r="B205" s="10" t="inlineStr">
        <is>
          <t>UK-000665-01</t>
        </is>
      </c>
      <c r="C205" s="10" t="inlineStr"/>
      <c r="D205" s="10" t="inlineStr">
        <is>
          <t>The Canary Wharf Vapour Co</t>
        </is>
      </c>
      <c r="E205" s="10" t="inlineStr">
        <is>
          <t>Vape Shop</t>
        </is>
      </c>
      <c r="F205" s="10" t="inlineStr">
        <is>
          <t>Vape hardware &amp; e-liquids</t>
        </is>
      </c>
      <c r="G205" s="10" t="inlineStr">
        <is>
          <t>Independent</t>
        </is>
      </c>
      <c r="H205" s="10" t="inlineStr">
        <is>
          <t>1</t>
        </is>
      </c>
      <c r="I205" s="10" t="inlineStr">
        <is>
          <t>38 Goulston Street</t>
        </is>
      </c>
      <c r="J205" s="10" t="inlineStr">
        <is>
          <t>Whitechapel</t>
        </is>
      </c>
      <c r="K205" s="10" t="inlineStr">
        <is>
          <t>E1 7TP</t>
        </is>
      </c>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Independent retailer; Core relevant category</t>
        </is>
      </c>
      <c r="X205" s="10" t="inlineStr">
        <is>
          <t>Not Found</t>
        </is>
      </c>
      <c r="Y205" s="10" t="inlineStr">
        <is>
          <t>Not Found</t>
        </is>
      </c>
      <c r="Z205" s="10" t="inlineStr">
        <is>
          <t>Low</t>
        </is>
      </c>
      <c r="AA205" s="10" t="inlineStr">
        <is>
          <t>Requires Verification</t>
        </is>
      </c>
      <c r="AB205" s="10" t="inlineStr">
        <is>
          <t>https://www.yelp.co.uk/search?cflt=vapeshops&amp;find_loc=Whitechapel+Rd%2C+London+E1</t>
        </is>
      </c>
    </row>
    <row r="206">
      <c r="A206" s="5" t="inlineStr">
        <is>
          <t>UK-000520</t>
        </is>
      </c>
      <c r="B206" s="5" t="inlineStr">
        <is>
          <t>UK-000520-01</t>
        </is>
      </c>
      <c r="C206" s="5" t="inlineStr"/>
      <c r="D206" s="5" t="inlineStr">
        <is>
          <t>The Juicy Joint</t>
        </is>
      </c>
      <c r="E206" s="5" t="inlineStr">
        <is>
          <t>Vape Shop</t>
        </is>
      </c>
      <c r="F206" s="5" t="inlineStr">
        <is>
          <t>Vape, CBD and seeds retailer</t>
        </is>
      </c>
      <c r="G206" s="5" t="inlineStr">
        <is>
          <t>Independent</t>
        </is>
      </c>
      <c r="H206" s="5" t="inlineStr">
        <is>
          <t>1</t>
        </is>
      </c>
      <c r="I206" s="5" t="inlineStr">
        <is>
          <t>16 Coton Lane</t>
        </is>
      </c>
      <c r="J206" s="5" t="inlineStr">
        <is>
          <t>Birmingham</t>
        </is>
      </c>
      <c r="K206" s="5" t="inlineStr">
        <is>
          <t>B23 6TP</t>
        </is>
      </c>
      <c r="L206" s="5" t="inlineStr">
        <is>
          <t>0121 373 7051</t>
        </is>
      </c>
      <c r="M206" s="5" t="inlineStr"/>
      <c r="N206" s="5" t="inlineStr"/>
      <c r="O206" s="5" t="inlineStr">
        <is>
          <t>https://thejuicyjoint.co.uk/</t>
        </is>
      </c>
      <c r="P206" s="5" t="inlineStr"/>
      <c r="Q206" s="5" t="inlineStr"/>
      <c r="R206" s="5" t="inlineStr"/>
      <c r="S206" s="5" t="inlineStr"/>
      <c r="T206" s="5" t="inlineStr"/>
      <c r="U206" s="5" t="inlineStr"/>
      <c r="V206" s="5" t="inlineStr">
        <is>
          <t>Medium</t>
        </is>
      </c>
      <c r="W206" s="5" t="inlineStr">
        <is>
          <t>Independent retailer; Core relevant category; Active website</t>
        </is>
      </c>
      <c r="X206" s="5" t="inlineStr">
        <is>
          <t>Verified directory</t>
        </is>
      </c>
      <c r="Y206" s="5" t="inlineStr">
        <is>
          <t>Website Found</t>
        </is>
      </c>
      <c r="Z206" s="5" t="inlineStr">
        <is>
          <t>Medium</t>
        </is>
      </c>
      <c r="AA206" s="5" t="inlineStr">
        <is>
          <t>Requires Verification</t>
        </is>
      </c>
      <c r="AB206" s="5" t="inlineStr">
        <is>
          <t>https://thejuicyjoint.co.uk/</t>
        </is>
      </c>
    </row>
    <row r="207">
      <c r="A207" s="10" t="inlineStr">
        <is>
          <t>UK-000282</t>
        </is>
      </c>
      <c r="B207" s="10" t="inlineStr">
        <is>
          <t>UK-000282-01</t>
        </is>
      </c>
      <c r="C207" s="10" t="inlineStr"/>
      <c r="D207" s="10" t="inlineStr">
        <is>
          <t>The Little Shop of Vapes</t>
        </is>
      </c>
      <c r="E207" s="10" t="inlineStr">
        <is>
          <t>Vape Shop</t>
        </is>
      </c>
      <c r="F207" s="10" t="inlineStr">
        <is>
          <t>Independent B&amp;M vape shop</t>
        </is>
      </c>
      <c r="G207" s="10" t="inlineStr">
        <is>
          <t>Independent</t>
        </is>
      </c>
      <c r="H207" s="10" t="inlineStr">
        <is>
          <t>1</t>
        </is>
      </c>
      <c r="I207" s="10" t="inlineStr">
        <is>
          <t>144 Victoria Road</t>
        </is>
      </c>
      <c r="J207" s="10" t="inlineStr">
        <is>
          <t>Scarborough</t>
        </is>
      </c>
      <c r="K207" s="10" t="inlineStr">
        <is>
          <t>YO11 1SL</t>
        </is>
      </c>
      <c r="L207" s="10" t="inlineStr">
        <is>
          <t>01723 449978</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Verified directory</t>
        </is>
      </c>
      <c r="Y207" s="10" t="inlineStr">
        <is>
          <t>Not Found</t>
        </is>
      </c>
      <c r="Z207" s="10" t="inlineStr">
        <is>
          <t>Medium</t>
        </is>
      </c>
      <c r="AA207" s="10" t="inlineStr">
        <is>
          <t>Requires Verification</t>
        </is>
      </c>
      <c r="AB207" s="10" t="inlineStr">
        <is>
          <t>https://scarborough.cylex-uk.co.uk/company/the-little-shop-of-vapes-26778046.html</t>
        </is>
      </c>
    </row>
    <row r="208">
      <c r="A208" s="5" t="inlineStr">
        <is>
          <t>UK-000666</t>
        </is>
      </c>
      <c r="B208" s="5" t="inlineStr">
        <is>
          <t>UK-000666-01</t>
        </is>
      </c>
      <c r="C208" s="5" t="inlineStr"/>
      <c r="D208" s="5" t="inlineStr">
        <is>
          <t>The London Vape Company (Holloway)</t>
        </is>
      </c>
      <c r="E208" s="5" t="inlineStr">
        <is>
          <t>Vape Shop</t>
        </is>
      </c>
      <c r="F208" s="5" t="inlineStr">
        <is>
          <t>Vape hardware &amp; e-liquids</t>
        </is>
      </c>
      <c r="G208" s="5" t="inlineStr">
        <is>
          <t>Independent</t>
        </is>
      </c>
      <c r="H208" s="5" t="inlineStr">
        <is>
          <t>1</t>
        </is>
      </c>
      <c r="I208" s="5" t="inlineStr">
        <is>
          <t>213 Holloway Road</t>
        </is>
      </c>
      <c r="J208" s="5" t="inlineStr">
        <is>
          <t>Holloway</t>
        </is>
      </c>
      <c r="K208" s="5" t="inlineStr">
        <is>
          <t>N7 8DL</t>
        </is>
      </c>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Low</t>
        </is>
      </c>
      <c r="AA208" s="5" t="inlineStr">
        <is>
          <t>Requires Verification</t>
        </is>
      </c>
      <c r="AB208" s="5" t="inlineStr">
        <is>
          <t>https://www.yell.com/s/vape+shops-holloway-north+london.html</t>
        </is>
      </c>
    </row>
    <row r="209">
      <c r="A209" s="10" t="inlineStr">
        <is>
          <t>UK-000388</t>
        </is>
      </c>
      <c r="B209" s="10" t="inlineStr">
        <is>
          <t>UK-000388-01</t>
        </is>
      </c>
      <c r="C209" s="10" t="inlineStr"/>
      <c r="D209" s="10" t="inlineStr">
        <is>
          <t>The Shack Horwich</t>
        </is>
      </c>
      <c r="E209" s="10" t="inlineStr">
        <is>
          <t>Vape Shop</t>
        </is>
      </c>
      <c r="F209" s="10" t="inlineStr"/>
      <c r="G209" s="10" t="inlineStr">
        <is>
          <t>Independent</t>
        </is>
      </c>
      <c r="H209" s="10" t="inlineStr">
        <is>
          <t>1</t>
        </is>
      </c>
      <c r="I209" s="10" t="inlineStr">
        <is>
          <t>92 Winter Hey Lane</t>
        </is>
      </c>
      <c r="J209" s="10" t="inlineStr">
        <is>
          <t>Bolton</t>
        </is>
      </c>
      <c r="K209" s="10" t="inlineStr">
        <is>
          <t>BL6 7NZ</t>
        </is>
      </c>
      <c r="L209" s="10" t="inlineStr"/>
      <c r="M209" s="10" t="inlineStr"/>
      <c r="N209" s="10" t="inlineStr"/>
      <c r="O209" s="10" t="inlineStr"/>
      <c r="P209" s="10" t="inlineStr"/>
      <c r="Q209" s="10" t="inlineStr"/>
      <c r="R209" s="10" t="inlineStr"/>
      <c r="S209" s="10" t="inlineStr"/>
      <c r="T209" s="10" t="inlineStr"/>
      <c r="U209" s="10" t="inlineStr"/>
      <c r="V209" s="10" t="inlineStr">
        <is>
          <t>Medium</t>
        </is>
      </c>
      <c r="W209" s="10" t="inlineStr">
        <is>
          <t>Independent retailer; Core relevant category</t>
        </is>
      </c>
      <c r="X209" s="10" t="inlineStr">
        <is>
          <t>Not Found</t>
        </is>
      </c>
      <c r="Y209" s="10" t="inlineStr">
        <is>
          <t>Not Found</t>
        </is>
      </c>
      <c r="Z209" s="10" t="inlineStr">
        <is>
          <t>Low</t>
        </is>
      </c>
      <c r="AA209" s="10" t="inlineStr">
        <is>
          <t>Requires Verification</t>
        </is>
      </c>
      <c r="AB209" s="10" t="inlineStr">
        <is>
          <t>https://vapeshops.puffingbird.com/england/bolton</t>
        </is>
      </c>
    </row>
    <row r="210">
      <c r="A210" s="5" t="inlineStr">
        <is>
          <t>UK-000283</t>
        </is>
      </c>
      <c r="B210" s="5" t="inlineStr">
        <is>
          <t>UK-000283-01</t>
        </is>
      </c>
      <c r="C210" s="5" t="inlineStr"/>
      <c r="D210" s="5" t="inlineStr">
        <is>
          <t>The Vape Centre York</t>
        </is>
      </c>
      <c r="E210" s="5" t="inlineStr">
        <is>
          <t>Vape Shop</t>
        </is>
      </c>
      <c r="F210" s="5" t="inlineStr">
        <is>
          <t>Vape hardware &amp; e-liquid shop</t>
        </is>
      </c>
      <c r="G210" s="5" t="inlineStr">
        <is>
          <t>Independent</t>
        </is>
      </c>
      <c r="H210" s="5" t="inlineStr">
        <is>
          <t>1</t>
        </is>
      </c>
      <c r="I210" s="5" t="inlineStr">
        <is>
          <t>2 Gillygate</t>
        </is>
      </c>
      <c r="J210" s="5" t="inlineStr">
        <is>
          <t>York</t>
        </is>
      </c>
      <c r="K210" s="5" t="inlineStr">
        <is>
          <t>YO31 7EA</t>
        </is>
      </c>
      <c r="L210" s="5" t="inlineStr">
        <is>
          <t>01904 927903</t>
        </is>
      </c>
      <c r="M210" s="5" t="inlineStr"/>
      <c r="N210" s="5" t="inlineStr"/>
      <c r="O210" s="5" t="inlineStr"/>
      <c r="P210" s="5" t="inlineStr"/>
      <c r="Q210" s="5" t="inlineStr"/>
      <c r="R210" s="5" t="inlineStr"/>
      <c r="S210" s="5" t="inlineStr"/>
      <c r="T210" s="5" t="inlineStr"/>
      <c r="U210" s="5" t="inlineStr"/>
      <c r="V210" s="5" t="inlineStr">
        <is>
          <t>Medium</t>
        </is>
      </c>
      <c r="W210" s="5" t="inlineStr">
        <is>
          <t>Independent retailer; Core relevant category</t>
        </is>
      </c>
      <c r="X210" s="5" t="inlineStr">
        <is>
          <t>Verified directory</t>
        </is>
      </c>
      <c r="Y210" s="5" t="inlineStr">
        <is>
          <t>Not Found</t>
        </is>
      </c>
      <c r="Z210" s="5" t="inlineStr">
        <is>
          <t>Low</t>
        </is>
      </c>
      <c r="AA210" s="5" t="inlineStr">
        <is>
          <t>Requires Verification</t>
        </is>
      </c>
      <c r="AB210" s="5" t="inlineStr">
        <is>
          <t>https://the-vape-centre-york.wheree.com/</t>
        </is>
      </c>
    </row>
    <row r="211">
      <c r="A211" s="10" t="inlineStr">
        <is>
          <t>WY-0161</t>
        </is>
      </c>
      <c r="B211" s="10" t="inlineStr">
        <is>
          <t>WY-0161-01</t>
        </is>
      </c>
      <c r="C211" s="10" t="inlineStr"/>
      <c r="D211" s="10" t="inlineStr">
        <is>
          <t>The Vape Hub</t>
        </is>
      </c>
      <c r="E211" s="10" t="inlineStr">
        <is>
          <t>Vape Shop</t>
        </is>
      </c>
      <c r="F211" s="10" t="inlineStr">
        <is>
          <t>Local vape shop</t>
        </is>
      </c>
      <c r="G211" s="10" t="inlineStr">
        <is>
          <t>Independent</t>
        </is>
      </c>
      <c r="H211" s="10" t="inlineStr">
        <is>
          <t>1</t>
        </is>
      </c>
      <c r="I211" s="10" t="inlineStr">
        <is>
          <t>105b Cooper Lane</t>
        </is>
      </c>
      <c r="J211" s="10" t="inlineStr">
        <is>
          <t>Bradford</t>
        </is>
      </c>
      <c r="K211" s="10" t="inlineStr">
        <is>
          <t>BD6 3PB</t>
        </is>
      </c>
      <c r="L211" s="10" t="inlineStr">
        <is>
          <t>01274 785496</t>
        </is>
      </c>
      <c r="M211" s="10" t="inlineStr"/>
      <c r="N211" s="10" t="inlineStr"/>
      <c r="O211" s="10" t="inlineStr"/>
      <c r="P211" s="10" t="inlineStr">
        <is>
          <t>https://www.facebook.com/tvhbradford/</t>
        </is>
      </c>
      <c r="Q211" s="10" t="inlineStr"/>
      <c r="R211" s="10" t="inlineStr"/>
      <c r="S211" s="10" t="inlineStr"/>
      <c r="T211" s="10" t="inlineStr"/>
      <c r="U211" s="10" t="inlineStr"/>
      <c r="V211" s="10" t="inlineStr">
        <is>
          <t>Medium</t>
        </is>
      </c>
      <c r="W211" s="10" t="inlineStr">
        <is>
          <t>Independent retailer; Core relevant category; Social presence</t>
        </is>
      </c>
      <c r="X211" s="10" t="inlineStr">
        <is>
          <t>Verified directory</t>
        </is>
      </c>
      <c r="Y211" s="10" t="inlineStr">
        <is>
          <t>Not Found</t>
        </is>
      </c>
      <c r="Z211" s="10" t="inlineStr">
        <is>
          <t>Medium</t>
        </is>
      </c>
      <c r="AA211" s="10" t="inlineStr">
        <is>
          <t>Requires Verification</t>
        </is>
      </c>
      <c r="AB211" s="10" t="inlineStr">
        <is>
          <t>https://www.yell.com/biz/the-vape-hub-bradford-10128282/</t>
        </is>
      </c>
    </row>
    <row r="212">
      <c r="A212" s="5" t="inlineStr">
        <is>
          <t>UK-000826</t>
        </is>
      </c>
      <c r="B212" s="5" t="inlineStr">
        <is>
          <t>UK-000826-01</t>
        </is>
      </c>
      <c r="C212" s="5" t="inlineStr"/>
      <c r="D212" s="5" t="inlineStr">
        <is>
          <t>The Vape Hut</t>
        </is>
      </c>
      <c r="E212" s="5" t="inlineStr">
        <is>
          <t>Vape Shop</t>
        </is>
      </c>
      <c r="F212" s="5" t="inlineStr">
        <is>
          <t>Vape shop</t>
        </is>
      </c>
      <c r="G212" s="5" t="inlineStr">
        <is>
          <t>Independent</t>
        </is>
      </c>
      <c r="H212" s="5" t="inlineStr">
        <is>
          <t>1</t>
        </is>
      </c>
      <c r="I212" s="5" t="inlineStr">
        <is>
          <t>278-280 Church Road</t>
        </is>
      </c>
      <c r="J212" s="5" t="inlineStr">
        <is>
          <t>St Helens</t>
        </is>
      </c>
      <c r="K212" s="5" t="inlineStr">
        <is>
          <t>WA11 0LF</t>
        </is>
      </c>
      <c r="L212" s="5" t="inlineStr">
        <is>
          <t>01942 726072</t>
        </is>
      </c>
      <c r="M212" s="5" t="inlineStr"/>
      <c r="N212" s="5" t="inlineStr"/>
      <c r="O212" s="5" t="inlineStr"/>
      <c r="P212" s="5" t="inlineStr"/>
      <c r="Q212" s="5" t="inlineStr"/>
      <c r="R212" s="5" t="inlineStr"/>
      <c r="S212" s="5" t="inlineStr"/>
      <c r="T212" s="5" t="inlineStr"/>
      <c r="U212" s="5" t="inlineStr"/>
      <c r="V212" s="5" t="inlineStr">
        <is>
          <t>Medium</t>
        </is>
      </c>
      <c r="W212" s="5" t="inlineStr">
        <is>
          <t>Independent retailer; Core relevant category</t>
        </is>
      </c>
      <c r="X212" s="5" t="inlineStr">
        <is>
          <t>Verified directory</t>
        </is>
      </c>
      <c r="Y212" s="5" t="inlineStr">
        <is>
          <t>Not Found</t>
        </is>
      </c>
      <c r="Z212" s="5" t="inlineStr">
        <is>
          <t>Low</t>
        </is>
      </c>
      <c r="AA212" s="5" t="inlineStr">
        <is>
          <t>Requires Verification</t>
        </is>
      </c>
      <c r="AB212" s="5" t="inlineStr">
        <is>
          <t>https://newton-le-willows-merseyside.cylex-uk.co.uk/vape-shops/</t>
        </is>
      </c>
    </row>
    <row r="213">
      <c r="A213" s="10" t="inlineStr">
        <is>
          <t>UK-000284</t>
        </is>
      </c>
      <c r="B213" s="10" t="inlineStr">
        <is>
          <t>UK-000284-01</t>
        </is>
      </c>
      <c r="C213" s="10" t="inlineStr"/>
      <c r="D213" s="10" t="inlineStr">
        <is>
          <t>The Vape Lounge Scunthorpe</t>
        </is>
      </c>
      <c r="E213" s="10" t="inlineStr">
        <is>
          <t>Vape Shop</t>
        </is>
      </c>
      <c r="F213" s="10" t="inlineStr">
        <is>
          <t>E-liquid and hardware shop</t>
        </is>
      </c>
      <c r="G213" s="10" t="inlineStr">
        <is>
          <t>Independent</t>
        </is>
      </c>
      <c r="H213" s="10" t="inlineStr">
        <is>
          <t>1</t>
        </is>
      </c>
      <c r="I213" s="10" t="inlineStr">
        <is>
          <t>223-231 Ashby High Street</t>
        </is>
      </c>
      <c r="J213" s="10" t="inlineStr">
        <is>
          <t>Scunthorpe</t>
        </is>
      </c>
      <c r="K213" s="10" t="inlineStr"/>
      <c r="L213" s="10" t="inlineStr">
        <is>
          <t>01724 858999</t>
        </is>
      </c>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Verified directory</t>
        </is>
      </c>
      <c r="Y213" s="10" t="inlineStr">
        <is>
          <t>Not Found</t>
        </is>
      </c>
      <c r="Z213" s="10" t="inlineStr">
        <is>
          <t>Low</t>
        </is>
      </c>
      <c r="AA213" s="10" t="inlineStr">
        <is>
          <t>Requires Verification</t>
        </is>
      </c>
      <c r="AB213" s="10" t="inlineStr">
        <is>
          <t>https://ecigdirectory.co.uk/vape-shop/listing/the-vape-lounge-scunthorpe</t>
        </is>
      </c>
    </row>
    <row r="214">
      <c r="A214" s="5" t="inlineStr">
        <is>
          <t>UK-000285</t>
        </is>
      </c>
      <c r="B214" s="5" t="inlineStr">
        <is>
          <t>UK-000285-01</t>
        </is>
      </c>
      <c r="C214" s="5" t="inlineStr"/>
      <c r="D214" s="5" t="inlineStr">
        <is>
          <t>The Vape Lounge Thirsk</t>
        </is>
      </c>
      <c r="E214" s="5" t="inlineStr">
        <is>
          <t>Vape Shop</t>
        </is>
      </c>
      <c r="F214" s="5" t="inlineStr">
        <is>
          <t>Vape hardware &amp; e-liquid shop</t>
        </is>
      </c>
      <c r="G214" s="5" t="inlineStr">
        <is>
          <t>Independent</t>
        </is>
      </c>
      <c r="H214" s="5" t="inlineStr">
        <is>
          <t>1</t>
        </is>
      </c>
      <c r="I214" s="5" t="inlineStr">
        <is>
          <t>7 Market Place</t>
        </is>
      </c>
      <c r="J214" s="5" t="inlineStr">
        <is>
          <t>Thirsk</t>
        </is>
      </c>
      <c r="K214" s="5" t="inlineStr">
        <is>
          <t>YO7 1HQ</t>
        </is>
      </c>
      <c r="L214" s="5" t="inlineStr">
        <is>
          <t>01845 525571</t>
        </is>
      </c>
      <c r="M214" s="5" t="inlineStr"/>
      <c r="N214" s="5" t="inlineStr"/>
      <c r="O214" s="5" t="inlineStr"/>
      <c r="P214" s="5" t="inlineStr"/>
      <c r="Q214" s="5" t="inlineStr"/>
      <c r="R214" s="5" t="inlineStr"/>
      <c r="S214" s="5" t="inlineStr"/>
      <c r="T214" s="5" t="inlineStr"/>
      <c r="U214" s="5" t="inlineStr"/>
      <c r="V214" s="5" t="inlineStr">
        <is>
          <t>Medium</t>
        </is>
      </c>
      <c r="W214" s="5" t="inlineStr">
        <is>
          <t>Independent retailer; Core relevant category</t>
        </is>
      </c>
      <c r="X214" s="5" t="inlineStr">
        <is>
          <t>Verified directory</t>
        </is>
      </c>
      <c r="Y214" s="5" t="inlineStr">
        <is>
          <t>Not Found</t>
        </is>
      </c>
      <c r="Z214" s="5" t="inlineStr">
        <is>
          <t>Medium</t>
        </is>
      </c>
      <c r="AA214" s="5" t="inlineStr">
        <is>
          <t>Requires Verification</t>
        </is>
      </c>
      <c r="AB214" s="5" t="inlineStr">
        <is>
          <t>https://directory.crewechronicle.co.uk/company/742362676371456</t>
        </is>
      </c>
    </row>
    <row r="215">
      <c r="A215" s="10" t="inlineStr">
        <is>
          <t>UK-000524</t>
        </is>
      </c>
      <c r="B215" s="10" t="inlineStr">
        <is>
          <t>UK-000524-01</t>
        </is>
      </c>
      <c r="C215" s="10" t="inlineStr"/>
      <c r="D215" s="10" t="inlineStr">
        <is>
          <t>The Vape Shack - Acocks Green</t>
        </is>
      </c>
      <c r="E215" s="10" t="inlineStr">
        <is>
          <t>Vape Shop</t>
        </is>
      </c>
      <c r="F215" s="10" t="inlineStr">
        <is>
          <t>Vape hardware and e-liquid retailer</t>
        </is>
      </c>
      <c r="G215" s="10" t="inlineStr">
        <is>
          <t>Independent</t>
        </is>
      </c>
      <c r="H215" s="10" t="inlineStr">
        <is>
          <t>1</t>
        </is>
      </c>
      <c r="I215" s="10" t="inlineStr">
        <is>
          <t>1a Shirley Road</t>
        </is>
      </c>
      <c r="J215" s="10" t="inlineStr">
        <is>
          <t>Birmingham</t>
        </is>
      </c>
      <c r="K215" s="10" t="inlineStr">
        <is>
          <t>B27 7XU</t>
        </is>
      </c>
      <c r="L215" s="10" t="inlineStr">
        <is>
          <t>0121 792 9004</t>
        </is>
      </c>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Verified directory</t>
        </is>
      </c>
      <c r="Y215" s="10" t="inlineStr">
        <is>
          <t>Not Found</t>
        </is>
      </c>
      <c r="Z215" s="10" t="inlineStr">
        <is>
          <t>Low</t>
        </is>
      </c>
      <c r="AA215" s="10" t="inlineStr">
        <is>
          <t>Requires Verification</t>
        </is>
      </c>
      <c r="AB215" s="10" t="inlineStr">
        <is>
          <t>https://www.bizseek.co.uk/vape-shack-acocks-green</t>
        </is>
      </c>
    </row>
    <row r="216">
      <c r="A216" s="5" t="inlineStr">
        <is>
          <t>UK-000827</t>
        </is>
      </c>
      <c r="B216" s="5" t="inlineStr">
        <is>
          <t>UK-000827-01</t>
        </is>
      </c>
      <c r="C216" s="5" t="inlineStr"/>
      <c r="D216" s="5" t="inlineStr">
        <is>
          <t>The Vape Shop (Huyton)</t>
        </is>
      </c>
      <c r="E216" s="5" t="inlineStr">
        <is>
          <t>Vape Shop</t>
        </is>
      </c>
      <c r="F216" s="5" t="inlineStr">
        <is>
          <t>Vape &amp; e-liquid retailer</t>
        </is>
      </c>
      <c r="G216" s="5" t="inlineStr">
        <is>
          <t>Independent</t>
        </is>
      </c>
      <c r="H216" s="5" t="inlineStr">
        <is>
          <t>1</t>
        </is>
      </c>
      <c r="I216" s="5" t="inlineStr">
        <is>
          <t>86 Liverpool Road</t>
        </is>
      </c>
      <c r="J216" s="5" t="inlineStr">
        <is>
          <t>Liverpool</t>
        </is>
      </c>
      <c r="K216" s="5" t="inlineStr">
        <is>
          <t>L36 3RF</t>
        </is>
      </c>
      <c r="L216" s="5" t="inlineStr">
        <is>
          <t>07894 970122</t>
        </is>
      </c>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Verified directory</t>
        </is>
      </c>
      <c r="Y216" s="5" t="inlineStr">
        <is>
          <t>Not Found</t>
        </is>
      </c>
      <c r="Z216" s="5" t="inlineStr">
        <is>
          <t>Low</t>
        </is>
      </c>
      <c r="AA216" s="5" t="inlineStr">
        <is>
          <t>Requires Verification</t>
        </is>
      </c>
      <c r="AB216" s="5" t="inlineStr">
        <is>
          <t>https://www.yell.com/s/tobacconists-huyton.html</t>
        </is>
      </c>
    </row>
    <row r="217">
      <c r="A217" s="10" t="inlineStr">
        <is>
          <t>WY-0162</t>
        </is>
      </c>
      <c r="B217" s="10" t="inlineStr">
        <is>
          <t>WY-0162-01</t>
        </is>
      </c>
      <c r="C217" s="10" t="inlineStr"/>
      <c r="D217" s="10" t="inlineStr">
        <is>
          <t>The Vape Shop Wakefield</t>
        </is>
      </c>
      <c r="E217" s="10" t="inlineStr">
        <is>
          <t>Vape Shop</t>
        </is>
      </c>
      <c r="F217" s="10" t="inlineStr">
        <is>
          <t>E-cigarettes and e-liquids (American and British ranges)</t>
        </is>
      </c>
      <c r="G217" s="10" t="inlineStr">
        <is>
          <t>Independent</t>
        </is>
      </c>
      <c r="H217" s="10" t="inlineStr">
        <is>
          <t>1</t>
        </is>
      </c>
      <c r="I217" s="10" t="inlineStr">
        <is>
          <t>Horbury Road</t>
        </is>
      </c>
      <c r="J217" s="10" t="inlineStr">
        <is>
          <t>Wakefield</t>
        </is>
      </c>
      <c r="K217" s="10" t="inlineStr"/>
      <c r="L217" s="10" t="inlineStr"/>
      <c r="M217" s="10" t="inlineStr"/>
      <c r="N217" s="10" t="inlineStr"/>
      <c r="O217" s="10" t="inlineStr"/>
      <c r="P217" s="10" t="inlineStr">
        <is>
          <t>https://www.facebook.com/vapeshopwakefield.uk/</t>
        </is>
      </c>
      <c r="Q217" s="10" t="inlineStr"/>
      <c r="R217" s="10" t="inlineStr"/>
      <c r="S217" s="10" t="inlineStr"/>
      <c r="T217" s="10" t="inlineStr"/>
      <c r="U217" s="10" t="inlineStr"/>
      <c r="V217" s="10" t="inlineStr">
        <is>
          <t>Medium</t>
        </is>
      </c>
      <c r="W217" s="10" t="inlineStr">
        <is>
          <t>Independent retailer; Core relevant category; Social presence</t>
        </is>
      </c>
      <c r="X217" s="10" t="inlineStr">
        <is>
          <t>Not Found</t>
        </is>
      </c>
      <c r="Y217" s="10" t="inlineStr">
        <is>
          <t>Not Found</t>
        </is>
      </c>
      <c r="Z217" s="10" t="inlineStr">
        <is>
          <t>Low</t>
        </is>
      </c>
      <c r="AA217" s="10" t="inlineStr">
        <is>
          <t>Requires Verification</t>
        </is>
      </c>
      <c r="AB217" s="10" t="inlineStr">
        <is>
          <t>https://www.facebook.com/vapeshopwakefield.uk/</t>
        </is>
      </c>
    </row>
    <row r="218">
      <c r="A218" s="5" t="inlineStr">
        <is>
          <t>UK-000389</t>
        </is>
      </c>
      <c r="B218" s="5" t="inlineStr">
        <is>
          <t>UK-000389-01</t>
        </is>
      </c>
      <c r="C218" s="5" t="inlineStr"/>
      <c r="D218" s="5" t="inlineStr">
        <is>
          <t>The Vape Store (Sale, Trafford)</t>
        </is>
      </c>
      <c r="E218" s="5" t="inlineStr">
        <is>
          <t>Vape Shop</t>
        </is>
      </c>
      <c r="F218" s="5" t="inlineStr">
        <is>
          <t>Vape hardware, e-liquids &amp; disposables</t>
        </is>
      </c>
      <c r="G218" s="5" t="inlineStr">
        <is>
          <t>Independent</t>
        </is>
      </c>
      <c r="H218" s="5" t="inlineStr">
        <is>
          <t>1</t>
        </is>
      </c>
      <c r="I218" s="5" t="inlineStr">
        <is>
          <t>72 Marsland Road</t>
        </is>
      </c>
      <c r="J218" s="5" t="inlineStr">
        <is>
          <t>Sale</t>
        </is>
      </c>
      <c r="K218" s="5" t="inlineStr">
        <is>
          <t>M33 3HG</t>
        </is>
      </c>
      <c r="L218" s="5" t="inlineStr"/>
      <c r="M218" s="5" t="inlineStr"/>
      <c r="N218" s="5" t="inlineStr"/>
      <c r="O218" s="5" t="inlineStr"/>
      <c r="P218" s="5" t="inlineStr"/>
      <c r="Q218" s="5" t="inlineStr"/>
      <c r="R218" s="5" t="inlineStr"/>
      <c r="S218" s="5" t="inlineStr"/>
      <c r="T218" s="5" t="inlineStr">
        <is>
          <t>10937677</t>
        </is>
      </c>
      <c r="U218" s="5" t="inlineStr">
        <is>
          <t>Active (per Companies House listing)</t>
        </is>
      </c>
      <c r="V218" s="5" t="inlineStr">
        <is>
          <t>Medium</t>
        </is>
      </c>
      <c r="W218" s="5" t="inlineStr">
        <is>
          <t>Independent retailer; Core relevant category</t>
        </is>
      </c>
      <c r="X218" s="5" t="inlineStr">
        <is>
          <t>Not Found</t>
        </is>
      </c>
      <c r="Y218" s="5" t="inlineStr">
        <is>
          <t>Not Found</t>
        </is>
      </c>
      <c r="Z218" s="5" t="inlineStr">
        <is>
          <t>Medium</t>
        </is>
      </c>
      <c r="AA218" s="5" t="inlineStr">
        <is>
          <t>Partially Verified</t>
        </is>
      </c>
      <c r="AB218" s="5" t="inlineStr">
        <is>
          <t>https://find-and-update.company-information.service.gov.uk/company/10937677</t>
        </is>
      </c>
    </row>
    <row r="219">
      <c r="A219" s="10" t="inlineStr">
        <is>
          <t>UK-000390</t>
        </is>
      </c>
      <c r="B219" s="10" t="inlineStr">
        <is>
          <t>UK-000390-01</t>
        </is>
      </c>
      <c r="C219" s="10" t="inlineStr"/>
      <c r="D219" s="10" t="inlineStr">
        <is>
          <t>The Vape Store (Urmston, Trafford)</t>
        </is>
      </c>
      <c r="E219" s="10" t="inlineStr">
        <is>
          <t>Vape Shop</t>
        </is>
      </c>
      <c r="F219" s="10" t="inlineStr">
        <is>
          <t>Vape hardware, e-liquids &amp; disposables</t>
        </is>
      </c>
      <c r="G219" s="10" t="inlineStr">
        <is>
          <t>Independent</t>
        </is>
      </c>
      <c r="H219" s="10" t="inlineStr">
        <is>
          <t>1</t>
        </is>
      </c>
      <c r="I219" s="10" t="inlineStr">
        <is>
          <t>144 Flixton Road</t>
        </is>
      </c>
      <c r="J219" s="10" t="inlineStr">
        <is>
          <t>Urmston</t>
        </is>
      </c>
      <c r="K219" s="10" t="inlineStr">
        <is>
          <t>M41 5BG</t>
        </is>
      </c>
      <c r="L219" s="10" t="inlineStr">
        <is>
          <t>0161 637 5051</t>
        </is>
      </c>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Verified directory</t>
        </is>
      </c>
      <c r="Y219" s="10" t="inlineStr">
        <is>
          <t>Not Found</t>
        </is>
      </c>
      <c r="Z219" s="10" t="inlineStr">
        <is>
          <t>Low</t>
        </is>
      </c>
      <c r="AA219" s="10" t="inlineStr">
        <is>
          <t>Requires Verification</t>
        </is>
      </c>
      <c r="AB219" s="10" t="inlineStr">
        <is>
          <t>https://www.localexposurenw.co.uk/extra/11387/the-vape-store-vaporiser-shop-in-urmston</t>
        </is>
      </c>
    </row>
    <row r="220">
      <c r="A220" s="5" t="inlineStr">
        <is>
          <t>UK-000391</t>
        </is>
      </c>
      <c r="B220" s="5" t="inlineStr">
        <is>
          <t>UK-000391-01</t>
        </is>
      </c>
      <c r="C220" s="5" t="inlineStr"/>
      <c r="D220" s="5" t="inlineStr">
        <is>
          <t>The Vape Store Bolton</t>
        </is>
      </c>
      <c r="E220" s="5" t="inlineStr">
        <is>
          <t>Vape Shop</t>
        </is>
      </c>
      <c r="F220" s="5" t="inlineStr">
        <is>
          <t>E-cigarette and e-liquid shop</t>
        </is>
      </c>
      <c r="G220" s="5" t="inlineStr">
        <is>
          <t>Independent</t>
        </is>
      </c>
      <c r="H220" s="5" t="inlineStr">
        <is>
          <t>1</t>
        </is>
      </c>
      <c r="I220" s="5" t="inlineStr">
        <is>
          <t>319 Derby Street</t>
        </is>
      </c>
      <c r="J220" s="5" t="inlineStr">
        <is>
          <t>Bolton</t>
        </is>
      </c>
      <c r="K220" s="5" t="inlineStr"/>
      <c r="L220" s="5" t="inlineStr">
        <is>
          <t>07784 983386</t>
        </is>
      </c>
      <c r="M220" s="5" t="inlineStr"/>
      <c r="N220" s="5" t="inlineStr"/>
      <c r="O220" s="5" t="inlineStr"/>
      <c r="P220" s="5" t="inlineStr"/>
      <c r="Q220" s="5" t="inlineStr">
        <is>
          <t>https://www.instagram.com/vapestorebolton/</t>
        </is>
      </c>
      <c r="R220" s="5" t="inlineStr"/>
      <c r="S220" s="5" t="inlineStr"/>
      <c r="T220" s="5" t="inlineStr">
        <is>
          <t>10227451</t>
        </is>
      </c>
      <c r="U220" s="5" t="inlineStr"/>
      <c r="V220" s="5" t="inlineStr">
        <is>
          <t>Medium</t>
        </is>
      </c>
      <c r="W220" s="5" t="inlineStr">
        <is>
          <t>Independent retailer; Core relevant category; Social presence</t>
        </is>
      </c>
      <c r="X220" s="5" t="inlineStr">
        <is>
          <t>Verified directory</t>
        </is>
      </c>
      <c r="Y220" s="5" t="inlineStr">
        <is>
          <t>Not Found</t>
        </is>
      </c>
      <c r="Z220" s="5" t="inlineStr">
        <is>
          <t>Medium</t>
        </is>
      </c>
      <c r="AA220" s="5" t="inlineStr">
        <is>
          <t>Requires Verification</t>
        </is>
      </c>
      <c r="AB220" s="5" t="inlineStr">
        <is>
          <t>https://find-and-update.company-information.service.gov.uk/company/10227451</t>
        </is>
      </c>
    </row>
    <row r="221">
      <c r="A221" s="10" t="inlineStr">
        <is>
          <t>UK-000392</t>
        </is>
      </c>
      <c r="B221" s="10" t="inlineStr">
        <is>
          <t>UK-000392-01</t>
        </is>
      </c>
      <c r="C221" s="10" t="inlineStr"/>
      <c r="D221" s="10" t="inlineStr">
        <is>
          <t>The Vape Store Oldham</t>
        </is>
      </c>
      <c r="E221" s="10" t="inlineStr">
        <is>
          <t>Vape Shop</t>
        </is>
      </c>
      <c r="F221" s="10" t="inlineStr"/>
      <c r="G221" s="10" t="inlineStr">
        <is>
          <t>Independent</t>
        </is>
      </c>
      <c r="H221" s="10" t="inlineStr">
        <is>
          <t>1</t>
        </is>
      </c>
      <c r="I221" s="10" t="inlineStr">
        <is>
          <t>200 Hollins Road</t>
        </is>
      </c>
      <c r="J221" s="10" t="inlineStr">
        <is>
          <t>Oldham</t>
        </is>
      </c>
      <c r="K221" s="10" t="inlineStr"/>
      <c r="L221" s="10" t="inlineStr">
        <is>
          <t>0161 258 8289</t>
        </is>
      </c>
      <c r="M221" s="10" t="inlineStr"/>
      <c r="N221" s="10" t="inlineStr"/>
      <c r="O221" s="10" t="inlineStr"/>
      <c r="P221" s="10" t="inlineStr">
        <is>
          <t>https://www.facebook.com/Thevapestoreoldham1/</t>
        </is>
      </c>
      <c r="Q221" s="10" t="inlineStr"/>
      <c r="R221" s="10" t="inlineStr"/>
      <c r="S221" s="10" t="inlineStr"/>
      <c r="T221" s="10" t="inlineStr"/>
      <c r="U221" s="10" t="inlineStr"/>
      <c r="V221" s="10" t="inlineStr">
        <is>
          <t>Medium</t>
        </is>
      </c>
      <c r="W221" s="10" t="inlineStr">
        <is>
          <t>Independent retailer; Core relevant category; Social presence</t>
        </is>
      </c>
      <c r="X221" s="10" t="inlineStr">
        <is>
          <t>Verified directory</t>
        </is>
      </c>
      <c r="Y221" s="10" t="inlineStr">
        <is>
          <t>Not Found</t>
        </is>
      </c>
      <c r="Z221" s="10" t="inlineStr">
        <is>
          <t>Low</t>
        </is>
      </c>
      <c r="AA221" s="10" t="inlineStr">
        <is>
          <t>Requires Verification</t>
        </is>
      </c>
      <c r="AB221" s="10" t="inlineStr">
        <is>
          <t>https://www.facebook.com/Thevapestoreoldham1/</t>
        </is>
      </c>
    </row>
    <row r="222">
      <c r="A222" s="5" t="inlineStr">
        <is>
          <t>UK-000286</t>
        </is>
      </c>
      <c r="B222" s="5" t="inlineStr">
        <is>
          <t>UK-000286-01</t>
        </is>
      </c>
      <c r="C222" s="5" t="inlineStr"/>
      <c r="D222" s="5" t="inlineStr">
        <is>
          <t>The Vape Supermarket</t>
        </is>
      </c>
      <c r="E222" s="5" t="inlineStr">
        <is>
          <t>Vape Shop</t>
        </is>
      </c>
      <c r="F222" s="5" t="inlineStr">
        <is>
          <t>Vape shop</t>
        </is>
      </c>
      <c r="G222" s="5" t="inlineStr">
        <is>
          <t>Independent</t>
        </is>
      </c>
      <c r="H222" s="5" t="inlineStr">
        <is>
          <t>1</t>
        </is>
      </c>
      <c r="I222" s="5" t="inlineStr"/>
      <c r="J222" s="5" t="inlineStr">
        <is>
          <t>Barnsley</t>
        </is>
      </c>
      <c r="K222" s="5" t="inlineStr"/>
      <c r="L222" s="5" t="inlineStr"/>
      <c r="M222" s="5" t="inlineStr"/>
      <c r="N222" s="5" t="inlineStr"/>
      <c r="O222" s="5" t="inlineStr"/>
      <c r="P222" s="5" t="inlineStr">
        <is>
          <t>https://www.facebook.com/TheVapeSupermarket/</t>
        </is>
      </c>
      <c r="Q222" s="5" t="inlineStr"/>
      <c r="R222" s="5" t="inlineStr"/>
      <c r="S222" s="5" t="inlineStr"/>
      <c r="T222" s="5" t="inlineStr"/>
      <c r="U222" s="5" t="inlineStr"/>
      <c r="V222" s="5" t="inlineStr">
        <is>
          <t>Medium</t>
        </is>
      </c>
      <c r="W222" s="5" t="inlineStr">
        <is>
          <t>Independent retailer; Core relevant category; Social presence</t>
        </is>
      </c>
      <c r="X222" s="5" t="inlineStr">
        <is>
          <t>Not Found</t>
        </is>
      </c>
      <c r="Y222" s="5" t="inlineStr">
        <is>
          <t>Not Found</t>
        </is>
      </c>
      <c r="Z222" s="5" t="inlineStr">
        <is>
          <t>Low</t>
        </is>
      </c>
      <c r="AA222" s="5" t="inlineStr">
        <is>
          <t>Requires Verification</t>
        </is>
      </c>
      <c r="AB222" s="5" t="inlineStr">
        <is>
          <t>https://www.facebook.com/TheVapeSupermarket/</t>
        </is>
      </c>
    </row>
    <row r="223">
      <c r="A223" s="10" t="inlineStr">
        <is>
          <t>UK-000393</t>
        </is>
      </c>
      <c r="B223" s="10" t="inlineStr">
        <is>
          <t>UK-000393-01</t>
        </is>
      </c>
      <c r="C223" s="10" t="inlineStr"/>
      <c r="D223" s="10" t="inlineStr">
        <is>
          <t>The Vape Tavern Stalybridge</t>
        </is>
      </c>
      <c r="E223" s="10" t="inlineStr">
        <is>
          <t>Vape Shop</t>
        </is>
      </c>
      <c r="F223" s="10" t="inlineStr"/>
      <c r="G223" s="10" t="inlineStr">
        <is>
          <t>Independent</t>
        </is>
      </c>
      <c r="H223" s="10" t="inlineStr">
        <is>
          <t>1</t>
        </is>
      </c>
      <c r="I223" s="10" t="inlineStr"/>
      <c r="J223" s="10" t="inlineStr">
        <is>
          <t>Stalybridge</t>
        </is>
      </c>
      <c r="K223" s="10" t="inlineStr"/>
      <c r="L223" s="10" t="inlineStr"/>
      <c r="M223" s="10" t="inlineStr"/>
      <c r="N223" s="10" t="inlineStr"/>
      <c r="O223" s="10" t="inlineStr">
        <is>
          <t>https://www.thevapetavernstalybridge.com/</t>
        </is>
      </c>
      <c r="P223" s="10" t="inlineStr"/>
      <c r="Q223" s="10" t="inlineStr"/>
      <c r="R223" s="10" t="inlineStr"/>
      <c r="S223" s="10" t="inlineStr"/>
      <c r="T223" s="10" t="inlineStr"/>
      <c r="U223" s="10" t="inlineStr"/>
      <c r="V223" s="10" t="inlineStr">
        <is>
          <t>Medium</t>
        </is>
      </c>
      <c r="W223" s="10" t="inlineStr">
        <is>
          <t>Independent retailer; Core relevant category; Active website</t>
        </is>
      </c>
      <c r="X223" s="10" t="inlineStr">
        <is>
          <t>Not Found</t>
        </is>
      </c>
      <c r="Y223" s="10" t="inlineStr">
        <is>
          <t>Website Found</t>
        </is>
      </c>
      <c r="Z223" s="10" t="inlineStr">
        <is>
          <t>Low</t>
        </is>
      </c>
      <c r="AA223" s="10" t="inlineStr">
        <is>
          <t>Requires Verification</t>
        </is>
      </c>
      <c r="AB223" s="10" t="inlineStr">
        <is>
          <t>https://www.thevapetavernstalybridge.com/</t>
        </is>
      </c>
    </row>
    <row r="224">
      <c r="A224" s="5" t="inlineStr">
        <is>
          <t>UK-000394</t>
        </is>
      </c>
      <c r="B224" s="5" t="inlineStr">
        <is>
          <t>UK-000394-01</t>
        </is>
      </c>
      <c r="C224" s="5" t="inlineStr"/>
      <c r="D224" s="5" t="inlineStr">
        <is>
          <t>The Vape Volt Farnworth</t>
        </is>
      </c>
      <c r="E224" s="5" t="inlineStr">
        <is>
          <t>Vape Shop</t>
        </is>
      </c>
      <c r="F224" s="5" t="inlineStr"/>
      <c r="G224" s="5" t="inlineStr">
        <is>
          <t>Independent</t>
        </is>
      </c>
      <c r="H224" s="5" t="inlineStr">
        <is>
          <t>1</t>
        </is>
      </c>
      <c r="I224" s="5" t="inlineStr">
        <is>
          <t>32A Brackley Street</t>
        </is>
      </c>
      <c r="J224" s="5" t="inlineStr">
        <is>
          <t>Bolton</t>
        </is>
      </c>
      <c r="K224" s="5" t="inlineStr">
        <is>
          <t>BL4 9DR</t>
        </is>
      </c>
      <c r="L224" s="5" t="inlineStr"/>
      <c r="M224" s="5" t="inlineStr"/>
      <c r="N224" s="5" t="inlineStr"/>
      <c r="O224" s="5" t="inlineStr"/>
      <c r="P224" s="5" t="inlineStr">
        <is>
          <t>https://www.facebook.com/VapeVoltFarnworth/</t>
        </is>
      </c>
      <c r="Q224" s="5" t="inlineStr"/>
      <c r="R224" s="5" t="inlineStr"/>
      <c r="S224" s="5" t="inlineStr"/>
      <c r="T224" s="5" t="inlineStr"/>
      <c r="U224" s="5" t="inlineStr"/>
      <c r="V224" s="5" t="inlineStr">
        <is>
          <t>Medium</t>
        </is>
      </c>
      <c r="W224" s="5" t="inlineStr">
        <is>
          <t>Independent retailer; Core relevant category; Social presence</t>
        </is>
      </c>
      <c r="X224" s="5" t="inlineStr">
        <is>
          <t>Not Found</t>
        </is>
      </c>
      <c r="Y224" s="5" t="inlineStr">
        <is>
          <t>Not Found</t>
        </is>
      </c>
      <c r="Z224" s="5" t="inlineStr">
        <is>
          <t>Low</t>
        </is>
      </c>
      <c r="AA224" s="5" t="inlineStr">
        <is>
          <t>Requires Verification</t>
        </is>
      </c>
      <c r="AB224" s="5" t="inlineStr">
        <is>
          <t>https://www.facebook.com/VapeVoltFarnworth/</t>
        </is>
      </c>
    </row>
    <row r="225">
      <c r="A225" s="10" t="inlineStr">
        <is>
          <t>UK-000667</t>
        </is>
      </c>
      <c r="B225" s="10" t="inlineStr">
        <is>
          <t>UK-000667-01</t>
        </is>
      </c>
      <c r="C225" s="10" t="inlineStr"/>
      <c r="D225" s="10" t="inlineStr">
        <is>
          <t>The Vaper</t>
        </is>
      </c>
      <c r="E225" s="10" t="inlineStr">
        <is>
          <t>Vape Shop</t>
        </is>
      </c>
      <c r="F225" s="10" t="inlineStr"/>
      <c r="G225" s="10" t="inlineStr">
        <is>
          <t>Independent</t>
        </is>
      </c>
      <c r="H225" s="10" t="inlineStr">
        <is>
          <t>1</t>
        </is>
      </c>
      <c r="I225" s="10" t="inlineStr">
        <is>
          <t>374a Streatham High Road</t>
        </is>
      </c>
      <c r="J225" s="10" t="inlineStr">
        <is>
          <t>London</t>
        </is>
      </c>
      <c r="K225" s="10" t="inlineStr">
        <is>
          <t>SW16 6HP</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Independent retailer; Core relevant category</t>
        </is>
      </c>
      <c r="X225" s="10" t="inlineStr">
        <is>
          <t>Not Found</t>
        </is>
      </c>
      <c r="Y225" s="10" t="inlineStr">
        <is>
          <t>Not Found</t>
        </is>
      </c>
      <c r="Z225" s="10" t="inlineStr">
        <is>
          <t>Low</t>
        </is>
      </c>
      <c r="AA225" s="10" t="inlineStr">
        <is>
          <t>Requires Verification</t>
        </is>
      </c>
      <c r="AB225" s="10" t="inlineStr">
        <is>
          <t>https://www.yell.com/biz/the-vaper-london-8913915/</t>
        </is>
      </c>
    </row>
    <row r="226">
      <c r="A226" s="5" t="inlineStr">
        <is>
          <t>UK-000287</t>
        </is>
      </c>
      <c r="B226" s="5" t="inlineStr">
        <is>
          <t>UK-000287-01</t>
        </is>
      </c>
      <c r="C226" s="5" t="inlineStr"/>
      <c r="D226" s="5" t="inlineStr">
        <is>
          <t>The Vapers Guild</t>
        </is>
      </c>
      <c r="E226" s="5" t="inlineStr">
        <is>
          <t>Vape Shop</t>
        </is>
      </c>
      <c r="F226" s="5" t="inlineStr">
        <is>
          <t>E-cigarette and e-liquid shop</t>
        </is>
      </c>
      <c r="G226" s="5" t="inlineStr">
        <is>
          <t>Independent</t>
        </is>
      </c>
      <c r="H226" s="5" t="inlineStr">
        <is>
          <t>1</t>
        </is>
      </c>
      <c r="I226" s="5" t="inlineStr"/>
      <c r="J226" s="5" t="inlineStr">
        <is>
          <t>Kingston upon Hull</t>
        </is>
      </c>
      <c r="K226" s="5" t="inlineStr"/>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Independent retailer; Core relevant category</t>
        </is>
      </c>
      <c r="X226" s="5" t="inlineStr">
        <is>
          <t>Not Found</t>
        </is>
      </c>
      <c r="Y226" s="5" t="inlineStr">
        <is>
          <t>Not Found</t>
        </is>
      </c>
      <c r="Z226" s="5" t="inlineStr">
        <is>
          <t>Low</t>
        </is>
      </c>
      <c r="AA226" s="5" t="inlineStr">
        <is>
          <t>Requires Verification</t>
        </is>
      </c>
      <c r="AB226" s="5" t="inlineStr">
        <is>
          <t>https://ecigdirectory.co.uk/vape-shop/listing/the-vapers-guild-hull</t>
        </is>
      </c>
    </row>
    <row r="227">
      <c r="A227" s="10" t="inlineStr">
        <is>
          <t>UK-000828</t>
        </is>
      </c>
      <c r="B227" s="10" t="inlineStr">
        <is>
          <t>UK-000828-01</t>
        </is>
      </c>
      <c r="C227" s="10" t="inlineStr"/>
      <c r="D227" s="10" t="inlineStr">
        <is>
          <t>The Vapour Shop Paisley</t>
        </is>
      </c>
      <c r="E227" s="10" t="inlineStr">
        <is>
          <t>Vape Shop</t>
        </is>
      </c>
      <c r="F227" s="10" t="inlineStr">
        <is>
          <t>Vape shop</t>
        </is>
      </c>
      <c r="G227" s="10" t="inlineStr">
        <is>
          <t>Independent</t>
        </is>
      </c>
      <c r="H227" s="10" t="inlineStr">
        <is>
          <t>1</t>
        </is>
      </c>
      <c r="I227" s="10" t="inlineStr">
        <is>
          <t>3A Moss Street</t>
        </is>
      </c>
      <c r="J227" s="10" t="inlineStr">
        <is>
          <t>Paisley</t>
        </is>
      </c>
      <c r="K227" s="10" t="inlineStr"/>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Independent retailer; Core relevant category</t>
        </is>
      </c>
      <c r="X227" s="10" t="inlineStr">
        <is>
          <t>Not Found</t>
        </is>
      </c>
      <c r="Y227" s="10" t="inlineStr">
        <is>
          <t>Not Found</t>
        </is>
      </c>
      <c r="Z227" s="10" t="inlineStr">
        <is>
          <t>Low</t>
        </is>
      </c>
      <c r="AA227" s="10" t="inlineStr">
        <is>
          <t>Requires Verification</t>
        </is>
      </c>
      <c r="AB227" s="10" t="inlineStr">
        <is>
          <t>https://m.yelp.com/biz/the-vapour-shop-paisley</t>
        </is>
      </c>
    </row>
    <row r="228">
      <c r="A228" s="5" t="inlineStr">
        <is>
          <t>WY-0163</t>
        </is>
      </c>
      <c r="B228" s="5" t="inlineStr">
        <is>
          <t>WY-0163-01</t>
        </is>
      </c>
      <c r="C228" s="5" t="inlineStr"/>
      <c r="D228" s="5" t="inlineStr">
        <is>
          <t>The Vintage Vapour Co</t>
        </is>
      </c>
      <c r="E228" s="5" t="inlineStr">
        <is>
          <t>Vape Shop</t>
        </is>
      </c>
      <c r="F228" s="5" t="inlineStr">
        <is>
          <t>Vape retailer</t>
        </is>
      </c>
      <c r="G228" s="5" t="inlineStr">
        <is>
          <t>Independent</t>
        </is>
      </c>
      <c r="H228" s="5" t="inlineStr">
        <is>
          <t>1</t>
        </is>
      </c>
      <c r="I228" s="5" t="inlineStr">
        <is>
          <t>12 Town End</t>
        </is>
      </c>
      <c r="J228" s="5" t="inlineStr">
        <is>
          <t>Ossett</t>
        </is>
      </c>
      <c r="K228" s="5" t="inlineStr">
        <is>
          <t>WF5 8BJ</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Not Found</t>
        </is>
      </c>
      <c r="Y228" s="5" t="inlineStr">
        <is>
          <t>Not Found</t>
        </is>
      </c>
      <c r="Z228" s="5" t="inlineStr">
        <is>
          <t>Low</t>
        </is>
      </c>
      <c r="AA228" s="5" t="inlineStr">
        <is>
          <t>Requires Verification</t>
        </is>
      </c>
      <c r="AB228" s="5" t="inlineStr">
        <is>
          <t>https://vapegeezer.co.uk/vape-shop-directory/locations/west-yorkshire/</t>
        </is>
      </c>
    </row>
    <row r="229">
      <c r="A229" s="10" t="inlineStr">
        <is>
          <t>WY-0166</t>
        </is>
      </c>
      <c r="B229" s="10" t="inlineStr">
        <is>
          <t>WY-0166-01</t>
        </is>
      </c>
      <c r="C229" s="10" t="inlineStr"/>
      <c r="D229" s="10" t="inlineStr">
        <is>
          <t>Told Vape Co</t>
        </is>
      </c>
      <c r="E229" s="10" t="inlineStr">
        <is>
          <t>Vape Shop</t>
        </is>
      </c>
      <c r="F229" s="10" t="inlineStr">
        <is>
          <t>Vape retailer</t>
        </is>
      </c>
      <c r="G229" s="10" t="inlineStr">
        <is>
          <t>Independent</t>
        </is>
      </c>
      <c r="H229" s="10" t="inlineStr">
        <is>
          <t>1</t>
        </is>
      </c>
      <c r="I229" s="10" t="inlineStr">
        <is>
          <t>29 Queen Street</t>
        </is>
      </c>
      <c r="J229" s="10" t="inlineStr">
        <is>
          <t>Horbury</t>
        </is>
      </c>
      <c r="K229" s="10" t="inlineStr">
        <is>
          <t>WF4 6LP</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Not Found</t>
        </is>
      </c>
      <c r="Y229" s="10" t="inlineStr">
        <is>
          <t>Not Found</t>
        </is>
      </c>
      <c r="Z229" s="10" t="inlineStr">
        <is>
          <t>Medium</t>
        </is>
      </c>
      <c r="AA229" s="10" t="inlineStr">
        <is>
          <t>Requires Verification</t>
        </is>
      </c>
      <c r="AB229" s="10" t="inlineStr">
        <is>
          <t>https://ecigdirectory.co.uk/vape-shop/listing/told-vape-co</t>
        </is>
      </c>
    </row>
    <row r="230">
      <c r="A230" s="5" t="inlineStr">
        <is>
          <t>UK-000671</t>
        </is>
      </c>
      <c r="B230" s="5" t="inlineStr">
        <is>
          <t>UK-000671-01</t>
        </is>
      </c>
      <c r="C230" s="5" t="inlineStr"/>
      <c r="D230" s="5" t="inlineStr">
        <is>
          <t>Twilight2Go</t>
        </is>
      </c>
      <c r="E230" s="5" t="inlineStr">
        <is>
          <t>Vape Shop</t>
        </is>
      </c>
      <c r="F230" s="5" t="inlineStr">
        <is>
          <t>Vape &amp; convenience</t>
        </is>
      </c>
      <c r="G230" s="5" t="inlineStr">
        <is>
          <t>Independent</t>
        </is>
      </c>
      <c r="H230" s="5" t="inlineStr">
        <is>
          <t>1</t>
        </is>
      </c>
      <c r="I230" s="5" t="inlineStr">
        <is>
          <t>171 Seven Sisters Road</t>
        </is>
      </c>
      <c r="J230" s="5" t="inlineStr">
        <is>
          <t>Finsbury Park</t>
        </is>
      </c>
      <c r="K230" s="5" t="inlineStr">
        <is>
          <t>N4 3NS</t>
        </is>
      </c>
      <c r="L230" s="5" t="inlineStr">
        <is>
          <t>07950 255905</t>
        </is>
      </c>
      <c r="M230" s="5" t="inlineStr"/>
      <c r="N230" s="5" t="inlineStr"/>
      <c r="O230" s="5" t="inlineStr"/>
      <c r="P230" s="5" t="inlineStr"/>
      <c r="Q230" s="5" t="inlineStr"/>
      <c r="R230" s="5" t="inlineStr"/>
      <c r="S230" s="5" t="inlineStr"/>
      <c r="T230" s="5" t="inlineStr"/>
      <c r="U230" s="5" t="inlineStr"/>
      <c r="V230" s="5" t="inlineStr">
        <is>
          <t>Medium</t>
        </is>
      </c>
      <c r="W230" s="5" t="inlineStr">
        <is>
          <t>Independent retailer; Core relevant category</t>
        </is>
      </c>
      <c r="X230" s="5" t="inlineStr">
        <is>
          <t>Verified directory</t>
        </is>
      </c>
      <c r="Y230" s="5" t="inlineStr">
        <is>
          <t>Not Found</t>
        </is>
      </c>
      <c r="Z230" s="5" t="inlineStr">
        <is>
          <t>Medium</t>
        </is>
      </c>
      <c r="AA230" s="5" t="inlineStr">
        <is>
          <t>Requires Verification</t>
        </is>
      </c>
      <c r="AB230" s="5" t="inlineStr">
        <is>
          <t>https://www.yell.com/s/vape+shops-islington-central+london.html</t>
        </is>
      </c>
    </row>
    <row r="231">
      <c r="A231" s="10" t="inlineStr">
        <is>
          <t>UK-000528</t>
        </is>
      </c>
      <c r="B231" s="10" t="inlineStr">
        <is>
          <t>UK-000528-01</t>
        </is>
      </c>
      <c r="C231" s="10" t="inlineStr"/>
      <c r="D231" s="10" t="inlineStr">
        <is>
          <t>Ultimate Vape Lounge - Stourbridge</t>
        </is>
      </c>
      <c r="E231" s="10" t="inlineStr">
        <is>
          <t>Vape Shop</t>
        </is>
      </c>
      <c r="F231" s="10" t="inlineStr">
        <is>
          <t>Vape lounge, e-liquids &amp; hardware</t>
        </is>
      </c>
      <c r="G231" s="10" t="inlineStr">
        <is>
          <t>Independent</t>
        </is>
      </c>
      <c r="H231" s="10" t="inlineStr">
        <is>
          <t>1</t>
        </is>
      </c>
      <c r="I231" s="10" t="inlineStr"/>
      <c r="J231" s="10" t="inlineStr">
        <is>
          <t>Stourbridge</t>
        </is>
      </c>
      <c r="K231" s="10" t="inlineStr"/>
      <c r="L231" s="10" t="inlineStr"/>
      <c r="M231" s="10" t="inlineStr"/>
      <c r="N231" s="10" t="inlineStr"/>
      <c r="O231" s="10" t="inlineStr"/>
      <c r="P231" s="10" t="inlineStr">
        <is>
          <t>https://www.facebook.com/ultimatevapeloungestourbridge/</t>
        </is>
      </c>
      <c r="Q231" s="10" t="inlineStr"/>
      <c r="R231" s="10" t="inlineStr"/>
      <c r="S231" s="10" t="inlineStr"/>
      <c r="T231" s="10" t="inlineStr"/>
      <c r="U231" s="10" t="inlineStr"/>
      <c r="V231" s="10" t="inlineStr">
        <is>
          <t>Medium</t>
        </is>
      </c>
      <c r="W231" s="10" t="inlineStr">
        <is>
          <t>Independent retailer; Core relevant category; Social presence</t>
        </is>
      </c>
      <c r="X231" s="10" t="inlineStr">
        <is>
          <t>Not Found</t>
        </is>
      </c>
      <c r="Y231" s="10" t="inlineStr">
        <is>
          <t>Not Found</t>
        </is>
      </c>
      <c r="Z231" s="10" t="inlineStr">
        <is>
          <t>Low</t>
        </is>
      </c>
      <c r="AA231" s="10" t="inlineStr">
        <is>
          <t>Requires Verification</t>
        </is>
      </c>
      <c r="AB231" s="10" t="inlineStr">
        <is>
          <t>https://www.facebook.com/ultimatevapeloungestourbridge/</t>
        </is>
      </c>
    </row>
    <row r="232">
      <c r="A232" s="5" t="inlineStr">
        <is>
          <t>UK-000529</t>
        </is>
      </c>
      <c r="B232" s="5" t="inlineStr">
        <is>
          <t>UK-000529-01</t>
        </is>
      </c>
      <c r="C232" s="5" t="inlineStr"/>
      <c r="D232" s="5" t="inlineStr">
        <is>
          <t>Ultimate Vapes Acocks Green</t>
        </is>
      </c>
      <c r="E232" s="5" t="inlineStr">
        <is>
          <t>Vape Shop</t>
        </is>
      </c>
      <c r="F232" s="5" t="inlineStr">
        <is>
          <t>Vape hardware and e-liquid retailer</t>
        </is>
      </c>
      <c r="G232" s="5" t="inlineStr">
        <is>
          <t>Independent</t>
        </is>
      </c>
      <c r="H232" s="5" t="inlineStr">
        <is>
          <t>1</t>
        </is>
      </c>
      <c r="I232" s="5" t="inlineStr">
        <is>
          <t>1093 Warwick Road</t>
        </is>
      </c>
      <c r="J232" s="5" t="inlineStr">
        <is>
          <t>Birmingham</t>
        </is>
      </c>
      <c r="K232" s="5" t="inlineStr">
        <is>
          <t>B27 6QT</t>
        </is>
      </c>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Independent retailer; Core relevant category</t>
        </is>
      </c>
      <c r="X232" s="5" t="inlineStr">
        <is>
          <t>Not Found</t>
        </is>
      </c>
      <c r="Y232" s="5" t="inlineStr">
        <is>
          <t>Not Found</t>
        </is>
      </c>
      <c r="Z232" s="5" t="inlineStr">
        <is>
          <t>Low</t>
        </is>
      </c>
      <c r="AA232" s="5" t="inlineStr">
        <is>
          <t>Requires Verification</t>
        </is>
      </c>
      <c r="AB232" s="5" t="inlineStr">
        <is>
          <t>https://acocks-green.cylex-uk.co.uk/company/ultimate-vapes-acocks-green-28300869.html</t>
        </is>
      </c>
    </row>
    <row r="233">
      <c r="A233" s="10" t="inlineStr">
        <is>
          <t>UK-000831</t>
        </is>
      </c>
      <c r="B233" s="10" t="inlineStr">
        <is>
          <t>UK-000831-01</t>
        </is>
      </c>
      <c r="C233" s="10" t="inlineStr"/>
      <c r="D233" s="10" t="inlineStr">
        <is>
          <t>Unique Vaper</t>
        </is>
      </c>
      <c r="E233" s="10" t="inlineStr">
        <is>
          <t>Vape Shop</t>
        </is>
      </c>
      <c r="F233" s="10" t="inlineStr">
        <is>
          <t>Vape &amp; e-liquid retailer</t>
        </is>
      </c>
      <c r="G233" s="10" t="inlineStr">
        <is>
          <t>Independent</t>
        </is>
      </c>
      <c r="H233" s="10" t="inlineStr">
        <is>
          <t>1</t>
        </is>
      </c>
      <c r="I233" s="10" t="inlineStr">
        <is>
          <t>522 Stanley Road</t>
        </is>
      </c>
      <c r="J233" s="10" t="inlineStr">
        <is>
          <t>Bootle</t>
        </is>
      </c>
      <c r="K233" s="10" t="inlineStr">
        <is>
          <t>L20 5DW</t>
        </is>
      </c>
      <c r="L233" s="10" t="inlineStr">
        <is>
          <t>07732 381513</t>
        </is>
      </c>
      <c r="M233" s="10" t="inlineStr"/>
      <c r="N233" s="10" t="inlineStr"/>
      <c r="O233" s="10" t="inlineStr"/>
      <c r="P233" s="10" t="inlineStr"/>
      <c r="Q233" s="10" t="inlineStr"/>
      <c r="R233" s="10" t="inlineStr"/>
      <c r="S233" s="10" t="inlineStr"/>
      <c r="T233" s="10" t="inlineStr"/>
      <c r="U233" s="10" t="inlineStr"/>
      <c r="V233" s="10" t="inlineStr">
        <is>
          <t>Medium</t>
        </is>
      </c>
      <c r="W233" s="10" t="inlineStr">
        <is>
          <t>Independent retailer; Core relevant category</t>
        </is>
      </c>
      <c r="X233" s="10" t="inlineStr">
        <is>
          <t>Verified directory</t>
        </is>
      </c>
      <c r="Y233" s="10" t="inlineStr">
        <is>
          <t>Not Found</t>
        </is>
      </c>
      <c r="Z233" s="10" t="inlineStr">
        <is>
          <t>Low</t>
        </is>
      </c>
      <c r="AA233" s="10" t="inlineStr">
        <is>
          <t>Requires Verification</t>
        </is>
      </c>
      <c r="AB233" s="10" t="inlineStr">
        <is>
          <t>https://bootle-merseyside.cylex-uk.co.uk/vape-shops/</t>
        </is>
      </c>
    </row>
    <row r="234">
      <c r="A234" s="5" t="inlineStr">
        <is>
          <t>WY-0171</t>
        </is>
      </c>
      <c r="B234" s="5" t="inlineStr">
        <is>
          <t>WY-0171-01</t>
        </is>
      </c>
      <c r="C234" s="5" t="inlineStr"/>
      <c r="D234" s="5" t="inlineStr">
        <is>
          <t>VAPE (Heckmondwike)</t>
        </is>
      </c>
      <c r="E234" s="5" t="inlineStr">
        <is>
          <t>Vape Shop</t>
        </is>
      </c>
      <c r="F234" s="5" t="inlineStr">
        <is>
          <t>Vape retailer</t>
        </is>
      </c>
      <c r="G234" s="5" t="inlineStr">
        <is>
          <t>Independent</t>
        </is>
      </c>
      <c r="H234" s="5" t="inlineStr">
        <is>
          <t>1</t>
        </is>
      </c>
      <c r="I234" s="5" t="inlineStr">
        <is>
          <t>36 Market Street</t>
        </is>
      </c>
      <c r="J234" s="5" t="inlineStr">
        <is>
          <t>Heckmondwike</t>
        </is>
      </c>
      <c r="K234" s="5" t="inlineStr">
        <is>
          <t>WF16 0JG</t>
        </is>
      </c>
      <c r="L234" s="5" t="inlineStr">
        <is>
          <t>01924 650140</t>
        </is>
      </c>
      <c r="M234" s="5" t="inlineStr"/>
      <c r="N234" s="5" t="inlineStr"/>
      <c r="O234" s="5" t="inlineStr"/>
      <c r="P234" s="5" t="inlineStr"/>
      <c r="Q234" s="5" t="inlineStr"/>
      <c r="R234" s="5" t="inlineStr"/>
      <c r="S234" s="5" t="inlineStr"/>
      <c r="T234" s="5" t="inlineStr"/>
      <c r="U234" s="5" t="inlineStr"/>
      <c r="V234" s="5" t="inlineStr">
        <is>
          <t>Medium</t>
        </is>
      </c>
      <c r="W234" s="5" t="inlineStr">
        <is>
          <t>Independent retailer; Core relevant category</t>
        </is>
      </c>
      <c r="X234" s="5" t="inlineStr">
        <is>
          <t>Verified directory</t>
        </is>
      </c>
      <c r="Y234" s="5" t="inlineStr">
        <is>
          <t>Not Found</t>
        </is>
      </c>
      <c r="Z234" s="5" t="inlineStr">
        <is>
          <t>Medium</t>
        </is>
      </c>
      <c r="AA234" s="5" t="inlineStr">
        <is>
          <t>Requires Verification</t>
        </is>
      </c>
      <c r="AB234" s="5" t="inlineStr">
        <is>
          <t>https://ecigdirectory.co.uk/vape-shop/listing/vape-heckmondwike</t>
        </is>
      </c>
    </row>
    <row r="235">
      <c r="A235" s="10" t="inlineStr">
        <is>
          <t>UK-000673</t>
        </is>
      </c>
      <c r="B235" s="10" t="inlineStr">
        <is>
          <t>UK-000673-01</t>
        </is>
      </c>
      <c r="C235" s="10" t="inlineStr"/>
      <c r="D235" s="10" t="inlineStr">
        <is>
          <t>VAPE BAR (Paddington)</t>
        </is>
      </c>
      <c r="E235" s="10" t="inlineStr">
        <is>
          <t>Vape Shop</t>
        </is>
      </c>
      <c r="F235" s="10" t="inlineStr">
        <is>
          <t>Vape hardware &amp; e-liquids</t>
        </is>
      </c>
      <c r="G235" s="10" t="inlineStr">
        <is>
          <t>Independent</t>
        </is>
      </c>
      <c r="H235" s="10" t="inlineStr">
        <is>
          <t>1</t>
        </is>
      </c>
      <c r="I235" s="10" t="inlineStr">
        <is>
          <t>185 Edgware Road</t>
        </is>
      </c>
      <c r="J235" s="10" t="inlineStr">
        <is>
          <t>London</t>
        </is>
      </c>
      <c r="K235" s="10" t="inlineStr">
        <is>
          <t>W2 1ET</t>
        </is>
      </c>
      <c r="L235" s="10" t="inlineStr">
        <is>
          <t>07727 485503</t>
        </is>
      </c>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Verified directory</t>
        </is>
      </c>
      <c r="Y235" s="10" t="inlineStr">
        <is>
          <t>Not Found</t>
        </is>
      </c>
      <c r="Z235" s="10" t="inlineStr">
        <is>
          <t>Medium</t>
        </is>
      </c>
      <c r="AA235" s="10" t="inlineStr">
        <is>
          <t>Requires Verification</t>
        </is>
      </c>
      <c r="AB235" s="10" t="inlineStr">
        <is>
          <t>https://london.cylex-uk.co.uk/company/vape-bar-28775714.html</t>
        </is>
      </c>
    </row>
    <row r="236">
      <c r="A236" s="5" t="inlineStr">
        <is>
          <t>UK-000398</t>
        </is>
      </c>
      <c r="B236" s="5" t="inlineStr">
        <is>
          <t>UK-000398-01</t>
        </is>
      </c>
      <c r="C236" s="5" t="inlineStr"/>
      <c r="D236" s="5" t="inlineStr">
        <is>
          <t>VAPE CITI (Mount Street, Manchester)</t>
        </is>
      </c>
      <c r="E236" s="5" t="inlineStr">
        <is>
          <t>Vape Shop</t>
        </is>
      </c>
      <c r="F236" s="5" t="inlineStr">
        <is>
          <t>Vape hardware, e-liquids &amp; disposables</t>
        </is>
      </c>
      <c r="G236" s="5" t="inlineStr">
        <is>
          <t>Independent</t>
        </is>
      </c>
      <c r="H236" s="5" t="inlineStr">
        <is>
          <t>1</t>
        </is>
      </c>
      <c r="I236" s="5" t="inlineStr">
        <is>
          <t>10-12 Mount Street</t>
        </is>
      </c>
      <c r="J236" s="5" t="inlineStr">
        <is>
          <t>Manchester</t>
        </is>
      </c>
      <c r="K236" s="5" t="inlineStr">
        <is>
          <t>M2 5NT</t>
        </is>
      </c>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Not Found</t>
        </is>
      </c>
      <c r="Y236" s="5" t="inlineStr">
        <is>
          <t>Not Found</t>
        </is>
      </c>
      <c r="Z236" s="5" t="inlineStr">
        <is>
          <t>Low</t>
        </is>
      </c>
      <c r="AA236" s="5" t="inlineStr">
        <is>
          <t>Requires Verification</t>
        </is>
      </c>
      <c r="AB236" s="5" t="inlineStr">
        <is>
          <t>https://ecigdirectory.co.uk/vape-shop/listing/vape-citi-oxford-street-manchester</t>
        </is>
      </c>
    </row>
    <row r="237">
      <c r="A237" s="10" t="inlineStr">
        <is>
          <t>UK-000531</t>
        </is>
      </c>
      <c r="B237" s="10" t="inlineStr">
        <is>
          <t>UK-000531-01</t>
        </is>
      </c>
      <c r="C237" s="10" t="inlineStr"/>
      <c r="D237" s="10" t="inlineStr">
        <is>
          <t>VVAPES</t>
        </is>
      </c>
      <c r="E237" s="10" t="inlineStr">
        <is>
          <t>Vape Shop</t>
        </is>
      </c>
      <c r="F237" s="10" t="inlineStr">
        <is>
          <t>Vape hardware and e-liquid retailer</t>
        </is>
      </c>
      <c r="G237" s="10" t="inlineStr">
        <is>
          <t>Independent</t>
        </is>
      </c>
      <c r="H237" s="10" t="inlineStr">
        <is>
          <t>1</t>
        </is>
      </c>
      <c r="I237" s="10" t="inlineStr">
        <is>
          <t>23 Central Square</t>
        </is>
      </c>
      <c r="J237" s="10" t="inlineStr">
        <is>
          <t>Birmingham</t>
        </is>
      </c>
      <c r="K237" s="10" t="inlineStr">
        <is>
          <t>B23 6RY</t>
        </is>
      </c>
      <c r="L237" s="10" t="inlineStr"/>
      <c r="M237" s="10" t="inlineStr">
        <is>
          <t>info@vvapes.co.uk</t>
        </is>
      </c>
      <c r="N237" s="10" t="inlineStr"/>
      <c r="O237" s="10" t="inlineStr">
        <is>
          <t>https://vvapes.co.uk/</t>
        </is>
      </c>
      <c r="P237" s="10" t="inlineStr"/>
      <c r="Q237" s="10" t="inlineStr"/>
      <c r="R237" s="10" t="inlineStr"/>
      <c r="S237" s="10" t="inlineStr"/>
      <c r="T237" s="10" t="inlineStr"/>
      <c r="U237" s="10" t="inlineStr"/>
      <c r="V237" s="10" t="inlineStr">
        <is>
          <t>Medium</t>
        </is>
      </c>
      <c r="W237" s="10" t="inlineStr">
        <is>
          <t>Independent retailer; Core relevant category; Public email available; Active website</t>
        </is>
      </c>
      <c r="X237" s="10" t="inlineStr">
        <is>
          <t>Not Found</t>
        </is>
      </c>
      <c r="Y237" s="10" t="inlineStr">
        <is>
          <t>Publicly Listed</t>
        </is>
      </c>
      <c r="Z237" s="10" t="inlineStr">
        <is>
          <t>Medium</t>
        </is>
      </c>
      <c r="AA237" s="10" t="inlineStr">
        <is>
          <t>Requires Verification</t>
        </is>
      </c>
      <c r="AB237" s="10" t="inlineStr">
        <is>
          <t>https://vvapes.co.uk/pages/contact-us</t>
        </is>
      </c>
    </row>
    <row r="238">
      <c r="A238" s="5" t="inlineStr">
        <is>
          <t>UK-000532</t>
        </is>
      </c>
      <c r="B238" s="5" t="inlineStr">
        <is>
          <t>UK-000532-01</t>
        </is>
      </c>
      <c r="C238" s="5" t="inlineStr"/>
      <c r="D238" s="5" t="inlineStr">
        <is>
          <t>Value Vapes</t>
        </is>
      </c>
      <c r="E238" s="5" t="inlineStr">
        <is>
          <t>Vape Shop</t>
        </is>
      </c>
      <c r="F238" s="5" t="inlineStr">
        <is>
          <t>Vape hardware and e-liquid retailer</t>
        </is>
      </c>
      <c r="G238" s="5" t="inlineStr">
        <is>
          <t>Independent</t>
        </is>
      </c>
      <c r="H238" s="5" t="inlineStr">
        <is>
          <t>1</t>
        </is>
      </c>
      <c r="I238" s="5" t="inlineStr">
        <is>
          <t>278 Vicarage Road</t>
        </is>
      </c>
      <c r="J238" s="5" t="inlineStr">
        <is>
          <t>Birmingham</t>
        </is>
      </c>
      <c r="K238" s="5" t="inlineStr">
        <is>
          <t>B14 7NH</t>
        </is>
      </c>
      <c r="L238" s="5" t="inlineStr"/>
      <c r="M238" s="5" t="inlineStr"/>
      <c r="N238" s="5" t="inlineStr"/>
      <c r="O238" s="5" t="inlineStr"/>
      <c r="P238" s="5" t="inlineStr"/>
      <c r="Q238" s="5" t="inlineStr"/>
      <c r="R238" s="5" t="inlineStr"/>
      <c r="S238" s="5" t="inlineStr"/>
      <c r="T238" s="5" t="inlineStr"/>
      <c r="U238" s="5" t="inlineStr"/>
      <c r="V238" s="5" t="inlineStr">
        <is>
          <t>Medium</t>
        </is>
      </c>
      <c r="W238" s="5" t="inlineStr">
        <is>
          <t>Independent retailer; Core relevant category</t>
        </is>
      </c>
      <c r="X238" s="5" t="inlineStr">
        <is>
          <t>Not Found</t>
        </is>
      </c>
      <c r="Y238" s="5" t="inlineStr">
        <is>
          <t>Not Found</t>
        </is>
      </c>
      <c r="Z238" s="5" t="inlineStr">
        <is>
          <t>Low</t>
        </is>
      </c>
      <c r="AA238" s="5" t="inlineStr">
        <is>
          <t>Requires Verification</t>
        </is>
      </c>
      <c r="AB238" s="5" t="inlineStr">
        <is>
          <t>https://www.yell.com/biz/value-vapes-birmingham-10450779/</t>
        </is>
      </c>
    </row>
    <row r="239">
      <c r="A239" s="10" t="inlineStr">
        <is>
          <t>UK-000399</t>
        </is>
      </c>
      <c r="B239" s="10" t="inlineStr">
        <is>
          <t>UK-000399-01</t>
        </is>
      </c>
      <c r="C239" s="10" t="inlineStr"/>
      <c r="D239" s="10" t="inlineStr">
        <is>
          <t>Vape &amp; Mobiles (Fallowfield, Manchester)</t>
        </is>
      </c>
      <c r="E239" s="10" t="inlineStr">
        <is>
          <t>Vape Shop</t>
        </is>
      </c>
      <c r="F239" s="10" t="inlineStr">
        <is>
          <t>Vape &amp; mobile phone accessories</t>
        </is>
      </c>
      <c r="G239" s="10" t="inlineStr">
        <is>
          <t>Independent</t>
        </is>
      </c>
      <c r="H239" s="10" t="inlineStr">
        <is>
          <t>1</t>
        </is>
      </c>
      <c r="I239" s="10" t="inlineStr">
        <is>
          <t>Sherwood Centre, 268 Wilmslow Road</t>
        </is>
      </c>
      <c r="J239" s="10" t="inlineStr">
        <is>
          <t>Manchester</t>
        </is>
      </c>
      <c r="K239" s="10" t="inlineStr">
        <is>
          <t>M14 6JR</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https://vape-mobiles.wheree.com/</t>
        </is>
      </c>
    </row>
    <row r="240">
      <c r="A240" s="5" t="inlineStr">
        <is>
          <t>UK-000400</t>
        </is>
      </c>
      <c r="B240" s="5" t="inlineStr">
        <is>
          <t>UK-000400-01</t>
        </is>
      </c>
      <c r="C240" s="5" t="inlineStr"/>
      <c r="D240" s="5" t="inlineStr">
        <is>
          <t>Vape 360 (Withington, Manchester)</t>
        </is>
      </c>
      <c r="E240" s="5" t="inlineStr">
        <is>
          <t>Vape Shop</t>
        </is>
      </c>
      <c r="F240" s="5" t="inlineStr">
        <is>
          <t>Vape hardware, e-liquids &amp; disposables</t>
        </is>
      </c>
      <c r="G240" s="5" t="inlineStr">
        <is>
          <t>Independent</t>
        </is>
      </c>
      <c r="H240" s="5" t="inlineStr">
        <is>
          <t>1</t>
        </is>
      </c>
      <c r="I240" s="5" t="inlineStr">
        <is>
          <t>488 Wilmslow Road</t>
        </is>
      </c>
      <c r="J240" s="5" t="inlineStr">
        <is>
          <t>Manchester</t>
        </is>
      </c>
      <c r="K240" s="5" t="inlineStr">
        <is>
          <t>M20 3BG</t>
        </is>
      </c>
      <c r="L240" s="5" t="inlineStr"/>
      <c r="M240" s="5" t="inlineStr"/>
      <c r="N240" s="5" t="inlineStr"/>
      <c r="O240" s="5" t="inlineStr"/>
      <c r="P240" s="5" t="inlineStr"/>
      <c r="Q240" s="5" t="inlineStr"/>
      <c r="R240" s="5" t="inlineStr"/>
      <c r="S240" s="5" t="inlineStr"/>
      <c r="T240" s="5" t="inlineStr"/>
      <c r="U240" s="5" t="inlineStr"/>
      <c r="V240" s="5" t="inlineStr">
        <is>
          <t>Medium</t>
        </is>
      </c>
      <c r="W240" s="5" t="inlineStr">
        <is>
          <t>Independent retailer; Core relevant category</t>
        </is>
      </c>
      <c r="X240" s="5" t="inlineStr">
        <is>
          <t>Not Found</t>
        </is>
      </c>
      <c r="Y240" s="5" t="inlineStr">
        <is>
          <t>Not Found</t>
        </is>
      </c>
      <c r="Z240" s="5" t="inlineStr">
        <is>
          <t>Low</t>
        </is>
      </c>
      <c r="AA240" s="5" t="inlineStr">
        <is>
          <t>Requires Verification</t>
        </is>
      </c>
      <c r="AB240" s="5" t="inlineStr">
        <is>
          <t>https://manchester.cylex-uk.co.uk/company/vape-360-withington-manchester-28423693.html</t>
        </is>
      </c>
    </row>
    <row r="241">
      <c r="A241" s="10" t="inlineStr">
        <is>
          <t>UK-000533</t>
        </is>
      </c>
      <c r="B241" s="10" t="inlineStr">
        <is>
          <t>UK-000533-01</t>
        </is>
      </c>
      <c r="C241" s="10" t="inlineStr"/>
      <c r="D241" s="10" t="inlineStr">
        <is>
          <t>Vape Bar Brierley Hill</t>
        </is>
      </c>
      <c r="E241" s="10" t="inlineStr">
        <is>
          <t>Vape Shop</t>
        </is>
      </c>
      <c r="F241" s="10" t="inlineStr">
        <is>
          <t>Alternative smoking equipment &amp; vapes</t>
        </is>
      </c>
      <c r="G241" s="10" t="inlineStr">
        <is>
          <t>Independent</t>
        </is>
      </c>
      <c r="H241" s="10" t="inlineStr">
        <is>
          <t>1</t>
        </is>
      </c>
      <c r="I241" s="10" t="inlineStr"/>
      <c r="J241" s="10" t="inlineStr">
        <is>
          <t>Brierley Hill</t>
        </is>
      </c>
      <c r="K241" s="10" t="inlineStr"/>
      <c r="L241" s="10" t="inlineStr"/>
      <c r="M241" s="10" t="inlineStr"/>
      <c r="N241" s="10" t="inlineStr"/>
      <c r="O241" s="10" t="inlineStr"/>
      <c r="P241" s="10" t="inlineStr">
        <is>
          <t>https://www.facebook.com/Vapebarbrierleyhill/</t>
        </is>
      </c>
      <c r="Q241" s="10" t="inlineStr"/>
      <c r="R241" s="10" t="inlineStr"/>
      <c r="S241" s="10" t="inlineStr"/>
      <c r="T241" s="10" t="inlineStr"/>
      <c r="U241" s="10" t="inlineStr"/>
      <c r="V241" s="10" t="inlineStr">
        <is>
          <t>Medium</t>
        </is>
      </c>
      <c r="W241" s="10" t="inlineStr">
        <is>
          <t>Independent retailer; Core relevant category; Social presence</t>
        </is>
      </c>
      <c r="X241" s="10" t="inlineStr">
        <is>
          <t>Not Found</t>
        </is>
      </c>
      <c r="Y241" s="10" t="inlineStr">
        <is>
          <t>Not Found</t>
        </is>
      </c>
      <c r="Z241" s="10" t="inlineStr">
        <is>
          <t>Low</t>
        </is>
      </c>
      <c r="AA241" s="10" t="inlineStr">
        <is>
          <t>Requires Verification</t>
        </is>
      </c>
      <c r="AB241" s="10" t="inlineStr">
        <is>
          <t>https://www.facebook.com/Vapebarbrierleyhill/</t>
        </is>
      </c>
    </row>
    <row r="242">
      <c r="A242" s="5" t="inlineStr">
        <is>
          <t>UK-000401</t>
        </is>
      </c>
      <c r="B242" s="5" t="inlineStr">
        <is>
          <t>UK-000401-01</t>
        </is>
      </c>
      <c r="C242" s="5" t="inlineStr"/>
      <c r="D242" s="5" t="inlineStr">
        <is>
          <t>Vape Bar Wigan</t>
        </is>
      </c>
      <c r="E242" s="5" t="inlineStr">
        <is>
          <t>Vape Shop</t>
        </is>
      </c>
      <c r="F242" s="5" t="inlineStr"/>
      <c r="G242" s="5" t="inlineStr">
        <is>
          <t>Independent</t>
        </is>
      </c>
      <c r="H242" s="5" t="inlineStr">
        <is>
          <t>1</t>
        </is>
      </c>
      <c r="I242" s="5" t="inlineStr">
        <is>
          <t>22 Wall Gate</t>
        </is>
      </c>
      <c r="J242" s="5" t="inlineStr">
        <is>
          <t>Wigan</t>
        </is>
      </c>
      <c r="K242" s="5" t="inlineStr"/>
      <c r="L242" s="5" t="inlineStr">
        <is>
          <t>07752 465566</t>
        </is>
      </c>
      <c r="M242" s="5" t="inlineStr"/>
      <c r="N242" s="5" t="inlineStr"/>
      <c r="O242" s="5" t="inlineStr"/>
      <c r="P242" s="5" t="inlineStr">
        <is>
          <t>https://www.facebook.com/vapebarwigan/</t>
        </is>
      </c>
      <c r="Q242" s="5" t="inlineStr"/>
      <c r="R242" s="5" t="inlineStr"/>
      <c r="S242" s="5" t="inlineStr"/>
      <c r="T242" s="5" t="inlineStr"/>
      <c r="U242" s="5" t="inlineStr"/>
      <c r="V242" s="5" t="inlineStr">
        <is>
          <t>Medium</t>
        </is>
      </c>
      <c r="W242" s="5" t="inlineStr">
        <is>
          <t>Independent retailer; Core relevant category; Social presence</t>
        </is>
      </c>
      <c r="X242" s="5" t="inlineStr">
        <is>
          <t>Verified directory</t>
        </is>
      </c>
      <c r="Y242" s="5" t="inlineStr">
        <is>
          <t>Not Found</t>
        </is>
      </c>
      <c r="Z242" s="5" t="inlineStr">
        <is>
          <t>Low</t>
        </is>
      </c>
      <c r="AA242" s="5" t="inlineStr">
        <is>
          <t>Requires Verification</t>
        </is>
      </c>
      <c r="AB242" s="5" t="inlineStr">
        <is>
          <t>https://www.facebook.com/vapebarwigan/</t>
        </is>
      </c>
    </row>
    <row r="243">
      <c r="A243" s="10" t="inlineStr">
        <is>
          <t>UK-000402</t>
        </is>
      </c>
      <c r="B243" s="10" t="inlineStr">
        <is>
          <t>UK-000402-01</t>
        </is>
      </c>
      <c r="C243" s="10" t="inlineStr"/>
      <c r="D243" s="10" t="inlineStr">
        <is>
          <t>Vape Citi Bury</t>
        </is>
      </c>
      <c r="E243" s="10" t="inlineStr">
        <is>
          <t>Vape Shop</t>
        </is>
      </c>
      <c r="F243" s="10" t="inlineStr"/>
      <c r="G243" s="10" t="inlineStr">
        <is>
          <t>Independent</t>
        </is>
      </c>
      <c r="H243" s="10" t="inlineStr">
        <is>
          <t>1</t>
        </is>
      </c>
      <c r="I243" s="10" t="inlineStr">
        <is>
          <t>5 Market Street</t>
        </is>
      </c>
      <c r="J243" s="10" t="inlineStr">
        <is>
          <t>Bury</t>
        </is>
      </c>
      <c r="K243" s="10" t="inlineStr">
        <is>
          <t>BL9 0BL</t>
        </is>
      </c>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Independent retailer; Core relevant category</t>
        </is>
      </c>
      <c r="X243" s="10" t="inlineStr">
        <is>
          <t>Not Found</t>
        </is>
      </c>
      <c r="Y243" s="10" t="inlineStr">
        <is>
          <t>Not Found</t>
        </is>
      </c>
      <c r="Z243" s="10" t="inlineStr">
        <is>
          <t>Low</t>
        </is>
      </c>
      <c r="AA243" s="10" t="inlineStr">
        <is>
          <t>Requires Verification</t>
        </is>
      </c>
      <c r="AB243" s="10" t="inlineStr">
        <is>
          <t>https://ecigdirectory.co.uk/vape-shop/listing/vape-citi-bury</t>
        </is>
      </c>
    </row>
    <row r="244">
      <c r="A244" s="5" t="inlineStr">
        <is>
          <t>WY-0172</t>
        </is>
      </c>
      <c r="B244" s="5" t="inlineStr">
        <is>
          <t>WY-0172-01</t>
        </is>
      </c>
      <c r="C244" s="5" t="inlineStr"/>
      <c r="D244" s="5" t="inlineStr">
        <is>
          <t>Vape Dream</t>
        </is>
      </c>
      <c r="E244" s="5" t="inlineStr">
        <is>
          <t>Vape Shop</t>
        </is>
      </c>
      <c r="F244" s="5" t="inlineStr">
        <is>
          <t>Vape retailer</t>
        </is>
      </c>
      <c r="G244" s="5" t="inlineStr">
        <is>
          <t>Independent</t>
        </is>
      </c>
      <c r="H244" s="5" t="inlineStr">
        <is>
          <t>1</t>
        </is>
      </c>
      <c r="I244" s="5" t="inlineStr"/>
      <c r="J244" s="5" t="inlineStr">
        <is>
          <t>Dewsbury</t>
        </is>
      </c>
      <c r="K244" s="5" t="inlineStr"/>
      <c r="L244" s="5" t="inlineStr"/>
      <c r="M244" s="5" t="inlineStr"/>
      <c r="N244" s="5" t="inlineStr"/>
      <c r="O244" s="5" t="inlineStr"/>
      <c r="P244" s="5" t="inlineStr">
        <is>
          <t>https://www.facebook.com/p/Vape-Dream-Vape-Shop-61558567906935/</t>
        </is>
      </c>
      <c r="Q244" s="5" t="inlineStr"/>
      <c r="R244" s="5" t="inlineStr"/>
      <c r="S244" s="5" t="inlineStr"/>
      <c r="T244" s="5" t="inlineStr"/>
      <c r="U244" s="5" t="inlineStr"/>
      <c r="V244" s="5" t="inlineStr">
        <is>
          <t>Medium</t>
        </is>
      </c>
      <c r="W244" s="5" t="inlineStr">
        <is>
          <t>Independent retailer; Core relevant category; Social presence</t>
        </is>
      </c>
      <c r="X244" s="5" t="inlineStr">
        <is>
          <t>Not Found</t>
        </is>
      </c>
      <c r="Y244" s="5" t="inlineStr">
        <is>
          <t>Not Found</t>
        </is>
      </c>
      <c r="Z244" s="5" t="inlineStr">
        <is>
          <t>Low</t>
        </is>
      </c>
      <c r="AA244" s="5" t="inlineStr">
        <is>
          <t>Requires Verification</t>
        </is>
      </c>
      <c r="AB244" s="5" t="inlineStr">
        <is>
          <t>https://www.facebook.com/p/Vape-Dream-Vape-Shop-61558567906935/</t>
        </is>
      </c>
    </row>
    <row r="245">
      <c r="A245" s="10" t="inlineStr">
        <is>
          <t>UK-000288</t>
        </is>
      </c>
      <c r="B245" s="10" t="inlineStr">
        <is>
          <t>UK-000288-01</t>
        </is>
      </c>
      <c r="C245" s="10" t="inlineStr"/>
      <c r="D245" s="10" t="inlineStr">
        <is>
          <t>Vape HQ Stocksbridge</t>
        </is>
      </c>
      <c r="E245" s="10" t="inlineStr">
        <is>
          <t>Vape Shop</t>
        </is>
      </c>
      <c r="F245" s="10" t="inlineStr">
        <is>
          <t>Vape shop</t>
        </is>
      </c>
      <c r="G245" s="10" t="inlineStr">
        <is>
          <t>Independent</t>
        </is>
      </c>
      <c r="H245" s="10" t="inlineStr">
        <is>
          <t>1</t>
        </is>
      </c>
      <c r="I245" s="10" t="inlineStr"/>
      <c r="J245" s="10" t="inlineStr">
        <is>
          <t>Sheffield</t>
        </is>
      </c>
      <c r="K245" s="10" t="inlineStr"/>
      <c r="L245" s="10" t="inlineStr"/>
      <c r="M245" s="10" t="inlineStr"/>
      <c r="N245" s="10" t="inlineStr"/>
      <c r="O245" s="10" t="inlineStr"/>
      <c r="P245" s="10" t="inlineStr">
        <is>
          <t>https://www.facebook.com/VHQStocksbridge/</t>
        </is>
      </c>
      <c r="Q245" s="10" t="inlineStr"/>
      <c r="R245" s="10" t="inlineStr"/>
      <c r="S245" s="10" t="inlineStr"/>
      <c r="T245" s="10" t="inlineStr"/>
      <c r="U245" s="10" t="inlineStr"/>
      <c r="V245" s="10" t="inlineStr">
        <is>
          <t>Medium</t>
        </is>
      </c>
      <c r="W245" s="10" t="inlineStr">
        <is>
          <t>Independent retailer; Core relevant category; Social presence</t>
        </is>
      </c>
      <c r="X245" s="10" t="inlineStr">
        <is>
          <t>Not Found</t>
        </is>
      </c>
      <c r="Y245" s="10" t="inlineStr">
        <is>
          <t>Not Found</t>
        </is>
      </c>
      <c r="Z245" s="10" t="inlineStr">
        <is>
          <t>Low</t>
        </is>
      </c>
      <c r="AA245" s="10" t="inlineStr">
        <is>
          <t>Requires Verification</t>
        </is>
      </c>
      <c r="AB245" s="10" t="inlineStr">
        <is>
          <t>https://www.facebook.com/VHQStocksbridge/</t>
        </is>
      </c>
    </row>
    <row r="246">
      <c r="A246" s="5" t="inlineStr">
        <is>
          <t>UK-000403</t>
        </is>
      </c>
      <c r="B246" s="5" t="inlineStr">
        <is>
          <t>UK-000403-01</t>
        </is>
      </c>
      <c r="C246" s="5" t="inlineStr"/>
      <c r="D246" s="5" t="inlineStr">
        <is>
          <t>Vape Huts</t>
        </is>
      </c>
      <c r="E246" s="5" t="inlineStr">
        <is>
          <t>Vape Shop</t>
        </is>
      </c>
      <c r="F246" s="5" t="inlineStr"/>
      <c r="G246" s="5" t="inlineStr">
        <is>
          <t>Independent</t>
        </is>
      </c>
      <c r="H246" s="5" t="inlineStr">
        <is>
          <t>1</t>
        </is>
      </c>
      <c r="I246" s="5" t="inlineStr">
        <is>
          <t>451-453 Broadway</t>
        </is>
      </c>
      <c r="J246" s="5" t="inlineStr">
        <is>
          <t>Chadderton</t>
        </is>
      </c>
      <c r="K246" s="5" t="inlineStr">
        <is>
          <t>OL9 8AP</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https://vapeshops.puffingbird.com/england/oldham</t>
        </is>
      </c>
    </row>
    <row r="247">
      <c r="A247" s="10" t="inlineStr">
        <is>
          <t>UK-000674</t>
        </is>
      </c>
      <c r="B247" s="10" t="inlineStr">
        <is>
          <t>UK-000674-01</t>
        </is>
      </c>
      <c r="C247" s="10" t="inlineStr"/>
      <c r="D247" s="10" t="inlineStr">
        <is>
          <t>Vape Inc</t>
        </is>
      </c>
      <c r="E247" s="10" t="inlineStr">
        <is>
          <t>Vape Shop</t>
        </is>
      </c>
      <c r="F247" s="10" t="inlineStr">
        <is>
          <t>Vape hardware, e-liquids &amp; disposables</t>
        </is>
      </c>
      <c r="G247" s="10" t="inlineStr">
        <is>
          <t>Independent</t>
        </is>
      </c>
      <c r="H247" s="10" t="inlineStr">
        <is>
          <t>1</t>
        </is>
      </c>
      <c r="I247" s="10" t="inlineStr">
        <is>
          <t>74 Hoe Street</t>
        </is>
      </c>
      <c r="J247" s="10" t="inlineStr">
        <is>
          <t>Walthamstow</t>
        </is>
      </c>
      <c r="K247" s="10" t="inlineStr">
        <is>
          <t>E17 4PG</t>
        </is>
      </c>
      <c r="L247" s="10" t="inlineStr">
        <is>
          <t>020 8521 9004</t>
        </is>
      </c>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Verified directory</t>
        </is>
      </c>
      <c r="Y247" s="10" t="inlineStr">
        <is>
          <t>Not Found</t>
        </is>
      </c>
      <c r="Z247" s="10" t="inlineStr">
        <is>
          <t>Medium</t>
        </is>
      </c>
      <c r="AA247" s="10" t="inlineStr">
        <is>
          <t>Requires Verification</t>
        </is>
      </c>
      <c r="AB247" s="10" t="inlineStr">
        <is>
          <t>https://www.yelp.co.uk/biz/vape-inc-walthamstow</t>
        </is>
      </c>
    </row>
    <row r="248">
      <c r="A248" s="5" t="inlineStr">
        <is>
          <t>UK-000534</t>
        </is>
      </c>
      <c r="B248" s="5" t="inlineStr">
        <is>
          <t>UK-000534-01</t>
        </is>
      </c>
      <c r="C248" s="5" t="inlineStr"/>
      <c r="D248" s="5" t="inlineStr">
        <is>
          <t>Vape Inn Ltd</t>
        </is>
      </c>
      <c r="E248" s="5" t="inlineStr">
        <is>
          <t>Vape Shop</t>
        </is>
      </c>
      <c r="F248" s="5" t="inlineStr">
        <is>
          <t>Vape kits, e-liquids &amp; accessories</t>
        </is>
      </c>
      <c r="G248" s="5" t="inlineStr">
        <is>
          <t>Independent</t>
        </is>
      </c>
      <c r="H248" s="5" t="inlineStr">
        <is>
          <t>1</t>
        </is>
      </c>
      <c r="I248" s="5" t="inlineStr"/>
      <c r="J248" s="5" t="inlineStr">
        <is>
          <t>Wednesbury</t>
        </is>
      </c>
      <c r="K248" s="5" t="inlineStr"/>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Not Found</t>
        </is>
      </c>
      <c r="Y248" s="5" t="inlineStr">
        <is>
          <t>Not Found</t>
        </is>
      </c>
      <c r="Z248" s="5" t="inlineStr">
        <is>
          <t>Low</t>
        </is>
      </c>
      <c r="AA248" s="5" t="inlineStr">
        <is>
          <t>Requires Verification</t>
        </is>
      </c>
      <c r="AB248" s="5" t="inlineStr">
        <is>
          <t>https://www.yell.com/s/vape+shops-wednesbury.html</t>
        </is>
      </c>
    </row>
    <row r="249">
      <c r="A249" s="10" t="inlineStr">
        <is>
          <t>UK-000675</t>
        </is>
      </c>
      <c r="B249" s="10" t="inlineStr">
        <is>
          <t>UK-000675-01</t>
        </is>
      </c>
      <c r="C249" s="10" t="inlineStr"/>
      <c r="D249" s="10" t="inlineStr">
        <is>
          <t>Vape Island Ltd</t>
        </is>
      </c>
      <c r="E249" s="10" t="inlineStr">
        <is>
          <t>Vape Shop</t>
        </is>
      </c>
      <c r="F249" s="10" t="inlineStr">
        <is>
          <t>Vape hardware &amp; e-liquids</t>
        </is>
      </c>
      <c r="G249" s="10" t="inlineStr">
        <is>
          <t>Independent</t>
        </is>
      </c>
      <c r="H249" s="10" t="inlineStr">
        <is>
          <t>1</t>
        </is>
      </c>
      <c r="I249" s="10" t="inlineStr">
        <is>
          <t>26 Green Street</t>
        </is>
      </c>
      <c r="J249" s="10" t="inlineStr">
        <is>
          <t>Forest Gate</t>
        </is>
      </c>
      <c r="K249" s="10" t="inlineStr">
        <is>
          <t>E7 8BZ</t>
        </is>
      </c>
      <c r="L249" s="10" t="inlineStr"/>
      <c r="M249" s="10" t="inlineStr"/>
      <c r="N249" s="10" t="inlineStr"/>
      <c r="O249" s="10" t="inlineStr"/>
      <c r="P249" s="10" t="inlineStr"/>
      <c r="Q249" s="10" t="inlineStr"/>
      <c r="R249" s="10" t="inlineStr"/>
      <c r="S249" s="10" t="inlineStr"/>
      <c r="T249" s="10" t="inlineStr"/>
      <c r="U249" s="10" t="inlineStr"/>
      <c r="V249" s="10" t="inlineStr">
        <is>
          <t>Medium</t>
        </is>
      </c>
      <c r="W249" s="10" t="inlineStr">
        <is>
          <t>Independent retailer; Core relevant category</t>
        </is>
      </c>
      <c r="X249" s="10" t="inlineStr">
        <is>
          <t>Not Found</t>
        </is>
      </c>
      <c r="Y249" s="10" t="inlineStr">
        <is>
          <t>Not Found</t>
        </is>
      </c>
      <c r="Z249" s="10" t="inlineStr">
        <is>
          <t>Low</t>
        </is>
      </c>
      <c r="AA249" s="10" t="inlineStr">
        <is>
          <t>Requires Verification</t>
        </is>
      </c>
      <c r="AB249" s="10" t="inlineStr">
        <is>
          <t>https://www.yell.com/s/vape+shops-stratford-east+london.html</t>
        </is>
      </c>
    </row>
    <row r="250">
      <c r="A250" s="5" t="inlineStr">
        <is>
          <t>UK-000832</t>
        </is>
      </c>
      <c r="B250" s="5" t="inlineStr">
        <is>
          <t>UK-000832-01</t>
        </is>
      </c>
      <c r="C250" s="5" t="inlineStr"/>
      <c r="D250" s="5" t="inlineStr">
        <is>
          <t>Vape Kingdom UK</t>
        </is>
      </c>
      <c r="E250" s="5" t="inlineStr">
        <is>
          <t>Vape Shop</t>
        </is>
      </c>
      <c r="F250" s="5" t="inlineStr">
        <is>
          <t>Vape shop / tobacconist</t>
        </is>
      </c>
      <c r="G250" s="5" t="inlineStr">
        <is>
          <t>Independent</t>
        </is>
      </c>
      <c r="H250" s="5" t="inlineStr">
        <is>
          <t>1</t>
        </is>
      </c>
      <c r="I250" s="5" t="inlineStr">
        <is>
          <t>7 Westfield Street</t>
        </is>
      </c>
      <c r="J250" s="5" t="inlineStr">
        <is>
          <t>St Helens</t>
        </is>
      </c>
      <c r="K250" s="5" t="inlineStr">
        <is>
          <t>WA10 1QA</t>
        </is>
      </c>
      <c r="L250" s="5" t="inlineStr">
        <is>
          <t>07910 552233</t>
        </is>
      </c>
      <c r="M250" s="5" t="inlineStr"/>
      <c r="N250" s="5" t="inlineStr"/>
      <c r="O250" s="5" t="inlineStr"/>
      <c r="P250" s="5" t="inlineStr">
        <is>
          <t>https://www.facebook.com/vapekingdomuk/</t>
        </is>
      </c>
      <c r="Q250" s="5" t="inlineStr"/>
      <c r="R250" s="5" t="inlineStr"/>
      <c r="S250" s="5" t="inlineStr"/>
      <c r="T250" s="5" t="inlineStr">
        <is>
          <t>11667721</t>
        </is>
      </c>
      <c r="U250" s="5" t="inlineStr">
        <is>
          <t>Active</t>
        </is>
      </c>
      <c r="V250" s="5" t="inlineStr">
        <is>
          <t>Medium</t>
        </is>
      </c>
      <c r="W250" s="5" t="inlineStr">
        <is>
          <t>Independent retailer; Core relevant category; Social presence</t>
        </is>
      </c>
      <c r="X250" s="5" t="inlineStr">
        <is>
          <t>Verified directory</t>
        </is>
      </c>
      <c r="Y250" s="5" t="inlineStr">
        <is>
          <t>Not Found</t>
        </is>
      </c>
      <c r="Z250" s="5" t="inlineStr">
        <is>
          <t>High</t>
        </is>
      </c>
      <c r="AA250" s="5" t="inlineStr">
        <is>
          <t>Requires Verification</t>
        </is>
      </c>
      <c r="AB250" s="5" t="inlineStr">
        <is>
          <t>https://find-and-update.company-information.service.gov.uk/company/11667721</t>
        </is>
      </c>
    </row>
    <row r="251">
      <c r="A251" s="10" t="inlineStr">
        <is>
          <t>UK-000833</t>
        </is>
      </c>
      <c r="B251" s="10" t="inlineStr">
        <is>
          <t>UK-000833-01</t>
        </is>
      </c>
      <c r="C251" s="10" t="inlineStr"/>
      <c r="D251" s="10" t="inlineStr">
        <is>
          <t>Vape Made Easy</t>
        </is>
      </c>
      <c r="E251" s="10" t="inlineStr">
        <is>
          <t>Vape Shop</t>
        </is>
      </c>
      <c r="F251" s="10" t="inlineStr">
        <is>
          <t>E-cigarette shop</t>
        </is>
      </c>
      <c r="G251" s="10" t="inlineStr">
        <is>
          <t>Independent</t>
        </is>
      </c>
      <c r="H251" s="10" t="inlineStr">
        <is>
          <t>1</t>
        </is>
      </c>
      <c r="I251" s="10" t="inlineStr"/>
      <c r="J251" s="10" t="inlineStr">
        <is>
          <t>Glasgow</t>
        </is>
      </c>
      <c r="K251" s="10" t="inlineStr"/>
      <c r="L251" s="10" t="inlineStr"/>
      <c r="M251" s="10" t="inlineStr"/>
      <c r="N251" s="10" t="inlineStr"/>
      <c r="O251" s="10" t="inlineStr"/>
      <c r="P251" s="10" t="inlineStr"/>
      <c r="Q251" s="10" t="inlineStr"/>
      <c r="R251" s="10" t="inlineStr"/>
      <c r="S251" s="10" t="inlineStr"/>
      <c r="T251" s="10" t="inlineStr"/>
      <c r="U251" s="10" t="inlineStr"/>
      <c r="V251" s="10" t="inlineStr">
        <is>
          <t>Medium</t>
        </is>
      </c>
      <c r="W251" s="10" t="inlineStr">
        <is>
          <t>Independent retailer; Core relevant category</t>
        </is>
      </c>
      <c r="X251" s="10" t="inlineStr">
        <is>
          <t>Not Found</t>
        </is>
      </c>
      <c r="Y251" s="10" t="inlineStr">
        <is>
          <t>Not Found</t>
        </is>
      </c>
      <c r="Z251" s="10" t="inlineStr">
        <is>
          <t>Low</t>
        </is>
      </c>
      <c r="AA251" s="10" t="inlineStr">
        <is>
          <t>Requires Verification</t>
        </is>
      </c>
      <c r="AB251" s="10" t="inlineStr">
        <is>
          <t>https://www.yell.com/biz/vape-made-easy-glasgow-9257174/</t>
        </is>
      </c>
    </row>
    <row r="252">
      <c r="A252" s="5" t="inlineStr">
        <is>
          <t>UK-000404</t>
        </is>
      </c>
      <c r="B252" s="5" t="inlineStr">
        <is>
          <t>UK-000404-01</t>
        </is>
      </c>
      <c r="C252" s="5" t="inlineStr"/>
      <c r="D252" s="5" t="inlineStr">
        <is>
          <t>Vape Maze Westhoughton</t>
        </is>
      </c>
      <c r="E252" s="5" t="inlineStr">
        <is>
          <t>Vape Shop</t>
        </is>
      </c>
      <c r="F252" s="5" t="inlineStr"/>
      <c r="G252" s="5" t="inlineStr">
        <is>
          <t>Independent</t>
        </is>
      </c>
      <c r="H252" s="5" t="inlineStr">
        <is>
          <t>1</t>
        </is>
      </c>
      <c r="I252" s="5" t="inlineStr">
        <is>
          <t>13 Market Street</t>
        </is>
      </c>
      <c r="J252" s="5" t="inlineStr">
        <is>
          <t>Bolton</t>
        </is>
      </c>
      <c r="K252" s="5" t="inlineStr">
        <is>
          <t>BL5 3AH</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Not Found</t>
        </is>
      </c>
      <c r="Y252" s="5" t="inlineStr">
        <is>
          <t>Not Found</t>
        </is>
      </c>
      <c r="Z252" s="5" t="inlineStr">
        <is>
          <t>Low</t>
        </is>
      </c>
      <c r="AA252" s="5" t="inlineStr">
        <is>
          <t>Requires Verification</t>
        </is>
      </c>
      <c r="AB252" s="5" t="inlineStr">
        <is>
          <t>https://westhoughton.cylex-uk.co.uk/vape-shops/</t>
        </is>
      </c>
    </row>
    <row r="253">
      <c r="A253" s="10" t="inlineStr">
        <is>
          <t>UK-000405</t>
        </is>
      </c>
      <c r="B253" s="10" t="inlineStr">
        <is>
          <t>UK-000405-01</t>
        </is>
      </c>
      <c r="C253" s="10" t="inlineStr"/>
      <c r="D253" s="10" t="inlineStr">
        <is>
          <t>Vape My Day</t>
        </is>
      </c>
      <c r="E253" s="10" t="inlineStr">
        <is>
          <t>Vape Shop</t>
        </is>
      </c>
      <c r="F253" s="10" t="inlineStr"/>
      <c r="G253" s="10" t="inlineStr">
        <is>
          <t>Independent</t>
        </is>
      </c>
      <c r="H253" s="10" t="inlineStr">
        <is>
          <t>1</t>
        </is>
      </c>
      <c r="I253" s="10" t="inlineStr">
        <is>
          <t>95a Duchess Street</t>
        </is>
      </c>
      <c r="J253" s="10" t="inlineStr">
        <is>
          <t>Shaw</t>
        </is>
      </c>
      <c r="K253" s="10" t="inlineStr">
        <is>
          <t>OL2 7XD</t>
        </is>
      </c>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Not Found</t>
        </is>
      </c>
      <c r="Y253" s="10" t="inlineStr">
        <is>
          <t>Not Found</t>
        </is>
      </c>
      <c r="Z253" s="10" t="inlineStr">
        <is>
          <t>Low</t>
        </is>
      </c>
      <c r="AA253" s="10" t="inlineStr">
        <is>
          <t>Requires Verification</t>
        </is>
      </c>
      <c r="AB253" s="10" t="inlineStr">
        <is>
          <t>https://ecigdirectory.co.uk/vape-shop/listing/vape-my-day</t>
        </is>
      </c>
    </row>
    <row r="254">
      <c r="A254" s="5" t="inlineStr">
        <is>
          <t>UK-000535</t>
        </is>
      </c>
      <c r="B254" s="5" t="inlineStr">
        <is>
          <t>UK-000535-01</t>
        </is>
      </c>
      <c r="C254" s="5" t="inlineStr"/>
      <c r="D254" s="5" t="inlineStr">
        <is>
          <t>Vape N Chase</t>
        </is>
      </c>
      <c r="E254" s="5" t="inlineStr">
        <is>
          <t>Vape Shop</t>
        </is>
      </c>
      <c r="F254" s="5" t="inlineStr">
        <is>
          <t>Vape kits, e-liquids &amp; accessories</t>
        </is>
      </c>
      <c r="G254" s="5" t="inlineStr">
        <is>
          <t>Independent</t>
        </is>
      </c>
      <c r="H254" s="5" t="inlineStr">
        <is>
          <t>1</t>
        </is>
      </c>
      <c r="I254" s="5" t="inlineStr">
        <is>
          <t>111 Hill Top</t>
        </is>
      </c>
      <c r="J254" s="5" t="inlineStr">
        <is>
          <t>West Bromwich</t>
        </is>
      </c>
      <c r="K254" s="5" t="inlineStr"/>
      <c r="L254" s="5" t="inlineStr">
        <is>
          <t>0121 572 0040</t>
        </is>
      </c>
      <c r="M254" s="5" t="inlineStr"/>
      <c r="N254" s="5" t="inlineStr"/>
      <c r="O254" s="5" t="inlineStr"/>
      <c r="P254" s="5" t="inlineStr">
        <is>
          <t>https://www.facebook.com/VapeNChaseUK/</t>
        </is>
      </c>
      <c r="Q254" s="5" t="inlineStr"/>
      <c r="R254" s="5" t="inlineStr"/>
      <c r="S254" s="5" t="inlineStr"/>
      <c r="T254" s="5" t="inlineStr"/>
      <c r="U254" s="5" t="inlineStr"/>
      <c r="V254" s="5" t="inlineStr">
        <is>
          <t>Medium</t>
        </is>
      </c>
      <c r="W254" s="5" t="inlineStr">
        <is>
          <t>Independent retailer; Core relevant category; Social presence</t>
        </is>
      </c>
      <c r="X254" s="5" t="inlineStr">
        <is>
          <t>Verified directory</t>
        </is>
      </c>
      <c r="Y254" s="5" t="inlineStr">
        <is>
          <t>Not Found</t>
        </is>
      </c>
      <c r="Z254" s="5" t="inlineStr">
        <is>
          <t>Medium</t>
        </is>
      </c>
      <c r="AA254" s="5" t="inlineStr">
        <is>
          <t>Requires Verification</t>
        </is>
      </c>
      <c r="AB254" s="5" t="inlineStr">
        <is>
          <t>https://www.facebook.com/VapeNChaseUK/</t>
        </is>
      </c>
    </row>
    <row r="255">
      <c r="A255" s="10" t="inlineStr">
        <is>
          <t>WY-0173</t>
        </is>
      </c>
      <c r="B255" s="10" t="inlineStr">
        <is>
          <t>WY-0173-01</t>
        </is>
      </c>
      <c r="C255" s="10" t="inlineStr"/>
      <c r="D255" s="10" t="inlineStr">
        <is>
          <t>Vape N Go</t>
        </is>
      </c>
      <c r="E255" s="10" t="inlineStr">
        <is>
          <t>Vape Shop</t>
        </is>
      </c>
      <c r="F255" s="10" t="inlineStr"/>
      <c r="G255" s="10" t="inlineStr">
        <is>
          <t>Independent</t>
        </is>
      </c>
      <c r="H255" s="10" t="inlineStr">
        <is>
          <t>1</t>
        </is>
      </c>
      <c r="I255" s="10" t="inlineStr">
        <is>
          <t>14 The Square</t>
        </is>
      </c>
      <c r="J255" s="10" t="inlineStr">
        <is>
          <t>Halifax</t>
        </is>
      </c>
      <c r="K255" s="10" t="inlineStr">
        <is>
          <t>HX1 1RU</t>
        </is>
      </c>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Independent retailer; Core relevant category</t>
        </is>
      </c>
      <c r="X255" s="10" t="inlineStr">
        <is>
          <t>Not Found</t>
        </is>
      </c>
      <c r="Y255" s="10" t="inlineStr">
        <is>
          <t>Not Found</t>
        </is>
      </c>
      <c r="Z255" s="10" t="inlineStr">
        <is>
          <t>Low</t>
        </is>
      </c>
      <c r="AA255" s="10" t="inlineStr">
        <is>
          <t>Requires Verification</t>
        </is>
      </c>
      <c r="AB255" s="10" t="inlineStr">
        <is>
          <t>https://www.yell.com/s/tobacconists-halifax.html</t>
        </is>
      </c>
    </row>
    <row r="256">
      <c r="A256" s="5" t="inlineStr">
        <is>
          <t>WY-0174</t>
        </is>
      </c>
      <c r="B256" s="5" t="inlineStr">
        <is>
          <t>WY-0174-01</t>
        </is>
      </c>
      <c r="C256" s="5" t="inlineStr"/>
      <c r="D256" s="5" t="inlineStr">
        <is>
          <t>Vape Nation UK</t>
        </is>
      </c>
      <c r="E256" s="5" t="inlineStr">
        <is>
          <t>Vape Shop</t>
        </is>
      </c>
      <c r="F256" s="5" t="inlineStr">
        <is>
          <t>E-cigarette / e-liquid retailer</t>
        </is>
      </c>
      <c r="G256" s="5" t="inlineStr">
        <is>
          <t>Independent</t>
        </is>
      </c>
      <c r="H256" s="5" t="inlineStr">
        <is>
          <t>1</t>
        </is>
      </c>
      <c r="I256" s="5" t="inlineStr">
        <is>
          <t>31 New Street</t>
        </is>
      </c>
      <c r="J256" s="5" t="inlineStr">
        <is>
          <t>Huddersfield</t>
        </is>
      </c>
      <c r="K256" s="5" t="inlineStr">
        <is>
          <t>HD1 2AZ</t>
        </is>
      </c>
      <c r="L256" s="5" t="inlineStr">
        <is>
          <t>07809 655738</t>
        </is>
      </c>
      <c r="M256" s="5" t="inlineStr">
        <is>
          <t>info@vapenationeshop.co.uk</t>
        </is>
      </c>
      <c r="N256" s="5" t="inlineStr"/>
      <c r="O256" s="5" t="inlineStr">
        <is>
          <t>https://vapenationeshop.co.uk/</t>
        </is>
      </c>
      <c r="P256" s="5" t="inlineStr"/>
      <c r="Q256" s="5" t="inlineStr"/>
      <c r="R256" s="5" t="inlineStr"/>
      <c r="S256" s="5" t="inlineStr"/>
      <c r="T256" s="5" t="inlineStr"/>
      <c r="U256" s="5" t="inlineStr"/>
      <c r="V256" s="5" t="inlineStr">
        <is>
          <t>Medium</t>
        </is>
      </c>
      <c r="W256" s="5" t="inlineStr">
        <is>
          <t>Independent retailer; Core relevant category; Public email available; Active website</t>
        </is>
      </c>
      <c r="X256" s="5" t="inlineStr">
        <is>
          <t>Verified directory</t>
        </is>
      </c>
      <c r="Y256" s="5" t="inlineStr">
        <is>
          <t>Website Found</t>
        </is>
      </c>
      <c r="Z256" s="5" t="inlineStr">
        <is>
          <t>Medium</t>
        </is>
      </c>
      <c r="AA256" s="5" t="inlineStr">
        <is>
          <t>Partially Verified</t>
        </is>
      </c>
      <c r="AB256" s="5" t="inlineStr">
        <is>
          <t>https://vapenationeshop.co.uk/contact-us/</t>
        </is>
      </c>
    </row>
    <row r="257">
      <c r="A257" s="10" t="inlineStr">
        <is>
          <t>UK-000289</t>
        </is>
      </c>
      <c r="B257" s="10" t="inlineStr">
        <is>
          <t>UK-000289-01</t>
        </is>
      </c>
      <c r="C257" s="10" t="inlineStr"/>
      <c r="D257" s="10" t="inlineStr">
        <is>
          <t>Vape Newland</t>
        </is>
      </c>
      <c r="E257" s="10" t="inlineStr">
        <is>
          <t>Vape Shop</t>
        </is>
      </c>
      <c r="F257" s="10" t="inlineStr">
        <is>
          <t>E-liquid and hardware shop</t>
        </is>
      </c>
      <c r="G257" s="10" t="inlineStr">
        <is>
          <t>Independent</t>
        </is>
      </c>
      <c r="H257" s="10" t="inlineStr">
        <is>
          <t>1</t>
        </is>
      </c>
      <c r="I257" s="10" t="inlineStr">
        <is>
          <t>124 Newland Avenue</t>
        </is>
      </c>
      <c r="J257" s="10" t="inlineStr">
        <is>
          <t>Kingston upon Hull</t>
        </is>
      </c>
      <c r="K257" s="10" t="inlineStr"/>
      <c r="L257" s="10" t="inlineStr"/>
      <c r="M257" s="10" t="inlineStr"/>
      <c r="N257" s="10" t="inlineStr"/>
      <c r="O257" s="10" t="inlineStr"/>
      <c r="P257" s="10" t="inlineStr">
        <is>
          <t>https://www.facebook.com/p/Vape-Newland-100086500027739/</t>
        </is>
      </c>
      <c r="Q257" s="10" t="inlineStr"/>
      <c r="R257" s="10" t="inlineStr"/>
      <c r="S257" s="10" t="inlineStr"/>
      <c r="T257" s="10" t="inlineStr"/>
      <c r="U257" s="10" t="inlineStr"/>
      <c r="V257" s="10" t="inlineStr">
        <is>
          <t>Medium</t>
        </is>
      </c>
      <c r="W257" s="10" t="inlineStr">
        <is>
          <t>Independent retailer; Core relevant category; Social presence</t>
        </is>
      </c>
      <c r="X257" s="10" t="inlineStr">
        <is>
          <t>Not Found</t>
        </is>
      </c>
      <c r="Y257" s="10" t="inlineStr">
        <is>
          <t>Not Found</t>
        </is>
      </c>
      <c r="Z257" s="10" t="inlineStr">
        <is>
          <t>Low</t>
        </is>
      </c>
      <c r="AA257" s="10" t="inlineStr">
        <is>
          <t>Requires Verification</t>
        </is>
      </c>
      <c r="AB257" s="10" t="inlineStr">
        <is>
          <t>https://www.facebook.com/p/Vape-Newland-100086500027739/</t>
        </is>
      </c>
    </row>
    <row r="258">
      <c r="A258" s="5" t="inlineStr">
        <is>
          <t>UK-000676</t>
        </is>
      </c>
      <c r="B258" s="5" t="inlineStr">
        <is>
          <t>UK-000676-01</t>
        </is>
      </c>
      <c r="C258" s="5" t="inlineStr"/>
      <c r="D258" s="5" t="inlineStr">
        <is>
          <t>Vape Pure Ltd</t>
        </is>
      </c>
      <c r="E258" s="5" t="inlineStr">
        <is>
          <t>Vape Shop</t>
        </is>
      </c>
      <c r="F258" s="5" t="inlineStr">
        <is>
          <t>Vape hardware &amp; e-liquids</t>
        </is>
      </c>
      <c r="G258" s="5" t="inlineStr">
        <is>
          <t>Independent</t>
        </is>
      </c>
      <c r="H258" s="5" t="inlineStr">
        <is>
          <t>1</t>
        </is>
      </c>
      <c r="I258" s="5" t="inlineStr"/>
      <c r="J258" s="5" t="inlineStr">
        <is>
          <t>Wood Green</t>
        </is>
      </c>
      <c r="K258" s="5" t="inlineStr">
        <is>
          <t>N22</t>
        </is>
      </c>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https://www.yell.com/biz/vape-pure-ltd-london-9829626/</t>
        </is>
      </c>
    </row>
    <row r="259">
      <c r="A259" s="10" t="inlineStr">
        <is>
          <t>WY-0175</t>
        </is>
      </c>
      <c r="B259" s="10" t="inlineStr">
        <is>
          <t>WY-0175-01</t>
        </is>
      </c>
      <c r="C259" s="10" t="inlineStr"/>
      <c r="D259" s="10" t="inlineStr">
        <is>
          <t>Vape Road</t>
        </is>
      </c>
      <c r="E259" s="10" t="inlineStr">
        <is>
          <t>Vape Shop</t>
        </is>
      </c>
      <c r="F259" s="10" t="inlineStr"/>
      <c r="G259" s="10" t="inlineStr">
        <is>
          <t>Independent</t>
        </is>
      </c>
      <c r="H259" s="10" t="inlineStr">
        <is>
          <t>1</t>
        </is>
      </c>
      <c r="I259" s="10" t="inlineStr">
        <is>
          <t>66 Commercial Street</t>
        </is>
      </c>
      <c r="J259" s="10" t="inlineStr">
        <is>
          <t>Brighouse</t>
        </is>
      </c>
      <c r="K259" s="10" t="inlineStr">
        <is>
          <t>HD6 1AQ</t>
        </is>
      </c>
      <c r="L259" s="10" t="inlineStr">
        <is>
          <t>01484 917785</t>
        </is>
      </c>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Verified directory</t>
        </is>
      </c>
      <c r="Y259" s="10" t="inlineStr">
        <is>
          <t>Not Found</t>
        </is>
      </c>
      <c r="Z259" s="10" t="inlineStr">
        <is>
          <t>Medium</t>
        </is>
      </c>
      <c r="AA259" s="10" t="inlineStr">
        <is>
          <t>Requires Verification</t>
        </is>
      </c>
      <c r="AB259" s="10" t="inlineStr">
        <is>
          <t>https://brighouse.cylex-uk.co.uk/company/vape-road-27599481.html</t>
        </is>
      </c>
    </row>
    <row r="260">
      <c r="A260" s="5" t="inlineStr">
        <is>
          <t>WY-0176</t>
        </is>
      </c>
      <c r="B260" s="5" t="inlineStr">
        <is>
          <t>WY-0176-01</t>
        </is>
      </c>
      <c r="C260" s="5" t="inlineStr"/>
      <c r="D260" s="5" t="inlineStr">
        <is>
          <t>Vape Road Cleckheaton</t>
        </is>
      </c>
      <c r="E260" s="5" t="inlineStr">
        <is>
          <t>Vape Shop</t>
        </is>
      </c>
      <c r="F260" s="5" t="inlineStr">
        <is>
          <t>Vape retailer</t>
        </is>
      </c>
      <c r="G260" s="5" t="inlineStr">
        <is>
          <t>Independent</t>
        </is>
      </c>
      <c r="H260" s="5" t="inlineStr">
        <is>
          <t>1</t>
        </is>
      </c>
      <c r="I260" s="5" t="inlineStr">
        <is>
          <t>Railway Street</t>
        </is>
      </c>
      <c r="J260" s="5" t="inlineStr">
        <is>
          <t>Cleckheaton</t>
        </is>
      </c>
      <c r="K260" s="5" t="inlineStr"/>
      <c r="L260" s="5" t="inlineStr"/>
      <c r="M260" s="5" t="inlineStr"/>
      <c r="N260" s="5" t="inlineStr"/>
      <c r="O260" s="5" t="inlineStr"/>
      <c r="P260" s="5" t="inlineStr"/>
      <c r="Q260" s="5" t="inlineStr"/>
      <c r="R260" s="5" t="inlineStr"/>
      <c r="S260" s="5" t="inlineStr"/>
      <c r="T260" s="5" t="inlineStr"/>
      <c r="U260" s="5" t="inlineStr"/>
      <c r="V260" s="5" t="inlineStr">
        <is>
          <t>Medium</t>
        </is>
      </c>
      <c r="W260" s="5" t="inlineStr">
        <is>
          <t>Independent retailer; Core relevant category</t>
        </is>
      </c>
      <c r="X260" s="5" t="inlineStr">
        <is>
          <t>Not Found</t>
        </is>
      </c>
      <c r="Y260" s="5" t="inlineStr">
        <is>
          <t>Not Found</t>
        </is>
      </c>
      <c r="Z260" s="5" t="inlineStr">
        <is>
          <t>Low</t>
        </is>
      </c>
      <c r="AA260" s="5" t="inlineStr">
        <is>
          <t>Requires Verification</t>
        </is>
      </c>
      <c r="AB260" s="5" t="inlineStr">
        <is>
          <t>https://cleckheaton.cylex-uk.co.uk/company/vape-road-cleckheaton-26986187.html</t>
        </is>
      </c>
    </row>
    <row r="261">
      <c r="A261" s="10" t="inlineStr">
        <is>
          <t>UK-000290</t>
        </is>
      </c>
      <c r="B261" s="10" t="inlineStr">
        <is>
          <t>UK-000290-01</t>
        </is>
      </c>
      <c r="C261" s="10" t="inlineStr"/>
      <c r="D261" s="10" t="inlineStr">
        <is>
          <t>Vape Safe Bridlington</t>
        </is>
      </c>
      <c r="E261" s="10" t="inlineStr">
        <is>
          <t>Vape Shop</t>
        </is>
      </c>
      <c r="F261" s="10" t="inlineStr">
        <is>
          <t>E-liquid and hardware shop</t>
        </is>
      </c>
      <c r="G261" s="10" t="inlineStr">
        <is>
          <t>Independent</t>
        </is>
      </c>
      <c r="H261" s="10" t="inlineStr">
        <is>
          <t>1</t>
        </is>
      </c>
      <c r="I261" s="10" t="inlineStr">
        <is>
          <t>4b Promenade</t>
        </is>
      </c>
      <c r="J261" s="10" t="inlineStr">
        <is>
          <t>Bridlington</t>
        </is>
      </c>
      <c r="K261" s="10" t="inlineStr">
        <is>
          <t>YO15 2PX</t>
        </is>
      </c>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Independent retailer; Core relevant category</t>
        </is>
      </c>
      <c r="X261" s="10" t="inlineStr">
        <is>
          <t>Not Found</t>
        </is>
      </c>
      <c r="Y261" s="10" t="inlineStr">
        <is>
          <t>Not Found</t>
        </is>
      </c>
      <c r="Z261" s="10" t="inlineStr">
        <is>
          <t>Low</t>
        </is>
      </c>
      <c r="AA261" s="10" t="inlineStr">
        <is>
          <t>Requires Verification</t>
        </is>
      </c>
      <c r="AB261" s="10" t="inlineStr">
        <is>
          <t>https://www.yell.com/s/vape+shops-bridlington.html</t>
        </is>
      </c>
    </row>
    <row r="262">
      <c r="A262" s="5" t="inlineStr">
        <is>
          <t>UK-000834</t>
        </is>
      </c>
      <c r="B262" s="5" t="inlineStr">
        <is>
          <t>UK-000834-01</t>
        </is>
      </c>
      <c r="C262" s="5" t="inlineStr"/>
      <c r="D262" s="5" t="inlineStr">
        <is>
          <t>Vape Saloon</t>
        </is>
      </c>
      <c r="E262" s="5" t="inlineStr">
        <is>
          <t>Vape Shop</t>
        </is>
      </c>
      <c r="F262" s="5" t="inlineStr">
        <is>
          <t>Vape kits and e-liquids</t>
        </is>
      </c>
      <c r="G262" s="5" t="inlineStr">
        <is>
          <t>Independent</t>
        </is>
      </c>
      <c r="H262" s="5" t="inlineStr">
        <is>
          <t>1</t>
        </is>
      </c>
      <c r="I262" s="5" t="inlineStr">
        <is>
          <t>651 Lord Street</t>
        </is>
      </c>
      <c r="J262" s="5" t="inlineStr">
        <is>
          <t>Southport</t>
        </is>
      </c>
      <c r="K262" s="5" t="inlineStr">
        <is>
          <t>PR9 0AW</t>
        </is>
      </c>
      <c r="L262" s="5" t="inlineStr">
        <is>
          <t>01704 532531</t>
        </is>
      </c>
      <c r="M262" s="5" t="inlineStr">
        <is>
          <t>orders@vapesaloon.co.uk</t>
        </is>
      </c>
      <c r="N262" s="5" t="inlineStr">
        <is>
          <t>orders@vapesaloon.co.uk</t>
        </is>
      </c>
      <c r="O262" s="5" t="inlineStr">
        <is>
          <t>https://www.vapesaloon.co.uk/</t>
        </is>
      </c>
      <c r="P262" s="5" t="inlineStr"/>
      <c r="Q262" s="5" t="inlineStr"/>
      <c r="R262" s="5" t="inlineStr"/>
      <c r="S262" s="5" t="inlineStr"/>
      <c r="T262" s="5" t="inlineStr"/>
      <c r="U262" s="5" t="inlineStr"/>
      <c r="V262" s="5" t="inlineStr">
        <is>
          <t>High</t>
        </is>
      </c>
      <c r="W262" s="5" t="inlineStr">
        <is>
          <t>Independent retailer; Core relevant category; Public trade/sales contact; Active website; Phone verified on official website</t>
        </is>
      </c>
      <c r="X262" s="5" t="inlineStr">
        <is>
          <t>Verified on official website</t>
        </is>
      </c>
      <c r="Y262" s="5" t="inlineStr">
        <is>
          <t>Publicly Listed</t>
        </is>
      </c>
      <c r="Z262" s="5" t="inlineStr">
        <is>
          <t>High</t>
        </is>
      </c>
      <c r="AA262" s="5" t="inlineStr">
        <is>
          <t>Requires Verification</t>
        </is>
      </c>
      <c r="AB262" s="5" t="inlineStr">
        <is>
          <t>https://www.vapesaloon.co.uk/pages/location</t>
        </is>
      </c>
    </row>
    <row r="263">
      <c r="A263" s="10" t="inlineStr">
        <is>
          <t>UK-000406</t>
        </is>
      </c>
      <c r="B263" s="10" t="inlineStr">
        <is>
          <t>UK-000406-01</t>
        </is>
      </c>
      <c r="C263" s="10" t="inlineStr"/>
      <c r="D263" s="10" t="inlineStr">
        <is>
          <t>Vape Saloon Leigh</t>
        </is>
      </c>
      <c r="E263" s="10" t="inlineStr">
        <is>
          <t>Vape Shop</t>
        </is>
      </c>
      <c r="F263" s="10" t="inlineStr"/>
      <c r="G263" s="10" t="inlineStr">
        <is>
          <t>Independent</t>
        </is>
      </c>
      <c r="H263" s="10" t="inlineStr">
        <is>
          <t>1</t>
        </is>
      </c>
      <c r="I263" s="10" t="inlineStr"/>
      <c r="J263" s="10" t="inlineStr">
        <is>
          <t>Leigh</t>
        </is>
      </c>
      <c r="K263" s="10" t="inlineStr"/>
      <c r="L263" s="10" t="inlineStr"/>
      <c r="M263" s="10" t="inlineStr"/>
      <c r="N263" s="10" t="inlineStr"/>
      <c r="O263" s="10" t="inlineStr"/>
      <c r="P263" s="10" t="inlineStr">
        <is>
          <t>https://www.facebook.com/VapeSaloonLeigh/</t>
        </is>
      </c>
      <c r="Q263" s="10" t="inlineStr"/>
      <c r="R263" s="10" t="inlineStr"/>
      <c r="S263" s="10" t="inlineStr"/>
      <c r="T263" s="10" t="inlineStr"/>
      <c r="U263" s="10" t="inlineStr"/>
      <c r="V263" s="10" t="inlineStr">
        <is>
          <t>Medium</t>
        </is>
      </c>
      <c r="W263" s="10" t="inlineStr">
        <is>
          <t>Independent retailer; Core relevant category; Social presence</t>
        </is>
      </c>
      <c r="X263" s="10" t="inlineStr">
        <is>
          <t>Not Found</t>
        </is>
      </c>
      <c r="Y263" s="10" t="inlineStr">
        <is>
          <t>Not Found</t>
        </is>
      </c>
      <c r="Z263" s="10" t="inlineStr">
        <is>
          <t>Low</t>
        </is>
      </c>
      <c r="AA263" s="10" t="inlineStr">
        <is>
          <t>Requires Verification</t>
        </is>
      </c>
      <c r="AB263" s="10" t="inlineStr">
        <is>
          <t>https://www.facebook.com/VapeSaloonLeigh/</t>
        </is>
      </c>
    </row>
    <row r="264">
      <c r="A264" s="5" t="inlineStr">
        <is>
          <t>UK-000407</t>
        </is>
      </c>
      <c r="B264" s="5" t="inlineStr">
        <is>
          <t>UK-000407-01</t>
        </is>
      </c>
      <c r="C264" s="5" t="inlineStr"/>
      <c r="D264" s="5" t="inlineStr">
        <is>
          <t>Vape Spot Bury</t>
        </is>
      </c>
      <c r="E264" s="5" t="inlineStr">
        <is>
          <t>Vape Shop</t>
        </is>
      </c>
      <c r="F264" s="5" t="inlineStr"/>
      <c r="G264" s="5" t="inlineStr">
        <is>
          <t>Independent</t>
        </is>
      </c>
      <c r="H264" s="5" t="inlineStr">
        <is>
          <t>1</t>
        </is>
      </c>
      <c r="I264" s="5" t="inlineStr">
        <is>
          <t>182 Walmersley Road</t>
        </is>
      </c>
      <c r="J264" s="5" t="inlineStr">
        <is>
          <t>Bury</t>
        </is>
      </c>
      <c r="K264" s="5" t="inlineStr">
        <is>
          <t>BL9 6LL</t>
        </is>
      </c>
      <c r="L264" s="5" t="inlineStr">
        <is>
          <t>07478 496993</t>
        </is>
      </c>
      <c r="M264" s="5" t="inlineStr"/>
      <c r="N264" s="5" t="inlineStr"/>
      <c r="O264" s="5" t="inlineStr"/>
      <c r="P264" s="5" t="inlineStr"/>
      <c r="Q264" s="5" t="inlineStr"/>
      <c r="R264" s="5" t="inlineStr"/>
      <c r="S264" s="5" t="inlineStr"/>
      <c r="T264" s="5" t="inlineStr"/>
      <c r="U264" s="5" t="inlineStr"/>
      <c r="V264" s="5" t="inlineStr">
        <is>
          <t>Medium</t>
        </is>
      </c>
      <c r="W264" s="5" t="inlineStr">
        <is>
          <t>Independent retailer; Core relevant category</t>
        </is>
      </c>
      <c r="X264" s="5" t="inlineStr">
        <is>
          <t>Verified directory</t>
        </is>
      </c>
      <c r="Y264" s="5" t="inlineStr">
        <is>
          <t>Not Found</t>
        </is>
      </c>
      <c r="Z264" s="5" t="inlineStr">
        <is>
          <t>Low</t>
        </is>
      </c>
      <c r="AA264" s="5" t="inlineStr">
        <is>
          <t>Requires Verification</t>
        </is>
      </c>
      <c r="AB264" s="5" t="inlineStr">
        <is>
          <t>https://www.wheree.com/Vape_Shops-c124-g2119118-Bury</t>
        </is>
      </c>
    </row>
    <row r="265">
      <c r="A265" s="10" t="inlineStr">
        <is>
          <t>UK-000291</t>
        </is>
      </c>
      <c r="B265" s="10" t="inlineStr">
        <is>
          <t>UK-000291-01</t>
        </is>
      </c>
      <c r="C265" s="10" t="inlineStr"/>
      <c r="D265" s="10" t="inlineStr">
        <is>
          <t>Vape Store &amp; Bargains Galore</t>
        </is>
      </c>
      <c r="E265" s="10" t="inlineStr">
        <is>
          <t>Vape Shop</t>
        </is>
      </c>
      <c r="F265" s="10" t="inlineStr">
        <is>
          <t>Vape shop and discount store</t>
        </is>
      </c>
      <c r="G265" s="10" t="inlineStr">
        <is>
          <t>Independent</t>
        </is>
      </c>
      <c r="H265" s="10" t="inlineStr">
        <is>
          <t>1</t>
        </is>
      </c>
      <c r="I265" s="10" t="inlineStr"/>
      <c r="J265" s="10" t="inlineStr">
        <is>
          <t>Barnsley</t>
        </is>
      </c>
      <c r="K265" s="10" t="inlineStr"/>
      <c r="L265" s="10" t="inlineStr"/>
      <c r="M265" s="10" t="inlineStr"/>
      <c r="N265" s="10" t="inlineStr"/>
      <c r="O265" s="10" t="inlineStr"/>
      <c r="P265" s="10" t="inlineStr">
        <is>
          <t>https://www.facebook.com/VapeStorebarnsley/</t>
        </is>
      </c>
      <c r="Q265" s="10" t="inlineStr"/>
      <c r="R265" s="10" t="inlineStr"/>
      <c r="S265" s="10" t="inlineStr"/>
      <c r="T265" s="10" t="inlineStr"/>
      <c r="U265" s="10" t="inlineStr"/>
      <c r="V265" s="10" t="inlineStr">
        <is>
          <t>Medium</t>
        </is>
      </c>
      <c r="W265" s="10" t="inlineStr">
        <is>
          <t>Independent retailer; Core relevant category; Social presence</t>
        </is>
      </c>
      <c r="X265" s="10" t="inlineStr">
        <is>
          <t>Not Found</t>
        </is>
      </c>
      <c r="Y265" s="10" t="inlineStr">
        <is>
          <t>Not Found</t>
        </is>
      </c>
      <c r="Z265" s="10" t="inlineStr">
        <is>
          <t>Low</t>
        </is>
      </c>
      <c r="AA265" s="10" t="inlineStr">
        <is>
          <t>Requires Verification</t>
        </is>
      </c>
      <c r="AB265" s="10" t="inlineStr">
        <is>
          <t>https://www.yell.com/biz/vape-store-and-bargains-galore-barnsley-10072936/</t>
        </is>
      </c>
    </row>
    <row r="266">
      <c r="A266" s="5" t="inlineStr">
        <is>
          <t>WY-0177</t>
        </is>
      </c>
      <c r="B266" s="5" t="inlineStr">
        <is>
          <t>WY-0177-01</t>
        </is>
      </c>
      <c r="C266" s="5" t="inlineStr"/>
      <c r="D266" s="5" t="inlineStr">
        <is>
          <t>Vape Suite</t>
        </is>
      </c>
      <c r="E266" s="5" t="inlineStr">
        <is>
          <t>Vape Shop</t>
        </is>
      </c>
      <c r="F266" s="5" t="inlineStr">
        <is>
          <t>E-cigarette / e-liquid / disposables retailer</t>
        </is>
      </c>
      <c r="G266" s="5" t="inlineStr">
        <is>
          <t>Independent</t>
        </is>
      </c>
      <c r="H266" s="5" t="inlineStr">
        <is>
          <t>1</t>
        </is>
      </c>
      <c r="I266" s="5" t="inlineStr">
        <is>
          <t>7 King Street</t>
        </is>
      </c>
      <c r="J266" s="5" t="inlineStr">
        <is>
          <t>Huddersfield</t>
        </is>
      </c>
      <c r="K266" s="5" t="inlineStr">
        <is>
          <t>HD1 2QD</t>
        </is>
      </c>
      <c r="L266" s="5" t="inlineStr">
        <is>
          <t>01484 312366</t>
        </is>
      </c>
      <c r="M266" s="5" t="inlineStr"/>
      <c r="N266" s="5" t="inlineStr"/>
      <c r="O266" s="5" t="inlineStr"/>
      <c r="P266" s="5" t="inlineStr"/>
      <c r="Q266" s="5" t="inlineStr"/>
      <c r="R266" s="5" t="inlineStr"/>
      <c r="S266" s="5" t="inlineStr"/>
      <c r="T266" s="5" t="inlineStr">
        <is>
          <t>13476013</t>
        </is>
      </c>
      <c r="U266" s="5" t="inlineStr"/>
      <c r="V266" s="5" t="inlineStr">
        <is>
          <t>Medium</t>
        </is>
      </c>
      <c r="W266" s="5" t="inlineStr">
        <is>
          <t>Independent retailer; Core relevant category</t>
        </is>
      </c>
      <c r="X266" s="5" t="inlineStr">
        <is>
          <t>Verified directory</t>
        </is>
      </c>
      <c r="Y266" s="5" t="inlineStr">
        <is>
          <t>Not Found</t>
        </is>
      </c>
      <c r="Z266" s="5" t="inlineStr">
        <is>
          <t>Medium</t>
        </is>
      </c>
      <c r="AA266" s="5" t="inlineStr">
        <is>
          <t>Requires Verification</t>
        </is>
      </c>
      <c r="AB266" s="5" t="inlineStr">
        <is>
          <t>https://find-and-update.company-information.service.gov.uk/company/13476013</t>
        </is>
      </c>
    </row>
    <row r="267">
      <c r="A267" s="10" t="inlineStr">
        <is>
          <t>UK-000536</t>
        </is>
      </c>
      <c r="B267" s="10" t="inlineStr">
        <is>
          <t>UK-000536-01</t>
        </is>
      </c>
      <c r="C267" s="10" t="inlineStr"/>
      <c r="D267" s="10" t="inlineStr">
        <is>
          <t>Vape Vision Gornal</t>
        </is>
      </c>
      <c r="E267" s="10" t="inlineStr">
        <is>
          <t>Vape Shop</t>
        </is>
      </c>
      <c r="F267" s="10" t="inlineStr">
        <is>
          <t>Vape kits, e-liquids &amp; accessories</t>
        </is>
      </c>
      <c r="G267" s="10" t="inlineStr">
        <is>
          <t>Independent</t>
        </is>
      </c>
      <c r="H267" s="10" t="inlineStr">
        <is>
          <t>1</t>
        </is>
      </c>
      <c r="I267" s="10" t="inlineStr">
        <is>
          <t>44 Louise Street</t>
        </is>
      </c>
      <c r="J267" s="10" t="inlineStr">
        <is>
          <t>Dudley</t>
        </is>
      </c>
      <c r="K267" s="10" t="inlineStr">
        <is>
          <t>DY3 2UB</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Independent retailer; Core relevant category</t>
        </is>
      </c>
      <c r="X267" s="10" t="inlineStr">
        <is>
          <t>Not Found</t>
        </is>
      </c>
      <c r="Y267" s="10" t="inlineStr">
        <is>
          <t>Not Found</t>
        </is>
      </c>
      <c r="Z267" s="10" t="inlineStr">
        <is>
          <t>Low</t>
        </is>
      </c>
      <c r="AA267" s="10" t="inlineStr">
        <is>
          <t>Requires Verification</t>
        </is>
      </c>
      <c r="AB267" s="10" t="inlineStr">
        <is>
          <t>https://www.yelp.com/search?cflt=vapeshops&amp;find_loc=Dudley%2C+West+Midlands</t>
        </is>
      </c>
    </row>
    <row r="268">
      <c r="A268" s="5" t="inlineStr">
        <is>
          <t>UK-000408</t>
        </is>
      </c>
      <c r="B268" s="5" t="inlineStr">
        <is>
          <t>UK-000408-01</t>
        </is>
      </c>
      <c r="C268" s="5" t="inlineStr"/>
      <c r="D268" s="5" t="inlineStr">
        <is>
          <t>Vape World (Eccles, Salford)</t>
        </is>
      </c>
      <c r="E268" s="5" t="inlineStr">
        <is>
          <t>Vape Shop</t>
        </is>
      </c>
      <c r="F268" s="5" t="inlineStr">
        <is>
          <t>Vape hardware, e-liquids &amp; disposables</t>
        </is>
      </c>
      <c r="G268" s="5" t="inlineStr">
        <is>
          <t>Independent</t>
        </is>
      </c>
      <c r="H268" s="5" t="inlineStr">
        <is>
          <t>1</t>
        </is>
      </c>
      <c r="I268" s="5" t="inlineStr">
        <is>
          <t>120 Liverpool Road</t>
        </is>
      </c>
      <c r="J268" s="5" t="inlineStr">
        <is>
          <t>Eccles</t>
        </is>
      </c>
      <c r="K268" s="5" t="inlineStr">
        <is>
          <t>M30 0WZ</t>
        </is>
      </c>
      <c r="L268" s="5" t="inlineStr"/>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Not Found</t>
        </is>
      </c>
      <c r="Y268" s="5" t="inlineStr">
        <is>
          <t>Not Found</t>
        </is>
      </c>
      <c r="Z268" s="5" t="inlineStr">
        <is>
          <t>Low</t>
        </is>
      </c>
      <c r="AA268" s="5" t="inlineStr">
        <is>
          <t>Requires Verification</t>
        </is>
      </c>
      <c r="AB268" s="5" t="inlineStr">
        <is>
          <t>https://eccles-city-of-salford.cylex-uk.co.uk/vape-shops/</t>
        </is>
      </c>
    </row>
    <row r="269">
      <c r="A269" s="10" t="inlineStr">
        <is>
          <t>UK-000292</t>
        </is>
      </c>
      <c r="B269" s="10" t="inlineStr">
        <is>
          <t>UK-000292-01</t>
        </is>
      </c>
      <c r="C269" s="10" t="inlineStr"/>
      <c r="D269" s="10" t="inlineStr">
        <is>
          <t>Vape with Us Northallerton</t>
        </is>
      </c>
      <c r="E269" s="10" t="inlineStr">
        <is>
          <t>Vape Shop</t>
        </is>
      </c>
      <c r="F269" s="10" t="inlineStr">
        <is>
          <t>E-cigarette &amp; e-liquid retailer</t>
        </is>
      </c>
      <c r="G269" s="10" t="inlineStr">
        <is>
          <t>Independent</t>
        </is>
      </c>
      <c r="H269" s="10" t="inlineStr">
        <is>
          <t>1</t>
        </is>
      </c>
      <c r="I269" s="10" t="inlineStr">
        <is>
          <t>162 High Street</t>
        </is>
      </c>
      <c r="J269" s="10" t="inlineStr">
        <is>
          <t>Northallerton</t>
        </is>
      </c>
      <c r="K269" s="10" t="inlineStr">
        <is>
          <t>DL7 8JZ</t>
        </is>
      </c>
      <c r="L269" s="10" t="inlineStr">
        <is>
          <t>01609 772799</t>
        </is>
      </c>
      <c r="M269" s="10" t="inlineStr"/>
      <c r="N269" s="10" t="inlineStr"/>
      <c r="O269" s="10" t="inlineStr"/>
      <c r="P269" s="10" t="inlineStr">
        <is>
          <t>https://www.facebook.com/VAPEWITHUSNorthallerton/</t>
        </is>
      </c>
      <c r="Q269" s="10" t="inlineStr"/>
      <c r="R269" s="10" t="inlineStr"/>
      <c r="S269" s="10" t="inlineStr"/>
      <c r="T269" s="10" t="inlineStr"/>
      <c r="U269" s="10" t="inlineStr"/>
      <c r="V269" s="10" t="inlineStr">
        <is>
          <t>Medium</t>
        </is>
      </c>
      <c r="W269" s="10" t="inlineStr">
        <is>
          <t>Independent retailer; Core relevant category; Social presence</t>
        </is>
      </c>
      <c r="X269" s="10" t="inlineStr">
        <is>
          <t>Verified directory</t>
        </is>
      </c>
      <c r="Y269" s="10" t="inlineStr">
        <is>
          <t>Not Found</t>
        </is>
      </c>
      <c r="Z269" s="10" t="inlineStr">
        <is>
          <t>Medium</t>
        </is>
      </c>
      <c r="AA269" s="10" t="inlineStr">
        <is>
          <t>Requires Verification</t>
        </is>
      </c>
      <c r="AB269" s="10" t="inlineStr">
        <is>
          <t>https://www.facebook.com/VAPEWITHUSNorthallerton/</t>
        </is>
      </c>
    </row>
    <row r="270">
      <c r="A270" s="5" t="inlineStr">
        <is>
          <t>UK-000537</t>
        </is>
      </c>
      <c r="B270" s="5" t="inlineStr">
        <is>
          <t>UK-000537-01</t>
        </is>
      </c>
      <c r="C270" s="5" t="inlineStr"/>
      <c r="D270" s="5" t="inlineStr">
        <is>
          <t>VapeSense Kingswinford</t>
        </is>
      </c>
      <c r="E270" s="5" t="inlineStr">
        <is>
          <t>Vape Shop</t>
        </is>
      </c>
      <c r="F270" s="5" t="inlineStr">
        <is>
          <t>Vape kits, e-liquids &amp; accessories</t>
        </is>
      </c>
      <c r="G270" s="5" t="inlineStr">
        <is>
          <t>Independent</t>
        </is>
      </c>
      <c r="H270" s="5" t="inlineStr">
        <is>
          <t>1</t>
        </is>
      </c>
      <c r="I270" s="5" t="inlineStr">
        <is>
          <t>27 Market Street</t>
        </is>
      </c>
      <c r="J270" s="5" t="inlineStr">
        <is>
          <t>Kingswinford</t>
        </is>
      </c>
      <c r="K270" s="5" t="inlineStr">
        <is>
          <t>DY6 9JS</t>
        </is>
      </c>
      <c r="L270" s="5" t="inlineStr">
        <is>
          <t>01384 918900</t>
        </is>
      </c>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Verified directory</t>
        </is>
      </c>
      <c r="Y270" s="5" t="inlineStr">
        <is>
          <t>Not Found</t>
        </is>
      </c>
      <c r="Z270" s="5" t="inlineStr">
        <is>
          <t>Medium</t>
        </is>
      </c>
      <c r="AA270" s="5" t="inlineStr">
        <is>
          <t>Requires Verification</t>
        </is>
      </c>
      <c r="AB270" s="5" t="inlineStr">
        <is>
          <t>https://kingswinford.cylex-uk.co.uk/company/vapesense-27078228.html</t>
        </is>
      </c>
    </row>
    <row r="271">
      <c r="A271" s="10" t="inlineStr">
        <is>
          <t>WY-0179</t>
        </is>
      </c>
      <c r="B271" s="10" t="inlineStr">
        <is>
          <t>WY-0179-01</t>
        </is>
      </c>
      <c r="C271" s="10" t="inlineStr"/>
      <c r="D271" s="10" t="inlineStr">
        <is>
          <t>VapeShop Leeds</t>
        </is>
      </c>
      <c r="E271" s="10" t="inlineStr">
        <is>
          <t>Vape Shop</t>
        </is>
      </c>
      <c r="F271" s="10" t="inlineStr">
        <is>
          <t>E-cigarette specialist</t>
        </is>
      </c>
      <c r="G271" s="10" t="inlineStr">
        <is>
          <t>Independent</t>
        </is>
      </c>
      <c r="H271" s="10" t="inlineStr">
        <is>
          <t>1</t>
        </is>
      </c>
      <c r="I271" s="10" t="inlineStr">
        <is>
          <t>229 Selby Road</t>
        </is>
      </c>
      <c r="J271" s="10" t="inlineStr">
        <is>
          <t>Leeds</t>
        </is>
      </c>
      <c r="K271" s="10" t="inlineStr">
        <is>
          <t>LS15 7HW</t>
        </is>
      </c>
      <c r="L271" s="10" t="inlineStr"/>
      <c r="M271" s="10" t="inlineStr"/>
      <c r="N271" s="10" t="inlineStr"/>
      <c r="O271" s="10" t="inlineStr"/>
      <c r="P271" s="10" t="inlineStr"/>
      <c r="Q271" s="10" t="inlineStr"/>
      <c r="R271" s="10" t="inlineStr"/>
      <c r="S271" s="10" t="inlineStr"/>
      <c r="T271" s="10" t="inlineStr"/>
      <c r="U271" s="10" t="inlineStr"/>
      <c r="V271" s="10" t="inlineStr">
        <is>
          <t>Medium</t>
        </is>
      </c>
      <c r="W271" s="10" t="inlineStr">
        <is>
          <t>Independent retailer; Core relevant category</t>
        </is>
      </c>
      <c r="X271" s="10" t="inlineStr">
        <is>
          <t>Not Found</t>
        </is>
      </c>
      <c r="Y271" s="10" t="inlineStr">
        <is>
          <t>Not Found</t>
        </is>
      </c>
      <c r="Z271" s="10" t="inlineStr">
        <is>
          <t>Low</t>
        </is>
      </c>
      <c r="AA271" s="10" t="inlineStr">
        <is>
          <t>Requires Verification</t>
        </is>
      </c>
      <c r="AB271" s="10" t="inlineStr">
        <is>
          <t>https://ecigdirectory.co.uk/vape-shop/listing/vapeshop-leeds</t>
        </is>
      </c>
    </row>
    <row r="272">
      <c r="A272" s="5" t="inlineStr">
        <is>
          <t>UK-000677</t>
        </is>
      </c>
      <c r="B272" s="5" t="inlineStr">
        <is>
          <t>UK-000677-01</t>
        </is>
      </c>
      <c r="C272" s="5" t="inlineStr"/>
      <c r="D272" s="5" t="inlineStr">
        <is>
          <t>Vapecore (Ladbroke Grove)</t>
        </is>
      </c>
      <c r="E272" s="5" t="inlineStr">
        <is>
          <t>Vape Shop</t>
        </is>
      </c>
      <c r="F272" s="5" t="inlineStr">
        <is>
          <t>Vape hardware &amp; e-liquids</t>
        </is>
      </c>
      <c r="G272" s="5" t="inlineStr">
        <is>
          <t>Independent</t>
        </is>
      </c>
      <c r="H272" s="5" t="inlineStr">
        <is>
          <t>1</t>
        </is>
      </c>
      <c r="I272" s="5" t="inlineStr">
        <is>
          <t>6 Ladbroke Grove</t>
        </is>
      </c>
      <c r="J272" s="5" t="inlineStr">
        <is>
          <t>London</t>
        </is>
      </c>
      <c r="K272" s="5" t="inlineStr">
        <is>
          <t>W11 3BG</t>
        </is>
      </c>
      <c r="L272" s="5" t="inlineStr">
        <is>
          <t>0333 305 2822</t>
        </is>
      </c>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Verified directory</t>
        </is>
      </c>
      <c r="Y272" s="5" t="inlineStr">
        <is>
          <t>Not Found</t>
        </is>
      </c>
      <c r="Z272" s="5" t="inlineStr">
        <is>
          <t>Low</t>
        </is>
      </c>
      <c r="AA272" s="5" t="inlineStr">
        <is>
          <t>Requires Verification</t>
        </is>
      </c>
      <c r="AB272" s="5" t="inlineStr">
        <is>
          <t>https://www.yell.com/s/tobacconists-ladbroke+grove-west+london.html</t>
        </is>
      </c>
    </row>
    <row r="273">
      <c r="A273" s="10" t="inlineStr">
        <is>
          <t>UK-000835</t>
        </is>
      </c>
      <c r="B273" s="10" t="inlineStr">
        <is>
          <t>UK-000835-01</t>
        </is>
      </c>
      <c r="C273" s="10" t="inlineStr"/>
      <c r="D273" s="10" t="inlineStr">
        <is>
          <t>Vapedrop</t>
        </is>
      </c>
      <c r="E273" s="10" t="inlineStr">
        <is>
          <t>Vape Shop</t>
        </is>
      </c>
      <c r="F273" s="10" t="inlineStr">
        <is>
          <t>Vape shop / e-liquids</t>
        </is>
      </c>
      <c r="G273" s="10" t="inlineStr">
        <is>
          <t>Independent</t>
        </is>
      </c>
      <c r="H273" s="10" t="inlineStr">
        <is>
          <t>1</t>
        </is>
      </c>
      <c r="I273" s="10" t="inlineStr">
        <is>
          <t>15 Great Junction Street</t>
        </is>
      </c>
      <c r="J273" s="10" t="inlineStr">
        <is>
          <t>Edinburgh</t>
        </is>
      </c>
      <c r="K273" s="10" t="inlineStr">
        <is>
          <t>EH6 5HX</t>
        </is>
      </c>
      <c r="L273" s="10" t="inlineStr">
        <is>
          <t>0131 281 6507</t>
        </is>
      </c>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Verified directory</t>
        </is>
      </c>
      <c r="Y273" s="10" t="inlineStr">
        <is>
          <t>Not Found</t>
        </is>
      </c>
      <c r="Z273" s="10" t="inlineStr">
        <is>
          <t>Medium</t>
        </is>
      </c>
      <c r="AA273" s="10" t="inlineStr">
        <is>
          <t>Requires Verification</t>
        </is>
      </c>
      <c r="AB273" s="10" t="inlineStr">
        <is>
          <t>https://www.yell.com/biz/vapedrop-edinburgh-9306354/</t>
        </is>
      </c>
    </row>
    <row r="274">
      <c r="A274" s="5" t="inlineStr">
        <is>
          <t>UK-000409</t>
        </is>
      </c>
      <c r="B274" s="5" t="inlineStr">
        <is>
          <t>UK-000409-01</t>
        </is>
      </c>
      <c r="C274" s="5" t="inlineStr"/>
      <c r="D274" s="5" t="inlineStr">
        <is>
          <t>Vapenation Hindley</t>
        </is>
      </c>
      <c r="E274" s="5" t="inlineStr">
        <is>
          <t>Vape Shop</t>
        </is>
      </c>
      <c r="F274" s="5" t="inlineStr"/>
      <c r="G274" s="5" t="inlineStr">
        <is>
          <t>Independent</t>
        </is>
      </c>
      <c r="H274" s="5" t="inlineStr">
        <is>
          <t>1</t>
        </is>
      </c>
      <c r="I274" s="5" t="inlineStr">
        <is>
          <t>Atherton Road</t>
        </is>
      </c>
      <c r="J274" s="5" t="inlineStr">
        <is>
          <t>Wigan</t>
        </is>
      </c>
      <c r="K274" s="5" t="inlineStr"/>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https://hindley.cylex-uk.co.uk/company/vapenation-27279730.html</t>
        </is>
      </c>
    </row>
    <row r="275">
      <c r="A275" s="10" t="inlineStr">
        <is>
          <t>UK-000678</t>
        </is>
      </c>
      <c r="B275" s="10" t="inlineStr">
        <is>
          <t>UK-000678-01</t>
        </is>
      </c>
      <c r="C275" s="10" t="inlineStr"/>
      <c r="D275" s="10" t="inlineStr">
        <is>
          <t>Vapeology (Leyton)</t>
        </is>
      </c>
      <c r="E275" s="10" t="inlineStr">
        <is>
          <t>Vape Shop</t>
        </is>
      </c>
      <c r="F275" s="10" t="inlineStr">
        <is>
          <t>Vape hardware &amp; e-liquids</t>
        </is>
      </c>
      <c r="G275" s="10" t="inlineStr">
        <is>
          <t>Independent</t>
        </is>
      </c>
      <c r="H275" s="10" t="inlineStr">
        <is>
          <t>1</t>
        </is>
      </c>
      <c r="I275" s="10" t="inlineStr">
        <is>
          <t>622 Lea Bridge Road</t>
        </is>
      </c>
      <c r="J275" s="10" t="inlineStr">
        <is>
          <t>Leyton</t>
        </is>
      </c>
      <c r="K275" s="10" t="inlineStr">
        <is>
          <t>E10 6AP</t>
        </is>
      </c>
      <c r="L275" s="10" t="inlineStr"/>
      <c r="M275" s="10" t="inlineStr"/>
      <c r="N275" s="10" t="inlineStr"/>
      <c r="O275" s="10" t="inlineStr"/>
      <c r="P275" s="10" t="inlineStr"/>
      <c r="Q275" s="10" t="inlineStr"/>
      <c r="R275" s="10" t="inlineStr"/>
      <c r="S275" s="10" t="inlineStr"/>
      <c r="T275" s="10" t="inlineStr"/>
      <c r="U275" s="10" t="inlineStr"/>
      <c r="V275" s="10" t="inlineStr">
        <is>
          <t>Medium</t>
        </is>
      </c>
      <c r="W275" s="10" t="inlineStr">
        <is>
          <t>Independent retailer; Core relevant category</t>
        </is>
      </c>
      <c r="X275" s="10" t="inlineStr">
        <is>
          <t>Not Found</t>
        </is>
      </c>
      <c r="Y275" s="10" t="inlineStr">
        <is>
          <t>Not Found</t>
        </is>
      </c>
      <c r="Z275" s="10" t="inlineStr">
        <is>
          <t>Medium</t>
        </is>
      </c>
      <c r="AA275" s="10" t="inlineStr">
        <is>
          <t>Requires Verification</t>
        </is>
      </c>
      <c r="AB275" s="10" t="inlineStr">
        <is>
          <t>https://ecigdirectory.co.uk/vape-shop/listing/vapeology-leytonstone</t>
        </is>
      </c>
    </row>
    <row r="276">
      <c r="A276" s="5" t="inlineStr">
        <is>
          <t>WY-0180</t>
        </is>
      </c>
      <c r="B276" s="5" t="inlineStr">
        <is>
          <t>WY-0180-01</t>
        </is>
      </c>
      <c r="C276" s="5" t="inlineStr"/>
      <c r="D276" s="5" t="inlineStr">
        <is>
          <t>Vaperites</t>
        </is>
      </c>
      <c r="E276" s="5" t="inlineStr">
        <is>
          <t>Vape Shop</t>
        </is>
      </c>
      <c r="F276" s="5" t="inlineStr">
        <is>
          <t>Vape retailer and wholesaler</t>
        </is>
      </c>
      <c r="G276" s="5" t="inlineStr">
        <is>
          <t>Independent</t>
        </is>
      </c>
      <c r="H276" s="5" t="inlineStr">
        <is>
          <t>1</t>
        </is>
      </c>
      <c r="I276" s="5" t="inlineStr">
        <is>
          <t>9 Horse Fair</t>
        </is>
      </c>
      <c r="J276" s="5" t="inlineStr">
        <is>
          <t>Pontefract</t>
        </is>
      </c>
      <c r="K276" s="5" t="inlineStr">
        <is>
          <t>WF8 1PE</t>
        </is>
      </c>
      <c r="L276" s="5" t="inlineStr">
        <is>
          <t>01977 278484</t>
        </is>
      </c>
      <c r="M276" s="5" t="inlineStr">
        <is>
          <t>vaperite@gmail.com</t>
        </is>
      </c>
      <c r="N276" s="5" t="inlineStr"/>
      <c r="O276" s="5" t="inlineStr">
        <is>
          <t>https://vaperites.co.uk</t>
        </is>
      </c>
      <c r="P276" s="5" t="inlineStr">
        <is>
          <t>https://www.facebook.com/TheVapePeople/</t>
        </is>
      </c>
      <c r="Q276" s="5" t="inlineStr"/>
      <c r="R276" s="5" t="inlineStr"/>
      <c r="S276" s="5" t="inlineStr"/>
      <c r="T276" s="5" t="inlineStr"/>
      <c r="U276" s="5" t="inlineStr"/>
      <c r="V276" s="5" t="inlineStr">
        <is>
          <t>High</t>
        </is>
      </c>
      <c r="W276" s="5" t="inlineStr">
        <is>
          <t>Independent retailer; Core relevant category; Public email available; Active website; Social presence</t>
        </is>
      </c>
      <c r="X276" s="5" t="inlineStr">
        <is>
          <t>Verified directory</t>
        </is>
      </c>
      <c r="Y276" s="5" t="inlineStr">
        <is>
          <t>Unverified</t>
        </is>
      </c>
      <c r="Z276" s="5" t="inlineStr">
        <is>
          <t>Medium</t>
        </is>
      </c>
      <c r="AA276" s="5" t="inlineStr">
        <is>
          <t>Requires Verification</t>
        </is>
      </c>
      <c r="AB276" s="5" t="inlineStr">
        <is>
          <t>https://www.facebook.com/TheVapePeople/posts/new-opening-times9-horsefair-pontefract-wf8-1pe/417671657263981/</t>
        </is>
      </c>
    </row>
    <row r="277">
      <c r="A277" s="10" t="inlineStr">
        <is>
          <t>UK-000679</t>
        </is>
      </c>
      <c r="B277" s="10" t="inlineStr">
        <is>
          <t>UK-000679-01</t>
        </is>
      </c>
      <c r="C277" s="10" t="inlineStr"/>
      <c r="D277" s="10" t="inlineStr">
        <is>
          <t>Vapers City</t>
        </is>
      </c>
      <c r="E277" s="10" t="inlineStr">
        <is>
          <t>Vape Shop</t>
        </is>
      </c>
      <c r="F277" s="10" t="inlineStr">
        <is>
          <t>Vape hardware &amp; e-liquids</t>
        </is>
      </c>
      <c r="G277" s="10" t="inlineStr">
        <is>
          <t>Independent</t>
        </is>
      </c>
      <c r="H277" s="10" t="inlineStr">
        <is>
          <t>1</t>
        </is>
      </c>
      <c r="I277" s="10" t="inlineStr">
        <is>
          <t>202 Uxbridge Road</t>
        </is>
      </c>
      <c r="J277" s="10" t="inlineStr">
        <is>
          <t>London</t>
        </is>
      </c>
      <c r="K277" s="10" t="inlineStr">
        <is>
          <t>W12 7JP</t>
        </is>
      </c>
      <c r="L277" s="10" t="inlineStr"/>
      <c r="M277" s="10" t="inlineStr"/>
      <c r="N277" s="10" t="inlineStr"/>
      <c r="O277" s="10" t="inlineStr"/>
      <c r="P277" s="10" t="inlineStr"/>
      <c r="Q277" s="10" t="inlineStr"/>
      <c r="R277" s="10" t="inlineStr"/>
      <c r="S277" s="10" t="inlineStr"/>
      <c r="T277" s="10" t="inlineStr"/>
      <c r="U277" s="10" t="inlineStr"/>
      <c r="V277" s="10" t="inlineStr">
        <is>
          <t>Medium</t>
        </is>
      </c>
      <c r="W277" s="10" t="inlineStr">
        <is>
          <t>Independent retailer; Core relevant category</t>
        </is>
      </c>
      <c r="X277" s="10" t="inlineStr">
        <is>
          <t>Not Found</t>
        </is>
      </c>
      <c r="Y277" s="10" t="inlineStr">
        <is>
          <t>Not Found</t>
        </is>
      </c>
      <c r="Z277" s="10" t="inlineStr">
        <is>
          <t>Low</t>
        </is>
      </c>
      <c r="AA277" s="10" t="inlineStr">
        <is>
          <t>Requires Verification</t>
        </is>
      </c>
      <c r="AB277" s="10" t="inlineStr">
        <is>
          <t>https://www.yell.com/biz/vapers-city-london-9724114/</t>
        </is>
      </c>
    </row>
    <row r="278">
      <c r="A278" s="5" t="inlineStr">
        <is>
          <t>UK-000538</t>
        </is>
      </c>
      <c r="B278" s="5" t="inlineStr">
        <is>
          <t>UK-000538-01</t>
        </is>
      </c>
      <c r="C278" s="5" t="inlineStr"/>
      <c r="D278" s="5" t="inlineStr">
        <is>
          <t>Vapers Pantry</t>
        </is>
      </c>
      <c r="E278" s="5" t="inlineStr">
        <is>
          <t>Vape Shop</t>
        </is>
      </c>
      <c r="F278" s="5" t="inlineStr">
        <is>
          <t>E-liquid &amp; kit retailer</t>
        </is>
      </c>
      <c r="G278" s="5" t="inlineStr">
        <is>
          <t>Independent</t>
        </is>
      </c>
      <c r="H278" s="5" t="inlineStr">
        <is>
          <t>1</t>
        </is>
      </c>
      <c r="I278" s="5" t="inlineStr">
        <is>
          <t>39 Birmingham New Road</t>
        </is>
      </c>
      <c r="J278" s="5" t="inlineStr">
        <is>
          <t>Wolverhampton</t>
        </is>
      </c>
      <c r="K278" s="5" t="inlineStr">
        <is>
          <t>WV4 6BL</t>
        </is>
      </c>
      <c r="L278" s="5" t="inlineStr">
        <is>
          <t>01902 444090</t>
        </is>
      </c>
      <c r="M278" s="5" t="inlineStr">
        <is>
          <t>sales@vaperspantry.com</t>
        </is>
      </c>
      <c r="N278" s="5" t="inlineStr">
        <is>
          <t>sales@vaperspantry.com</t>
        </is>
      </c>
      <c r="O278" s="5" t="inlineStr">
        <is>
          <t>https://vaperspantry.com/</t>
        </is>
      </c>
      <c r="P278" s="5" t="inlineStr"/>
      <c r="Q278" s="5" t="inlineStr"/>
      <c r="R278" s="5" t="inlineStr"/>
      <c r="S278" s="5" t="inlineStr"/>
      <c r="T278" s="5" t="inlineStr">
        <is>
          <t>12684772</t>
        </is>
      </c>
      <c r="U278" s="5" t="inlineStr"/>
      <c r="V278" s="5" t="inlineStr">
        <is>
          <t>High</t>
        </is>
      </c>
      <c r="W278" s="5" t="inlineStr">
        <is>
          <t>Independent retailer; Core relevant category; Public trade/sales contact; Active website</t>
        </is>
      </c>
      <c r="X278" s="5" t="inlineStr">
        <is>
          <t>Verified directory</t>
        </is>
      </c>
      <c r="Y278" s="5" t="inlineStr">
        <is>
          <t>Publicly Listed</t>
        </is>
      </c>
      <c r="Z278" s="5" t="inlineStr">
        <is>
          <t>High</t>
        </is>
      </c>
      <c r="AA278" s="5" t="inlineStr">
        <is>
          <t>Verified (website + Companies House)</t>
        </is>
      </c>
      <c r="AB278" s="5" t="inlineStr">
        <is>
          <t>https://vaperspantry.com/contact</t>
        </is>
      </c>
    </row>
    <row r="279">
      <c r="A279" s="10" t="inlineStr">
        <is>
          <t>UK-000836</t>
        </is>
      </c>
      <c r="B279" s="10" t="inlineStr">
        <is>
          <t>UK-000836-01</t>
        </is>
      </c>
      <c r="C279" s="10" t="inlineStr"/>
      <c r="D279" s="10" t="inlineStr">
        <is>
          <t>Vapes N Shakes</t>
        </is>
      </c>
      <c r="E279" s="10" t="inlineStr">
        <is>
          <t>Vape Shop</t>
        </is>
      </c>
      <c r="F279" s="10" t="inlineStr">
        <is>
          <t>Vape shop / e-liquids</t>
        </is>
      </c>
      <c r="G279" s="10" t="inlineStr">
        <is>
          <t>Independent</t>
        </is>
      </c>
      <c r="H279" s="10" t="inlineStr">
        <is>
          <t>1</t>
        </is>
      </c>
      <c r="I279" s="10" t="inlineStr">
        <is>
          <t>Chalmers Street</t>
        </is>
      </c>
      <c r="J279" s="10" t="inlineStr">
        <is>
          <t>Dunfermline</t>
        </is>
      </c>
      <c r="K279" s="10" t="inlineStr"/>
      <c r="L279" s="10" t="inlineStr">
        <is>
          <t>01383 624763</t>
        </is>
      </c>
      <c r="M279" s="10" t="inlineStr"/>
      <c r="N279" s="10" t="inlineStr"/>
      <c r="O279" s="10" t="inlineStr"/>
      <c r="P279" s="10" t="inlineStr"/>
      <c r="Q279" s="10" t="inlineStr"/>
      <c r="R279" s="10" t="inlineStr"/>
      <c r="S279" s="10" t="inlineStr"/>
      <c r="T279" s="10" t="inlineStr"/>
      <c r="U279" s="10" t="inlineStr"/>
      <c r="V279" s="10" t="inlineStr">
        <is>
          <t>Medium</t>
        </is>
      </c>
      <c r="W279" s="10" t="inlineStr">
        <is>
          <t>Independent retailer; Core relevant category</t>
        </is>
      </c>
      <c r="X279" s="10" t="inlineStr">
        <is>
          <t>Verified directory</t>
        </is>
      </c>
      <c r="Y279" s="10" t="inlineStr">
        <is>
          <t>Not Found</t>
        </is>
      </c>
      <c r="Z279" s="10" t="inlineStr">
        <is>
          <t>Low</t>
        </is>
      </c>
      <c r="AA279" s="10" t="inlineStr">
        <is>
          <t>Requires Verification</t>
        </is>
      </c>
      <c r="AB279" s="10" t="inlineStr">
        <is>
          <t>https://dunfermline.cylex-uk.co.uk/company/vapes-n-shakes-28010123.html</t>
        </is>
      </c>
    </row>
    <row r="280">
      <c r="A280" s="5" t="inlineStr">
        <is>
          <t>UK-000837</t>
        </is>
      </c>
      <c r="B280" s="5" t="inlineStr">
        <is>
          <t>UK-000837-01</t>
        </is>
      </c>
      <c r="C280" s="5" t="inlineStr"/>
      <c r="D280" s="5" t="inlineStr">
        <is>
          <t>Vapes Wirral</t>
        </is>
      </c>
      <c r="E280" s="5" t="inlineStr">
        <is>
          <t>Vape Shop</t>
        </is>
      </c>
      <c r="F280" s="5" t="inlineStr">
        <is>
          <t>Vape shop</t>
        </is>
      </c>
      <c r="G280" s="5" t="inlineStr">
        <is>
          <t>Independent</t>
        </is>
      </c>
      <c r="H280" s="5" t="inlineStr">
        <is>
          <t>1</t>
        </is>
      </c>
      <c r="I280" s="5" t="inlineStr">
        <is>
          <t>60 Market Street</t>
        </is>
      </c>
      <c r="J280" s="5" t="inlineStr">
        <is>
          <t>Wirral</t>
        </is>
      </c>
      <c r="K280" s="5" t="inlineStr">
        <is>
          <t>CH47 3BB</t>
        </is>
      </c>
      <c r="L280" s="5" t="inlineStr"/>
      <c r="M280" s="5" t="inlineStr"/>
      <c r="N280" s="5" t="inlineStr"/>
      <c r="O280" s="5" t="inlineStr"/>
      <c r="P280" s="5" t="inlineStr"/>
      <c r="Q280" s="5" t="inlineStr"/>
      <c r="R280" s="5" t="inlineStr"/>
      <c r="S280" s="5" t="inlineStr"/>
      <c r="T280" s="5" t="inlineStr"/>
      <c r="U280" s="5" t="inlineStr"/>
      <c r="V280" s="5" t="inlineStr">
        <is>
          <t>Medium</t>
        </is>
      </c>
      <c r="W280" s="5" t="inlineStr">
        <is>
          <t>Independent retailer; Core relevant category</t>
        </is>
      </c>
      <c r="X280" s="5" t="inlineStr">
        <is>
          <t>Not Found</t>
        </is>
      </c>
      <c r="Y280" s="5" t="inlineStr">
        <is>
          <t>Not Found</t>
        </is>
      </c>
      <c r="Z280" s="5" t="inlineStr">
        <is>
          <t>Low</t>
        </is>
      </c>
      <c r="AA280" s="5" t="inlineStr">
        <is>
          <t>Requires Verification</t>
        </is>
      </c>
      <c r="AB280" s="5" t="inlineStr">
        <is>
          <t>https://vapeshops.puffingbird.com/england/wirral</t>
        </is>
      </c>
    </row>
    <row r="281">
      <c r="A281" s="10" t="inlineStr">
        <is>
          <t>WY-0181</t>
        </is>
      </c>
      <c r="B281" s="10" t="inlineStr">
        <is>
          <t>WY-0181-01</t>
        </is>
      </c>
      <c r="C281" s="10" t="inlineStr"/>
      <c r="D281" s="10" t="inlineStr">
        <is>
          <t>Vapestation</t>
        </is>
      </c>
      <c r="E281" s="10" t="inlineStr">
        <is>
          <t>Vape Shop</t>
        </is>
      </c>
      <c r="F281" s="10" t="inlineStr">
        <is>
          <t>E-liquid and hardware specialist</t>
        </is>
      </c>
      <c r="G281" s="10" t="inlineStr">
        <is>
          <t>Independent</t>
        </is>
      </c>
      <c r="H281" s="10" t="inlineStr">
        <is>
          <t>1</t>
        </is>
      </c>
      <c r="I281" s="10" t="inlineStr">
        <is>
          <t>39a Horton Street</t>
        </is>
      </c>
      <c r="J281" s="10" t="inlineStr">
        <is>
          <t>Halifax</t>
        </is>
      </c>
      <c r="K281" s="10" t="inlineStr">
        <is>
          <t>HX1 1QE</t>
        </is>
      </c>
      <c r="L281" s="10" t="inlineStr">
        <is>
          <t>01422 365557</t>
        </is>
      </c>
      <c r="M281" s="10" t="inlineStr"/>
      <c r="N281" s="10" t="inlineStr"/>
      <c r="O281" s="10" t="inlineStr"/>
      <c r="P281" s="10" t="inlineStr"/>
      <c r="Q281" s="10" t="inlineStr"/>
      <c r="R281" s="10" t="inlineStr"/>
      <c r="S281" s="10" t="inlineStr"/>
      <c r="T281" s="10" t="inlineStr"/>
      <c r="U281" s="10" t="inlineStr"/>
      <c r="V281" s="10" t="inlineStr">
        <is>
          <t>Medium</t>
        </is>
      </c>
      <c r="W281" s="10" t="inlineStr">
        <is>
          <t>Independent retailer; Core relevant category; Social presence</t>
        </is>
      </c>
      <c r="X281" s="10" t="inlineStr">
        <is>
          <t>Verified directory</t>
        </is>
      </c>
      <c r="Y281" s="10" t="inlineStr">
        <is>
          <t>Not Found</t>
        </is>
      </c>
      <c r="Z281" s="10" t="inlineStr">
        <is>
          <t>Medium</t>
        </is>
      </c>
      <c r="AA281" s="10" t="inlineStr">
        <is>
          <t>Requires Verification</t>
        </is>
      </c>
      <c r="AB281" s="10" t="inlineStr">
        <is>
          <t>https://www.yell.com/biz/vape-station-halifax-8116342/</t>
        </is>
      </c>
    </row>
    <row r="282">
      <c r="A282" s="5" t="inlineStr">
        <is>
          <t>WY-0182</t>
        </is>
      </c>
      <c r="B282" s="5" t="inlineStr">
        <is>
          <t>WY-0182-01</t>
        </is>
      </c>
      <c r="C282" s="5" t="inlineStr"/>
      <c r="D282" s="5" t="inlineStr">
        <is>
          <t>Vaping Bar Normanton</t>
        </is>
      </c>
      <c r="E282" s="5" t="inlineStr">
        <is>
          <t>Vape Shop</t>
        </is>
      </c>
      <c r="F282" s="5" t="inlineStr">
        <is>
          <t>Vape retailer</t>
        </is>
      </c>
      <c r="G282" s="5" t="inlineStr">
        <is>
          <t>Independent</t>
        </is>
      </c>
      <c r="H282" s="5" t="inlineStr">
        <is>
          <t>1</t>
        </is>
      </c>
      <c r="I282" s="5" t="inlineStr"/>
      <c r="J282" s="5" t="inlineStr">
        <is>
          <t>Normanton</t>
        </is>
      </c>
      <c r="K282" s="5" t="inlineStr"/>
      <c r="L282" s="5" t="inlineStr"/>
      <c r="M282" s="5" t="inlineStr"/>
      <c r="N282" s="5" t="inlineStr"/>
      <c r="O282" s="5" t="inlineStr"/>
      <c r="P282" s="5" t="inlineStr">
        <is>
          <t>https://www.facebook.com/p/Vaping-Bar-Normanton-100063635944918/</t>
        </is>
      </c>
      <c r="Q282" s="5" t="inlineStr"/>
      <c r="R282" s="5" t="inlineStr"/>
      <c r="S282" s="5" t="inlineStr"/>
      <c r="T282" s="5" t="inlineStr"/>
      <c r="U282" s="5" t="inlineStr"/>
      <c r="V282" s="5" t="inlineStr">
        <is>
          <t>Medium</t>
        </is>
      </c>
      <c r="W282" s="5" t="inlineStr">
        <is>
          <t>Independent retailer; Core relevant category; Social presence</t>
        </is>
      </c>
      <c r="X282" s="5" t="inlineStr">
        <is>
          <t>Not Found</t>
        </is>
      </c>
      <c r="Y282" s="5" t="inlineStr">
        <is>
          <t>Not Found</t>
        </is>
      </c>
      <c r="Z282" s="5" t="inlineStr">
        <is>
          <t>Low</t>
        </is>
      </c>
      <c r="AA282" s="5" t="inlineStr">
        <is>
          <t>Requires Verification</t>
        </is>
      </c>
      <c r="AB282" s="5" t="inlineStr">
        <is>
          <t>https://www.facebook.com/p/Vaping-Bar-Normanton-100063635944918/</t>
        </is>
      </c>
    </row>
    <row r="283">
      <c r="A283" s="10" t="inlineStr">
        <is>
          <t>UK-000293</t>
        </is>
      </c>
      <c r="B283" s="10" t="inlineStr">
        <is>
          <t>UK-000293-01</t>
        </is>
      </c>
      <c r="C283" s="10" t="inlineStr"/>
      <c r="D283" s="10" t="inlineStr">
        <is>
          <t>Vaping Cloud</t>
        </is>
      </c>
      <c r="E283" s="10" t="inlineStr">
        <is>
          <t>Vape Shop</t>
        </is>
      </c>
      <c r="F283" s="10" t="inlineStr">
        <is>
          <t>E-liquid shop</t>
        </is>
      </c>
      <c r="G283" s="10" t="inlineStr">
        <is>
          <t>Independent</t>
        </is>
      </c>
      <c r="H283" s="10" t="inlineStr">
        <is>
          <t>1</t>
        </is>
      </c>
      <c r="I283" s="10" t="inlineStr">
        <is>
          <t>3 Bedford Road</t>
        </is>
      </c>
      <c r="J283" s="10" t="inlineStr">
        <is>
          <t>Cleethorpes</t>
        </is>
      </c>
      <c r="K283" s="10" t="inlineStr">
        <is>
          <t>DN35 0PX</t>
        </is>
      </c>
      <c r="L283" s="10" t="inlineStr">
        <is>
          <t>01472 488770</t>
        </is>
      </c>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Verified directory</t>
        </is>
      </c>
      <c r="Y283" s="10" t="inlineStr">
        <is>
          <t>Not Found</t>
        </is>
      </c>
      <c r="Z283" s="10" t="inlineStr">
        <is>
          <t>Low</t>
        </is>
      </c>
      <c r="AA283" s="10" t="inlineStr">
        <is>
          <t>Requires Verification</t>
        </is>
      </c>
      <c r="AB283" s="10" t="inlineStr">
        <is>
          <t>https://ecigdirectory.co.uk/vape-shop/listing/vaping-lounge-high-street</t>
        </is>
      </c>
    </row>
    <row r="284">
      <c r="A284" s="5" t="inlineStr">
        <is>
          <t>WY-0183</t>
        </is>
      </c>
      <c r="B284" s="5" t="inlineStr">
        <is>
          <t>WY-0183-01</t>
        </is>
      </c>
      <c r="C284" s="5" t="inlineStr"/>
      <c r="D284" s="5" t="inlineStr">
        <is>
          <t>Vaporized Meanwood</t>
        </is>
      </c>
      <c r="E284" s="5" t="inlineStr">
        <is>
          <t>Vape Shop</t>
        </is>
      </c>
      <c r="F284" s="5" t="inlineStr">
        <is>
          <t>E-cigarette and e-liquid shop</t>
        </is>
      </c>
      <c r="G284" s="5" t="inlineStr">
        <is>
          <t>Unknown</t>
        </is>
      </c>
      <c r="H284" s="5" t="inlineStr">
        <is>
          <t>1</t>
        </is>
      </c>
      <c r="I284" s="5" t="inlineStr">
        <is>
          <t>16 Stonegate Road</t>
        </is>
      </c>
      <c r="J284" s="5" t="inlineStr">
        <is>
          <t>Leeds</t>
        </is>
      </c>
      <c r="K284" s="5" t="inlineStr">
        <is>
          <t>LS6 4HY</t>
        </is>
      </c>
      <c r="L284" s="5" t="inlineStr">
        <is>
          <t>0113 274 8997</t>
        </is>
      </c>
      <c r="M284" s="5" t="inlineStr"/>
      <c r="N284" s="5" t="inlineStr"/>
      <c r="O284" s="5" t="inlineStr"/>
      <c r="P284" s="5" t="inlineStr"/>
      <c r="Q284" s="5" t="inlineStr"/>
      <c r="R284" s="5" t="inlineStr"/>
      <c r="S284" s="5" t="inlineStr"/>
      <c r="T284" s="5" t="inlineStr"/>
      <c r="U284" s="5" t="inlineStr"/>
      <c r="V284" s="5" t="inlineStr">
        <is>
          <t>Low</t>
        </is>
      </c>
      <c r="W284" s="5" t="inlineStr">
        <is>
          <t>Core relevant category</t>
        </is>
      </c>
      <c r="X284" s="5" t="inlineStr">
        <is>
          <t>Verified directory</t>
        </is>
      </c>
      <c r="Y284" s="5" t="inlineStr">
        <is>
          <t>Not Found</t>
        </is>
      </c>
      <c r="Z284" s="5" t="inlineStr">
        <is>
          <t>Low</t>
        </is>
      </c>
      <c r="AA284" s="5" t="inlineStr">
        <is>
          <t>Requires Verification</t>
        </is>
      </c>
      <c r="AB284" s="5" t="inlineStr">
        <is>
          <t>https://ecigdirectory.co.uk/vape-shop/listing/vaporized-meanwood-leeds</t>
        </is>
      </c>
    </row>
    <row r="285">
      <c r="A285" s="10" t="inlineStr">
        <is>
          <t>UK-000410</t>
        </is>
      </c>
      <c r="B285" s="10" t="inlineStr">
        <is>
          <t>UK-000410-01</t>
        </is>
      </c>
      <c r="C285" s="10" t="inlineStr"/>
      <c r="D285" s="10" t="inlineStr">
        <is>
          <t>Vapour Chase Farnworth</t>
        </is>
      </c>
      <c r="E285" s="10" t="inlineStr">
        <is>
          <t>Vape Shop</t>
        </is>
      </c>
      <c r="F285" s="10" t="inlineStr"/>
      <c r="G285" s="10" t="inlineStr">
        <is>
          <t>Independent</t>
        </is>
      </c>
      <c r="H285" s="10" t="inlineStr">
        <is>
          <t>1</t>
        </is>
      </c>
      <c r="I285" s="10" t="inlineStr">
        <is>
          <t>68 Market Street</t>
        </is>
      </c>
      <c r="J285" s="10" t="inlineStr">
        <is>
          <t>Bolton</t>
        </is>
      </c>
      <c r="K285" s="10" t="inlineStr">
        <is>
          <t>BL4 7NY</t>
        </is>
      </c>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Independent retailer; Core relevant category</t>
        </is>
      </c>
      <c r="X285" s="10" t="inlineStr">
        <is>
          <t>Not Found</t>
        </is>
      </c>
      <c r="Y285" s="10" t="inlineStr">
        <is>
          <t>Not Found</t>
        </is>
      </c>
      <c r="Z285" s="10" t="inlineStr">
        <is>
          <t>Low</t>
        </is>
      </c>
      <c r="AA285" s="10" t="inlineStr">
        <is>
          <t>Requires Verification</t>
        </is>
      </c>
      <c r="AB285" s="10" t="inlineStr">
        <is>
          <t>https://vapemaps.co/england/greater-manchester/farnworth</t>
        </is>
      </c>
    </row>
    <row r="286">
      <c r="A286" s="5" t="inlineStr">
        <is>
          <t>UK-000681</t>
        </is>
      </c>
      <c r="B286" s="5" t="inlineStr">
        <is>
          <t>UK-000681-01</t>
        </is>
      </c>
      <c r="C286" s="5" t="inlineStr"/>
      <c r="D286" s="5" t="inlineStr">
        <is>
          <t>Vapour Gallery (Stratford)</t>
        </is>
      </c>
      <c r="E286" s="5" t="inlineStr">
        <is>
          <t>Vape Shop</t>
        </is>
      </c>
      <c r="F286" s="5" t="inlineStr">
        <is>
          <t>Vape hardware &amp; e-liquids</t>
        </is>
      </c>
      <c r="G286" s="5" t="inlineStr">
        <is>
          <t>Independent</t>
        </is>
      </c>
      <c r="H286" s="5" t="inlineStr">
        <is>
          <t>1</t>
        </is>
      </c>
      <c r="I286" s="5" t="inlineStr">
        <is>
          <t>7-9 West Ham Lane</t>
        </is>
      </c>
      <c r="J286" s="5" t="inlineStr">
        <is>
          <t>Stratford</t>
        </is>
      </c>
      <c r="K286" s="5" t="inlineStr"/>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Not Found</t>
        </is>
      </c>
      <c r="Y286" s="5" t="inlineStr">
        <is>
          <t>Not Found</t>
        </is>
      </c>
      <c r="Z286" s="5" t="inlineStr">
        <is>
          <t>Low</t>
        </is>
      </c>
      <c r="AA286" s="5" t="inlineStr">
        <is>
          <t>Requires Verification</t>
        </is>
      </c>
      <c r="AB286" s="5" t="inlineStr">
        <is>
          <t>https://london.cylex-uk.co.uk/stratford/retail%20shops.html</t>
        </is>
      </c>
    </row>
    <row r="287">
      <c r="A287" s="10" t="inlineStr">
        <is>
          <t>WY-0184</t>
        </is>
      </c>
      <c r="B287" s="10" t="inlineStr">
        <is>
          <t>WY-0184-01</t>
        </is>
      </c>
      <c r="C287" s="10" t="inlineStr"/>
      <c r="D287" s="10" t="inlineStr">
        <is>
          <t>Vapour Parlour</t>
        </is>
      </c>
      <c r="E287" s="10" t="inlineStr">
        <is>
          <t>Vape Shop</t>
        </is>
      </c>
      <c r="F287" s="10" t="inlineStr">
        <is>
          <t>Vape retailer</t>
        </is>
      </c>
      <c r="G287" s="10" t="inlineStr">
        <is>
          <t>Independent</t>
        </is>
      </c>
      <c r="H287" s="10" t="inlineStr">
        <is>
          <t>1</t>
        </is>
      </c>
      <c r="I287" s="10" t="inlineStr">
        <is>
          <t>83 Kirkby Road</t>
        </is>
      </c>
      <c r="J287" s="10" t="inlineStr">
        <is>
          <t>Hemsworth</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Medium</t>
        </is>
      </c>
      <c r="W287" s="10" t="inlineStr">
        <is>
          <t>Independent retailer; Core relevant category</t>
        </is>
      </c>
      <c r="X287" s="10" t="inlineStr">
        <is>
          <t>Not Found</t>
        </is>
      </c>
      <c r="Y287" s="10" t="inlineStr">
        <is>
          <t>Not Found</t>
        </is>
      </c>
      <c r="Z287" s="10" t="inlineStr">
        <is>
          <t>Low</t>
        </is>
      </c>
      <c r="AA287" s="10" t="inlineStr">
        <is>
          <t>Requires Verification</t>
        </is>
      </c>
      <c r="AB287" s="10" t="inlineStr">
        <is>
          <t>https://ecigdirectory.co.uk/vape-shop/listing/vapour-parlour</t>
        </is>
      </c>
    </row>
    <row r="288">
      <c r="A288" s="5" t="inlineStr">
        <is>
          <t>UK-000294</t>
        </is>
      </c>
      <c r="B288" s="5" t="inlineStr">
        <is>
          <t>UK-000294-01</t>
        </is>
      </c>
      <c r="C288" s="5" t="inlineStr"/>
      <c r="D288" s="5" t="inlineStr">
        <is>
          <t>VapourWave Harrogate</t>
        </is>
      </c>
      <c r="E288" s="5" t="inlineStr">
        <is>
          <t>Vape Shop</t>
        </is>
      </c>
      <c r="F288" s="5" t="inlineStr">
        <is>
          <t>Pod kits, e-juice, coils &amp; shortfills</t>
        </is>
      </c>
      <c r="G288" s="5" t="inlineStr">
        <is>
          <t>Independent</t>
        </is>
      </c>
      <c r="H288" s="5" t="inlineStr">
        <is>
          <t>1</t>
        </is>
      </c>
      <c r="I288" s="5" t="inlineStr">
        <is>
          <t>25 Regent Parade</t>
        </is>
      </c>
      <c r="J288" s="5" t="inlineStr">
        <is>
          <t>Harrogate</t>
        </is>
      </c>
      <c r="K288" s="5" t="inlineStr">
        <is>
          <t>HG1 5AZ</t>
        </is>
      </c>
      <c r="L288" s="5" t="inlineStr">
        <is>
          <t>01423 601806</t>
        </is>
      </c>
      <c r="M288" s="5" t="inlineStr"/>
      <c r="N288" s="5" t="inlineStr"/>
      <c r="O288" s="5" t="inlineStr">
        <is>
          <t>https://www.vapour-wave.co.uk/</t>
        </is>
      </c>
      <c r="P288" s="5" t="inlineStr">
        <is>
          <t>https://www.facebook.com/VapourWaveHG/</t>
        </is>
      </c>
      <c r="Q288" s="5" t="inlineStr"/>
      <c r="R288" s="5" t="inlineStr"/>
      <c r="S288" s="5" t="inlineStr"/>
      <c r="T288" s="5" t="inlineStr"/>
      <c r="U288" s="5" t="inlineStr"/>
      <c r="V288" s="5" t="inlineStr">
        <is>
          <t>Medium</t>
        </is>
      </c>
      <c r="W288" s="5" t="inlineStr">
        <is>
          <t>Independent retailer; Core relevant category; Active website; Social presence</t>
        </is>
      </c>
      <c r="X288" s="5" t="inlineStr">
        <is>
          <t>Verified directory</t>
        </is>
      </c>
      <c r="Y288" s="5" t="inlineStr">
        <is>
          <t>Website Found</t>
        </is>
      </c>
      <c r="Z288" s="5" t="inlineStr">
        <is>
          <t>Medium</t>
        </is>
      </c>
      <c r="AA288" s="5" t="inlineStr">
        <is>
          <t>Requires Verification</t>
        </is>
      </c>
      <c r="AB288" s="5" t="inlineStr">
        <is>
          <t>https://www.vapour-wave.co.uk/location</t>
        </is>
      </c>
    </row>
    <row r="289">
      <c r="A289" s="10" t="inlineStr">
        <is>
          <t>UK-000838</t>
        </is>
      </c>
      <c r="B289" s="10" t="inlineStr">
        <is>
          <t>UK-000838-01</t>
        </is>
      </c>
      <c r="C289" s="10" t="inlineStr"/>
      <c r="D289" s="10" t="inlineStr">
        <is>
          <t>Vapourohm Airdrie</t>
        </is>
      </c>
      <c r="E289" s="10" t="inlineStr">
        <is>
          <t>Vape Shop</t>
        </is>
      </c>
      <c r="F289" s="10" t="inlineStr">
        <is>
          <t>Vape shop</t>
        </is>
      </c>
      <c r="G289" s="10" t="inlineStr">
        <is>
          <t>Independent</t>
        </is>
      </c>
      <c r="H289" s="10" t="inlineStr">
        <is>
          <t>1</t>
        </is>
      </c>
      <c r="I289" s="10" t="inlineStr">
        <is>
          <t>1 Anderson Street</t>
        </is>
      </c>
      <c r="J289" s="10" t="inlineStr">
        <is>
          <t>Airdrie</t>
        </is>
      </c>
      <c r="K289" s="10" t="inlineStr">
        <is>
          <t>ML6 0AA</t>
        </is>
      </c>
      <c r="L289" s="10" t="inlineStr">
        <is>
          <t>01236 779111</t>
        </is>
      </c>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Verified directory</t>
        </is>
      </c>
      <c r="Y289" s="10" t="inlineStr">
        <is>
          <t>Not Found</t>
        </is>
      </c>
      <c r="Z289" s="10" t="inlineStr">
        <is>
          <t>Low</t>
        </is>
      </c>
      <c r="AA289" s="10" t="inlineStr">
        <is>
          <t>Requires Verification</t>
        </is>
      </c>
      <c r="AB289" s="10" t="inlineStr">
        <is>
          <t>https://coatbridge.cylex-uk.co.uk/company/vpz-26511137.html</t>
        </is>
      </c>
    </row>
    <row r="290">
      <c r="A290" s="5" t="inlineStr">
        <is>
          <t>UK-000839</t>
        </is>
      </c>
      <c r="B290" s="5" t="inlineStr">
        <is>
          <t>UK-000839-01</t>
        </is>
      </c>
      <c r="C290" s="5" t="inlineStr"/>
      <c r="D290" s="5" t="inlineStr">
        <is>
          <t>Vapourz Airdrie</t>
        </is>
      </c>
      <c r="E290" s="5" t="inlineStr">
        <is>
          <t>Vape Shop</t>
        </is>
      </c>
      <c r="F290" s="5" t="inlineStr">
        <is>
          <t>Vape shop</t>
        </is>
      </c>
      <c r="G290" s="5" t="inlineStr">
        <is>
          <t>Independent</t>
        </is>
      </c>
      <c r="H290" s="5" t="inlineStr">
        <is>
          <t>1</t>
        </is>
      </c>
      <c r="I290" s="5" t="inlineStr">
        <is>
          <t>72 Graham Street</t>
        </is>
      </c>
      <c r="J290" s="5" t="inlineStr">
        <is>
          <t>Airdrie</t>
        </is>
      </c>
      <c r="K290" s="5" t="inlineStr">
        <is>
          <t>ML6 6BU</t>
        </is>
      </c>
      <c r="L290" s="5" t="inlineStr">
        <is>
          <t>01236 763833</t>
        </is>
      </c>
      <c r="M290" s="5" t="inlineStr"/>
      <c r="N290" s="5" t="inlineStr"/>
      <c r="O290" s="5" t="inlineStr"/>
      <c r="P290" s="5" t="inlineStr"/>
      <c r="Q290" s="5" t="inlineStr"/>
      <c r="R290" s="5" t="inlineStr"/>
      <c r="S290" s="5" t="inlineStr"/>
      <c r="T290" s="5" t="inlineStr"/>
      <c r="U290" s="5" t="inlineStr"/>
      <c r="V290" s="5" t="inlineStr">
        <is>
          <t>Medium</t>
        </is>
      </c>
      <c r="W290" s="5" t="inlineStr">
        <is>
          <t>Independent retailer; Core relevant category</t>
        </is>
      </c>
      <c r="X290" s="5" t="inlineStr">
        <is>
          <t>Verified directory</t>
        </is>
      </c>
      <c r="Y290" s="5" t="inlineStr">
        <is>
          <t>Not Found</t>
        </is>
      </c>
      <c r="Z290" s="5" t="inlineStr">
        <is>
          <t>Low</t>
        </is>
      </c>
      <c r="AA290" s="5" t="inlineStr">
        <is>
          <t>Requires Verification</t>
        </is>
      </c>
      <c r="AB290" s="5" t="inlineStr">
        <is>
          <t>https://vapemaps.co/scotland/north-lanarkshire/coatbridge</t>
        </is>
      </c>
    </row>
    <row r="291">
      <c r="A291" s="10" t="inlineStr">
        <is>
          <t>UK-000840</t>
        </is>
      </c>
      <c r="B291" s="10" t="inlineStr">
        <is>
          <t>UK-000840-01</t>
        </is>
      </c>
      <c r="C291" s="10" t="inlineStr"/>
      <c r="D291" s="10" t="inlineStr">
        <is>
          <t>Vapourzone Waterloo</t>
        </is>
      </c>
      <c r="E291" s="10" t="inlineStr">
        <is>
          <t>Vape Shop</t>
        </is>
      </c>
      <c r="F291" s="10" t="inlineStr">
        <is>
          <t>Vape shop</t>
        </is>
      </c>
      <c r="G291" s="10" t="inlineStr">
        <is>
          <t>Independent</t>
        </is>
      </c>
      <c r="H291" s="10" t="inlineStr">
        <is>
          <t>1</t>
        </is>
      </c>
      <c r="I291" s="10" t="inlineStr">
        <is>
          <t>121 South Road</t>
        </is>
      </c>
      <c r="J291" s="10" t="inlineStr">
        <is>
          <t>Liverpool</t>
        </is>
      </c>
      <c r="K291" s="10" t="inlineStr"/>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Independent retailer; Core relevant category</t>
        </is>
      </c>
      <c r="X291" s="10" t="inlineStr">
        <is>
          <t>Not Found</t>
        </is>
      </c>
      <c r="Y291" s="10" t="inlineStr">
        <is>
          <t>Not Found</t>
        </is>
      </c>
      <c r="Z291" s="10" t="inlineStr">
        <is>
          <t>Low</t>
        </is>
      </c>
      <c r="AA291" s="10" t="inlineStr">
        <is>
          <t>Requires Verification</t>
        </is>
      </c>
      <c r="AB291" s="10" t="inlineStr">
        <is>
          <t>https://ecigdirectory.co.uk/vape-shop/listing/vapourzone-waterloo</t>
        </is>
      </c>
    </row>
    <row r="292">
      <c r="A292" s="5" t="inlineStr">
        <is>
          <t>UK-000841</t>
        </is>
      </c>
      <c r="B292" s="5" t="inlineStr">
        <is>
          <t>UK-000841-01</t>
        </is>
      </c>
      <c r="C292" s="5" t="inlineStr"/>
      <c r="D292" s="5" t="inlineStr">
        <is>
          <t>Viper Vapes</t>
        </is>
      </c>
      <c r="E292" s="5" t="inlineStr">
        <is>
          <t>Vape Shop</t>
        </is>
      </c>
      <c r="F292" s="5" t="inlineStr">
        <is>
          <t>Vape shop</t>
        </is>
      </c>
      <c r="G292" s="5" t="inlineStr">
        <is>
          <t>Independent</t>
        </is>
      </c>
      <c r="H292" s="5" t="inlineStr">
        <is>
          <t>1</t>
        </is>
      </c>
      <c r="I292" s="5" t="inlineStr">
        <is>
          <t>17 Market Street</t>
        </is>
      </c>
      <c r="J292" s="5" t="inlineStr">
        <is>
          <t>Newton-le-Willows</t>
        </is>
      </c>
      <c r="K292" s="5" t="inlineStr">
        <is>
          <t>WA12 9BQ</t>
        </is>
      </c>
      <c r="L292" s="5" t="inlineStr">
        <is>
          <t>07526 275877</t>
        </is>
      </c>
      <c r="M292" s="5" t="inlineStr"/>
      <c r="N292" s="5" t="inlineStr"/>
      <c r="O292" s="5" t="inlineStr"/>
      <c r="P292" s="5" t="inlineStr">
        <is>
          <t>https://www.facebook.com/vipervapesWA12/</t>
        </is>
      </c>
      <c r="Q292" s="5" t="inlineStr"/>
      <c r="R292" s="5" t="inlineStr"/>
      <c r="S292" s="5" t="inlineStr"/>
      <c r="T292" s="5" t="inlineStr"/>
      <c r="U292" s="5" t="inlineStr"/>
      <c r="V292" s="5" t="inlineStr">
        <is>
          <t>Medium</t>
        </is>
      </c>
      <c r="W292" s="5" t="inlineStr">
        <is>
          <t>Independent retailer; Core relevant category; Social presence</t>
        </is>
      </c>
      <c r="X292" s="5" t="inlineStr">
        <is>
          <t>Verified directory</t>
        </is>
      </c>
      <c r="Y292" s="5" t="inlineStr">
        <is>
          <t>Not Found</t>
        </is>
      </c>
      <c r="Z292" s="5" t="inlineStr">
        <is>
          <t>Medium</t>
        </is>
      </c>
      <c r="AA292" s="5" t="inlineStr">
        <is>
          <t>Requires Verification</t>
        </is>
      </c>
      <c r="AB292" s="5" t="inlineStr">
        <is>
          <t>https://www.facebook.com/vipervapesWA12/</t>
        </is>
      </c>
    </row>
    <row r="293">
      <c r="A293" s="10" t="inlineStr">
        <is>
          <t>UK-000842</t>
        </is>
      </c>
      <c r="B293" s="10" t="inlineStr">
        <is>
          <t>UK-000842-01</t>
        </is>
      </c>
      <c r="C293" s="10" t="inlineStr"/>
      <c r="D293" s="10" t="inlineStr">
        <is>
          <t>Virgin Vapours</t>
        </is>
      </c>
      <c r="E293" s="10" t="inlineStr">
        <is>
          <t>Vape Shop</t>
        </is>
      </c>
      <c r="F293" s="10" t="inlineStr">
        <is>
          <t>Vape shop</t>
        </is>
      </c>
      <c r="G293" s="10" t="inlineStr">
        <is>
          <t>Independent</t>
        </is>
      </c>
      <c r="H293" s="10" t="inlineStr">
        <is>
          <t>1</t>
        </is>
      </c>
      <c r="I293" s="10" t="inlineStr">
        <is>
          <t>12-14 Moor Lane</t>
        </is>
      </c>
      <c r="J293" s="10" t="inlineStr">
        <is>
          <t>Crosby</t>
        </is>
      </c>
      <c r="K293" s="10" t="inlineStr">
        <is>
          <t>L23 2UE</t>
        </is>
      </c>
      <c r="L293" s="10" t="inlineStr">
        <is>
          <t>0151 538 3868</t>
        </is>
      </c>
      <c r="M293" s="10" t="inlineStr"/>
      <c r="N293" s="10" t="inlineStr"/>
      <c r="O293" s="10" t="inlineStr"/>
      <c r="P293" s="10" t="inlineStr"/>
      <c r="Q293" s="10" t="inlineStr"/>
      <c r="R293" s="10" t="inlineStr"/>
      <c r="S293" s="10" t="inlineStr"/>
      <c r="T293" s="10" t="inlineStr"/>
      <c r="U293" s="10" t="inlineStr"/>
      <c r="V293" s="10" t="inlineStr">
        <is>
          <t>Medium</t>
        </is>
      </c>
      <c r="W293" s="10" t="inlineStr">
        <is>
          <t>Independent retailer; Core relevant category</t>
        </is>
      </c>
      <c r="X293" s="10" t="inlineStr">
        <is>
          <t>Verified directory</t>
        </is>
      </c>
      <c r="Y293" s="10" t="inlineStr">
        <is>
          <t>Not Found</t>
        </is>
      </c>
      <c r="Z293" s="10" t="inlineStr">
        <is>
          <t>Low</t>
        </is>
      </c>
      <c r="AA293" s="10" t="inlineStr">
        <is>
          <t>Requires Verification</t>
        </is>
      </c>
      <c r="AB293" s="10" t="inlineStr">
        <is>
          <t>https://waterloo-sefton.cylex-uk.co.uk/company/virgin-vapours-27370213.html</t>
        </is>
      </c>
    </row>
    <row r="294">
      <c r="A294" s="5" t="inlineStr">
        <is>
          <t>UK-000540</t>
        </is>
      </c>
      <c r="B294" s="5" t="inlineStr">
        <is>
          <t>UK-000540-01</t>
        </is>
      </c>
      <c r="C294" s="5" t="inlineStr"/>
      <c r="D294" s="5" t="inlineStr">
        <is>
          <t>Vvapour</t>
        </is>
      </c>
      <c r="E294" s="5" t="inlineStr">
        <is>
          <t>Vape Shop</t>
        </is>
      </c>
      <c r="F294" s="5" t="inlineStr">
        <is>
          <t>Vape kits, e-liquids &amp; accessories</t>
        </is>
      </c>
      <c r="G294" s="5" t="inlineStr">
        <is>
          <t>Independent</t>
        </is>
      </c>
      <c r="H294" s="5" t="inlineStr">
        <is>
          <t>1</t>
        </is>
      </c>
      <c r="I294" s="5" t="inlineStr">
        <is>
          <t>86a Church Lane</t>
        </is>
      </c>
      <c r="J294" s="5" t="inlineStr">
        <is>
          <t>West Bromwich</t>
        </is>
      </c>
      <c r="K294" s="5" t="inlineStr">
        <is>
          <t>B71 1AS</t>
        </is>
      </c>
      <c r="L294" s="5" t="inlineStr">
        <is>
          <t>0800 292 2345</t>
        </is>
      </c>
      <c r="M294" s="5" t="inlineStr"/>
      <c r="N294" s="5" t="inlineStr"/>
      <c r="O294" s="5" t="inlineStr"/>
      <c r="P294" s="5" t="inlineStr"/>
      <c r="Q294" s="5" t="inlineStr"/>
      <c r="R294" s="5" t="inlineStr"/>
      <c r="S294" s="5" t="inlineStr"/>
      <c r="T294" s="5" t="inlineStr"/>
      <c r="U294" s="5" t="inlineStr"/>
      <c r="V294" s="5" t="inlineStr">
        <is>
          <t>Medium</t>
        </is>
      </c>
      <c r="W294" s="5" t="inlineStr">
        <is>
          <t>Independent retailer; Core relevant category</t>
        </is>
      </c>
      <c r="X294" s="5" t="inlineStr">
        <is>
          <t>Verified directory</t>
        </is>
      </c>
      <c r="Y294" s="5" t="inlineStr">
        <is>
          <t>Not Found</t>
        </is>
      </c>
      <c r="Z294" s="5" t="inlineStr">
        <is>
          <t>Medium</t>
        </is>
      </c>
      <c r="AA294" s="5" t="inlineStr">
        <is>
          <t>Requires Verification</t>
        </is>
      </c>
      <c r="AB294" s="5" t="inlineStr">
        <is>
          <t>https://ecigdirectory.co.uk/vape-shop/listing/vvapour</t>
        </is>
      </c>
    </row>
    <row r="295">
      <c r="A295" s="10" t="inlineStr">
        <is>
          <t>UK-000684</t>
        </is>
      </c>
      <c r="B295" s="10" t="inlineStr">
        <is>
          <t>UK-000684-01</t>
        </is>
      </c>
      <c r="C295" s="10" t="inlineStr"/>
      <c r="D295" s="10" t="inlineStr">
        <is>
          <t>Vx-Change</t>
        </is>
      </c>
      <c r="E295" s="10" t="inlineStr">
        <is>
          <t>Vape Shop</t>
        </is>
      </c>
      <c r="F295" s="10" t="inlineStr"/>
      <c r="G295" s="10" t="inlineStr">
        <is>
          <t>Independent</t>
        </is>
      </c>
      <c r="H295" s="10" t="inlineStr">
        <is>
          <t>1</t>
        </is>
      </c>
      <c r="I295" s="10" t="inlineStr">
        <is>
          <t>36 High Street</t>
        </is>
      </c>
      <c r="J295" s="10" t="inlineStr">
        <is>
          <t>Hounslow</t>
        </is>
      </c>
      <c r="K295" s="10" t="inlineStr">
        <is>
          <t>TW3 1NW</t>
        </is>
      </c>
      <c r="L295" s="10" t="inlineStr"/>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Not Found</t>
        </is>
      </c>
      <c r="Y295" s="10" t="inlineStr">
        <is>
          <t>Not Found</t>
        </is>
      </c>
      <c r="Z295" s="10" t="inlineStr">
        <is>
          <t>Low</t>
        </is>
      </c>
      <c r="AA295" s="10" t="inlineStr">
        <is>
          <t>Requires Verification</t>
        </is>
      </c>
      <c r="AB295" s="10" t="inlineStr">
        <is>
          <t>https://www.yell.com/biz/vx-change-hounslow-10141765/</t>
        </is>
      </c>
    </row>
    <row r="296">
      <c r="A296" s="5" t="inlineStr">
        <is>
          <t>UK-000685</t>
        </is>
      </c>
      <c r="B296" s="5" t="inlineStr">
        <is>
          <t>UK-000685-01</t>
        </is>
      </c>
      <c r="C296" s="5" t="inlineStr"/>
      <c r="D296" s="5" t="inlineStr">
        <is>
          <t>W2 Vapes Central London</t>
        </is>
      </c>
      <c r="E296" s="5" t="inlineStr">
        <is>
          <t>Vape Shop</t>
        </is>
      </c>
      <c r="F296" s="5" t="inlineStr">
        <is>
          <t>Vape hardware, e-liquids &amp; disposables</t>
        </is>
      </c>
      <c r="G296" s="5" t="inlineStr">
        <is>
          <t>Independent</t>
        </is>
      </c>
      <c r="H296" s="5" t="inlineStr">
        <is>
          <t>1</t>
        </is>
      </c>
      <c r="I296" s="5" t="inlineStr">
        <is>
          <t>198 Edgware Road</t>
        </is>
      </c>
      <c r="J296" s="5" t="inlineStr">
        <is>
          <t>London</t>
        </is>
      </c>
      <c r="K296" s="5" t="inlineStr">
        <is>
          <t>W2 2DS</t>
        </is>
      </c>
      <c r="L296" s="5" t="inlineStr">
        <is>
          <t>07438 556033</t>
        </is>
      </c>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Verified directory</t>
        </is>
      </c>
      <c r="Y296" s="5" t="inlineStr">
        <is>
          <t>Not Found</t>
        </is>
      </c>
      <c r="Z296" s="5" t="inlineStr">
        <is>
          <t>Medium</t>
        </is>
      </c>
      <c r="AA296" s="5" t="inlineStr">
        <is>
          <t>Requires Verification</t>
        </is>
      </c>
      <c r="AB296" s="5" t="inlineStr">
        <is>
          <t>https://www.yell.com/biz/w2-vapes-central-london-london-9670919/</t>
        </is>
      </c>
    </row>
    <row r="297">
      <c r="A297" s="10" t="inlineStr">
        <is>
          <t>UK-000413</t>
        </is>
      </c>
      <c r="B297" s="10" t="inlineStr">
        <is>
          <t>UK-000413-01</t>
        </is>
      </c>
      <c r="C297" s="10" t="inlineStr"/>
      <c r="D297" s="10" t="inlineStr">
        <is>
          <t>Winsome Vape</t>
        </is>
      </c>
      <c r="E297" s="10" t="inlineStr">
        <is>
          <t>Vape Shop</t>
        </is>
      </c>
      <c r="F297" s="10" t="inlineStr">
        <is>
          <t>Market-stall vape retailer</t>
        </is>
      </c>
      <c r="G297" s="10" t="inlineStr">
        <is>
          <t>Independent</t>
        </is>
      </c>
      <c r="H297" s="10" t="inlineStr">
        <is>
          <t>1</t>
        </is>
      </c>
      <c r="I297" s="10" t="inlineStr">
        <is>
          <t>Wigan Indoor Market</t>
        </is>
      </c>
      <c r="J297" s="10" t="inlineStr">
        <is>
          <t>Wigan</t>
        </is>
      </c>
      <c r="K297" s="10" t="inlineStr"/>
      <c r="L297" s="10" t="inlineStr">
        <is>
          <t>07578 968986</t>
        </is>
      </c>
      <c r="M297" s="10" t="inlineStr">
        <is>
          <t>awaisaliazhar@yahoo.com</t>
        </is>
      </c>
      <c r="N297" s="10" t="inlineStr"/>
      <c r="O297" s="10" t="inlineStr">
        <is>
          <t>https://www.winsomevape.co.uk/</t>
        </is>
      </c>
      <c r="P297" s="10" t="inlineStr"/>
      <c r="Q297" s="10" t="inlineStr"/>
      <c r="R297" s="10" t="inlineStr"/>
      <c r="S297" s="10" t="inlineStr"/>
      <c r="T297" s="10" t="inlineStr"/>
      <c r="U297" s="10" t="inlineStr"/>
      <c r="V297" s="10" t="inlineStr">
        <is>
          <t>High</t>
        </is>
      </c>
      <c r="W297" s="10" t="inlineStr">
        <is>
          <t>Independent retailer; Core relevant category; Public email available; Active website; Phone verified on official website</t>
        </is>
      </c>
      <c r="X297" s="10" t="inlineStr">
        <is>
          <t>Verified on official website</t>
        </is>
      </c>
      <c r="Y297" s="10" t="inlineStr">
        <is>
          <t>Publicly Listed</t>
        </is>
      </c>
      <c r="Z297" s="10" t="inlineStr">
        <is>
          <t>Medium</t>
        </is>
      </c>
      <c r="AA297" s="10" t="inlineStr">
        <is>
          <t>Requires Verification</t>
        </is>
      </c>
      <c r="AB297" s="10" t="inlineStr">
        <is>
          <t>https://www.winsomevape.co.uk/</t>
        </is>
      </c>
    </row>
    <row r="298">
      <c r="A298" s="5" t="inlineStr">
        <is>
          <t>WY-0191</t>
        </is>
      </c>
      <c r="B298" s="5" t="inlineStr">
        <is>
          <t>WY-0191-01</t>
        </is>
      </c>
      <c r="C298" s="5" t="inlineStr"/>
      <c r="D298" s="5" t="inlineStr">
        <is>
          <t>Zesty Vape</t>
        </is>
      </c>
      <c r="E298" s="5" t="inlineStr">
        <is>
          <t>Vape Shop</t>
        </is>
      </c>
      <c r="F298" s="5" t="inlineStr"/>
      <c r="G298" s="5" t="inlineStr">
        <is>
          <t>Independent</t>
        </is>
      </c>
      <c r="H298" s="5" t="inlineStr">
        <is>
          <t>1</t>
        </is>
      </c>
      <c r="I298" s="5" t="inlineStr">
        <is>
          <t>108 Commercial Street</t>
        </is>
      </c>
      <c r="J298" s="5" t="inlineStr">
        <is>
          <t>Brighouse</t>
        </is>
      </c>
      <c r="K298" s="5" t="inlineStr">
        <is>
          <t>HD6 1AQ</t>
        </is>
      </c>
      <c r="L298" s="5" t="inlineStr">
        <is>
          <t>01484 722183</t>
        </is>
      </c>
      <c r="M298" s="5" t="inlineStr"/>
      <c r="N298" s="5" t="inlineStr"/>
      <c r="O298" s="5" t="inlineStr"/>
      <c r="P298" s="5" t="inlineStr"/>
      <c r="Q298" s="5" t="inlineStr"/>
      <c r="R298" s="5" t="inlineStr"/>
      <c r="S298" s="5" t="inlineStr"/>
      <c r="T298" s="5" t="inlineStr"/>
      <c r="U298" s="5" t="inlineStr"/>
      <c r="V298" s="5" t="inlineStr">
        <is>
          <t>Medium</t>
        </is>
      </c>
      <c r="W298" s="5" t="inlineStr">
        <is>
          <t>Independent retailer; Core relevant category</t>
        </is>
      </c>
      <c r="X298" s="5" t="inlineStr">
        <is>
          <t>Verified directory</t>
        </is>
      </c>
      <c r="Y298" s="5" t="inlineStr">
        <is>
          <t>Not Found</t>
        </is>
      </c>
      <c r="Z298" s="5" t="inlineStr">
        <is>
          <t>Medium</t>
        </is>
      </c>
      <c r="AA298" s="5" t="inlineStr">
        <is>
          <t>Requires Verification</t>
        </is>
      </c>
      <c r="AB298" s="5" t="inlineStr">
        <is>
          <t>https://brighouse.cylex-uk.co.uk/vape-shops/</t>
        </is>
      </c>
    </row>
    <row r="299">
      <c r="A299" s="10" t="inlineStr">
        <is>
          <t>UK-000849</t>
        </is>
      </c>
      <c r="B299" s="10" t="inlineStr">
        <is>
          <t>UK-000849-01</t>
        </is>
      </c>
      <c r="C299" s="10" t="inlineStr"/>
      <c r="D299" s="10" t="inlineStr">
        <is>
          <t>e-Vapes Dunfermline</t>
        </is>
      </c>
      <c r="E299" s="10" t="inlineStr">
        <is>
          <t>Vape Shop</t>
        </is>
      </c>
      <c r="F299" s="10" t="inlineStr">
        <is>
          <t>Vape shop / e-liquids</t>
        </is>
      </c>
      <c r="G299" s="10" t="inlineStr">
        <is>
          <t>Independent</t>
        </is>
      </c>
      <c r="H299" s="10" t="inlineStr">
        <is>
          <t>1</t>
        </is>
      </c>
      <c r="I299" s="10" t="inlineStr">
        <is>
          <t>Lower Mall, Kingsgate Shopping Centre</t>
        </is>
      </c>
      <c r="J299" s="10" t="inlineStr">
        <is>
          <t>Dunfermline</t>
        </is>
      </c>
      <c r="K299" s="10" t="inlineStr">
        <is>
          <t>KY12 7QU</t>
        </is>
      </c>
      <c r="L299" s="10" t="inlineStr">
        <is>
          <t>01383 432335</t>
        </is>
      </c>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Verified directory</t>
        </is>
      </c>
      <c r="Y299" s="10" t="inlineStr">
        <is>
          <t>Not Found</t>
        </is>
      </c>
      <c r="Z299" s="10" t="inlineStr">
        <is>
          <t>Medium</t>
        </is>
      </c>
      <c r="AA299" s="10" t="inlineStr">
        <is>
          <t>Requires Verification</t>
        </is>
      </c>
      <c r="AB299" s="10" t="inlineStr">
        <is>
          <t>https://dunfermline.cylex-uk.co.uk/company/e-vapes-27628315.html</t>
        </is>
      </c>
    </row>
    <row r="300">
      <c r="A300" s="5" t="inlineStr">
        <is>
          <t>UK-000417</t>
        </is>
      </c>
      <c r="B300" s="5" t="inlineStr">
        <is>
          <t>UK-000417-01</t>
        </is>
      </c>
      <c r="C300" s="5" t="inlineStr"/>
      <c r="D300" s="5" t="inlineStr">
        <is>
          <t>eCig Factory 2</t>
        </is>
      </c>
      <c r="E300" s="5" t="inlineStr">
        <is>
          <t>Vape Shop</t>
        </is>
      </c>
      <c r="F300" s="5" t="inlineStr"/>
      <c r="G300" s="5" t="inlineStr">
        <is>
          <t>Independent</t>
        </is>
      </c>
      <c r="H300" s="5" t="inlineStr">
        <is>
          <t>1</t>
        </is>
      </c>
      <c r="I300" s="5" t="inlineStr">
        <is>
          <t>75 Featherstall Road North</t>
        </is>
      </c>
      <c r="J300" s="5" t="inlineStr">
        <is>
          <t>Oldham</t>
        </is>
      </c>
      <c r="K300" s="5" t="inlineStr">
        <is>
          <t>OL9 6QB</t>
        </is>
      </c>
      <c r="L300" s="5" t="inlineStr"/>
      <c r="M300" s="5" t="inlineStr"/>
      <c r="N300" s="5" t="inlineStr"/>
      <c r="O300" s="5" t="inlineStr"/>
      <c r="P300" s="5" t="inlineStr"/>
      <c r="Q300" s="5" t="inlineStr"/>
      <c r="R300" s="5" t="inlineStr"/>
      <c r="S300" s="5" t="inlineStr"/>
      <c r="T300" s="5" t="inlineStr"/>
      <c r="U300" s="5" t="inlineStr"/>
      <c r="V300" s="5" t="inlineStr">
        <is>
          <t>Medium</t>
        </is>
      </c>
      <c r="W300" s="5" t="inlineStr">
        <is>
          <t>Independent retailer; Core relevant category</t>
        </is>
      </c>
      <c r="X300" s="5" t="inlineStr">
        <is>
          <t>Not Found</t>
        </is>
      </c>
      <c r="Y300" s="5" t="inlineStr">
        <is>
          <t>Not Found</t>
        </is>
      </c>
      <c r="Z300" s="5" t="inlineStr">
        <is>
          <t>Low</t>
        </is>
      </c>
      <c r="AA300" s="5" t="inlineStr">
        <is>
          <t>Requires Verification</t>
        </is>
      </c>
      <c r="AB300" s="5" t="inlineStr">
        <is>
          <t>https://vapeshops.puffingbird.com/england/oldham</t>
        </is>
      </c>
    </row>
    <row r="301">
      <c r="A301" s="10" t="inlineStr">
        <is>
          <t>UK-000418</t>
        </is>
      </c>
      <c r="B301" s="10" t="inlineStr">
        <is>
          <t>UK-000418-01</t>
        </is>
      </c>
      <c r="C301" s="10" t="inlineStr"/>
      <c r="D301" s="10" t="inlineStr">
        <is>
          <t>eQuit.it Horwich</t>
        </is>
      </c>
      <c r="E301" s="10" t="inlineStr">
        <is>
          <t>Vape Shop</t>
        </is>
      </c>
      <c r="F301" s="10" t="inlineStr"/>
      <c r="G301" s="10" t="inlineStr">
        <is>
          <t>Independent</t>
        </is>
      </c>
      <c r="H301" s="10" t="inlineStr">
        <is>
          <t>1</t>
        </is>
      </c>
      <c r="I301" s="10" t="inlineStr">
        <is>
          <t>22 Winter Hey Lane</t>
        </is>
      </c>
      <c r="J301" s="10" t="inlineStr">
        <is>
          <t>Bolton</t>
        </is>
      </c>
      <c r="K301" s="10" t="inlineStr">
        <is>
          <t>BL6 7AD</t>
        </is>
      </c>
      <c r="L301" s="10" t="inlineStr">
        <is>
          <t>01204 694112</t>
        </is>
      </c>
      <c r="M301" s="10" t="inlineStr"/>
      <c r="N301" s="10" t="inlineStr"/>
      <c r="O301" s="10" t="inlineStr"/>
      <c r="P301" s="10" t="inlineStr"/>
      <c r="Q301" s="10" t="inlineStr"/>
      <c r="R301" s="10" t="inlineStr"/>
      <c r="S301" s="10" t="inlineStr"/>
      <c r="T301" s="10" t="inlineStr"/>
      <c r="U301" s="10" t="inlineStr"/>
      <c r="V301" s="10" t="inlineStr">
        <is>
          <t>Medium</t>
        </is>
      </c>
      <c r="W301" s="10" t="inlineStr">
        <is>
          <t>Independent retailer; Core relevant category</t>
        </is>
      </c>
      <c r="X301" s="10" t="inlineStr">
        <is>
          <t>Verified directory</t>
        </is>
      </c>
      <c r="Y301" s="10" t="inlineStr">
        <is>
          <t>Not Found</t>
        </is>
      </c>
      <c r="Z301" s="10" t="inlineStr">
        <is>
          <t>Low</t>
        </is>
      </c>
      <c r="AA301" s="10" t="inlineStr">
        <is>
          <t>Requires Verification</t>
        </is>
      </c>
      <c r="AB301" s="10" t="inlineStr">
        <is>
          <t>https://ecigdirectory.co.uk/vape-shop/listing/equit-it-horwich</t>
        </is>
      </c>
    </row>
    <row r="302">
      <c r="A302" s="5" t="inlineStr">
        <is>
          <t>WY-0192</t>
        </is>
      </c>
      <c r="B302" s="5" t="inlineStr">
        <is>
          <t>WY-0192-01</t>
        </is>
      </c>
      <c r="C302" s="5" t="inlineStr"/>
      <c r="D302" s="5" t="inlineStr">
        <is>
          <t>eVape Outlet</t>
        </is>
      </c>
      <c r="E302" s="5" t="inlineStr">
        <is>
          <t>Vape Shop</t>
        </is>
      </c>
      <c r="F302" s="5" t="inlineStr">
        <is>
          <t>Vape shop</t>
        </is>
      </c>
      <c r="G302" s="5" t="inlineStr">
        <is>
          <t>Independent</t>
        </is>
      </c>
      <c r="H302" s="5" t="inlineStr">
        <is>
          <t>1</t>
        </is>
      </c>
      <c r="I302" s="5" t="inlineStr"/>
      <c r="J302" s="5" t="inlineStr">
        <is>
          <t>Keighley</t>
        </is>
      </c>
      <c r="K302" s="5" t="inlineStr"/>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https://keighley.cylex-uk.co.uk/company/evape-outlet-27656791.html</t>
        </is>
      </c>
    </row>
    <row r="303">
      <c r="A303" s="10" t="inlineStr">
        <is>
          <t>UK-000546</t>
        </is>
      </c>
      <c r="B303" s="10" t="inlineStr">
        <is>
          <t>UK-000546-01</t>
        </is>
      </c>
      <c r="C303" s="10" t="inlineStr"/>
      <c r="D303" s="10" t="inlineStr">
        <is>
          <t>i Vape Guru Ltd</t>
        </is>
      </c>
      <c r="E303" s="10" t="inlineStr">
        <is>
          <t>Vape Shop</t>
        </is>
      </c>
      <c r="F303" s="10" t="inlineStr">
        <is>
          <t>Vape kits, e-liquids &amp; accessories</t>
        </is>
      </c>
      <c r="G303" s="10" t="inlineStr">
        <is>
          <t>Independent</t>
        </is>
      </c>
      <c r="H303" s="10" t="inlineStr">
        <is>
          <t>1</t>
        </is>
      </c>
      <c r="I303" s="10" t="inlineStr">
        <is>
          <t>24 Market Street</t>
        </is>
      </c>
      <c r="J303" s="10" t="inlineStr">
        <is>
          <t>Stourbridge</t>
        </is>
      </c>
      <c r="K303" s="10" t="inlineStr">
        <is>
          <t>DY8 1AG</t>
        </is>
      </c>
      <c r="L303" s="10" t="inlineStr"/>
      <c r="M303" s="10" t="inlineStr"/>
      <c r="N303" s="10" t="inlineStr"/>
      <c r="O303" s="10" t="inlineStr"/>
      <c r="P303" s="10" t="inlineStr"/>
      <c r="Q303" s="10" t="inlineStr"/>
      <c r="R303" s="10" t="inlineStr"/>
      <c r="S303" s="10" t="inlineStr"/>
      <c r="T303" s="10" t="inlineStr"/>
      <c r="U303" s="10" t="inlineStr"/>
      <c r="V303" s="10" t="inlineStr">
        <is>
          <t>Medium</t>
        </is>
      </c>
      <c r="W303" s="10" t="inlineStr">
        <is>
          <t>Independent retailer; Core relevant category</t>
        </is>
      </c>
      <c r="X303" s="10" t="inlineStr">
        <is>
          <t>Not Found</t>
        </is>
      </c>
      <c r="Y303" s="10" t="inlineStr">
        <is>
          <t>Not Found</t>
        </is>
      </c>
      <c r="Z303" s="10" t="inlineStr">
        <is>
          <t>Medium</t>
        </is>
      </c>
      <c r="AA303" s="10" t="inlineStr">
        <is>
          <t>Requires Verification</t>
        </is>
      </c>
      <c r="AB303" s="10" t="inlineStr">
        <is>
          <t>https://directory.shropshirestar.co.uk/company/1159632123420672</t>
        </is>
      </c>
    </row>
    <row r="304">
      <c r="A304" s="5" t="inlineStr">
        <is>
          <t>UK-000547</t>
        </is>
      </c>
      <c r="B304" s="5" t="inlineStr">
        <is>
          <t>UK-000547-01</t>
        </is>
      </c>
      <c r="C304" s="5" t="inlineStr"/>
      <c r="D304" s="5" t="inlineStr">
        <is>
          <t>iVAPE QB</t>
        </is>
      </c>
      <c r="E304" s="5" t="inlineStr">
        <is>
          <t>Vape Shop</t>
        </is>
      </c>
      <c r="F304" s="5" t="inlineStr">
        <is>
          <t>Vape kits, e-liquids &amp; accessories</t>
        </is>
      </c>
      <c r="G304" s="5" t="inlineStr">
        <is>
          <t>Independent</t>
        </is>
      </c>
      <c r="H304" s="5" t="inlineStr">
        <is>
          <t>1</t>
        </is>
      </c>
      <c r="I304" s="5" t="inlineStr">
        <is>
          <t>34 Market Street</t>
        </is>
      </c>
      <c r="J304" s="5" t="inlineStr">
        <is>
          <t>Kingswinford</t>
        </is>
      </c>
      <c r="K304" s="5" t="inlineStr">
        <is>
          <t>DY6 9JU</t>
        </is>
      </c>
      <c r="L304" s="5" t="inlineStr">
        <is>
          <t>07842 131532</t>
        </is>
      </c>
      <c r="M304" s="5" t="inlineStr"/>
      <c r="N304" s="5" t="inlineStr"/>
      <c r="O304" s="5" t="inlineStr"/>
      <c r="P304" s="5" t="inlineStr">
        <is>
          <t>https://www.facebook.com/ivapeqb190/</t>
        </is>
      </c>
      <c r="Q304" s="5" t="inlineStr"/>
      <c r="R304" s="5" t="inlineStr"/>
      <c r="S304" s="5" t="inlineStr"/>
      <c r="T304" s="5" t="inlineStr"/>
      <c r="U304" s="5" t="inlineStr"/>
      <c r="V304" s="5" t="inlineStr">
        <is>
          <t>Medium</t>
        </is>
      </c>
      <c r="W304" s="5" t="inlineStr">
        <is>
          <t>Independent retailer; Core relevant category; Social presence</t>
        </is>
      </c>
      <c r="X304" s="5" t="inlineStr">
        <is>
          <t>Verified directory</t>
        </is>
      </c>
      <c r="Y304" s="5" t="inlineStr">
        <is>
          <t>Not Found</t>
        </is>
      </c>
      <c r="Z304" s="5" t="inlineStr">
        <is>
          <t>Medium</t>
        </is>
      </c>
      <c r="AA304" s="5" t="inlineStr">
        <is>
          <t>Requires Verification</t>
        </is>
      </c>
      <c r="AB304" s="5" t="inlineStr">
        <is>
          <t>https://www.facebook.com/ivapeqb190/</t>
        </is>
      </c>
    </row>
    <row r="305">
      <c r="A305" s="10" t="inlineStr">
        <is>
          <t>WY-0193</t>
        </is>
      </c>
      <c r="B305" s="10" t="inlineStr">
        <is>
          <t>WY-0193-01</t>
        </is>
      </c>
      <c r="C305" s="10" t="inlineStr"/>
      <c r="D305" s="10" t="inlineStr">
        <is>
          <t>iVape Lounge</t>
        </is>
      </c>
      <c r="E305" s="10" t="inlineStr">
        <is>
          <t>Vape Shop</t>
        </is>
      </c>
      <c r="F305" s="10" t="inlineStr"/>
      <c r="G305" s="10" t="inlineStr">
        <is>
          <t>Independent</t>
        </is>
      </c>
      <c r="H305" s="10" t="inlineStr">
        <is>
          <t>1</t>
        </is>
      </c>
      <c r="I305" s="10" t="inlineStr">
        <is>
          <t>53 Halifax Road</t>
        </is>
      </c>
      <c r="J305" s="10" t="inlineStr">
        <is>
          <t>Todmorden</t>
        </is>
      </c>
      <c r="K305" s="10" t="inlineStr">
        <is>
          <t>OL14 5BB</t>
        </is>
      </c>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Independent retailer; Core relevant category</t>
        </is>
      </c>
      <c r="X305" s="10" t="inlineStr">
        <is>
          <t>Not Found</t>
        </is>
      </c>
      <c r="Y305" s="10" t="inlineStr">
        <is>
          <t>Not Found</t>
        </is>
      </c>
      <c r="Z305" s="10" t="inlineStr">
        <is>
          <t>Low</t>
        </is>
      </c>
      <c r="AA305" s="10" t="inlineStr">
        <is>
          <t>Requires Verification</t>
        </is>
      </c>
      <c r="AB305" s="10" t="inlineStr">
        <is>
          <t>https://ivape-lounge-todmorden-vape-shop.wheree.com/</t>
        </is>
      </c>
    </row>
  </sheetData>
  <autoFilter ref="A1:AB30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7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UK-000693</t>
        </is>
      </c>
      <c r="B2" s="5" t="inlineStr">
        <is>
          <t>BESTONEBES-01</t>
        </is>
      </c>
      <c r="C2" s="5" t="inlineStr">
        <is>
          <t>Best-One (Bestway)</t>
        </is>
      </c>
      <c r="D2" s="5" t="inlineStr">
        <is>
          <t>Best-One Leith Walk Stores</t>
        </is>
      </c>
      <c r="E2" s="5" t="inlineStr">
        <is>
          <t>Convenience Store</t>
        </is>
      </c>
      <c r="F2" s="5" t="inlineStr">
        <is>
          <t>Symbol-group convenience &amp; off-licence</t>
        </is>
      </c>
      <c r="G2" s="5" t="inlineStr">
        <is>
          <t>Franchise / Symbol Group</t>
        </is>
      </c>
      <c r="H2" s="5" t="inlineStr">
        <is>
          <t>1</t>
        </is>
      </c>
      <c r="I2" s="5" t="inlineStr">
        <is>
          <t>301 Leith Walk</t>
        </is>
      </c>
      <c r="J2" s="5" t="inlineStr">
        <is>
          <t>Edinburgh</t>
        </is>
      </c>
      <c r="K2" s="5" t="inlineStr">
        <is>
          <t>EH6 8SA</t>
        </is>
      </c>
      <c r="L2" s="5" t="inlineStr">
        <is>
          <t>0131 553 4260</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https://www.yell.com/biz/best-one-leith-walk-stores-edinburgh-4914979/</t>
        </is>
      </c>
    </row>
    <row r="3">
      <c r="A3" s="10" t="inlineStr">
        <is>
          <t>UK-000694</t>
        </is>
      </c>
      <c r="B3" s="10" t="inlineStr">
        <is>
          <t>BESTONEBES-01</t>
        </is>
      </c>
      <c r="C3" s="10" t="inlineStr">
        <is>
          <t>Best-one (Bestway)</t>
        </is>
      </c>
      <c r="D3" s="10" t="inlineStr">
        <is>
          <t>Best-one - Charles Street</t>
        </is>
      </c>
      <c r="E3" s="10" t="inlineStr">
        <is>
          <t>Convenience Store</t>
        </is>
      </c>
      <c r="F3" s="10" t="inlineStr">
        <is>
          <t>Best-one symbol convenience store</t>
        </is>
      </c>
      <c r="G3" s="10" t="inlineStr">
        <is>
          <t>Franchise / Symbol Group</t>
        </is>
      </c>
      <c r="H3" s="10" t="inlineStr">
        <is>
          <t>1</t>
        </is>
      </c>
      <c r="I3" s="10" t="inlineStr">
        <is>
          <t>23 Charles Street</t>
        </is>
      </c>
      <c r="J3" s="10" t="inlineStr">
        <is>
          <t>St Helens</t>
        </is>
      </c>
      <c r="K3" s="10" t="inlineStr">
        <is>
          <t>WA10 1LA</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https://st-helens-merseyside.cylex-uk.co.uk/convenience-stores/</t>
        </is>
      </c>
    </row>
    <row r="4">
      <c r="A4" s="5" t="inlineStr">
        <is>
          <t>UK-000695</t>
        </is>
      </c>
      <c r="B4" s="5" t="inlineStr">
        <is>
          <t>BESTONEBES-02</t>
        </is>
      </c>
      <c r="C4" s="5" t="inlineStr">
        <is>
          <t>Best-one (Bestway)</t>
        </is>
      </c>
      <c r="D4" s="5" t="inlineStr">
        <is>
          <t>Best-one - Crow Lane East</t>
        </is>
      </c>
      <c r="E4" s="5" t="inlineStr">
        <is>
          <t>Convenience Store</t>
        </is>
      </c>
      <c r="F4" s="5" t="inlineStr">
        <is>
          <t>Best-one symbol convenience store</t>
        </is>
      </c>
      <c r="G4" s="5" t="inlineStr">
        <is>
          <t>Franchise / Symbol Group</t>
        </is>
      </c>
      <c r="H4" s="5" t="inlineStr">
        <is>
          <t>1</t>
        </is>
      </c>
      <c r="I4" s="5" t="inlineStr">
        <is>
          <t>215 Crow Lane East</t>
        </is>
      </c>
      <c r="J4" s="5" t="inlineStr">
        <is>
          <t>Newton-le-Willows</t>
        </is>
      </c>
      <c r="K4" s="5" t="inlineStr">
        <is>
          <t>WA12 9UB</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https://www.mylocalservices.co.uk/Convenience+Stores-Newton+Le+Willows.html</t>
        </is>
      </c>
    </row>
    <row r="5">
      <c r="A5" s="10" t="inlineStr">
        <is>
          <t>UK-000696</t>
        </is>
      </c>
      <c r="B5" s="10" t="inlineStr">
        <is>
          <t>BESTONEBES-01</t>
        </is>
      </c>
      <c r="C5" s="10" t="inlineStr">
        <is>
          <t>Best-one (Bestway) symbol group</t>
        </is>
      </c>
      <c r="D5" s="10" t="inlineStr">
        <is>
          <t>Best-one Paisley (Greenhill Road)</t>
        </is>
      </c>
      <c r="E5" s="10" t="inlineStr">
        <is>
          <t>Convenience Store</t>
        </is>
      </c>
      <c r="F5" s="10" t="inlineStr">
        <is>
          <t>Symbol-group convenience store</t>
        </is>
      </c>
      <c r="G5" s="10" t="inlineStr">
        <is>
          <t>Franchise / Symbol Group</t>
        </is>
      </c>
      <c r="H5" s="10" t="inlineStr">
        <is>
          <t>1</t>
        </is>
      </c>
      <c r="I5" s="10" t="inlineStr">
        <is>
          <t>35 Greenhill Road</t>
        </is>
      </c>
      <c r="J5" s="10" t="inlineStr">
        <is>
          <t>Paisley</t>
        </is>
      </c>
      <c r="K5" s="10" t="inlineStr">
        <is>
          <t>PA3 1RN</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https://www.yell.com/s/grocers+and+convenience+stores-paisley.html</t>
        </is>
      </c>
    </row>
    <row r="6">
      <c r="A6" s="5" t="inlineStr">
        <is>
          <t>UK-000700</t>
        </is>
      </c>
      <c r="B6" s="5" t="inlineStr">
        <is>
          <t>BESTWAYRET-01</t>
        </is>
      </c>
      <c r="C6" s="5" t="inlineStr">
        <is>
          <t>Bestway Retail (Best-one)</t>
        </is>
      </c>
      <c r="D6" s="5" t="inlineStr">
        <is>
          <t>Best-one - Elgin Court</t>
        </is>
      </c>
      <c r="E6" s="5" t="inlineStr">
        <is>
          <t>Convenience Store</t>
        </is>
      </c>
      <c r="F6" s="5" t="inlineStr">
        <is>
          <t>Convenience store (symbol group)</t>
        </is>
      </c>
      <c r="G6" s="5" t="inlineStr">
        <is>
          <t>Franchise / Symbol Group</t>
        </is>
      </c>
      <c r="H6" s="5" t="inlineStr">
        <is>
          <t>1</t>
        </is>
      </c>
      <c r="I6" s="5" t="inlineStr">
        <is>
          <t>6 Elgin Court</t>
        </is>
      </c>
      <c r="J6" s="5" t="inlineStr">
        <is>
          <t>Prescot</t>
        </is>
      </c>
      <c r="K6" s="5" t="inlineStr">
        <is>
          <t>L35 0QW</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https://www.192.com/atoz/business/prescot-l35/convenience-stores/best-one/c272bbf3-defd-410c-93e2-54df41799bbd/ugc/</t>
        </is>
      </c>
    </row>
    <row r="7">
      <c r="A7" s="10" t="inlineStr">
        <is>
          <t>UK-000701</t>
        </is>
      </c>
      <c r="B7" s="10" t="inlineStr">
        <is>
          <t>BESTWAYRET-02</t>
        </is>
      </c>
      <c r="C7" s="10" t="inlineStr">
        <is>
          <t>Bestway Retail (Best-one)</t>
        </is>
      </c>
      <c r="D7" s="10" t="inlineStr">
        <is>
          <t>Best-one - Halsnead Avenue</t>
        </is>
      </c>
      <c r="E7" s="10" t="inlineStr">
        <is>
          <t>Convenience Store</t>
        </is>
      </c>
      <c r="F7" s="10" t="inlineStr">
        <is>
          <t>Convenience store (symbol group)</t>
        </is>
      </c>
      <c r="G7" s="10" t="inlineStr">
        <is>
          <t>Franchise / Symbol Group</t>
        </is>
      </c>
      <c r="H7" s="10" t="inlineStr">
        <is>
          <t>1</t>
        </is>
      </c>
      <c r="I7" s="10" t="inlineStr">
        <is>
          <t>1 Halsnead Avenue</t>
        </is>
      </c>
      <c r="J7" s="10" t="inlineStr">
        <is>
          <t>Prescot</t>
        </is>
      </c>
      <c r="K7" s="10" t="inlineStr">
        <is>
          <t>L35 3SD</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https://www.192.com/atoz/business/prescot-l35/convenience-stores/best-one/c272bbf3-defd-410c-93e2-54df41799bbd/ugc/</t>
        </is>
      </c>
    </row>
    <row r="8">
      <c r="A8" s="5" t="inlineStr">
        <is>
          <t>UK-000702</t>
        </is>
      </c>
      <c r="B8" s="5" t="inlineStr">
        <is>
          <t>BESTWAYRET-03</t>
        </is>
      </c>
      <c r="C8" s="5" t="inlineStr">
        <is>
          <t>Bestway Retail (Best-one)</t>
        </is>
      </c>
      <c r="D8" s="5" t="inlineStr">
        <is>
          <t>Best-one - Loweswater Way</t>
        </is>
      </c>
      <c r="E8" s="5" t="inlineStr">
        <is>
          <t>Convenience Store</t>
        </is>
      </c>
      <c r="F8" s="5" t="inlineStr">
        <is>
          <t>Convenience store (symbol group)</t>
        </is>
      </c>
      <c r="G8" s="5" t="inlineStr">
        <is>
          <t>Franchise / Symbol Group</t>
        </is>
      </c>
      <c r="H8" s="5" t="inlineStr">
        <is>
          <t>1</t>
        </is>
      </c>
      <c r="I8" s="5" t="inlineStr">
        <is>
          <t>3 Loweswater Way</t>
        </is>
      </c>
      <c r="J8" s="5" t="inlineStr">
        <is>
          <t>Liverpool</t>
        </is>
      </c>
      <c r="K8" s="5" t="inlineStr">
        <is>
          <t>L33 2DL</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https://kirkby.cylex-uk.co.uk/convenience-stores/</t>
        </is>
      </c>
    </row>
    <row r="9">
      <c r="A9" s="10" t="inlineStr">
        <is>
          <t>UK-000703</t>
        </is>
      </c>
      <c r="B9" s="10" t="inlineStr">
        <is>
          <t>BESTWAYRET-04</t>
        </is>
      </c>
      <c r="C9" s="10" t="inlineStr">
        <is>
          <t>Bestway Retail (Best-one)</t>
        </is>
      </c>
      <c r="D9" s="10" t="inlineStr">
        <is>
          <t>Best-one - Westhall Avenue</t>
        </is>
      </c>
      <c r="E9" s="10" t="inlineStr">
        <is>
          <t>Convenience Store</t>
        </is>
      </c>
      <c r="F9" s="10" t="inlineStr">
        <is>
          <t>Convenience store (symbol group)</t>
        </is>
      </c>
      <c r="G9" s="10" t="inlineStr">
        <is>
          <t>Franchise / Symbol Group</t>
        </is>
      </c>
      <c r="H9" s="10" t="inlineStr">
        <is>
          <t>1</t>
        </is>
      </c>
      <c r="I9" s="10" t="inlineStr">
        <is>
          <t>Westhall Avenue</t>
        </is>
      </c>
      <c r="J9" s="10" t="inlineStr">
        <is>
          <t>Liverpool</t>
        </is>
      </c>
      <c r="K9" s="10" t="inlineStr">
        <is>
          <t>L33 0XE</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https://kirkby.cylex-uk.co.uk/convenience-stores/</t>
        </is>
      </c>
    </row>
    <row r="10">
      <c r="A10" s="5" t="inlineStr">
        <is>
          <t>UK-000195</t>
        </is>
      </c>
      <c r="B10" s="5" t="inlineStr">
        <is>
          <t>COSTCUTTER-01</t>
        </is>
      </c>
      <c r="C10" s="5" t="inlineStr">
        <is>
          <t>Costcutter</t>
        </is>
      </c>
      <c r="D10" s="5" t="inlineStr">
        <is>
          <t>Costcutter Tadcaster</t>
        </is>
      </c>
      <c r="E10" s="5" t="inlineStr">
        <is>
          <t>Convenience Store</t>
        </is>
      </c>
      <c r="F10" s="5" t="inlineStr">
        <is>
          <t>Symbol-group convenience store</t>
        </is>
      </c>
      <c r="G10" s="5" t="inlineStr">
        <is>
          <t>Franchise / Symbol Group</t>
        </is>
      </c>
      <c r="H10" s="5" t="inlineStr">
        <is>
          <t>1</t>
        </is>
      </c>
      <c r="I10" s="5" t="inlineStr"/>
      <c r="J10" s="5" t="inlineStr">
        <is>
          <t>Tadcaster</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https://www.yorkshire.com/tadcaster/shopping/corner-shops/costcutter-16</t>
        </is>
      </c>
    </row>
    <row r="11">
      <c r="A11" s="10" t="inlineStr">
        <is>
          <t>UK-000423</t>
        </is>
      </c>
      <c r="B11" s="10" t="inlineStr">
        <is>
          <t>COSTCUTTER-02</t>
        </is>
      </c>
      <c r="C11" s="10" t="inlineStr">
        <is>
          <t>Costcutter</t>
        </is>
      </c>
      <c r="D11" s="10" t="inlineStr">
        <is>
          <t>Costcutter Yardley Wood</t>
        </is>
      </c>
      <c r="E11" s="10" t="inlineStr">
        <is>
          <t>Convenience Store</t>
        </is>
      </c>
      <c r="F11" s="10" t="inlineStr">
        <is>
          <t>Symbol-group convenience store</t>
        </is>
      </c>
      <c r="G11" s="10" t="inlineStr">
        <is>
          <t>Franchise / Symbol Group</t>
        </is>
      </c>
      <c r="H11" s="10" t="inlineStr">
        <is>
          <t>1</t>
        </is>
      </c>
      <c r="I11" s="10" t="inlineStr">
        <is>
          <t>195 School Road</t>
        </is>
      </c>
      <c r="J11" s="10" t="inlineStr">
        <is>
          <t>Birmingham</t>
        </is>
      </c>
      <c r="K11" s="10" t="inlineStr">
        <is>
          <t>B14 4ER</t>
        </is>
      </c>
      <c r="L11" s="10" t="inlineStr">
        <is>
          <t>0121 436 7621</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Verified directory</t>
        </is>
      </c>
      <c r="Y11" s="10" t="inlineStr">
        <is>
          <t>Not Found</t>
        </is>
      </c>
      <c r="Z11" s="10" t="inlineStr">
        <is>
          <t>Low</t>
        </is>
      </c>
      <c r="AA11" s="10" t="inlineStr">
        <is>
          <t>Requires Verification</t>
        </is>
      </c>
      <c r="AB11" s="10" t="inlineStr">
        <is>
          <t>https://www.yelp.com/search?cflt=convenience&amp;find_loc=Yardley%2C+Birmingham%2C+West+Midlands</t>
        </is>
      </c>
    </row>
    <row r="12">
      <c r="A12" s="5" t="inlineStr">
        <is>
          <t>UK-000301</t>
        </is>
      </c>
      <c r="B12" s="5" t="inlineStr">
        <is>
          <t>COSTCUTTER-01</t>
        </is>
      </c>
      <c r="C12" s="5" t="inlineStr">
        <is>
          <t>Costcutter (Bestway Retail)</t>
        </is>
      </c>
      <c r="D12" s="5" t="inlineStr">
        <is>
          <t>Costcutter Shevington</t>
        </is>
      </c>
      <c r="E12" s="5" t="inlineStr">
        <is>
          <t>Convenience Store</t>
        </is>
      </c>
      <c r="F12" s="5" t="inlineStr">
        <is>
          <t>Symbol-group convenience store</t>
        </is>
      </c>
      <c r="G12" s="5" t="inlineStr">
        <is>
          <t>Franchise / Symbol Group</t>
        </is>
      </c>
      <c r="H12" s="5" t="inlineStr">
        <is>
          <t>1</t>
        </is>
      </c>
      <c r="I12" s="5" t="inlineStr">
        <is>
          <t>126 Wigan Lower Road</t>
        </is>
      </c>
      <c r="J12" s="5" t="inlineStr">
        <is>
          <t>Wigan</t>
        </is>
      </c>
      <c r="K12" s="5" t="inlineStr">
        <is>
          <t>WN6 8JP</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https://www.bigreddirectory.com/costcutter-shevington-wigan</t>
        </is>
      </c>
    </row>
    <row r="13">
      <c r="A13" s="10" t="inlineStr">
        <is>
          <t>UK-000302</t>
        </is>
      </c>
      <c r="B13" s="10" t="inlineStr">
        <is>
          <t>COSTSAVER-01</t>
        </is>
      </c>
      <c r="C13" s="10" t="inlineStr">
        <is>
          <t>Costsaver</t>
        </is>
      </c>
      <c r="D13" s="10" t="inlineStr">
        <is>
          <t>Costsaver Convenience Store Whitefield</t>
        </is>
      </c>
      <c r="E13" s="10" t="inlineStr">
        <is>
          <t>Convenience Store</t>
        </is>
      </c>
      <c r="F13" s="10" t="inlineStr"/>
      <c r="G13" s="10" t="inlineStr">
        <is>
          <t>Franchise / Symbol Group</t>
        </is>
      </c>
      <c r="H13" s="10" t="inlineStr">
        <is>
          <t>1</t>
        </is>
      </c>
      <c r="I13" s="10" t="inlineStr">
        <is>
          <t>1 Radcliffe New Road</t>
        </is>
      </c>
      <c r="J13" s="10" t="inlineStr">
        <is>
          <t>Whitefield</t>
        </is>
      </c>
      <c r="K13" s="10" t="inlineStr">
        <is>
          <t>M45 7QX</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https://licensing.bury.gov.uk/PAforLalpacLIVE/1/LicensingActPremises/Search/1614</t>
        </is>
      </c>
    </row>
    <row r="14">
      <c r="A14" s="5" t="inlineStr">
        <is>
          <t>WY-0014</t>
        </is>
      </c>
      <c r="B14" s="5" t="inlineStr">
        <is>
          <t>GTNEWS-01</t>
        </is>
      </c>
      <c r="C14" s="5" t="inlineStr">
        <is>
          <t>GT News</t>
        </is>
      </c>
      <c r="D14" s="5" t="inlineStr">
        <is>
          <t>GT News (White Rose Shopping Centre)</t>
        </is>
      </c>
      <c r="E14" s="5" t="inlineStr">
        <is>
          <t>Newsagent</t>
        </is>
      </c>
      <c r="F14" s="5" t="inlineStr">
        <is>
          <t>Shopping-centre newsagent and convenience kiosk</t>
        </is>
      </c>
      <c r="G14" s="5" t="inlineStr">
        <is>
          <t>Multi-Site Independent</t>
        </is>
      </c>
      <c r="H14" s="5" t="inlineStr">
        <is>
          <t>2</t>
        </is>
      </c>
      <c r="I14" s="5" t="inlineStr">
        <is>
          <t>Unit 28E Lower Level, White Rose Shopping Centre</t>
        </is>
      </c>
      <c r="J14" s="5" t="inlineStr">
        <is>
          <t>Leeds</t>
        </is>
      </c>
      <c r="K14" s="5" t="inlineStr">
        <is>
          <t>LS11 8LU</t>
        </is>
      </c>
      <c r="L14" s="5" t="inlineStr">
        <is>
          <t>0113 228 6446</t>
        </is>
      </c>
      <c r="M14" s="5" t="inlineStr"/>
      <c r="N14" s="5" t="inlineStr"/>
      <c r="O14" s="5" t="inlineStr">
        <is>
          <t>http://www.gtnews.co.uk/</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Verified directory</t>
        </is>
      </c>
      <c r="Y14" s="5" t="inlineStr">
        <is>
          <t>Website Found</t>
        </is>
      </c>
      <c r="Z14" s="5" t="inlineStr">
        <is>
          <t>Medium</t>
        </is>
      </c>
      <c r="AA14" s="5" t="inlineStr">
        <is>
          <t>Requires Verification</t>
        </is>
      </c>
      <c r="AB14" s="5" t="inlineStr">
        <is>
          <t>https://www.leedsonline.co.uk/info/17974/</t>
        </is>
      </c>
    </row>
    <row r="15">
      <c r="A15" s="10" t="inlineStr">
        <is>
          <t>UK-000307</t>
        </is>
      </c>
      <c r="B15" s="10" t="inlineStr">
        <is>
          <t>GOLOCALPAR-01</t>
        </is>
      </c>
      <c r="C15" s="10" t="inlineStr">
        <is>
          <t>Go Local (Parfetts)</t>
        </is>
      </c>
      <c r="D15" s="10" t="inlineStr">
        <is>
          <t>Go Local - Hyde Convenience Store</t>
        </is>
      </c>
      <c r="E15" s="10" t="inlineStr">
        <is>
          <t>Convenience Store</t>
        </is>
      </c>
      <c r="F15" s="10" t="inlineStr">
        <is>
          <t>Symbol group convenience</t>
        </is>
      </c>
      <c r="G15" s="10" t="inlineStr">
        <is>
          <t>Franchise / Symbol Group</t>
        </is>
      </c>
      <c r="H15" s="10" t="inlineStr">
        <is>
          <t>1</t>
        </is>
      </c>
      <c r="I15" s="10" t="inlineStr">
        <is>
          <t>119 Bennett Street</t>
        </is>
      </c>
      <c r="J15" s="10" t="inlineStr">
        <is>
          <t>Hyde</t>
        </is>
      </c>
      <c r="K15" s="10" t="inlineStr">
        <is>
          <t>SK14 4SS</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https://ratings.food.gov.uk/business/444647</t>
        </is>
      </c>
    </row>
    <row r="16">
      <c r="A16" s="5" t="inlineStr">
        <is>
          <t>UK-000308</t>
        </is>
      </c>
      <c r="B16" s="5" t="inlineStr">
        <is>
          <t>GOLOCALPAR-02</t>
        </is>
      </c>
      <c r="C16" s="5" t="inlineStr">
        <is>
          <t>Go Local (Parfetts)</t>
        </is>
      </c>
      <c r="D16" s="5" t="inlineStr">
        <is>
          <t>Go Local Extra (Hannah's Convenience)</t>
        </is>
      </c>
      <c r="E16" s="5" t="inlineStr">
        <is>
          <t>Convenience Store</t>
        </is>
      </c>
      <c r="F16" s="5" t="inlineStr">
        <is>
          <t>Symbol group convenience</t>
        </is>
      </c>
      <c r="G16" s="5" t="inlineStr">
        <is>
          <t>Franchise / Symbol Group</t>
        </is>
      </c>
      <c r="H16" s="5" t="inlineStr">
        <is>
          <t>1</t>
        </is>
      </c>
      <c r="I16" s="5" t="inlineStr">
        <is>
          <t>290 Grimshaw Lane</t>
        </is>
      </c>
      <c r="J16" s="5" t="inlineStr">
        <is>
          <t>Middleton</t>
        </is>
      </c>
      <c r="K16" s="5" t="inlineStr">
        <is>
          <t>M24 2XL</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https://www.yelp.com/search?find_desc=Off+Licence&amp;find_loc=Middleton,+Greater+Manchester</t>
        </is>
      </c>
    </row>
    <row r="17">
      <c r="A17" s="10" t="inlineStr">
        <is>
          <t>UK-000428</t>
        </is>
      </c>
      <c r="B17" s="10" t="inlineStr">
        <is>
          <t>GOLOCALPAR-03</t>
        </is>
      </c>
      <c r="C17" s="10" t="inlineStr">
        <is>
          <t>Go Local (Parfetts)</t>
        </is>
      </c>
      <c r="D17" s="10" t="inlineStr">
        <is>
          <t>Go Local Tibbi Convenience Store</t>
        </is>
      </c>
      <c r="E17" s="10" t="inlineStr">
        <is>
          <t>Convenience Store</t>
        </is>
      </c>
      <c r="F17" s="10" t="inlineStr">
        <is>
          <t>Symbol-group convenience store</t>
        </is>
      </c>
      <c r="G17" s="10" t="inlineStr">
        <is>
          <t>Franchise / Symbol Group</t>
        </is>
      </c>
      <c r="H17" s="10" t="inlineStr">
        <is>
          <t>1</t>
        </is>
      </c>
      <c r="I17" s="10" t="inlineStr"/>
      <c r="J17" s="10" t="inlineStr">
        <is>
          <t>Tipton</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https://tipton.cylex-uk.co.uk/company/go-local-tibbi-convenience-store-26088834.html</t>
        </is>
      </c>
    </row>
    <row r="18">
      <c r="A18" s="5" t="inlineStr">
        <is>
          <t>UK-000558</t>
        </is>
      </c>
      <c r="B18" s="5" t="inlineStr">
        <is>
          <t>LONDIS-01</t>
        </is>
      </c>
      <c r="C18" s="5" t="inlineStr">
        <is>
          <t>Londis</t>
        </is>
      </c>
      <c r="D18" s="5" t="inlineStr">
        <is>
          <t>Londis (Fountayne Road)</t>
        </is>
      </c>
      <c r="E18" s="5" t="inlineStr">
        <is>
          <t>Convenience Store</t>
        </is>
      </c>
      <c r="F18" s="5" t="inlineStr">
        <is>
          <t>Symbol-group convenience store</t>
        </is>
      </c>
      <c r="G18" s="5" t="inlineStr">
        <is>
          <t>Franchise / Symbol Group</t>
        </is>
      </c>
      <c r="H18" s="5" t="inlineStr">
        <is>
          <t>1</t>
        </is>
      </c>
      <c r="I18" s="5" t="inlineStr">
        <is>
          <t>76 Fountayne Road</t>
        </is>
      </c>
      <c r="J18" s="5" t="inlineStr">
        <is>
          <t>Stoke Newington</t>
        </is>
      </c>
      <c r="K18" s="5" t="inlineStr">
        <is>
          <t>N16 7DT</t>
        </is>
      </c>
      <c r="L18" s="5" t="inlineStr">
        <is>
          <t>020 8806 5839</t>
        </is>
      </c>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Verified directory</t>
        </is>
      </c>
      <c r="Y18" s="5" t="inlineStr">
        <is>
          <t>Not Found</t>
        </is>
      </c>
      <c r="Z18" s="5" t="inlineStr">
        <is>
          <t>Medium</t>
        </is>
      </c>
      <c r="AA18" s="5" t="inlineStr">
        <is>
          <t>Requires Verification</t>
        </is>
      </c>
      <c r="AB18" s="5" t="inlineStr">
        <is>
          <t>https://www.192.com/atoz/business/london-n16/convenience-stores/londis/cee0a1a4ef9c5dd1c59cca7f4e3d954bfd7e922e/ugc/</t>
        </is>
      </c>
    </row>
    <row r="19">
      <c r="A19" s="10" t="inlineStr">
        <is>
          <t>UK-000431</t>
        </is>
      </c>
      <c r="B19" s="10" t="inlineStr">
        <is>
          <t>LONDISBOOK-01</t>
        </is>
      </c>
      <c r="C19" s="10" t="inlineStr">
        <is>
          <t>Londis (Booker symbol group)</t>
        </is>
      </c>
      <c r="D19" s="10" t="inlineStr">
        <is>
          <t>Londis Hall Green</t>
        </is>
      </c>
      <c r="E19" s="10" t="inlineStr">
        <is>
          <t>Convenience Store</t>
        </is>
      </c>
      <c r="F19" s="10" t="inlineStr">
        <is>
          <t>Symbol-group convenience store</t>
        </is>
      </c>
      <c r="G19" s="10" t="inlineStr">
        <is>
          <t>Franchise / Symbol Group</t>
        </is>
      </c>
      <c r="H19" s="10" t="inlineStr">
        <is>
          <t>1</t>
        </is>
      </c>
      <c r="I19" s="10" t="inlineStr"/>
      <c r="J19" s="10" t="inlineStr">
        <is>
          <t>Birmingham</t>
        </is>
      </c>
      <c r="K19" s="10" t="inlineStr"/>
      <c r="L19" s="10" t="inlineStr"/>
      <c r="M19" s="10" t="inlineStr"/>
      <c r="N19" s="10" t="inlineStr"/>
      <c r="O19" s="10" t="inlineStr">
        <is>
          <t>https://www.londis.co.uk/our-stores/londis-hall-green</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Website Found</t>
        </is>
      </c>
      <c r="Z19" s="10" t="inlineStr">
        <is>
          <t>Low</t>
        </is>
      </c>
      <c r="AA19" s="10" t="inlineStr">
        <is>
          <t>Requires Verification</t>
        </is>
      </c>
      <c r="AB19" s="10" t="inlineStr">
        <is>
          <t>https://www.londis.co.uk/our-stores/londis-hall-green</t>
        </is>
      </c>
    </row>
    <row r="20">
      <c r="A20" s="5" t="inlineStr">
        <is>
          <t>WY-0020</t>
        </is>
      </c>
      <c r="B20" s="5" t="inlineStr">
        <is>
          <t>MULLACO-02</t>
        </is>
      </c>
      <c r="C20" s="5" t="inlineStr">
        <is>
          <t>Mullaco</t>
        </is>
      </c>
      <c r="D20" s="5" t="inlineStr">
        <is>
          <t>Mullaco Minimarket (Dewsbury)</t>
        </is>
      </c>
      <c r="E20" s="5" t="inlineStr">
        <is>
          <t>Convenience Store</t>
        </is>
      </c>
      <c r="F20" s="5" t="inlineStr">
        <is>
          <t>World foods minimarket</t>
        </is>
      </c>
      <c r="G20" s="5" t="inlineStr">
        <is>
          <t>Regional Chain</t>
        </is>
      </c>
      <c r="H20" s="5" t="inlineStr">
        <is>
          <t>3</t>
        </is>
      </c>
      <c r="I20" s="5" t="inlineStr"/>
      <c r="J20" s="5" t="inlineStr">
        <is>
          <t>Dewsbury</t>
        </is>
      </c>
      <c r="K20" s="5" t="inlineStr">
        <is>
          <t>WF12 9LX</t>
        </is>
      </c>
      <c r="L20" s="5" t="inlineStr"/>
      <c r="M20" s="5" t="inlineStr"/>
      <c r="N20" s="5" t="inlineStr"/>
      <c r="O20" s="5" t="inlineStr">
        <is>
          <t>https://mullaco.co.uk/</t>
        </is>
      </c>
      <c r="P20" s="5" t="inlineStr">
        <is>
          <t>https://www.facebook.com/mullaco.supermarket/</t>
        </is>
      </c>
      <c r="Q20" s="5" t="inlineStr"/>
      <c r="R20" s="5" t="inlineStr"/>
      <c r="S20" s="5" t="inlineStr"/>
      <c r="T20" s="5" t="inlineStr"/>
      <c r="U20" s="5" t="inlineStr"/>
      <c r="V20" s="5" t="inlineStr">
        <is>
          <t>Medium</t>
        </is>
      </c>
      <c r="W20" s="5" t="inlineStr">
        <is>
          <t>Multi-site retailer; Relevant category; Active website; Social presence</t>
        </is>
      </c>
      <c r="X20" s="5" t="inlineStr">
        <is>
          <t>Not Found</t>
        </is>
      </c>
      <c r="Y20" s="5" t="inlineStr">
        <is>
          <t>Website Found</t>
        </is>
      </c>
      <c r="Z20" s="5" t="inlineStr">
        <is>
          <t>Medium</t>
        </is>
      </c>
      <c r="AA20" s="5" t="inlineStr">
        <is>
          <t>Requires Verification</t>
        </is>
      </c>
      <c r="AB20" s="5" t="inlineStr">
        <is>
          <t>https://www.facebook.com/mullaco.supermarket/</t>
        </is>
      </c>
    </row>
    <row r="21">
      <c r="A21" s="10" t="inlineStr">
        <is>
          <t>UK-000711</t>
        </is>
      </c>
      <c r="B21" s="10" t="inlineStr">
        <is>
          <t>NEWSPLUSGR-01</t>
        </is>
      </c>
      <c r="C21" s="10" t="inlineStr">
        <is>
          <t>News Plus Group</t>
        </is>
      </c>
      <c r="D21" s="10" t="inlineStr">
        <is>
          <t>News Plus (Bruntsfield)</t>
        </is>
      </c>
      <c r="E21" s="10" t="inlineStr">
        <is>
          <t>Newsagent</t>
        </is>
      </c>
      <c r="F21" s="10" t="inlineStr">
        <is>
          <t>Newsagent &amp; convenience</t>
        </is>
      </c>
      <c r="G21" s="10" t="inlineStr">
        <is>
          <t>Multi-Site Independent</t>
        </is>
      </c>
      <c r="H21" s="10" t="inlineStr">
        <is>
          <t>1</t>
        </is>
      </c>
      <c r="I21" s="10" t="inlineStr">
        <is>
          <t>196 Bruntsfield Place</t>
        </is>
      </c>
      <c r="J21" s="10" t="inlineStr">
        <is>
          <t>Edinburgh</t>
        </is>
      </c>
      <c r="K21" s="10" t="inlineStr">
        <is>
          <t>EH10 4DF</t>
        </is>
      </c>
      <c r="L21" s="10" t="inlineStr">
        <is>
          <t>0131 229 3415</t>
        </is>
      </c>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Verified directory</t>
        </is>
      </c>
      <c r="Y21" s="10" t="inlineStr">
        <is>
          <t>Not Found</t>
        </is>
      </c>
      <c r="Z21" s="10" t="inlineStr">
        <is>
          <t>Medium</t>
        </is>
      </c>
      <c r="AA21" s="10" t="inlineStr">
        <is>
          <t>Requires Verification</t>
        </is>
      </c>
      <c r="AB21" s="10" t="inlineStr">
        <is>
          <t>https://www.192.com/atoz/business/edinburgh-eh10/newsagents/news-plus-group-ltd/7f50c23c5b193d3d8eef1800b3fcd551fb6d36e4/ml/</t>
        </is>
      </c>
    </row>
    <row r="22">
      <c r="A22" s="5" t="inlineStr">
        <is>
          <t>UK-000313</t>
        </is>
      </c>
      <c r="B22" s="5" t="inlineStr">
        <is>
          <t>NISA-01</t>
        </is>
      </c>
      <c r="C22" s="5" t="inlineStr">
        <is>
          <t>Nisa</t>
        </is>
      </c>
      <c r="D22" s="5" t="inlineStr">
        <is>
          <t>Multisaver Nisa Local Dukinfield</t>
        </is>
      </c>
      <c r="E22" s="5" t="inlineStr">
        <is>
          <t>Convenience Store</t>
        </is>
      </c>
      <c r="F22" s="5" t="inlineStr">
        <is>
          <t>Symbol group convenience</t>
        </is>
      </c>
      <c r="G22" s="5" t="inlineStr">
        <is>
          <t>Franchise / Symbol Group</t>
        </is>
      </c>
      <c r="H22" s="5" t="inlineStr">
        <is>
          <t>1</t>
        </is>
      </c>
      <c r="I22" s="5" t="inlineStr">
        <is>
          <t>105 Chapel Street</t>
        </is>
      </c>
      <c r="J22" s="5" t="inlineStr">
        <is>
          <t>Dukinfield</t>
        </is>
      </c>
      <c r="K22" s="5" t="inlineStr">
        <is>
          <t>SK16 4QJ</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https://ratings.food.gov.uk/business/200382/multisaver-nisa-local-dukinfield</t>
        </is>
      </c>
    </row>
    <row r="23">
      <c r="A23" s="10" t="inlineStr">
        <is>
          <t>UK-000201</t>
        </is>
      </c>
      <c r="B23" s="10" t="inlineStr">
        <is>
          <t>NISA-02</t>
        </is>
      </c>
      <c r="C23" s="10" t="inlineStr">
        <is>
          <t>Nisa</t>
        </is>
      </c>
      <c r="D23" s="10" t="inlineStr">
        <is>
          <t>Nisa Express Grimsby (Victor Street)</t>
        </is>
      </c>
      <c r="E23" s="10" t="inlineStr">
        <is>
          <t>Convenience Store</t>
        </is>
      </c>
      <c r="F23" s="10" t="inlineStr">
        <is>
          <t>Symbol-group convenience store</t>
        </is>
      </c>
      <c r="G23" s="10" t="inlineStr">
        <is>
          <t>Franchise / Symbol Group</t>
        </is>
      </c>
      <c r="H23" s="10" t="inlineStr">
        <is>
          <t>1</t>
        </is>
      </c>
      <c r="I23" s="10" t="inlineStr">
        <is>
          <t>129 Victor Street</t>
        </is>
      </c>
      <c r="J23" s="10" t="inlineStr">
        <is>
          <t>Grimsby</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https://www.nisalocally.co.uk/stores/north-east-lincs/grimsby/129-victor-st</t>
        </is>
      </c>
    </row>
    <row r="24">
      <c r="A24" s="5" t="inlineStr">
        <is>
          <t>UK-000202</t>
        </is>
      </c>
      <c r="B24" s="5" t="inlineStr">
        <is>
          <t>NISA-03</t>
        </is>
      </c>
      <c r="C24" s="5" t="inlineStr">
        <is>
          <t>Nisa</t>
        </is>
      </c>
      <c r="D24" s="5" t="inlineStr">
        <is>
          <t>Nisa Local Cleethorpes (Grimsby Road)</t>
        </is>
      </c>
      <c r="E24" s="5" t="inlineStr">
        <is>
          <t>Convenience Store</t>
        </is>
      </c>
      <c r="F24" s="5" t="inlineStr">
        <is>
          <t>Symbol-group convenience store</t>
        </is>
      </c>
      <c r="G24" s="5" t="inlineStr">
        <is>
          <t>Franchise / Symbol Group</t>
        </is>
      </c>
      <c r="H24" s="5" t="inlineStr">
        <is>
          <t>1</t>
        </is>
      </c>
      <c r="I24" s="5" t="inlineStr">
        <is>
          <t>29-31 Grimsby Road</t>
        </is>
      </c>
      <c r="J24" s="5" t="inlineStr">
        <is>
          <t>Cleethorpes</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https://ratings.food.gov.uk/business/1631635/nisa-local-grimsby-local-store</t>
        </is>
      </c>
    </row>
    <row r="25">
      <c r="A25" s="10" t="inlineStr">
        <is>
          <t>UK-000434</t>
        </is>
      </c>
      <c r="B25" s="10" t="inlineStr">
        <is>
          <t>NISACOOPSY-01</t>
        </is>
      </c>
      <c r="C25" s="10" t="inlineStr">
        <is>
          <t>Nisa (Co-op symbol group)</t>
        </is>
      </c>
      <c r="D25" s="10" t="inlineStr">
        <is>
          <t>Nisa Local - 555 Bloxwich Road</t>
        </is>
      </c>
      <c r="E25" s="10" t="inlineStr">
        <is>
          <t>Convenience Store</t>
        </is>
      </c>
      <c r="F25" s="10" t="inlineStr">
        <is>
          <t>Convenience &amp; off-licence</t>
        </is>
      </c>
      <c r="G25" s="10" t="inlineStr">
        <is>
          <t>Franchise / Symbol Group</t>
        </is>
      </c>
      <c r="H25" s="10" t="inlineStr">
        <is>
          <t>1</t>
        </is>
      </c>
      <c r="I25" s="10" t="inlineStr">
        <is>
          <t>555 Bloxwich Road</t>
        </is>
      </c>
      <c r="J25" s="10" t="inlineStr">
        <is>
          <t>Walsall</t>
        </is>
      </c>
      <c r="K25" s="10" t="inlineStr">
        <is>
          <t>WS3 2XD</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https://www.mylocalservices.co.uk/Nisa+Local-Walsall-3137056.html</t>
        </is>
      </c>
    </row>
    <row r="26">
      <c r="A26" s="5" t="inlineStr">
        <is>
          <t>UK-000435</t>
        </is>
      </c>
      <c r="B26" s="5" t="inlineStr">
        <is>
          <t>NISACOOPSY-02</t>
        </is>
      </c>
      <c r="C26" s="5" t="inlineStr">
        <is>
          <t>Nisa (Co-op symbol group)</t>
        </is>
      </c>
      <c r="D26" s="5" t="inlineStr">
        <is>
          <t>Nisa Local - Sneyd Hall Road</t>
        </is>
      </c>
      <c r="E26" s="5" t="inlineStr">
        <is>
          <t>Convenience Store</t>
        </is>
      </c>
      <c r="F26" s="5" t="inlineStr">
        <is>
          <t>Convenience &amp; off-licence</t>
        </is>
      </c>
      <c r="G26" s="5" t="inlineStr">
        <is>
          <t>Franchise / Symbol Group</t>
        </is>
      </c>
      <c r="H26" s="5" t="inlineStr">
        <is>
          <t>1</t>
        </is>
      </c>
      <c r="I26" s="5" t="inlineStr">
        <is>
          <t>2 Sneyd Hall Road</t>
        </is>
      </c>
      <c r="J26" s="5" t="inlineStr">
        <is>
          <t>Walsall</t>
        </is>
      </c>
      <c r="K26" s="5" t="inlineStr">
        <is>
          <t>WS3 2NP</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https://citikey.uk/display/nisa-local-XXJDK</t>
        </is>
      </c>
    </row>
    <row r="27">
      <c r="A27" s="10" t="inlineStr">
        <is>
          <t>UK-000436</t>
        </is>
      </c>
      <c r="B27" s="10" t="inlineStr">
        <is>
          <t>NISACOOPSY-03</t>
        </is>
      </c>
      <c r="C27" s="10" t="inlineStr">
        <is>
          <t>Nisa (Co-op symbol group)</t>
        </is>
      </c>
      <c r="D27" s="10" t="inlineStr">
        <is>
          <t>Nisa Today's - 619 Bloxwich Road</t>
        </is>
      </c>
      <c r="E27" s="10" t="inlineStr">
        <is>
          <t>Convenience Store</t>
        </is>
      </c>
      <c r="F27" s="10" t="inlineStr">
        <is>
          <t>Convenience &amp; off-licence</t>
        </is>
      </c>
      <c r="G27" s="10" t="inlineStr">
        <is>
          <t>Franchise / Symbol Group</t>
        </is>
      </c>
      <c r="H27" s="10" t="inlineStr">
        <is>
          <t>1</t>
        </is>
      </c>
      <c r="I27" s="10" t="inlineStr">
        <is>
          <t>619 Bloxwich Road</t>
        </is>
      </c>
      <c r="J27" s="10" t="inlineStr">
        <is>
          <t>Walsall</t>
        </is>
      </c>
      <c r="K27" s="10" t="inlineStr"/>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https://www.localstore.co.uk/store/353534/nisa-todays/walsall/</t>
        </is>
      </c>
    </row>
    <row r="28">
      <c r="A28" s="5" t="inlineStr">
        <is>
          <t>UK-000314</t>
        </is>
      </c>
      <c r="B28" s="5" t="inlineStr">
        <is>
          <t>NISACOOP-01</t>
        </is>
      </c>
      <c r="C28" s="5" t="inlineStr">
        <is>
          <t>Nisa (Co-op)</t>
        </is>
      </c>
      <c r="D28" s="5" t="inlineStr">
        <is>
          <t>Nisa Local Marsh Green</t>
        </is>
      </c>
      <c r="E28" s="5" t="inlineStr">
        <is>
          <t>Convenience Store</t>
        </is>
      </c>
      <c r="F28" s="5" t="inlineStr">
        <is>
          <t>Symbol-group convenience store</t>
        </is>
      </c>
      <c r="G28" s="5" t="inlineStr">
        <is>
          <t>Franchise / Symbol Group</t>
        </is>
      </c>
      <c r="H28" s="5" t="inlineStr">
        <is>
          <t>1</t>
        </is>
      </c>
      <c r="I28" s="5" t="inlineStr">
        <is>
          <t>101-103 Kitt Green Road</t>
        </is>
      </c>
      <c r="J28" s="5" t="inlineStr">
        <is>
          <t>Wigan</t>
        </is>
      </c>
      <c r="K28" s="5" t="inlineStr">
        <is>
          <t>WN5 0EE</t>
        </is>
      </c>
      <c r="L28" s="5" t="inlineStr"/>
      <c r="M28" s="5" t="inlineStr"/>
      <c r="N28" s="5" t="inlineStr"/>
      <c r="O28" s="5" t="inlineStr">
        <is>
          <t>https://www.nisalocally.co.uk/</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Not Found</t>
        </is>
      </c>
      <c r="Y28" s="5" t="inlineStr">
        <is>
          <t>Not Found</t>
        </is>
      </c>
      <c r="Z28" s="5" t="inlineStr">
        <is>
          <t>Low</t>
        </is>
      </c>
      <c r="AA28" s="5" t="inlineStr">
        <is>
          <t>Requires Verification</t>
        </is>
      </c>
      <c r="AB28" s="5" t="inlineStr">
        <is>
          <t>https://www.nisalocally.co.uk/stores/greater-manchester/wigan</t>
        </is>
      </c>
    </row>
    <row r="29">
      <c r="A29" s="10" t="inlineStr">
        <is>
          <t>UK-000712</t>
        </is>
      </c>
      <c r="B29" s="10" t="inlineStr">
        <is>
          <t>NISACOOPSY-01</t>
        </is>
      </c>
      <c r="C29" s="10" t="inlineStr">
        <is>
          <t>Nisa (Co-op) symbol group</t>
        </is>
      </c>
      <c r="D29" s="10" t="inlineStr">
        <is>
          <t>Nisa Local / Premier Clydebank (Glasgow Road)</t>
        </is>
      </c>
      <c r="E29" s="10" t="inlineStr">
        <is>
          <t>Convenience Store</t>
        </is>
      </c>
      <c r="F29" s="10" t="inlineStr">
        <is>
          <t>Symbol-group convenience store</t>
        </is>
      </c>
      <c r="G29" s="10" t="inlineStr">
        <is>
          <t>Franchise / Symbol Group</t>
        </is>
      </c>
      <c r="H29" s="10" t="inlineStr">
        <is>
          <t>1</t>
        </is>
      </c>
      <c r="I29" s="10" t="inlineStr">
        <is>
          <t>485B Glasgow Road</t>
        </is>
      </c>
      <c r="J29" s="10" t="inlineStr">
        <is>
          <t>Clydebank</t>
        </is>
      </c>
      <c r="K29" s="10" t="inlineStr">
        <is>
          <t>G81 1JP</t>
        </is>
      </c>
      <c r="L29" s="10" t="inlineStr">
        <is>
          <t>0141 951 1669</t>
        </is>
      </c>
      <c r="M29" s="10" t="inlineStr"/>
      <c r="N29" s="10" t="inlineStr"/>
      <c r="O29" s="10" t="inlineStr">
        <is>
          <t>https://www.nisalocally.co.uk/stores/west-dunbart/clydebank/485b-glasgow-rd</t>
        </is>
      </c>
      <c r="P29" s="10" t="inlineStr">
        <is>
          <t>https://www.facebook.com/nisa.clydebank/</t>
        </is>
      </c>
      <c r="Q29" s="10" t="inlineStr"/>
      <c r="R29" s="10" t="inlineStr"/>
      <c r="S29" s="10" t="inlineStr"/>
      <c r="T29" s="10" t="inlineStr"/>
      <c r="U29" s="10" t="inlineStr"/>
      <c r="V29" s="10" t="inlineStr">
        <is>
          <t>High</t>
        </is>
      </c>
      <c r="W29" s="10" t="inlineStr">
        <is>
          <t>Multi-site retailer; Independent retailer; Relevant category; Active website; Social presence</t>
        </is>
      </c>
      <c r="X29" s="10" t="inlineStr">
        <is>
          <t>Verified directory</t>
        </is>
      </c>
      <c r="Y29" s="10" t="inlineStr">
        <is>
          <t>Not Found</t>
        </is>
      </c>
      <c r="Z29" s="10" t="inlineStr">
        <is>
          <t>Medium</t>
        </is>
      </c>
      <c r="AA29" s="10" t="inlineStr">
        <is>
          <t>Requires Verification</t>
        </is>
      </c>
      <c r="AB29" s="10" t="inlineStr">
        <is>
          <t>https://www.nisalocally.co.uk/stores/west-dunbart/clydebank/485b-glasgow-rd</t>
        </is>
      </c>
    </row>
    <row r="30">
      <c r="A30" s="5" t="inlineStr">
        <is>
          <t>UK-000315</t>
        </is>
      </c>
      <c r="B30" s="5" t="inlineStr">
        <is>
          <t>NISARETAIL-01</t>
        </is>
      </c>
      <c r="C30" s="5" t="inlineStr">
        <is>
          <t>Nisa Retail</t>
        </is>
      </c>
      <c r="D30" s="5" t="inlineStr">
        <is>
          <t>Nisa Local (Manor Avenue, Sale)</t>
        </is>
      </c>
      <c r="E30" s="5" t="inlineStr">
        <is>
          <t>Convenience Store</t>
        </is>
      </c>
      <c r="F30" s="5" t="inlineStr">
        <is>
          <t>Convenience &amp; off-licence (symbol group)</t>
        </is>
      </c>
      <c r="G30" s="5" t="inlineStr">
        <is>
          <t>Franchise / Symbol Group</t>
        </is>
      </c>
      <c r="H30" s="5" t="inlineStr">
        <is>
          <t>1</t>
        </is>
      </c>
      <c r="I30" s="5" t="inlineStr">
        <is>
          <t>77 Manor Avenue</t>
        </is>
      </c>
      <c r="J30" s="5" t="inlineStr">
        <is>
          <t>Sale</t>
        </is>
      </c>
      <c r="K30" s="5" t="inlineStr">
        <is>
          <t>M33 5JS</t>
        </is>
      </c>
      <c r="L30" s="5" t="inlineStr">
        <is>
          <t>0161 929 5143</t>
        </is>
      </c>
      <c r="M30" s="5" t="inlineStr"/>
      <c r="N30" s="5" t="inlineStr"/>
      <c r="O30" s="5" t="inlineStr">
        <is>
          <t>https://www.nisalocally.co.uk/stores/greater-manchester/sale/77-manor-ave-12779146</t>
        </is>
      </c>
      <c r="P30" s="5" t="inlineStr"/>
      <c r="Q30" s="5" t="inlineStr"/>
      <c r="R30" s="5" t="inlineStr"/>
      <c r="S30" s="5" t="inlineStr"/>
      <c r="T30" s="5" t="inlineStr"/>
      <c r="U30" s="5" t="inlineStr"/>
      <c r="V30" s="5" t="inlineStr">
        <is>
          <t>Medium</t>
        </is>
      </c>
      <c r="W30" s="5" t="inlineStr">
        <is>
          <t>Multi-site retailer; Independent retailer; Relevant category; Active website</t>
        </is>
      </c>
      <c r="X30" s="5" t="inlineStr">
        <is>
          <t>Verified directory</t>
        </is>
      </c>
      <c r="Y30" s="5" t="inlineStr">
        <is>
          <t>Not Found</t>
        </is>
      </c>
      <c r="Z30" s="5" t="inlineStr">
        <is>
          <t>Medium</t>
        </is>
      </c>
      <c r="AA30" s="5" t="inlineStr">
        <is>
          <t>Requires Verification</t>
        </is>
      </c>
      <c r="AB30" s="5" t="inlineStr">
        <is>
          <t>https://www.nisalocally.co.uk/stores/greater-manchester/sale/77-manor-ave-12779146</t>
        </is>
      </c>
    </row>
    <row r="31">
      <c r="A31" s="10" t="inlineStr">
        <is>
          <t>UK-000714</t>
        </is>
      </c>
      <c r="B31" s="10" t="inlineStr">
        <is>
          <t>ONESTOPSTO-01</t>
        </is>
      </c>
      <c r="C31" s="10" t="inlineStr">
        <is>
          <t>One Stop Stores Ltd</t>
        </is>
      </c>
      <c r="D31" s="10" t="inlineStr">
        <is>
          <t>One Stop Convenience Store - Glovers Brow</t>
        </is>
      </c>
      <c r="E31" s="10" t="inlineStr">
        <is>
          <t>Convenience Store</t>
        </is>
      </c>
      <c r="F31" s="10" t="inlineStr">
        <is>
          <t>Convenience store (symbol group)</t>
        </is>
      </c>
      <c r="G31" s="10" t="inlineStr">
        <is>
          <t>Franchise / Symbol Group</t>
        </is>
      </c>
      <c r="H31" s="10" t="inlineStr">
        <is>
          <t>1</t>
        </is>
      </c>
      <c r="I31" s="10" t="inlineStr">
        <is>
          <t>9 Glovers Brow</t>
        </is>
      </c>
      <c r="J31" s="10" t="inlineStr">
        <is>
          <t>Liverpool</t>
        </is>
      </c>
      <c r="K31" s="10" t="inlineStr">
        <is>
          <t>L32 2AE</t>
        </is>
      </c>
      <c r="L31" s="10" t="inlineStr">
        <is>
          <t>0151 792 5986</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Low</t>
        </is>
      </c>
      <c r="AA31" s="10" t="inlineStr">
        <is>
          <t>Requires Verification</t>
        </is>
      </c>
      <c r="AB31" s="10" t="inlineStr">
        <is>
          <t>https://kirkby.cylex-uk.co.uk/company/one-stop-convenience-store-23659132.html</t>
        </is>
      </c>
    </row>
    <row r="32">
      <c r="A32" s="5" t="inlineStr">
        <is>
          <t>UK-000203</t>
        </is>
      </c>
      <c r="B32" s="5" t="inlineStr">
        <is>
          <t>PARFETTSTH-01</t>
        </is>
      </c>
      <c r="C32" s="5" t="inlineStr">
        <is>
          <t>Parfetts / The Local</t>
        </is>
      </c>
      <c r="D32" s="5" t="inlineStr">
        <is>
          <t>The Local (Marfleet Lane)</t>
        </is>
      </c>
      <c r="E32" s="5" t="inlineStr">
        <is>
          <t>Convenience Store</t>
        </is>
      </c>
      <c r="F32" s="5" t="inlineStr">
        <is>
          <t>Symbol-group convenience store</t>
        </is>
      </c>
      <c r="G32" s="5" t="inlineStr">
        <is>
          <t>Franchise / Symbol Group</t>
        </is>
      </c>
      <c r="H32" s="5" t="inlineStr">
        <is>
          <t>1</t>
        </is>
      </c>
      <c r="I32" s="5" t="inlineStr">
        <is>
          <t>Marfleet Lane</t>
        </is>
      </c>
      <c r="J32" s="5" t="inlineStr">
        <is>
          <t>Kingston upon Hull</t>
        </is>
      </c>
      <c r="K32" s="5" t="inlineStr"/>
      <c r="L32" s="5" t="inlineStr"/>
      <c r="M32" s="5" t="inlineStr"/>
      <c r="N32" s="5" t="inlineStr"/>
      <c r="O32" s="5" t="inlineStr"/>
      <c r="P32" s="5" t="inlineStr"/>
      <c r="Q32" s="5" t="inlineStr"/>
      <c r="R32" s="5" t="inlineStr">
        <is>
          <t>Prasath Balakrishnan</t>
        </is>
      </c>
      <c r="S32" s="5" t="inlineStr">
        <is>
          <t>Owner</t>
        </is>
      </c>
      <c r="T32" s="5" t="inlineStr"/>
      <c r="U32" s="5" t="inlineStr"/>
      <c r="V32" s="5" t="inlineStr">
        <is>
          <t>Medium</t>
        </is>
      </c>
      <c r="W32" s="5" t="inlineStr">
        <is>
          <t>Multi-site retailer; Independent retailer; Relevant category</t>
        </is>
      </c>
      <c r="X32" s="5" t="inlineStr">
        <is>
          <t>Not Found</t>
        </is>
      </c>
      <c r="Y32" s="5" t="inlineStr">
        <is>
          <t>Not Found</t>
        </is>
      </c>
      <c r="Z32" s="5" t="inlineStr">
        <is>
          <t>Medium</t>
        </is>
      </c>
      <c r="AA32" s="5" t="inlineStr">
        <is>
          <t>Requires Verification</t>
        </is>
      </c>
      <c r="AB32" s="5" t="inlineStr">
        <is>
          <t>https://wholesalemanager.co.uk/new-the-local-store-opens-in-hull/</t>
        </is>
      </c>
    </row>
    <row r="33">
      <c r="A33" s="10" t="inlineStr">
        <is>
          <t>UK-000316</t>
        </is>
      </c>
      <c r="B33" s="10" t="inlineStr">
        <is>
          <t>PREMIERBOO-01</t>
        </is>
      </c>
      <c r="C33" s="10" t="inlineStr">
        <is>
          <t>Premier (Booker Group)</t>
        </is>
      </c>
      <c r="D33" s="10" t="inlineStr">
        <is>
          <t>Premier Store Leigh (Kirkhall Lane)</t>
        </is>
      </c>
      <c r="E33" s="10" t="inlineStr">
        <is>
          <t>Convenience Store</t>
        </is>
      </c>
      <c r="F33" s="10" t="inlineStr">
        <is>
          <t>Symbol-group convenience store</t>
        </is>
      </c>
      <c r="G33" s="10" t="inlineStr">
        <is>
          <t>Franchise / Symbol Group</t>
        </is>
      </c>
      <c r="H33" s="10" t="inlineStr">
        <is>
          <t>1</t>
        </is>
      </c>
      <c r="I33" s="10" t="inlineStr">
        <is>
          <t>41 Kirkhall Lane</t>
        </is>
      </c>
      <c r="J33" s="10" t="inlineStr">
        <is>
          <t>Leigh</t>
        </is>
      </c>
      <c r="K33" s="10" t="inlineStr">
        <is>
          <t>WN7 1SA</t>
        </is>
      </c>
      <c r="L33" s="10" t="inlineStr"/>
      <c r="M33" s="10" t="inlineStr"/>
      <c r="N33" s="10" t="inlineStr"/>
      <c r="O33" s="10" t="inlineStr">
        <is>
          <t>https://www.premier-stores.co.uk/</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Not Found</t>
        </is>
      </c>
      <c r="Z33" s="10" t="inlineStr">
        <is>
          <t>Low</t>
        </is>
      </c>
      <c r="AA33" s="10" t="inlineStr">
        <is>
          <t>Requires Verification</t>
        </is>
      </c>
      <c r="AB33" s="10" t="inlineStr">
        <is>
          <t>https://www.yell.com/biz/premier-leigh-4398851/</t>
        </is>
      </c>
    </row>
    <row r="34">
      <c r="A34" s="5" t="inlineStr">
        <is>
          <t>UK-000317</t>
        </is>
      </c>
      <c r="B34" s="5" t="inlineStr">
        <is>
          <t>PREMIERBOO-02</t>
        </is>
      </c>
      <c r="C34" s="5" t="inlineStr">
        <is>
          <t>Premier (Booker Group)</t>
        </is>
      </c>
      <c r="D34" s="5" t="inlineStr">
        <is>
          <t>Premier Store Wigan (Ormskirk Road)</t>
        </is>
      </c>
      <c r="E34" s="5" t="inlineStr">
        <is>
          <t>Convenience Store</t>
        </is>
      </c>
      <c r="F34" s="5" t="inlineStr">
        <is>
          <t>Symbol-group convenience store</t>
        </is>
      </c>
      <c r="G34" s="5" t="inlineStr">
        <is>
          <t>Franchise / Symbol Group</t>
        </is>
      </c>
      <c r="H34" s="5" t="inlineStr">
        <is>
          <t>1</t>
        </is>
      </c>
      <c r="I34" s="5" t="inlineStr">
        <is>
          <t>751 Ormskirk Road</t>
        </is>
      </c>
      <c r="J34" s="5" t="inlineStr">
        <is>
          <t>Wigan</t>
        </is>
      </c>
      <c r="K34" s="5" t="inlineStr">
        <is>
          <t>WN5 8AT</t>
        </is>
      </c>
      <c r="L34" s="5" t="inlineStr"/>
      <c r="M34" s="5" t="inlineStr"/>
      <c r="N34" s="5" t="inlineStr"/>
      <c r="O34" s="5" t="inlineStr">
        <is>
          <t>https://www.premier-stores.co.uk/</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Not Found</t>
        </is>
      </c>
      <c r="Z34" s="5" t="inlineStr">
        <is>
          <t>Low</t>
        </is>
      </c>
      <c r="AA34" s="5" t="inlineStr">
        <is>
          <t>Requires Verification</t>
        </is>
      </c>
      <c r="AB34" s="5" t="inlineStr">
        <is>
          <t>https://wigan.cylex-uk.co.uk/company/premier-19271504.html</t>
        </is>
      </c>
    </row>
    <row r="35">
      <c r="A35" s="10" t="inlineStr">
        <is>
          <t>UK-000204</t>
        </is>
      </c>
      <c r="B35" s="10" t="inlineStr">
        <is>
          <t>PREMIERBOO-03</t>
        </is>
      </c>
      <c r="C35" s="10" t="inlineStr">
        <is>
          <t>Premier (Booker Group)</t>
        </is>
      </c>
      <c r="D35" s="10" t="inlineStr">
        <is>
          <t>Premier Stores Ripon</t>
        </is>
      </c>
      <c r="E35" s="10" t="inlineStr">
        <is>
          <t>Convenience Store</t>
        </is>
      </c>
      <c r="F35" s="10" t="inlineStr">
        <is>
          <t>Symbol-group convenience store</t>
        </is>
      </c>
      <c r="G35" s="10" t="inlineStr">
        <is>
          <t>Franchise / Symbol Group</t>
        </is>
      </c>
      <c r="H35" s="10" t="inlineStr">
        <is>
          <t>1</t>
        </is>
      </c>
      <c r="I35" s="10" t="inlineStr">
        <is>
          <t>64 Bondgate</t>
        </is>
      </c>
      <c r="J35" s="10" t="inlineStr">
        <is>
          <t>Ripon</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https://www.localstore.co.uk/store/394275/premier-stores/ripon/</t>
        </is>
      </c>
    </row>
    <row r="36">
      <c r="A36" s="5" t="inlineStr">
        <is>
          <t>UK-000437</t>
        </is>
      </c>
      <c r="B36" s="5" t="inlineStr">
        <is>
          <t>PREMIERBOO-01</t>
        </is>
      </c>
      <c r="C36" s="5" t="inlineStr">
        <is>
          <t>Premier (Booker symbol group)</t>
        </is>
      </c>
      <c r="D36" s="5" t="inlineStr">
        <is>
          <t>Dhillons Convenience Store</t>
        </is>
      </c>
      <c r="E36" s="5" t="inlineStr">
        <is>
          <t>Convenience Store</t>
        </is>
      </c>
      <c r="F36" s="5" t="inlineStr">
        <is>
          <t>Symbol-group convenience store</t>
        </is>
      </c>
      <c r="G36" s="5" t="inlineStr">
        <is>
          <t>Franchise / Symbol Group</t>
        </is>
      </c>
      <c r="H36" s="5" t="inlineStr">
        <is>
          <t>1</t>
        </is>
      </c>
      <c r="I36" s="5" t="inlineStr">
        <is>
          <t>252 Gravelly Lane</t>
        </is>
      </c>
      <c r="J36" s="5" t="inlineStr">
        <is>
          <t>Birmingham</t>
        </is>
      </c>
      <c r="K36" s="5" t="inlineStr">
        <is>
          <t>B23 5SB</t>
        </is>
      </c>
      <c r="L36" s="5" t="inlineStr">
        <is>
          <t>0121 350 8581</t>
        </is>
      </c>
      <c r="M36" s="5" t="inlineStr"/>
      <c r="N36" s="5" t="inlineStr"/>
      <c r="O36" s="5" t="inlineStr">
        <is>
          <t>https://www.premier-stores.co.uk/our-stores/dhillons-convenience-store-0</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Verified directory</t>
        </is>
      </c>
      <c r="Y36" s="5" t="inlineStr">
        <is>
          <t>Not Found</t>
        </is>
      </c>
      <c r="Z36" s="5" t="inlineStr">
        <is>
          <t>Medium</t>
        </is>
      </c>
      <c r="AA36" s="5" t="inlineStr">
        <is>
          <t>Requires Verification</t>
        </is>
      </c>
      <c r="AB36" s="5" t="inlineStr">
        <is>
          <t>https://www.premier-stores.co.uk/our-stores/dhillons-convenience-store-0</t>
        </is>
      </c>
    </row>
    <row r="37">
      <c r="A37" s="10" t="inlineStr">
        <is>
          <t>UK-000438</t>
        </is>
      </c>
      <c r="B37" s="10" t="inlineStr">
        <is>
          <t>PREMIERBOO-02</t>
        </is>
      </c>
      <c r="C37" s="10" t="inlineStr">
        <is>
          <t>Premier (Booker symbol group)</t>
        </is>
      </c>
      <c r="D37" s="10" t="inlineStr">
        <is>
          <t>Kwik Stop Convenience Store</t>
        </is>
      </c>
      <c r="E37" s="10" t="inlineStr">
        <is>
          <t>Convenience Store</t>
        </is>
      </c>
      <c r="F37" s="10" t="inlineStr">
        <is>
          <t>Symbol-group convenience store</t>
        </is>
      </c>
      <c r="G37" s="10" t="inlineStr">
        <is>
          <t>Franchise / Symbol Group</t>
        </is>
      </c>
      <c r="H37" s="10" t="inlineStr">
        <is>
          <t>1</t>
        </is>
      </c>
      <c r="I37" s="10" t="inlineStr">
        <is>
          <t>16 Ribblesdale Road</t>
        </is>
      </c>
      <c r="J37" s="10" t="inlineStr">
        <is>
          <t>Birmingham</t>
        </is>
      </c>
      <c r="K37" s="10" t="inlineStr">
        <is>
          <t>B30 2YP</t>
        </is>
      </c>
      <c r="L37" s="10" t="inlineStr">
        <is>
          <t>0121 472 8118</t>
        </is>
      </c>
      <c r="M37" s="10" t="inlineStr"/>
      <c r="N37" s="10" t="inlineStr"/>
      <c r="O37" s="10" t="inlineStr">
        <is>
          <t>https://www.premier-stores.co.uk/our-stores/kwik-stop-convenience-store</t>
        </is>
      </c>
      <c r="P37" s="10" t="inlineStr"/>
      <c r="Q37" s="10" t="inlineStr"/>
      <c r="R37" s="10" t="inlineStr"/>
      <c r="S37" s="10" t="inlineStr"/>
      <c r="T37" s="10" t="inlineStr"/>
      <c r="U37" s="10" t="inlineStr"/>
      <c r="V37" s="10" t="inlineStr">
        <is>
          <t>Medium</t>
        </is>
      </c>
      <c r="W37" s="10" t="inlineStr">
        <is>
          <t>Multi-site retailer; Independent retailer; Relevant category; Active website</t>
        </is>
      </c>
      <c r="X37" s="10" t="inlineStr">
        <is>
          <t>Verified directory</t>
        </is>
      </c>
      <c r="Y37" s="10" t="inlineStr">
        <is>
          <t>Not Found</t>
        </is>
      </c>
      <c r="Z37" s="10" t="inlineStr">
        <is>
          <t>Medium</t>
        </is>
      </c>
      <c r="AA37" s="10" t="inlineStr">
        <is>
          <t>Requires Verification</t>
        </is>
      </c>
      <c r="AB37" s="10" t="inlineStr">
        <is>
          <t>https://www.premier-stores.co.uk/our-stores/kwik-stop-convenience-store</t>
        </is>
      </c>
    </row>
    <row r="38">
      <c r="A38" s="5" t="inlineStr">
        <is>
          <t>UK-000439</t>
        </is>
      </c>
      <c r="B38" s="5" t="inlineStr">
        <is>
          <t>PREMIERBOO-03</t>
        </is>
      </c>
      <c r="C38" s="5" t="inlineStr">
        <is>
          <t>Premier (Booker symbol group)</t>
        </is>
      </c>
      <c r="D38" s="5" t="inlineStr">
        <is>
          <t>Premier - 570 Bloxwich Road</t>
        </is>
      </c>
      <c r="E38" s="5" t="inlineStr">
        <is>
          <t>Convenience Store</t>
        </is>
      </c>
      <c r="F38" s="5" t="inlineStr">
        <is>
          <t>Convenience &amp; off-licence</t>
        </is>
      </c>
      <c r="G38" s="5" t="inlineStr">
        <is>
          <t>Franchise / Symbol Group</t>
        </is>
      </c>
      <c r="H38" s="5" t="inlineStr">
        <is>
          <t>1</t>
        </is>
      </c>
      <c r="I38" s="5" t="inlineStr">
        <is>
          <t>570 Bloxwich Road</t>
        </is>
      </c>
      <c r="J38" s="5" t="inlineStr">
        <is>
          <t>Walsall</t>
        </is>
      </c>
      <c r="K38" s="5" t="inlineStr">
        <is>
          <t>WS3 2BB</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https://walsall.cylex-uk.co.uk/company/premier---bloxwich-road-convenience-store-23827914.html</t>
        </is>
      </c>
    </row>
    <row r="39">
      <c r="A39" s="10" t="inlineStr">
        <is>
          <t>UK-000440</t>
        </is>
      </c>
      <c r="B39" s="10" t="inlineStr">
        <is>
          <t>PREMIERBOO-04</t>
        </is>
      </c>
      <c r="C39" s="10" t="inlineStr">
        <is>
          <t>Premier (Booker symbol group)</t>
        </is>
      </c>
      <c r="D39" s="10" t="inlineStr">
        <is>
          <t>Premier - Bloxwich Road Convenience Store &amp; Post Office</t>
        </is>
      </c>
      <c r="E39" s="10" t="inlineStr">
        <is>
          <t>Convenience Store</t>
        </is>
      </c>
      <c r="F39" s="10" t="inlineStr">
        <is>
          <t>Convenience &amp; post office</t>
        </is>
      </c>
      <c r="G39" s="10" t="inlineStr">
        <is>
          <t>Franchise / Symbol Group</t>
        </is>
      </c>
      <c r="H39" s="10" t="inlineStr">
        <is>
          <t>1</t>
        </is>
      </c>
      <c r="I39" s="10" t="inlineStr">
        <is>
          <t>133-135 Bloxwich Road</t>
        </is>
      </c>
      <c r="J39" s="10" t="inlineStr">
        <is>
          <t>Walsall</t>
        </is>
      </c>
      <c r="K39" s="10" t="inlineStr">
        <is>
          <t>WS2 8BS</t>
        </is>
      </c>
      <c r="L39" s="10" t="inlineStr"/>
      <c r="M39" s="10" t="inlineStr"/>
      <c r="N39" s="10" t="inlineStr"/>
      <c r="O39" s="10" t="inlineStr">
        <is>
          <t>https://www.premier-stores.co.uk/our-stores/bloxwich-road-convenience-store</t>
        </is>
      </c>
      <c r="P39" s="10" t="inlineStr">
        <is>
          <t>https://www.facebook.com/bloxwichroadconveniencestore/</t>
        </is>
      </c>
      <c r="Q39" s="10" t="inlineStr"/>
      <c r="R39" s="10" t="inlineStr"/>
      <c r="S39" s="10" t="inlineStr"/>
      <c r="T39" s="10" t="inlineStr"/>
      <c r="U39" s="10" t="inlineStr"/>
      <c r="V39" s="10" t="inlineStr">
        <is>
          <t>High</t>
        </is>
      </c>
      <c r="W39" s="10" t="inlineStr">
        <is>
          <t>Multi-site retailer; Independent retailer; Relevant category; Active website; Social presence</t>
        </is>
      </c>
      <c r="X39" s="10" t="inlineStr">
        <is>
          <t>Not Found</t>
        </is>
      </c>
      <c r="Y39" s="10" t="inlineStr">
        <is>
          <t>Not Found</t>
        </is>
      </c>
      <c r="Z39" s="10" t="inlineStr">
        <is>
          <t>Medium</t>
        </is>
      </c>
      <c r="AA39" s="10" t="inlineStr">
        <is>
          <t>Partially Verified</t>
        </is>
      </c>
      <c r="AB39" s="10" t="inlineStr">
        <is>
          <t>https://www.premier-stores.co.uk/our-stores/bloxwich-road-convenience-store</t>
        </is>
      </c>
    </row>
    <row r="40">
      <c r="A40" s="5" t="inlineStr">
        <is>
          <t>UK-000715</t>
        </is>
      </c>
      <c r="B40" s="5" t="inlineStr">
        <is>
          <t>PREMIERBOO-01</t>
        </is>
      </c>
      <c r="C40" s="5" t="inlineStr">
        <is>
          <t>Premier (Booker)</t>
        </is>
      </c>
      <c r="D40" s="5" t="inlineStr">
        <is>
          <t>Dalry Premier Store</t>
        </is>
      </c>
      <c r="E40" s="5" t="inlineStr">
        <is>
          <t>Convenience Store</t>
        </is>
      </c>
      <c r="F40" s="5" t="inlineStr">
        <is>
          <t>Symbol-group convenience &amp; off-licence</t>
        </is>
      </c>
      <c r="G40" s="5" t="inlineStr">
        <is>
          <t>Franchise / Symbol Group</t>
        </is>
      </c>
      <c r="H40" s="5" t="inlineStr">
        <is>
          <t>1</t>
        </is>
      </c>
      <c r="I40" s="5" t="inlineStr">
        <is>
          <t>25 Dalry Road</t>
        </is>
      </c>
      <c r="J40" s="5" t="inlineStr">
        <is>
          <t>Edinburgh</t>
        </is>
      </c>
      <c r="K40" s="5" t="inlineStr">
        <is>
          <t>EH11 2BQ</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https://edinburgh.cylex-uk.co.uk/convenience-stores/?dst=dalry</t>
        </is>
      </c>
    </row>
    <row r="41">
      <c r="A41" s="10" t="inlineStr">
        <is>
          <t>UK-000205</t>
        </is>
      </c>
      <c r="B41" s="10" t="inlineStr">
        <is>
          <t>PREMIERBOO-02</t>
        </is>
      </c>
      <c r="C41" s="10" t="inlineStr">
        <is>
          <t>Premier (Booker)</t>
        </is>
      </c>
      <c r="D41" s="10" t="inlineStr">
        <is>
          <t>Firth Park Convenience Store</t>
        </is>
      </c>
      <c r="E41" s="10" t="inlineStr">
        <is>
          <t>Convenience Store</t>
        </is>
      </c>
      <c r="F41" s="10" t="inlineStr">
        <is>
          <t>Convenience store (symbol group)</t>
        </is>
      </c>
      <c r="G41" s="10" t="inlineStr">
        <is>
          <t>Franchise / Symbol Group</t>
        </is>
      </c>
      <c r="H41" s="10" t="inlineStr">
        <is>
          <t>1</t>
        </is>
      </c>
      <c r="I41" s="10" t="inlineStr">
        <is>
          <t>11-13 Stubbin Lane</t>
        </is>
      </c>
      <c r="J41" s="10" t="inlineStr">
        <is>
          <t>Sheffield</t>
        </is>
      </c>
      <c r="K41" s="10" t="inlineStr">
        <is>
          <t>S5 6QG</t>
        </is>
      </c>
      <c r="L41" s="10" t="inlineStr"/>
      <c r="M41" s="10" t="inlineStr"/>
      <c r="N41" s="10" t="inlineStr"/>
      <c r="O41" s="10" t="inlineStr">
        <is>
          <t>https://www.premier-stores.co.uk/our-stores/firth-park-convenience-store</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Not Found</t>
        </is>
      </c>
      <c r="Y41" s="10" t="inlineStr">
        <is>
          <t>Not Found</t>
        </is>
      </c>
      <c r="Z41" s="10" t="inlineStr">
        <is>
          <t>Low</t>
        </is>
      </c>
      <c r="AA41" s="10" t="inlineStr">
        <is>
          <t>Requires Verification</t>
        </is>
      </c>
      <c r="AB41" s="10" t="inlineStr">
        <is>
          <t>https://www.premier-stores.co.uk/our-stores/firth-park-convenience-store</t>
        </is>
      </c>
    </row>
    <row r="42">
      <c r="A42" s="5" t="inlineStr">
        <is>
          <t>UK-000716</t>
        </is>
      </c>
      <c r="B42" s="5" t="inlineStr">
        <is>
          <t>PREMIERBOO-03</t>
        </is>
      </c>
      <c r="C42" s="5" t="inlineStr">
        <is>
          <t>Premier (Booker)</t>
        </is>
      </c>
      <c r="D42" s="5" t="inlineStr">
        <is>
          <t>Grange Road West Convenience Store</t>
        </is>
      </c>
      <c r="E42" s="5" t="inlineStr">
        <is>
          <t>Convenience Store</t>
        </is>
      </c>
      <c r="F42" s="5" t="inlineStr">
        <is>
          <t>Premier symbol convenience store</t>
        </is>
      </c>
      <c r="G42" s="5" t="inlineStr">
        <is>
          <t>Franchise / Symbol Group</t>
        </is>
      </c>
      <c r="H42" s="5" t="inlineStr">
        <is>
          <t>1</t>
        </is>
      </c>
      <c r="I42" s="5" t="inlineStr">
        <is>
          <t>82-84 Grange Road West</t>
        </is>
      </c>
      <c r="J42" s="5" t="inlineStr">
        <is>
          <t>Birkenhead</t>
        </is>
      </c>
      <c r="K42" s="5" t="inlineStr">
        <is>
          <t>CH41 4DB</t>
        </is>
      </c>
      <c r="L42" s="5" t="inlineStr"/>
      <c r="M42" s="5" t="inlineStr"/>
      <c r="N42" s="5" t="inlineStr"/>
      <c r="O42" s="5" t="inlineStr">
        <is>
          <t>https://www.premier-stores.co.uk/our-stores/grange-road-west-convenience-store</t>
        </is>
      </c>
      <c r="P42" s="5" t="inlineStr"/>
      <c r="Q42" s="5" t="inlineStr"/>
      <c r="R42" s="5" t="inlineStr"/>
      <c r="S42" s="5" t="inlineStr"/>
      <c r="T42" s="5" t="inlineStr"/>
      <c r="U42" s="5" t="inlineStr"/>
      <c r="V42" s="5" t="inlineStr">
        <is>
          <t>Medium</t>
        </is>
      </c>
      <c r="W42" s="5" t="inlineStr">
        <is>
          <t>Multi-site retailer; Independent retailer; Relevant category; Active website</t>
        </is>
      </c>
      <c r="X42" s="5" t="inlineStr">
        <is>
          <t>Not Found</t>
        </is>
      </c>
      <c r="Y42" s="5" t="inlineStr">
        <is>
          <t>Website Found</t>
        </is>
      </c>
      <c r="Z42" s="5" t="inlineStr">
        <is>
          <t>Medium</t>
        </is>
      </c>
      <c r="AA42" s="5" t="inlineStr">
        <is>
          <t>Requires Verification</t>
        </is>
      </c>
      <c r="AB42" s="5" t="inlineStr">
        <is>
          <t>https://www.premier-stores.co.uk/our-stores/grange-road-west-convenience-store</t>
        </is>
      </c>
    </row>
    <row r="43">
      <c r="A43" s="10" t="inlineStr">
        <is>
          <t>UK-000206</t>
        </is>
      </c>
      <c r="B43" s="10" t="inlineStr">
        <is>
          <t>PREMIERBOO-04</t>
        </is>
      </c>
      <c r="C43" s="10" t="inlineStr">
        <is>
          <t>Premier (Booker)</t>
        </is>
      </c>
      <c r="D43" s="10" t="inlineStr">
        <is>
          <t>Premier (Grimsby Road, Cleethorpes)</t>
        </is>
      </c>
      <c r="E43" s="10" t="inlineStr">
        <is>
          <t>Convenience Store</t>
        </is>
      </c>
      <c r="F43" s="10" t="inlineStr">
        <is>
          <t>Symbol-group convenience store</t>
        </is>
      </c>
      <c r="G43" s="10" t="inlineStr">
        <is>
          <t>Franchise / Symbol Group</t>
        </is>
      </c>
      <c r="H43" s="10" t="inlineStr">
        <is>
          <t>1</t>
        </is>
      </c>
      <c r="I43" s="10" t="inlineStr">
        <is>
          <t>141-143 Grimsby Road</t>
        </is>
      </c>
      <c r="J43" s="10" t="inlineStr">
        <is>
          <t>Cleethorpes</t>
        </is>
      </c>
      <c r="K43" s="10" t="inlineStr"/>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https://www.premier-stores.co.uk/our-stores/grimsby-road</t>
        </is>
      </c>
    </row>
    <row r="44">
      <c r="A44" s="5" t="inlineStr">
        <is>
          <t>UK-000207</t>
        </is>
      </c>
      <c r="B44" s="5" t="inlineStr">
        <is>
          <t>PREMIERBOO-05</t>
        </is>
      </c>
      <c r="C44" s="5" t="inlineStr">
        <is>
          <t>Premier (Booker)</t>
        </is>
      </c>
      <c r="D44" s="5" t="inlineStr">
        <is>
          <t>Premier Mexborough Convenience Store</t>
        </is>
      </c>
      <c r="E44" s="5" t="inlineStr">
        <is>
          <t>Convenience Store</t>
        </is>
      </c>
      <c r="F44" s="5" t="inlineStr">
        <is>
          <t>Convenience store (symbol group)</t>
        </is>
      </c>
      <c r="G44" s="5" t="inlineStr">
        <is>
          <t>Franchise / Symbol Group</t>
        </is>
      </c>
      <c r="H44" s="5" t="inlineStr">
        <is>
          <t>1</t>
        </is>
      </c>
      <c r="I44" s="5" t="inlineStr">
        <is>
          <t>41-43 Wath Road</t>
        </is>
      </c>
      <c r="J44" s="5" t="inlineStr">
        <is>
          <t>Mexborough</t>
        </is>
      </c>
      <c r="K44" s="5" t="inlineStr">
        <is>
          <t>S64 9QZ</t>
        </is>
      </c>
      <c r="L44" s="5" t="inlineStr">
        <is>
          <t>01709 581369</t>
        </is>
      </c>
      <c r="M44" s="5" t="inlineStr"/>
      <c r="N44" s="5" t="inlineStr"/>
      <c r="O44" s="5" t="inlineStr">
        <is>
          <t>https://www.premier-stores.co.uk/our-stores/mexborough-convenience-store</t>
        </is>
      </c>
      <c r="P44" s="5" t="inlineStr">
        <is>
          <t>https://www.facebook.com/p/Premier-Mexborough-Convenience-Store-100068015556730/</t>
        </is>
      </c>
      <c r="Q44" s="5" t="inlineStr"/>
      <c r="R44" s="5" t="inlineStr"/>
      <c r="S44" s="5" t="inlineStr"/>
      <c r="T44" s="5" t="inlineStr"/>
      <c r="U44" s="5" t="inlineStr"/>
      <c r="V44" s="5" t="inlineStr">
        <is>
          <t>High</t>
        </is>
      </c>
      <c r="W44" s="5" t="inlineStr">
        <is>
          <t>Multi-site retailer; Independent retailer; Relevant category; Active website; Social presence</t>
        </is>
      </c>
      <c r="X44" s="5" t="inlineStr">
        <is>
          <t>Verified directory</t>
        </is>
      </c>
      <c r="Y44" s="5" t="inlineStr">
        <is>
          <t>Not Found</t>
        </is>
      </c>
      <c r="Z44" s="5" t="inlineStr">
        <is>
          <t>Medium</t>
        </is>
      </c>
      <c r="AA44" s="5" t="inlineStr">
        <is>
          <t>Requires Verification</t>
        </is>
      </c>
      <c r="AB44" s="5" t="inlineStr">
        <is>
          <t>https://www.premier-stores.co.uk/our-stores/mexborough-convenience-store</t>
        </is>
      </c>
    </row>
    <row r="45">
      <c r="A45" s="10" t="inlineStr">
        <is>
          <t>UK-000208</t>
        </is>
      </c>
      <c r="B45" s="10" t="inlineStr">
        <is>
          <t>PREMIERBOO-06</t>
        </is>
      </c>
      <c r="C45" s="10" t="inlineStr">
        <is>
          <t>Premier (Booker)</t>
        </is>
      </c>
      <c r="D45" s="10" t="inlineStr">
        <is>
          <t>Premier Super Convenience Store Barnsley</t>
        </is>
      </c>
      <c r="E45" s="10" t="inlineStr">
        <is>
          <t>Convenience Store</t>
        </is>
      </c>
      <c r="F45" s="10" t="inlineStr">
        <is>
          <t>Convenience store (symbol group)</t>
        </is>
      </c>
      <c r="G45" s="10" t="inlineStr">
        <is>
          <t>Franchise / Symbol Group</t>
        </is>
      </c>
      <c r="H45" s="10" t="inlineStr">
        <is>
          <t>1</t>
        </is>
      </c>
      <c r="I45" s="10" t="inlineStr">
        <is>
          <t>38-40 Dodworth Road</t>
        </is>
      </c>
      <c r="J45" s="10" t="inlineStr">
        <is>
          <t>Barnsley</t>
        </is>
      </c>
      <c r="K45" s="10" t="inlineStr"/>
      <c r="L45" s="10" t="inlineStr"/>
      <c r="M45" s="10" t="inlineStr"/>
      <c r="N45" s="10" t="inlineStr"/>
      <c r="O45" s="10" t="inlineStr"/>
      <c r="P45" s="10" t="inlineStr">
        <is>
          <t>https://web.facebook.com/premier3840/</t>
        </is>
      </c>
      <c r="Q45" s="10" t="inlineStr"/>
      <c r="R45" s="10" t="inlineStr"/>
      <c r="S45" s="10" t="inlineStr"/>
      <c r="T45" s="10" t="inlineStr"/>
      <c r="U45" s="10" t="inlineStr"/>
      <c r="V45" s="10" t="inlineStr">
        <is>
          <t>Medium</t>
        </is>
      </c>
      <c r="W45" s="10" t="inlineStr">
        <is>
          <t>Multi-site retailer; Independent retailer; Relevant category; Social presence</t>
        </is>
      </c>
      <c r="X45" s="10" t="inlineStr">
        <is>
          <t>Not Found</t>
        </is>
      </c>
      <c r="Y45" s="10" t="inlineStr">
        <is>
          <t>Not Found</t>
        </is>
      </c>
      <c r="Z45" s="10" t="inlineStr">
        <is>
          <t>Low</t>
        </is>
      </c>
      <c r="AA45" s="10" t="inlineStr">
        <is>
          <t>Requires Verification</t>
        </is>
      </c>
      <c r="AB45" s="10" t="inlineStr">
        <is>
          <t>https://web.facebook.com/premier3840/</t>
        </is>
      </c>
    </row>
    <row r="46">
      <c r="A46" s="5" t="inlineStr">
        <is>
          <t>UK-000209</t>
        </is>
      </c>
      <c r="B46" s="5" t="inlineStr">
        <is>
          <t>PREMIERBOO-07</t>
        </is>
      </c>
      <c r="C46" s="5" t="inlineStr">
        <is>
          <t>Premier (Booker)</t>
        </is>
      </c>
      <c r="D46" s="5" t="inlineStr">
        <is>
          <t>Premier Wombwell Convenience Store</t>
        </is>
      </c>
      <c r="E46" s="5" t="inlineStr">
        <is>
          <t>Convenience Store</t>
        </is>
      </c>
      <c r="F46" s="5" t="inlineStr">
        <is>
          <t>Convenience store (symbol group)</t>
        </is>
      </c>
      <c r="G46" s="5" t="inlineStr">
        <is>
          <t>Franchise / Symbol Group</t>
        </is>
      </c>
      <c r="H46" s="5" t="inlineStr">
        <is>
          <t>1</t>
        </is>
      </c>
      <c r="I46" s="5" t="inlineStr">
        <is>
          <t>2 Pearson Crescent</t>
        </is>
      </c>
      <c r="J46" s="5" t="inlineStr">
        <is>
          <t>Barnsley</t>
        </is>
      </c>
      <c r="K46" s="5" t="inlineStr">
        <is>
          <t>S73 8SN</t>
        </is>
      </c>
      <c r="L46" s="5" t="inlineStr"/>
      <c r="M46" s="5" t="inlineStr"/>
      <c r="N46" s="5" t="inlineStr"/>
      <c r="O46" s="5" t="inlineStr">
        <is>
          <t>https://www.premier-stores.co.uk/our-stores/wombwell-convenience-store</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Not Found</t>
        </is>
      </c>
      <c r="Z46" s="5" t="inlineStr">
        <is>
          <t>Low</t>
        </is>
      </c>
      <c r="AA46" s="5" t="inlineStr">
        <is>
          <t>Requires Verification</t>
        </is>
      </c>
      <c r="AB46" s="5" t="inlineStr">
        <is>
          <t>https://www.premier-stores.co.uk/our-stores/wombwell-convenience-store</t>
        </is>
      </c>
    </row>
    <row r="47">
      <c r="A47" s="10" t="inlineStr">
        <is>
          <t>UK-000210</t>
        </is>
      </c>
      <c r="B47" s="10" t="inlineStr">
        <is>
          <t>PREMIERBOO-08</t>
        </is>
      </c>
      <c r="C47" s="10" t="inlineStr">
        <is>
          <t>Premier (Booker)</t>
        </is>
      </c>
      <c r="D47" s="10" t="inlineStr">
        <is>
          <t>Sheffield Road Premier Convenience Store</t>
        </is>
      </c>
      <c r="E47" s="10" t="inlineStr">
        <is>
          <t>Convenience Store</t>
        </is>
      </c>
      <c r="F47" s="10" t="inlineStr">
        <is>
          <t>Convenience store (symbol group)</t>
        </is>
      </c>
      <c r="G47" s="10" t="inlineStr">
        <is>
          <t>Franchise / Symbol Group</t>
        </is>
      </c>
      <c r="H47" s="10" t="inlineStr">
        <is>
          <t>1</t>
        </is>
      </c>
      <c r="I47" s="10" t="inlineStr">
        <is>
          <t>110-112 Sheffield Road</t>
        </is>
      </c>
      <c r="J47" s="10" t="inlineStr">
        <is>
          <t>Barnsley</t>
        </is>
      </c>
      <c r="K47" s="10" t="inlineStr">
        <is>
          <t>S70 1JB</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https://www.barnsley.gov.uk/services/licences-and-permissions/premises-licences/pending-premises-licence-applications/sheffield-road-premier-convenience-store-application-for-a-new-premises-licence</t>
        </is>
      </c>
    </row>
    <row r="48">
      <c r="A48" s="5" t="inlineStr">
        <is>
          <t>UK-000717</t>
        </is>
      </c>
      <c r="B48" s="5" t="inlineStr">
        <is>
          <t>PREMIERBOO-01</t>
        </is>
      </c>
      <c r="C48" s="5" t="inlineStr">
        <is>
          <t>Premier (Booker) symbol group</t>
        </is>
      </c>
      <c r="D48" s="5" t="inlineStr">
        <is>
          <t>Premier - Shawlands Convenience Store</t>
        </is>
      </c>
      <c r="E48" s="5" t="inlineStr">
        <is>
          <t>Convenience Store</t>
        </is>
      </c>
      <c r="F48" s="5" t="inlineStr">
        <is>
          <t>Symbol-group convenience store</t>
        </is>
      </c>
      <c r="G48" s="5" t="inlineStr">
        <is>
          <t>Franchise / Symbol Group</t>
        </is>
      </c>
      <c r="H48" s="5" t="inlineStr">
        <is>
          <t>1</t>
        </is>
      </c>
      <c r="I48" s="5" t="inlineStr">
        <is>
          <t>1454 Pollokshaws Road</t>
        </is>
      </c>
      <c r="J48" s="5" t="inlineStr">
        <is>
          <t>Glasgow</t>
        </is>
      </c>
      <c r="K48" s="5" t="inlineStr">
        <is>
          <t>G43 1RN</t>
        </is>
      </c>
      <c r="L48" s="5" t="inlineStr">
        <is>
          <t>0141 632 3236</t>
        </is>
      </c>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Verified directory</t>
        </is>
      </c>
      <c r="Y48" s="5" t="inlineStr">
        <is>
          <t>Not Found</t>
        </is>
      </c>
      <c r="Z48" s="5" t="inlineStr">
        <is>
          <t>Medium</t>
        </is>
      </c>
      <c r="AA48" s="5" t="inlineStr">
        <is>
          <t>Requires Verification</t>
        </is>
      </c>
      <c r="AB48" s="5" t="inlineStr">
        <is>
          <t>https://www.yell.com/biz/premier-shawlands-convenience-store-glasgow-7541485/</t>
        </is>
      </c>
    </row>
    <row r="49">
      <c r="A49" s="10" t="inlineStr">
        <is>
          <t>UK-000213</t>
        </is>
      </c>
      <c r="B49" s="10" t="inlineStr">
        <is>
          <t>SPAR-01</t>
        </is>
      </c>
      <c r="C49" s="10" t="inlineStr">
        <is>
          <t>SPAR</t>
        </is>
      </c>
      <c r="D49" s="10" t="inlineStr">
        <is>
          <t>SPAR Barnsley Road</t>
        </is>
      </c>
      <c r="E49" s="10" t="inlineStr">
        <is>
          <t>Convenience Store</t>
        </is>
      </c>
      <c r="F49" s="10" t="inlineStr">
        <is>
          <t>Convenience store (symbol group)</t>
        </is>
      </c>
      <c r="G49" s="10" t="inlineStr">
        <is>
          <t>Franchise / Symbol Group</t>
        </is>
      </c>
      <c r="H49" s="10" t="inlineStr">
        <is>
          <t>1</t>
        </is>
      </c>
      <c r="I49" s="10" t="inlineStr">
        <is>
          <t>Barnsley Road</t>
        </is>
      </c>
      <c r="J49" s="10" t="inlineStr">
        <is>
          <t>Barnsley</t>
        </is>
      </c>
      <c r="K49" s="10" t="inlineStr"/>
      <c r="L49" s="10" t="inlineStr"/>
      <c r="M49" s="10" t="inlineStr"/>
      <c r="N49" s="10" t="inlineStr"/>
      <c r="O49" s="10" t="inlineStr">
        <is>
          <t>https://www.spar.co.uk/store-locator/afb31700-spar-barnsley-road</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Not Found</t>
        </is>
      </c>
      <c r="Z49" s="10" t="inlineStr">
        <is>
          <t>Low</t>
        </is>
      </c>
      <c r="AA49" s="10" t="inlineStr">
        <is>
          <t>Requires Verification</t>
        </is>
      </c>
      <c r="AB49" s="10" t="inlineStr">
        <is>
          <t>https://www.spar.co.uk/store-locator/afb31700-spar-barnsley-road</t>
        </is>
      </c>
    </row>
    <row r="50">
      <c r="A50" s="5" t="inlineStr">
        <is>
          <t>UK-000721</t>
        </is>
      </c>
      <c r="B50" s="5" t="inlineStr">
        <is>
          <t>SPAR-02</t>
        </is>
      </c>
      <c r="C50" s="5" t="inlineStr">
        <is>
          <t>SPAR</t>
        </is>
      </c>
      <c r="D50" s="5" t="inlineStr">
        <is>
          <t>SPAR Coopers Lane</t>
        </is>
      </c>
      <c r="E50" s="5" t="inlineStr">
        <is>
          <t>Convenience Store</t>
        </is>
      </c>
      <c r="F50" s="5" t="inlineStr">
        <is>
          <t>Convenience store (symbol group)</t>
        </is>
      </c>
      <c r="G50" s="5" t="inlineStr">
        <is>
          <t>Franchise / Symbol Group</t>
        </is>
      </c>
      <c r="H50" s="5" t="inlineStr">
        <is>
          <t>1</t>
        </is>
      </c>
      <c r="I50" s="5" t="inlineStr">
        <is>
          <t>Coopers Lane</t>
        </is>
      </c>
      <c r="J50" s="5" t="inlineStr">
        <is>
          <t>Kirkby</t>
        </is>
      </c>
      <c r="K50" s="5" t="inlineStr">
        <is>
          <t>L33 7TU</t>
        </is>
      </c>
      <c r="L50" s="5" t="inlineStr">
        <is>
          <t>0151 305 6865</t>
        </is>
      </c>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Verified directory</t>
        </is>
      </c>
      <c r="Y50" s="5" t="inlineStr">
        <is>
          <t>Not Found</t>
        </is>
      </c>
      <c r="Z50" s="5" t="inlineStr">
        <is>
          <t>Low</t>
        </is>
      </c>
      <c r="AA50" s="5" t="inlineStr">
        <is>
          <t>Requires Verification</t>
        </is>
      </c>
      <c r="AB50" s="5" t="inlineStr">
        <is>
          <t>https://kirkby.cylex-uk.co.uk/convenience-stores/</t>
        </is>
      </c>
    </row>
    <row r="51">
      <c r="A51" s="10" t="inlineStr">
        <is>
          <t>UK-000722</t>
        </is>
      </c>
      <c r="B51" s="10" t="inlineStr">
        <is>
          <t>SPAR-03</t>
        </is>
      </c>
      <c r="C51" s="10" t="inlineStr">
        <is>
          <t>SPAR</t>
        </is>
      </c>
      <c r="D51" s="10" t="inlineStr">
        <is>
          <t>SPAR Harington Road</t>
        </is>
      </c>
      <c r="E51" s="10" t="inlineStr">
        <is>
          <t>Convenience Store</t>
        </is>
      </c>
      <c r="F51" s="10" t="inlineStr">
        <is>
          <t>Spar symbol convenience store</t>
        </is>
      </c>
      <c r="G51" s="10" t="inlineStr">
        <is>
          <t>Franchise / Symbol Group</t>
        </is>
      </c>
      <c r="H51" s="10" t="inlineStr">
        <is>
          <t>1</t>
        </is>
      </c>
      <c r="I51" s="10" t="inlineStr">
        <is>
          <t>Harington Road</t>
        </is>
      </c>
      <c r="J51" s="10" t="inlineStr">
        <is>
          <t>Formby</t>
        </is>
      </c>
      <c r="K51" s="10" t="inlineStr"/>
      <c r="L51" s="10" t="inlineStr"/>
      <c r="M51" s="10" t="inlineStr"/>
      <c r="N51" s="10" t="inlineStr"/>
      <c r="O51" s="10" t="inlineStr">
        <is>
          <t>https://www.spar.co.uk/store-locator/hal27302-spar-harington-road</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Not Found</t>
        </is>
      </c>
      <c r="Y51" s="10" t="inlineStr">
        <is>
          <t>Website Found</t>
        </is>
      </c>
      <c r="Z51" s="10" t="inlineStr">
        <is>
          <t>Low</t>
        </is>
      </c>
      <c r="AA51" s="10" t="inlineStr">
        <is>
          <t>Requires Verification</t>
        </is>
      </c>
      <c r="AB51" s="10" t="inlineStr">
        <is>
          <t>https://www.spar.co.uk/store-locator/hal27302-spar-harington-road</t>
        </is>
      </c>
    </row>
    <row r="52">
      <c r="A52" s="5" t="inlineStr">
        <is>
          <t>UK-000319</t>
        </is>
      </c>
      <c r="B52" s="5" t="inlineStr">
        <is>
          <t>SPAR-04</t>
        </is>
      </c>
      <c r="C52" s="5" t="inlineStr">
        <is>
          <t>SPAR</t>
        </is>
      </c>
      <c r="D52" s="5" t="inlineStr">
        <is>
          <t>SPAR Radcliffe</t>
        </is>
      </c>
      <c r="E52" s="5" t="inlineStr">
        <is>
          <t>Convenience Store</t>
        </is>
      </c>
      <c r="F52" s="5" t="inlineStr">
        <is>
          <t>Symbol-group convenience store</t>
        </is>
      </c>
      <c r="G52" s="5" t="inlineStr">
        <is>
          <t>Franchise / Symbol Group</t>
        </is>
      </c>
      <c r="H52" s="5" t="inlineStr">
        <is>
          <t>1</t>
        </is>
      </c>
      <c r="I52" s="5" t="inlineStr">
        <is>
          <t>207 Bury &amp; Bolton Road</t>
        </is>
      </c>
      <c r="J52" s="5" t="inlineStr">
        <is>
          <t>Radcliffe</t>
        </is>
      </c>
      <c r="K52" s="5" t="inlineStr">
        <is>
          <t>M26 4JY</t>
        </is>
      </c>
      <c r="L52" s="5" t="inlineStr"/>
      <c r="M52" s="5" t="inlineStr"/>
      <c r="N52" s="5" t="inlineStr"/>
      <c r="O52" s="5" t="inlineStr">
        <is>
          <t>https://www.spar.co.uk/</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Not Found</t>
        </is>
      </c>
      <c r="Z52" s="5" t="inlineStr">
        <is>
          <t>Low</t>
        </is>
      </c>
      <c r="AA52" s="5" t="inlineStr">
        <is>
          <t>Requires Verification</t>
        </is>
      </c>
      <c r="AB52" s="5" t="inlineStr">
        <is>
          <t>https://www.spar.co.uk/store-locator/hal36921-spar-radcliffe</t>
        </is>
      </c>
    </row>
    <row r="53">
      <c r="A53" s="10" t="inlineStr">
        <is>
          <t>UK-000723</t>
        </is>
      </c>
      <c r="B53" s="10" t="inlineStr">
        <is>
          <t>SPARJAMESH-01</t>
        </is>
      </c>
      <c r="C53" s="10" t="inlineStr">
        <is>
          <t>SPAR (James Hall / Hunt's)</t>
        </is>
      </c>
      <c r="D53" s="10" t="inlineStr">
        <is>
          <t>Hunt's Spar Freshfield</t>
        </is>
      </c>
      <c r="E53" s="10" t="inlineStr">
        <is>
          <t>Convenience Store</t>
        </is>
      </c>
      <c r="F53" s="10" t="inlineStr">
        <is>
          <t>Spar symbol convenience store</t>
        </is>
      </c>
      <c r="G53" s="10" t="inlineStr">
        <is>
          <t>Franchise / Symbol Group</t>
        </is>
      </c>
      <c r="H53" s="10" t="inlineStr">
        <is>
          <t>1</t>
        </is>
      </c>
      <c r="I53" s="10" t="inlineStr"/>
      <c r="J53" s="10" t="inlineStr">
        <is>
          <t>Formby</t>
        </is>
      </c>
      <c r="K53" s="10" t="inlineStr"/>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Low</t>
        </is>
      </c>
      <c r="AA53" s="10" t="inlineStr">
        <is>
          <t>Requires Verification</t>
        </is>
      </c>
      <c r="AB53" s="10" t="inlineStr">
        <is>
          <t>https://www.conveniencestore.co.uk/store-development/hunts-spar-freshfield-formby/564152.article</t>
        </is>
      </c>
    </row>
    <row r="54">
      <c r="A54" s="5" t="inlineStr">
        <is>
          <t>UK-000214</t>
        </is>
      </c>
      <c r="B54" s="5" t="inlineStr">
        <is>
          <t>SPAR-01</t>
        </is>
      </c>
      <c r="C54" s="5" t="inlineStr">
        <is>
          <t>Spar</t>
        </is>
      </c>
      <c r="D54" s="5" t="inlineStr">
        <is>
          <t>Spar (Trinity Road, Cleethorpes)</t>
        </is>
      </c>
      <c r="E54" s="5" t="inlineStr">
        <is>
          <t>Convenience Store</t>
        </is>
      </c>
      <c r="F54" s="5" t="inlineStr">
        <is>
          <t>Symbol-group convenience store</t>
        </is>
      </c>
      <c r="G54" s="5" t="inlineStr">
        <is>
          <t>Franchise / Symbol Group</t>
        </is>
      </c>
      <c r="H54" s="5" t="inlineStr">
        <is>
          <t>1</t>
        </is>
      </c>
      <c r="I54" s="5" t="inlineStr">
        <is>
          <t>52 Trinity Road</t>
        </is>
      </c>
      <c r="J54" s="5" t="inlineStr">
        <is>
          <t>Cleethorpes</t>
        </is>
      </c>
      <c r="K54" s="5" t="inlineStr"/>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Not Found</t>
        </is>
      </c>
      <c r="Y54" s="5" t="inlineStr">
        <is>
          <t>Not Found</t>
        </is>
      </c>
      <c r="Z54" s="5" t="inlineStr">
        <is>
          <t>Low</t>
        </is>
      </c>
      <c r="AA54" s="5" t="inlineStr">
        <is>
          <t>Requires Verification</t>
        </is>
      </c>
      <c r="AB54" s="5" t="inlineStr">
        <is>
          <t>https://www.192.com/atoz/business/dn35/convenience--stores/</t>
        </is>
      </c>
    </row>
    <row r="55">
      <c r="A55" s="10" t="inlineStr">
        <is>
          <t>UK-000567</t>
        </is>
      </c>
      <c r="B55" s="10" t="inlineStr">
        <is>
          <t>UK-000567-01</t>
        </is>
      </c>
      <c r="C55" s="10" t="inlineStr"/>
      <c r="D55" s="10" t="inlineStr">
        <is>
          <t>A &amp; J Minimarket</t>
        </is>
      </c>
      <c r="E55" s="10" t="inlineStr">
        <is>
          <t>Convenience Store</t>
        </is>
      </c>
      <c r="F55" s="10" t="inlineStr"/>
      <c r="G55" s="10" t="inlineStr">
        <is>
          <t>Independent</t>
        </is>
      </c>
      <c r="H55" s="10" t="inlineStr">
        <is>
          <t>1</t>
        </is>
      </c>
      <c r="I55" s="10" t="inlineStr">
        <is>
          <t>68 London Road</t>
        </is>
      </c>
      <c r="J55" s="10" t="inlineStr">
        <is>
          <t>Mitcham</t>
        </is>
      </c>
      <c r="K55" s="10" t="inlineStr">
        <is>
          <t>CR4 4JB</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https://www.yell.com/biz/a-and-j-minimarket-mitcham-6620726/</t>
        </is>
      </c>
    </row>
    <row r="56">
      <c r="A56" s="5" t="inlineStr">
        <is>
          <t>UK-000570</t>
        </is>
      </c>
      <c r="B56" s="5" t="inlineStr">
        <is>
          <t>UK-000570-01</t>
        </is>
      </c>
      <c r="C56" s="5" t="inlineStr"/>
      <c r="D56" s="5" t="inlineStr">
        <is>
          <t>AJ Bros Express</t>
        </is>
      </c>
      <c r="E56" s="5" t="inlineStr">
        <is>
          <t>Convenience Store</t>
        </is>
      </c>
      <c r="F56" s="5" t="inlineStr"/>
      <c r="G56" s="5" t="inlineStr">
        <is>
          <t>Independent</t>
        </is>
      </c>
      <c r="H56" s="5" t="inlineStr">
        <is>
          <t>1</t>
        </is>
      </c>
      <c r="I56" s="5" t="inlineStr">
        <is>
          <t>274 Mitcham Road</t>
        </is>
      </c>
      <c r="J56" s="5" t="inlineStr">
        <is>
          <t>London</t>
        </is>
      </c>
      <c r="K56" s="5" t="inlineStr">
        <is>
          <t>SW17 9NT</t>
        </is>
      </c>
      <c r="L56" s="5" t="inlineStr">
        <is>
          <t>020 8251 7848</t>
        </is>
      </c>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Verified directory</t>
        </is>
      </c>
      <c r="Y56" s="5" t="inlineStr">
        <is>
          <t>Not Found</t>
        </is>
      </c>
      <c r="Z56" s="5" t="inlineStr">
        <is>
          <t>Medium</t>
        </is>
      </c>
      <c r="AA56" s="5" t="inlineStr">
        <is>
          <t>Requires Verification</t>
        </is>
      </c>
      <c r="AB56" s="5" t="inlineStr">
        <is>
          <t>https://www.yell.com/s/off+licences-tooting-south+west+london.html</t>
        </is>
      </c>
    </row>
    <row r="57">
      <c r="A57" s="10" t="inlineStr">
        <is>
          <t>WY-0048</t>
        </is>
      </c>
      <c r="B57" s="10" t="inlineStr">
        <is>
          <t>WY-0048-01</t>
        </is>
      </c>
      <c r="C57" s="10" t="inlineStr"/>
      <c r="D57" s="10" t="inlineStr">
        <is>
          <t>AV &amp; JI Stores</t>
        </is>
      </c>
      <c r="E57" s="10" t="inlineStr">
        <is>
          <t>Convenience Store</t>
        </is>
      </c>
      <c r="F57" s="10" t="inlineStr">
        <is>
          <t>Premier symbol group convenience store and off-licence</t>
        </is>
      </c>
      <c r="G57" s="10" t="inlineStr">
        <is>
          <t>Franchise / Symbol Group</t>
        </is>
      </c>
      <c r="H57" s="10" t="inlineStr">
        <is>
          <t>1</t>
        </is>
      </c>
      <c r="I57" s="10" t="inlineStr">
        <is>
          <t>12 Albert Road</t>
        </is>
      </c>
      <c r="J57" s="10" t="inlineStr">
        <is>
          <t>Sowerby Bridge</t>
        </is>
      </c>
      <c r="K57" s="10" t="inlineStr">
        <is>
          <t>HX6 2PA</t>
        </is>
      </c>
      <c r="L57" s="10" t="inlineStr"/>
      <c r="M57" s="10" t="inlineStr"/>
      <c r="N57" s="10" t="inlineStr"/>
      <c r="O57" s="10" t="inlineStr"/>
      <c r="P57" s="10" t="inlineStr">
        <is>
          <t>https://www.facebook.com/people/Premier-AV-JI-Stores/61567311514140/</t>
        </is>
      </c>
      <c r="Q57" s="10" t="inlineStr"/>
      <c r="R57" s="10" t="inlineStr"/>
      <c r="S57" s="10" t="inlineStr"/>
      <c r="T57" s="10" t="inlineStr"/>
      <c r="U57" s="10" t="inlineStr"/>
      <c r="V57" s="10" t="inlineStr">
        <is>
          <t>Medium</t>
        </is>
      </c>
      <c r="W57" s="10" t="inlineStr">
        <is>
          <t>Independent retailer; Relevant category; Social presence</t>
        </is>
      </c>
      <c r="X57" s="10" t="inlineStr">
        <is>
          <t>Not Found</t>
        </is>
      </c>
      <c r="Y57" s="10" t="inlineStr">
        <is>
          <t>Not Found</t>
        </is>
      </c>
      <c r="Z57" s="10" t="inlineStr">
        <is>
          <t>Medium</t>
        </is>
      </c>
      <c r="AA57" s="10" t="inlineStr">
        <is>
          <t>Requires Verification</t>
        </is>
      </c>
      <c r="AB57" s="10" t="inlineStr">
        <is>
          <t>https://www.facebook.com/people/Premier-AV-JI-Stores/61567311514140/</t>
        </is>
      </c>
    </row>
    <row r="58">
      <c r="A58" s="5" t="inlineStr">
        <is>
          <t>UK-000754</t>
        </is>
      </c>
      <c r="B58" s="5" t="inlineStr">
        <is>
          <t>UK-000754-01</t>
        </is>
      </c>
      <c r="C58" s="5" t="inlineStr"/>
      <c r="D58" s="5" t="inlineStr">
        <is>
          <t>All n One Mini Convenience</t>
        </is>
      </c>
      <c r="E58" s="5" t="inlineStr">
        <is>
          <t>Convenience Store</t>
        </is>
      </c>
      <c r="F58" s="5" t="inlineStr">
        <is>
          <t>Grocer &amp; convenience store</t>
        </is>
      </c>
      <c r="G58" s="5" t="inlineStr">
        <is>
          <t>Independent</t>
        </is>
      </c>
      <c r="H58" s="5" t="inlineStr">
        <is>
          <t>1</t>
        </is>
      </c>
      <c r="I58" s="5" t="inlineStr">
        <is>
          <t>80 Aigburth Road</t>
        </is>
      </c>
      <c r="J58" s="5" t="inlineStr">
        <is>
          <t>Liverpool</t>
        </is>
      </c>
      <c r="K58" s="5" t="inlineStr">
        <is>
          <t>L17 7BN</t>
        </is>
      </c>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https://www.yell.com/biz/all-n-one-mini-convenience-liverpool-8262944/</t>
        </is>
      </c>
    </row>
    <row r="59">
      <c r="A59" s="10" t="inlineStr">
        <is>
          <t>UK-000577</t>
        </is>
      </c>
      <c r="B59" s="10" t="inlineStr">
        <is>
          <t>UK-000577-01</t>
        </is>
      </c>
      <c r="C59" s="10" t="inlineStr"/>
      <c r="D59" s="10" t="inlineStr">
        <is>
          <t>Amy News &amp; Off Licence</t>
        </is>
      </c>
      <c r="E59" s="10" t="inlineStr">
        <is>
          <t>Newsagent</t>
        </is>
      </c>
      <c r="F59" s="10" t="inlineStr">
        <is>
          <t>Newsagent &amp; off-licence</t>
        </is>
      </c>
      <c r="G59" s="10" t="inlineStr">
        <is>
          <t>Independent</t>
        </is>
      </c>
      <c r="H59" s="10" t="inlineStr">
        <is>
          <t>1</t>
        </is>
      </c>
      <c r="I59" s="10" t="inlineStr">
        <is>
          <t>165 Central Park Road</t>
        </is>
      </c>
      <c r="J59" s="10" t="inlineStr">
        <is>
          <t>East Ham</t>
        </is>
      </c>
      <c r="K59" s="10" t="inlineStr">
        <is>
          <t>E6 3DJ</t>
        </is>
      </c>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Medium</t>
        </is>
      </c>
      <c r="AA59" s="10" t="inlineStr">
        <is>
          <t>Requires Verification</t>
        </is>
      </c>
      <c r="AB59" s="10" t="inlineStr">
        <is>
          <t>https://www.192.com/atoz/business/london-e6/general-and-convenience-stores/amy-news-off-licence/e7b06111de0d8805b7965e40fd9036212d59479d/ml/</t>
        </is>
      </c>
    </row>
    <row r="60">
      <c r="A60" s="5" t="inlineStr">
        <is>
          <t>WY-0050</t>
        </is>
      </c>
      <c r="B60" s="5" t="inlineStr">
        <is>
          <t>WY-0050-01</t>
        </is>
      </c>
      <c r="C60" s="5" t="inlineStr"/>
      <c r="D60" s="5" t="inlineStr">
        <is>
          <t>Anwarsons Newsagency</t>
        </is>
      </c>
      <c r="E60" s="5" t="inlineStr">
        <is>
          <t>Newsagent</t>
        </is>
      </c>
      <c r="F60" s="5" t="inlineStr">
        <is>
          <t>Newsagent and tobacconist</t>
        </is>
      </c>
      <c r="G60" s="5" t="inlineStr">
        <is>
          <t>Independent</t>
        </is>
      </c>
      <c r="H60" s="5" t="inlineStr">
        <is>
          <t>1</t>
        </is>
      </c>
      <c r="I60" s="5" t="inlineStr">
        <is>
          <t>41 Bethel Street</t>
        </is>
      </c>
      <c r="J60" s="5" t="inlineStr">
        <is>
          <t>Brighouse</t>
        </is>
      </c>
      <c r="K60" s="5" t="inlineStr">
        <is>
          <t>HD6 1JR</t>
        </is>
      </c>
      <c r="L60" s="5" t="inlineStr">
        <is>
          <t>01484 717622</t>
        </is>
      </c>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Verified directory</t>
        </is>
      </c>
      <c r="Y60" s="5" t="inlineStr">
        <is>
          <t>Not Found</t>
        </is>
      </c>
      <c r="Z60" s="5" t="inlineStr">
        <is>
          <t>Medium</t>
        </is>
      </c>
      <c r="AA60" s="5" t="inlineStr">
        <is>
          <t>Requires Verification</t>
        </is>
      </c>
      <c r="AB60" s="5" t="inlineStr">
        <is>
          <t>https://thomsonlocal.com/search/Newsagents/Wyke-West-Yorkshire/Anwarsons-Newsagency/2652959/01484717622</t>
        </is>
      </c>
    </row>
    <row r="61">
      <c r="A61" s="10" t="inlineStr">
        <is>
          <t>WY-0051</t>
        </is>
      </c>
      <c r="B61" s="10" t="inlineStr">
        <is>
          <t>WY-0051-01</t>
        </is>
      </c>
      <c r="C61" s="10" t="inlineStr"/>
      <c r="D61" s="10" t="inlineStr">
        <is>
          <t>Armley Ridge Road Convenience Store &amp; Off-Licence</t>
        </is>
      </c>
      <c r="E61" s="10" t="inlineStr">
        <is>
          <t>Convenience Store</t>
        </is>
      </c>
      <c r="F61" s="10" t="inlineStr">
        <is>
          <t>Convenience store with off-licence</t>
        </is>
      </c>
      <c r="G61" s="10" t="inlineStr">
        <is>
          <t>Independent</t>
        </is>
      </c>
      <c r="H61" s="10" t="inlineStr">
        <is>
          <t>1</t>
        </is>
      </c>
      <c r="I61" s="10" t="inlineStr">
        <is>
          <t>Armley Ridge Road</t>
        </is>
      </c>
      <c r="J61" s="10" t="inlineStr">
        <is>
          <t>Leeds</t>
        </is>
      </c>
      <c r="K61" s="10" t="inlineStr"/>
      <c r="L61" s="10" t="inlineStr"/>
      <c r="M61" s="10" t="inlineStr"/>
      <c r="N61" s="10" t="inlineStr"/>
      <c r="O61" s="10" t="inlineStr"/>
      <c r="P61" s="10" t="inlineStr">
        <is>
          <t>https://www.facebook.com/NoProblemArmley/</t>
        </is>
      </c>
      <c r="Q61" s="10" t="inlineStr"/>
      <c r="R61" s="10" t="inlineStr"/>
      <c r="S61" s="10" t="inlineStr"/>
      <c r="T61" s="10" t="inlineStr"/>
      <c r="U61" s="10" t="inlineStr"/>
      <c r="V61" s="10" t="inlineStr">
        <is>
          <t>Medium</t>
        </is>
      </c>
      <c r="W61" s="10" t="inlineStr">
        <is>
          <t>Independent retailer; Relevant category; Social presence</t>
        </is>
      </c>
      <c r="X61" s="10" t="inlineStr">
        <is>
          <t>Not Found</t>
        </is>
      </c>
      <c r="Y61" s="10" t="inlineStr">
        <is>
          <t>Not Found</t>
        </is>
      </c>
      <c r="Z61" s="10" t="inlineStr">
        <is>
          <t>Low</t>
        </is>
      </c>
      <c r="AA61" s="10" t="inlineStr">
        <is>
          <t>Requires Verification</t>
        </is>
      </c>
      <c r="AB61" s="10" t="inlineStr">
        <is>
          <t>https://www.facebook.com/NoProblemArmley/</t>
        </is>
      </c>
    </row>
    <row r="62">
      <c r="A62" s="5" t="inlineStr">
        <is>
          <t>UK-000579</t>
        </is>
      </c>
      <c r="B62" s="5" t="inlineStr">
        <is>
          <t>UK-000579-01</t>
        </is>
      </c>
      <c r="C62" s="5" t="inlineStr"/>
      <c r="D62" s="5" t="inlineStr">
        <is>
          <t>Aswat &amp; Sons</t>
        </is>
      </c>
      <c r="E62" s="5" t="inlineStr">
        <is>
          <t>Convenience Store</t>
        </is>
      </c>
      <c r="F62" s="5" t="inlineStr">
        <is>
          <t>Convenience &amp; grocery</t>
        </is>
      </c>
      <c r="G62" s="5" t="inlineStr">
        <is>
          <t>Independent</t>
        </is>
      </c>
      <c r="H62" s="5" t="inlineStr">
        <is>
          <t>1</t>
        </is>
      </c>
      <c r="I62" s="5" t="inlineStr">
        <is>
          <t>170 Green Street</t>
        </is>
      </c>
      <c r="J62" s="5" t="inlineStr">
        <is>
          <t>Forest Gate</t>
        </is>
      </c>
      <c r="K62" s="5" t="inlineStr">
        <is>
          <t>E7 8JT</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https://london.cylex-uk.co.uk/upton-park/grocery%20stores.html</t>
        </is>
      </c>
    </row>
    <row r="63">
      <c r="A63" s="10" t="inlineStr">
        <is>
          <t>WY-0056</t>
        </is>
      </c>
      <c r="B63" s="10" t="inlineStr">
        <is>
          <t>WY-0056-01</t>
        </is>
      </c>
      <c r="C63" s="10" t="inlineStr"/>
      <c r="D63" s="10" t="inlineStr">
        <is>
          <t>Baildon Green Convenience Store</t>
        </is>
      </c>
      <c r="E63" s="10" t="inlineStr">
        <is>
          <t>Convenience Store</t>
        </is>
      </c>
      <c r="F63" s="10" t="inlineStr">
        <is>
          <t>Neighbourhood convenience store</t>
        </is>
      </c>
      <c r="G63" s="10" t="inlineStr">
        <is>
          <t>Independent</t>
        </is>
      </c>
      <c r="H63" s="10" t="inlineStr">
        <is>
          <t>1</t>
        </is>
      </c>
      <c r="I63" s="10" t="inlineStr">
        <is>
          <t>Cliffe Lane West</t>
        </is>
      </c>
      <c r="J63" s="10" t="inlineStr">
        <is>
          <t>Shipley</t>
        </is>
      </c>
      <c r="K63" s="10" t="inlineStr"/>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https://www.yorkshire.com/shipley/shopping/corner-shops/baildon-green-convenience-store</t>
        </is>
      </c>
    </row>
    <row r="64">
      <c r="A64" s="5" t="inlineStr">
        <is>
          <t>UK-000346</t>
        </is>
      </c>
      <c r="B64" s="5" t="inlineStr">
        <is>
          <t>UK-000346-01</t>
        </is>
      </c>
      <c r="C64" s="5" t="inlineStr"/>
      <c r="D64" s="5" t="inlineStr">
        <is>
          <t>Barkway Newsagents (Stretford)</t>
        </is>
      </c>
      <c r="E64" s="5" t="inlineStr">
        <is>
          <t>Newsagent</t>
        </is>
      </c>
      <c r="F64" s="5" t="inlineStr">
        <is>
          <t>Newsagent &amp; convenience</t>
        </is>
      </c>
      <c r="G64" s="5" t="inlineStr">
        <is>
          <t>Independent</t>
        </is>
      </c>
      <c r="H64" s="5" t="inlineStr">
        <is>
          <t>1</t>
        </is>
      </c>
      <c r="I64" s="5" t="inlineStr">
        <is>
          <t>143 Barkway Road</t>
        </is>
      </c>
      <c r="J64" s="5" t="inlineStr">
        <is>
          <t>Stretford</t>
        </is>
      </c>
      <c r="K64" s="5" t="inlineStr">
        <is>
          <t>M32 9DX</t>
        </is>
      </c>
      <c r="L64" s="5" t="inlineStr">
        <is>
          <t>0161 865 0169</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https://stretford-trafford.cylex-uk.co.uk/company/barkway-newsagents-13599788.html</t>
        </is>
      </c>
    </row>
    <row r="65">
      <c r="A65" s="10" t="inlineStr">
        <is>
          <t>UK-000757</t>
        </is>
      </c>
      <c r="B65" s="10" t="inlineStr">
        <is>
          <t>UK-000757-01</t>
        </is>
      </c>
      <c r="C65" s="10" t="inlineStr"/>
      <c r="D65" s="10" t="inlineStr">
        <is>
          <t>Bebington Convenience Store &amp; Off Licence</t>
        </is>
      </c>
      <c r="E65" s="10" t="inlineStr">
        <is>
          <t>Convenience Store</t>
        </is>
      </c>
      <c r="F65" s="10" t="inlineStr">
        <is>
          <t>Convenience store / off-licence</t>
        </is>
      </c>
      <c r="G65" s="10" t="inlineStr">
        <is>
          <t>Independent</t>
        </is>
      </c>
      <c r="H65" s="10" t="inlineStr">
        <is>
          <t>1</t>
        </is>
      </c>
      <c r="I65" s="10" t="inlineStr">
        <is>
          <t>107 Brimstage Road</t>
        </is>
      </c>
      <c r="J65" s="10" t="inlineStr">
        <is>
          <t>Wirral</t>
        </is>
      </c>
      <c r="K65" s="10" t="inlineStr"/>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https://www.bigreddirectory.com/bebington-convenience-store-off-licence-heswall-wirral</t>
        </is>
      </c>
    </row>
    <row r="66">
      <c r="A66" s="5" t="inlineStr">
        <is>
          <t>UK-000456</t>
        </is>
      </c>
      <c r="B66" s="5" t="inlineStr">
        <is>
          <t>UK-000456-01</t>
        </is>
      </c>
      <c r="C66" s="5" t="inlineStr"/>
      <c r="D66" s="5" t="inlineStr">
        <is>
          <t>Blockall Convenience Store</t>
        </is>
      </c>
      <c r="E66" s="5" t="inlineStr">
        <is>
          <t>Convenience Store</t>
        </is>
      </c>
      <c r="F66" s="5" t="inlineStr">
        <is>
          <t>Convenience store &amp; off-licence</t>
        </is>
      </c>
      <c r="G66" s="5" t="inlineStr">
        <is>
          <t>Independent</t>
        </is>
      </c>
      <c r="H66" s="5" t="inlineStr">
        <is>
          <t>1</t>
        </is>
      </c>
      <c r="I66" s="5" t="inlineStr">
        <is>
          <t>22 Blockall</t>
        </is>
      </c>
      <c r="J66" s="5" t="inlineStr">
        <is>
          <t>Wednesbury</t>
        </is>
      </c>
      <c r="K66" s="5" t="inlineStr">
        <is>
          <t>WS10 8EP</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Medium</t>
        </is>
      </c>
      <c r="AA66" s="5" t="inlineStr">
        <is>
          <t>Requires Verification</t>
        </is>
      </c>
      <c r="AB66" s="5" t="inlineStr">
        <is>
          <t>https://www.yell.com/biz/blockall-convenience-store-wednesbury-7899353/</t>
        </is>
      </c>
    </row>
    <row r="67">
      <c r="A67" s="10" t="inlineStr">
        <is>
          <t>UK-000457</t>
        </is>
      </c>
      <c r="B67" s="10" t="inlineStr">
        <is>
          <t>UK-000457-01</t>
        </is>
      </c>
      <c r="C67" s="10" t="inlineStr"/>
      <c r="D67" s="10" t="inlineStr">
        <is>
          <t>Bloomfield Convenience Store</t>
        </is>
      </c>
      <c r="E67" s="10" t="inlineStr">
        <is>
          <t>Convenience Store</t>
        </is>
      </c>
      <c r="F67" s="10" t="inlineStr">
        <is>
          <t>Convenience store &amp; off-licence</t>
        </is>
      </c>
      <c r="G67" s="10" t="inlineStr">
        <is>
          <t>Independent</t>
        </is>
      </c>
      <c r="H67" s="10" t="inlineStr">
        <is>
          <t>1</t>
        </is>
      </c>
      <c r="I67" s="10" t="inlineStr"/>
      <c r="J67" s="10" t="inlineStr">
        <is>
          <t>Tipton</t>
        </is>
      </c>
      <c r="K67" s="10" t="inlineStr"/>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https://tipton.cylex-uk.co.uk/company/bloomfield-convenience-store-19860362.html</t>
        </is>
      </c>
    </row>
    <row r="68">
      <c r="A68" s="5" t="inlineStr">
        <is>
          <t>WY-0070</t>
        </is>
      </c>
      <c r="B68" s="5" t="inlineStr">
        <is>
          <t>WY-0070-01</t>
        </is>
      </c>
      <c r="C68" s="5" t="inlineStr"/>
      <c r="D68" s="5" t="inlineStr">
        <is>
          <t>Brooks News</t>
        </is>
      </c>
      <c r="E68" s="5" t="inlineStr">
        <is>
          <t>Newsagent</t>
        </is>
      </c>
      <c r="F68" s="5" t="inlineStr"/>
      <c r="G68" s="5" t="inlineStr">
        <is>
          <t>Independent</t>
        </is>
      </c>
      <c r="H68" s="5" t="inlineStr">
        <is>
          <t>1</t>
        </is>
      </c>
      <c r="I68" s="5" t="inlineStr">
        <is>
          <t>19 Church Lane</t>
        </is>
      </c>
      <c r="J68" s="5" t="inlineStr">
        <is>
          <t>Pudsey</t>
        </is>
      </c>
      <c r="K68" s="5" t="inlineStr">
        <is>
          <t>LS28 7LD</t>
        </is>
      </c>
      <c r="L68" s="5" t="inlineStr">
        <is>
          <t>0113 257 3382</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https://www.thomsonlocal.com/search/newsagents/morley-west-yorkshire</t>
        </is>
      </c>
    </row>
    <row r="69">
      <c r="A69" s="10" t="inlineStr">
        <is>
          <t>UK-000760</t>
        </is>
      </c>
      <c r="B69" s="10" t="inlineStr">
        <is>
          <t>UK-000760-01</t>
        </is>
      </c>
      <c r="C69" s="10" t="inlineStr"/>
      <c r="D69" s="10" t="inlineStr">
        <is>
          <t>Bruntsfield News</t>
        </is>
      </c>
      <c r="E69" s="10" t="inlineStr">
        <is>
          <t>Newsagent</t>
        </is>
      </c>
      <c r="F69" s="10" t="inlineStr">
        <is>
          <t>Newsagent &amp; convenience</t>
        </is>
      </c>
      <c r="G69" s="10" t="inlineStr">
        <is>
          <t>Independent</t>
        </is>
      </c>
      <c r="H69" s="10" t="inlineStr">
        <is>
          <t>1</t>
        </is>
      </c>
      <c r="I69" s="10" t="inlineStr">
        <is>
          <t>115 Bruntsfield Place</t>
        </is>
      </c>
      <c r="J69" s="10" t="inlineStr">
        <is>
          <t>Edinburgh</t>
        </is>
      </c>
      <c r="K69" s="10" t="inlineStr">
        <is>
          <t>EH10 4EQ</t>
        </is>
      </c>
      <c r="L69" s="10" t="inlineStr">
        <is>
          <t>0131 229 3836</t>
        </is>
      </c>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Verified directory</t>
        </is>
      </c>
      <c r="Y69" s="10" t="inlineStr">
        <is>
          <t>Not Found</t>
        </is>
      </c>
      <c r="Z69" s="10" t="inlineStr">
        <is>
          <t>Medium</t>
        </is>
      </c>
      <c r="AA69" s="10" t="inlineStr">
        <is>
          <t>Requires Verification</t>
        </is>
      </c>
      <c r="AB69" s="10" t="inlineStr">
        <is>
          <t>https://www.yell.com/biz/bruntsfield-news-edinburgh-7919327/</t>
        </is>
      </c>
    </row>
    <row r="70">
      <c r="A70" s="5" t="inlineStr">
        <is>
          <t>UK-000588</t>
        </is>
      </c>
      <c r="B70" s="5" t="inlineStr">
        <is>
          <t>UK-000588-01</t>
        </is>
      </c>
      <c r="C70" s="5" t="inlineStr"/>
      <c r="D70" s="5" t="inlineStr">
        <is>
          <t>C H Stores Ltd</t>
        </is>
      </c>
      <c r="E70" s="5" t="inlineStr">
        <is>
          <t>Convenience Store</t>
        </is>
      </c>
      <c r="F70" s="5" t="inlineStr">
        <is>
          <t>Convenience store</t>
        </is>
      </c>
      <c r="G70" s="5" t="inlineStr">
        <is>
          <t>Independent</t>
        </is>
      </c>
      <c r="H70" s="5" t="inlineStr">
        <is>
          <t>1</t>
        </is>
      </c>
      <c r="I70" s="5" t="inlineStr"/>
      <c r="J70" s="5" t="inlineStr">
        <is>
          <t>Bethnal Green</t>
        </is>
      </c>
      <c r="K70" s="5" t="inlineStr">
        <is>
          <t>E2 9RA</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https://www.192.com/atoz/business/london-e2/convenience-stores/c-h-stores-ltd/c8e825e9e626344689402d87535d7035b6a60db8/comp/</t>
        </is>
      </c>
    </row>
    <row r="71">
      <c r="A71" s="10" t="inlineStr">
        <is>
          <t>UK-000589</t>
        </is>
      </c>
      <c r="B71" s="10" t="inlineStr">
        <is>
          <t>UK-000589-01</t>
        </is>
      </c>
      <c r="C71" s="10" t="inlineStr"/>
      <c r="D71" s="10" t="inlineStr">
        <is>
          <t>Camberwell Grocery</t>
        </is>
      </c>
      <c r="E71" s="10" t="inlineStr">
        <is>
          <t>Convenience Store</t>
        </is>
      </c>
      <c r="F71" s="10" t="inlineStr"/>
      <c r="G71" s="10" t="inlineStr">
        <is>
          <t>Independent</t>
        </is>
      </c>
      <c r="H71" s="10" t="inlineStr">
        <is>
          <t>1</t>
        </is>
      </c>
      <c r="I71" s="10" t="inlineStr">
        <is>
          <t>61 Camberwell Church Street</t>
        </is>
      </c>
      <c r="J71" s="10" t="inlineStr">
        <is>
          <t>London</t>
        </is>
      </c>
      <c r="K71" s="10" t="inlineStr">
        <is>
          <t>SE5 8TR</t>
        </is>
      </c>
      <c r="L71" s="10" t="inlineStr">
        <is>
          <t>020 7771 1964</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https://www.yell.com/s/supermarkets-camberwell+green+se5+london+borough+of+southwark+london.html</t>
        </is>
      </c>
    </row>
    <row r="72">
      <c r="A72" s="5" t="inlineStr">
        <is>
          <t>WY-0072</t>
        </is>
      </c>
      <c r="B72" s="5" t="inlineStr">
        <is>
          <t>WY-0072-01</t>
        </is>
      </c>
      <c r="C72" s="5" t="inlineStr"/>
      <c r="D72" s="5" t="inlineStr">
        <is>
          <t>Carlton Self Service</t>
        </is>
      </c>
      <c r="E72" s="5" t="inlineStr">
        <is>
          <t>Newsagent</t>
        </is>
      </c>
      <c r="F72" s="5" t="inlineStr">
        <is>
          <t>Newsagent and self-service store</t>
        </is>
      </c>
      <c r="G72" s="5" t="inlineStr">
        <is>
          <t>Independent</t>
        </is>
      </c>
      <c r="H72" s="5" t="inlineStr">
        <is>
          <t>1</t>
        </is>
      </c>
      <c r="I72" s="5" t="inlineStr">
        <is>
          <t>6-8 Swanhill Lane</t>
        </is>
      </c>
      <c r="J72" s="5" t="inlineStr">
        <is>
          <t>Pontefract</t>
        </is>
      </c>
      <c r="K72" s="5" t="inlineStr">
        <is>
          <t>WF8 2SE</t>
        </is>
      </c>
      <c r="L72" s="5" t="inlineStr">
        <is>
          <t>01977 780317</t>
        </is>
      </c>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Verified directory</t>
        </is>
      </c>
      <c r="Y72" s="5" t="inlineStr">
        <is>
          <t>Not Found</t>
        </is>
      </c>
      <c r="Z72" s="5" t="inlineStr">
        <is>
          <t>Medium</t>
        </is>
      </c>
      <c r="AA72" s="5" t="inlineStr">
        <is>
          <t>Requires Verification</t>
        </is>
      </c>
      <c r="AB72" s="5" t="inlineStr">
        <is>
          <t>https://www.thomsonlocal.com/search/newsagents/wakefield-pontefract-castleford/carlton-self-service/1650013/01977780317</t>
        </is>
      </c>
    </row>
    <row r="73">
      <c r="A73" s="10" t="inlineStr">
        <is>
          <t>WY-0075</t>
        </is>
      </c>
      <c r="B73" s="10" t="inlineStr">
        <is>
          <t>WY-0075-01</t>
        </is>
      </c>
      <c r="C73" s="10" t="inlineStr"/>
      <c r="D73" s="10" t="inlineStr">
        <is>
          <t>Charlesworths</t>
        </is>
      </c>
      <c r="E73" s="10" t="inlineStr">
        <is>
          <t>Newsagent</t>
        </is>
      </c>
      <c r="F73" s="10" t="inlineStr">
        <is>
          <t>Newsagent, stationer, toys and confectionery</t>
        </is>
      </c>
      <c r="G73" s="10" t="inlineStr">
        <is>
          <t>Independent</t>
        </is>
      </c>
      <c r="H73" s="10" t="inlineStr">
        <is>
          <t>1</t>
        </is>
      </c>
      <c r="I73" s="10" t="inlineStr">
        <is>
          <t>27 Victoria Street</t>
        </is>
      </c>
      <c r="J73" s="10" t="inlineStr">
        <is>
          <t>Holmfirth</t>
        </is>
      </c>
      <c r="K73" s="10" t="inlineStr">
        <is>
          <t>HD9 7DF</t>
        </is>
      </c>
      <c r="L73" s="10" t="inlineStr">
        <is>
          <t>01484 681111</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Medium</t>
        </is>
      </c>
      <c r="AA73" s="10" t="inlineStr">
        <is>
          <t>Requires Verification</t>
        </is>
      </c>
      <c r="AB73" s="10" t="inlineStr">
        <is>
          <t>https://myindex.co.uk/charlesworths.htm</t>
        </is>
      </c>
    </row>
    <row r="74">
      <c r="A74" s="5" t="inlineStr">
        <is>
          <t>UK-000765</t>
        </is>
      </c>
      <c r="B74" s="5" t="inlineStr">
        <is>
          <t>UK-000765-01</t>
        </is>
      </c>
      <c r="C74" s="5" t="inlineStr"/>
      <c r="D74" s="5" t="inlineStr">
        <is>
          <t>Convenience Store &amp; Off Licence - Haverty Precinct</t>
        </is>
      </c>
      <c r="E74" s="5" t="inlineStr">
        <is>
          <t>Convenience Store</t>
        </is>
      </c>
      <c r="F74" s="5" t="inlineStr">
        <is>
          <t>Convenience store / off-licence</t>
        </is>
      </c>
      <c r="G74" s="5" t="inlineStr">
        <is>
          <t>Independent</t>
        </is>
      </c>
      <c r="H74" s="5" t="inlineStr">
        <is>
          <t>1</t>
        </is>
      </c>
      <c r="I74" s="5" t="inlineStr">
        <is>
          <t>19 Haverty Precinct</t>
        </is>
      </c>
      <c r="J74" s="5" t="inlineStr">
        <is>
          <t>Newton-le-Willows</t>
        </is>
      </c>
      <c r="K74" s="5" t="inlineStr">
        <is>
          <t>WA12 8QZ</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https://vinsights.co.uk/Business/958907</t>
        </is>
      </c>
    </row>
    <row r="75">
      <c r="A75" s="10" t="inlineStr">
        <is>
          <t>WY-0076</t>
        </is>
      </c>
      <c r="B75" s="10" t="inlineStr">
        <is>
          <t>WY-0076-01</t>
        </is>
      </c>
      <c r="C75" s="10" t="inlineStr"/>
      <c r="D75" s="10" t="inlineStr">
        <is>
          <t>Costcutter Wibsey</t>
        </is>
      </c>
      <c r="E75" s="10" t="inlineStr">
        <is>
          <t>Convenience Store</t>
        </is>
      </c>
      <c r="F75" s="10" t="inlineStr">
        <is>
          <t>Symbol-group convenience store</t>
        </is>
      </c>
      <c r="G75" s="10" t="inlineStr">
        <is>
          <t>Franchise / Symbol Group</t>
        </is>
      </c>
      <c r="H75" s="10" t="inlineStr">
        <is>
          <t>1</t>
        </is>
      </c>
      <c r="I75" s="10" t="inlineStr">
        <is>
          <t>48 Holroyd Hill</t>
        </is>
      </c>
      <c r="J75" s="10" t="inlineStr">
        <is>
          <t>Bradford</t>
        </is>
      </c>
      <c r="K75" s="10" t="inlineStr">
        <is>
          <t>BD6 1PQ</t>
        </is>
      </c>
      <c r="L75" s="10" t="inlineStr">
        <is>
          <t>01274 723454</t>
        </is>
      </c>
      <c r="M75" s="10" t="inlineStr"/>
      <c r="N75" s="10" t="inlineStr"/>
      <c r="O75" s="10" t="inlineStr">
        <is>
          <t>https://store-locator.costcutter.co.uk/costcutter-b8ba71542351</t>
        </is>
      </c>
      <c r="P75" s="10" t="inlineStr"/>
      <c r="Q75" s="10" t="inlineStr"/>
      <c r="R75" s="10" t="inlineStr"/>
      <c r="S75" s="10" t="inlineStr"/>
      <c r="T75" s="10" t="inlineStr"/>
      <c r="U75" s="10" t="inlineStr"/>
      <c r="V75" s="10" t="inlineStr">
        <is>
          <t>Medium</t>
        </is>
      </c>
      <c r="W75" s="10" t="inlineStr">
        <is>
          <t>Independent retailer; Relevant category; Active website</t>
        </is>
      </c>
      <c r="X75" s="10" t="inlineStr">
        <is>
          <t>Verified directory</t>
        </is>
      </c>
      <c r="Y75" s="10" t="inlineStr">
        <is>
          <t>Not Found</t>
        </is>
      </c>
      <c r="Z75" s="10" t="inlineStr">
        <is>
          <t>Medium</t>
        </is>
      </c>
      <c r="AA75" s="10" t="inlineStr">
        <is>
          <t>Requires Verification</t>
        </is>
      </c>
      <c r="AB75" s="10" t="inlineStr">
        <is>
          <t>https://www.yorkshire.com/wibsey/shopping/corner-shops/costcutter-15</t>
        </is>
      </c>
    </row>
    <row r="76">
      <c r="A76" s="5" t="inlineStr">
        <is>
          <t>UK-000350</t>
        </is>
      </c>
      <c r="B76" s="5" t="inlineStr">
        <is>
          <t>UK-000350-01</t>
        </is>
      </c>
      <c r="C76" s="5" t="inlineStr"/>
      <c r="D76" s="5" t="inlineStr">
        <is>
          <t>DA Shop</t>
        </is>
      </c>
      <c r="E76" s="5" t="inlineStr">
        <is>
          <t>Convenience Store</t>
        </is>
      </c>
      <c r="F76" s="5" t="inlineStr">
        <is>
          <t>24 hour convenience</t>
        </is>
      </c>
      <c r="G76" s="5" t="inlineStr">
        <is>
          <t>Independent</t>
        </is>
      </c>
      <c r="H76" s="5" t="inlineStr">
        <is>
          <t>1</t>
        </is>
      </c>
      <c r="I76" s="5" t="inlineStr">
        <is>
          <t>15-19 Worcester Road</t>
        </is>
      </c>
      <c r="J76" s="5" t="inlineStr">
        <is>
          <t>Cheadle</t>
        </is>
      </c>
      <c r="K76" s="5" t="inlineStr">
        <is>
          <t>SK8 5NW</t>
        </is>
      </c>
      <c r="L76" s="5" t="inlineStr">
        <is>
          <t>0161 486 1987</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Low</t>
        </is>
      </c>
      <c r="AA76" s="5" t="inlineStr">
        <is>
          <t>Requires Verification</t>
        </is>
      </c>
      <c r="AB76" s="5" t="inlineStr">
        <is>
          <t>https://www.24houralcohol.co.uk/stockport-off-licences</t>
        </is>
      </c>
    </row>
    <row r="77">
      <c r="A77" s="10" t="inlineStr">
        <is>
          <t>UK-000464</t>
        </is>
      </c>
      <c r="B77" s="10" t="inlineStr">
        <is>
          <t>UK-000464-01</t>
        </is>
      </c>
      <c r="C77" s="10" t="inlineStr"/>
      <c r="D77" s="10" t="inlineStr">
        <is>
          <t>Dals Store Ltd</t>
        </is>
      </c>
      <c r="E77" s="10" t="inlineStr">
        <is>
          <t>Convenience Store</t>
        </is>
      </c>
      <c r="F77" s="10" t="inlineStr">
        <is>
          <t>Convenience &amp; international grocery</t>
        </is>
      </c>
      <c r="G77" s="10" t="inlineStr">
        <is>
          <t>Independent</t>
        </is>
      </c>
      <c r="H77" s="10" t="inlineStr">
        <is>
          <t>1</t>
        </is>
      </c>
      <c r="I77" s="10" t="inlineStr">
        <is>
          <t>87 Hordern Road</t>
        </is>
      </c>
      <c r="J77" s="10" t="inlineStr">
        <is>
          <t>Wolverhampton</t>
        </is>
      </c>
      <c r="K77" s="10" t="inlineStr">
        <is>
          <t>WV6 0HL</t>
        </is>
      </c>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https://www.wolverhampton.co.uk/supermarkets/</t>
        </is>
      </c>
    </row>
    <row r="78">
      <c r="A78" s="5" t="inlineStr">
        <is>
          <t>UK-000766</t>
        </is>
      </c>
      <c r="B78" s="5" t="inlineStr">
        <is>
          <t>UK-000766-01</t>
        </is>
      </c>
      <c r="C78" s="5" t="inlineStr"/>
      <c r="D78" s="5" t="inlineStr">
        <is>
          <t>Daniel Store</t>
        </is>
      </c>
      <c r="E78" s="5" t="inlineStr">
        <is>
          <t>Convenience Store</t>
        </is>
      </c>
      <c r="F78" s="5" t="inlineStr">
        <is>
          <t>Convenience store / off-licence</t>
        </is>
      </c>
      <c r="G78" s="5" t="inlineStr">
        <is>
          <t>Independent</t>
        </is>
      </c>
      <c r="H78" s="5" t="inlineStr">
        <is>
          <t>1</t>
        </is>
      </c>
      <c r="I78" s="5" t="inlineStr">
        <is>
          <t>408 Duke Street</t>
        </is>
      </c>
      <c r="J78" s="5" t="inlineStr">
        <is>
          <t>Glasgow</t>
        </is>
      </c>
      <c r="K78" s="5" t="inlineStr">
        <is>
          <t>G31 1PX</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https://dennistoun.co.uk/directory/tag/convenience-store/</t>
        </is>
      </c>
    </row>
    <row r="79">
      <c r="A79" s="10" t="inlineStr">
        <is>
          <t>UK-000594</t>
        </is>
      </c>
      <c r="B79" s="10" t="inlineStr">
        <is>
          <t>UK-000594-01</t>
        </is>
      </c>
      <c r="C79" s="10" t="inlineStr"/>
      <c r="D79" s="10" t="inlineStr">
        <is>
          <t>Dennis Convenience Store</t>
        </is>
      </c>
      <c r="E79" s="10" t="inlineStr">
        <is>
          <t>Convenience Store</t>
        </is>
      </c>
      <c r="F79" s="10" t="inlineStr"/>
      <c r="G79" s="10" t="inlineStr">
        <is>
          <t>Independent</t>
        </is>
      </c>
      <c r="H79" s="10" t="inlineStr">
        <is>
          <t>1</t>
        </is>
      </c>
      <c r="I79" s="10" t="inlineStr">
        <is>
          <t>90 Brownhill Road</t>
        </is>
      </c>
      <c r="J79" s="10" t="inlineStr">
        <is>
          <t>London</t>
        </is>
      </c>
      <c r="K79" s="10" t="inlineStr">
        <is>
          <t>SE6 1AA</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https://www.yell.com/s/supermarkets-bellingham-south+east+london.html</t>
        </is>
      </c>
    </row>
    <row r="80">
      <c r="A80" s="5" t="inlineStr">
        <is>
          <t>WY-0080</t>
        </is>
      </c>
      <c r="B80" s="5" t="inlineStr">
        <is>
          <t>WY-0080-01</t>
        </is>
      </c>
      <c r="C80" s="5" t="inlineStr"/>
      <c r="D80" s="5" t="inlineStr">
        <is>
          <t>Dhillon's Newsagents</t>
        </is>
      </c>
      <c r="E80" s="5" t="inlineStr">
        <is>
          <t>Newsagent</t>
        </is>
      </c>
      <c r="F80" s="5" t="inlineStr"/>
      <c r="G80" s="5" t="inlineStr">
        <is>
          <t>Independent</t>
        </is>
      </c>
      <c r="H80" s="5" t="inlineStr">
        <is>
          <t>1</t>
        </is>
      </c>
      <c r="I80" s="5" t="inlineStr">
        <is>
          <t>151 Broad Lane</t>
        </is>
      </c>
      <c r="J80" s="5" t="inlineStr">
        <is>
          <t>Leeds</t>
        </is>
      </c>
      <c r="K80" s="5" t="inlineStr">
        <is>
          <t>LS13 2JJ</t>
        </is>
      </c>
      <c r="L80" s="5" t="inlineStr">
        <is>
          <t>0113 257 8085</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Medium</t>
        </is>
      </c>
      <c r="AA80" s="5" t="inlineStr">
        <is>
          <t>Requires Verification</t>
        </is>
      </c>
      <c r="AB80" s="5" t="inlineStr">
        <is>
          <t>https://findit.yorkshireeveningpost.co.uk/search/leeds/newsagent</t>
        </is>
      </c>
    </row>
    <row r="81">
      <c r="A81" s="10" t="inlineStr">
        <is>
          <t>UK-000353</t>
        </is>
      </c>
      <c r="B81" s="10" t="inlineStr">
        <is>
          <t>UK-000353-01</t>
        </is>
      </c>
      <c r="C81" s="10" t="inlineStr"/>
      <c r="D81" s="10" t="inlineStr">
        <is>
          <t>Didsbury Express</t>
        </is>
      </c>
      <c r="E81" s="10" t="inlineStr">
        <is>
          <t>Convenience Store</t>
        </is>
      </c>
      <c r="F81" s="10" t="inlineStr">
        <is>
          <t>Convenience &amp; off-licence</t>
        </is>
      </c>
      <c r="G81" s="10" t="inlineStr">
        <is>
          <t>Independent</t>
        </is>
      </c>
      <c r="H81" s="10" t="inlineStr">
        <is>
          <t>1</t>
        </is>
      </c>
      <c r="I81" s="10" t="inlineStr">
        <is>
          <t>104 Barlow Moor Road</t>
        </is>
      </c>
      <c r="J81" s="10" t="inlineStr">
        <is>
          <t>Manchester</t>
        </is>
      </c>
      <c r="K81" s="10" t="inlineStr">
        <is>
          <t>M20 2PN</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https://www.192.com/atoz/business/manchester-m20/convenience-stores/didsbury-express/6ec1daa23654a53672bc8f33dd6ce3ccb3000bc5/ml/</t>
        </is>
      </c>
    </row>
    <row r="82">
      <c r="A82" s="5" t="inlineStr">
        <is>
          <t>UK-000605</t>
        </is>
      </c>
      <c r="B82" s="5" t="inlineStr">
        <is>
          <t>UK-000605-01</t>
        </is>
      </c>
      <c r="C82" s="5" t="inlineStr"/>
      <c r="D82" s="5" t="inlineStr">
        <is>
          <t>First Gear Convenience Store</t>
        </is>
      </c>
      <c r="E82" s="5" t="inlineStr">
        <is>
          <t>Convenience Store</t>
        </is>
      </c>
      <c r="F82" s="5" t="inlineStr"/>
      <c r="G82" s="5" t="inlineStr">
        <is>
          <t>Independent</t>
        </is>
      </c>
      <c r="H82" s="5" t="inlineStr">
        <is>
          <t>1</t>
        </is>
      </c>
      <c r="I82" s="5" t="inlineStr">
        <is>
          <t>49 Brixton Station Road</t>
        </is>
      </c>
      <c r="J82" s="5" t="inlineStr">
        <is>
          <t>London</t>
        </is>
      </c>
      <c r="K82" s="5" t="inlineStr">
        <is>
          <t>SW9 8PQ</t>
        </is>
      </c>
      <c r="L82" s="5" t="inlineStr">
        <is>
          <t>020 3633 3986</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https://www.yell.com/s/off+licences-sw9.html</t>
        </is>
      </c>
    </row>
    <row r="83">
      <c r="A83" s="10" t="inlineStr">
        <is>
          <t>UK-000246</t>
        </is>
      </c>
      <c r="B83" s="10" t="inlineStr">
        <is>
          <t>UK-000246-01</t>
        </is>
      </c>
      <c r="C83" s="10" t="inlineStr"/>
      <c r="D83" s="10" t="inlineStr">
        <is>
          <t>Flemingate News</t>
        </is>
      </c>
      <c r="E83" s="10" t="inlineStr">
        <is>
          <t>Newsagent</t>
        </is>
      </c>
      <c r="F83" s="10" t="inlineStr">
        <is>
          <t>Newsagent</t>
        </is>
      </c>
      <c r="G83" s="10" t="inlineStr">
        <is>
          <t>Independent</t>
        </is>
      </c>
      <c r="H83" s="10" t="inlineStr">
        <is>
          <t>1</t>
        </is>
      </c>
      <c r="I83" s="10" t="inlineStr">
        <is>
          <t>83 Flemingate</t>
        </is>
      </c>
      <c r="J83" s="10" t="inlineStr">
        <is>
          <t>Beverley</t>
        </is>
      </c>
      <c r="K83" s="10" t="inlineStr">
        <is>
          <t>HU17 0NZ</t>
        </is>
      </c>
      <c r="L83" s="10" t="inlineStr">
        <is>
          <t>01482 881429</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Medium</t>
        </is>
      </c>
      <c r="AA83" s="10" t="inlineStr">
        <is>
          <t>Requires Verification</t>
        </is>
      </c>
      <c r="AB83" s="10" t="inlineStr">
        <is>
          <t>https://beverley.cylex-uk.co.uk/newsagents/</t>
        </is>
      </c>
    </row>
    <row r="84">
      <c r="A84" s="5" t="inlineStr">
        <is>
          <t>UK-000606</t>
        </is>
      </c>
      <c r="B84" s="5" t="inlineStr">
        <is>
          <t>UK-000606-01</t>
        </is>
      </c>
      <c r="C84" s="5" t="inlineStr"/>
      <c r="D84" s="5" t="inlineStr">
        <is>
          <t>Fresh Bazaar Ltd</t>
        </is>
      </c>
      <c r="E84" s="5" t="inlineStr">
        <is>
          <t>Convenience Store</t>
        </is>
      </c>
      <c r="F84" s="5" t="inlineStr">
        <is>
          <t>Convenience &amp; grocery</t>
        </is>
      </c>
      <c r="G84" s="5" t="inlineStr">
        <is>
          <t>Independent</t>
        </is>
      </c>
      <c r="H84" s="5" t="inlineStr">
        <is>
          <t>1</t>
        </is>
      </c>
      <c r="I84" s="5" t="inlineStr"/>
      <c r="J84" s="5" t="inlineStr">
        <is>
          <t>Bethnal Green</t>
        </is>
      </c>
      <c r="K84" s="5" t="inlineStr">
        <is>
          <t>E2 0AH</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https://www.192.com/atoz/business/london-e2/convenience-stores/fresh-bazaar-ltd/931f21171fde778d06198bb33ab9a5f663a96283/ml/</t>
        </is>
      </c>
    </row>
    <row r="85">
      <c r="A85" s="10" t="inlineStr">
        <is>
          <t>WY-0087</t>
        </is>
      </c>
      <c r="B85" s="10" t="inlineStr">
        <is>
          <t>WY-0087-01</t>
        </is>
      </c>
      <c r="C85" s="10" t="inlineStr"/>
      <c r="D85" s="10" t="inlineStr">
        <is>
          <t>Freshco UK</t>
        </is>
      </c>
      <c r="E85" s="10" t="inlineStr">
        <is>
          <t>Convenience Store</t>
        </is>
      </c>
      <c r="F85" s="10" t="inlineStr">
        <is>
          <t>Grocery store with halal meat</t>
        </is>
      </c>
      <c r="G85" s="10" t="inlineStr">
        <is>
          <t>Independent</t>
        </is>
      </c>
      <c r="H85" s="10" t="inlineStr">
        <is>
          <t>1</t>
        </is>
      </c>
      <c r="I85" s="10" t="inlineStr"/>
      <c r="J85" s="10" t="inlineStr">
        <is>
          <t>Bradford</t>
        </is>
      </c>
      <c r="K85" s="10" t="inlineStr"/>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https://freshco-uk-ltd.wheree.com/</t>
        </is>
      </c>
    </row>
    <row r="86">
      <c r="A86" s="5" t="inlineStr">
        <is>
          <t>UK-000609</t>
        </is>
      </c>
      <c r="B86" s="5" t="inlineStr">
        <is>
          <t>UK-000609-01</t>
        </is>
      </c>
      <c r="C86" s="5" t="inlineStr"/>
      <c r="D86" s="5" t="inlineStr">
        <is>
          <t>Galaxy Convenient Store</t>
        </is>
      </c>
      <c r="E86" s="5" t="inlineStr">
        <is>
          <t>Convenience Store</t>
        </is>
      </c>
      <c r="F86" s="5" t="inlineStr"/>
      <c r="G86" s="5" t="inlineStr">
        <is>
          <t>Independent</t>
        </is>
      </c>
      <c r="H86" s="5" t="inlineStr">
        <is>
          <t>1</t>
        </is>
      </c>
      <c r="I86" s="5" t="inlineStr">
        <is>
          <t>247 London Road</t>
        </is>
      </c>
      <c r="J86" s="5" t="inlineStr">
        <is>
          <t>Mitcham</t>
        </is>
      </c>
      <c r="K86" s="5" t="inlineStr">
        <is>
          <t>CR4 3NH</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https://www.yell.com/biz/galaxy-convienient-store-mitcham-6771299/</t>
        </is>
      </c>
    </row>
    <row r="87">
      <c r="A87" s="10" t="inlineStr">
        <is>
          <t>WY-0089</t>
        </is>
      </c>
      <c r="B87" s="10" t="inlineStr">
        <is>
          <t>WY-0089-01</t>
        </is>
      </c>
      <c r="C87" s="10" t="inlineStr"/>
      <c r="D87" s="10" t="inlineStr">
        <is>
          <t>Gibraltar Mini Mart</t>
        </is>
      </c>
      <c r="E87" s="10" t="inlineStr">
        <is>
          <t>Convenience Store</t>
        </is>
      </c>
      <c r="F87" s="10" t="inlineStr">
        <is>
          <t>Convenience store with vapes and mobile accessories</t>
        </is>
      </c>
      <c r="G87" s="10" t="inlineStr">
        <is>
          <t>Independent</t>
        </is>
      </c>
      <c r="H87" s="10" t="inlineStr">
        <is>
          <t>1</t>
        </is>
      </c>
      <c r="I87" s="10" t="inlineStr">
        <is>
          <t>101 Hopwood Lane</t>
        </is>
      </c>
      <c r="J87" s="10" t="inlineStr">
        <is>
          <t>Halifax</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https://www.yorkshire.com/halifax/shopping/corner-shops/gibraltar-mini-mart-vapemobile-shop</t>
        </is>
      </c>
    </row>
    <row r="88">
      <c r="A88" s="5" t="inlineStr">
        <is>
          <t>WY-0090</t>
        </is>
      </c>
      <c r="B88" s="5" t="inlineStr">
        <is>
          <t>WY-0090-01</t>
        </is>
      </c>
      <c r="C88" s="5" t="inlineStr"/>
      <c r="D88" s="5" t="inlineStr">
        <is>
          <t>Global Mini Market 2</t>
        </is>
      </c>
      <c r="E88" s="5" t="inlineStr">
        <is>
          <t>Convenience Store</t>
        </is>
      </c>
      <c r="F88" s="5" t="inlineStr">
        <is>
          <t>24-hour convenience store &amp; off-licence</t>
        </is>
      </c>
      <c r="G88" s="5" t="inlineStr">
        <is>
          <t>Independent</t>
        </is>
      </c>
      <c r="H88" s="5" t="inlineStr">
        <is>
          <t>1</t>
        </is>
      </c>
      <c r="I88" s="5" t="inlineStr">
        <is>
          <t>83-85 Main Street</t>
        </is>
      </c>
      <c r="J88" s="5" t="inlineStr">
        <is>
          <t>Bingley</t>
        </is>
      </c>
      <c r="K88" s="5" t="inlineStr">
        <is>
          <t>BD16 2JA</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Medium</t>
        </is>
      </c>
      <c r="AA88" s="5" t="inlineStr">
        <is>
          <t>Requires Verification</t>
        </is>
      </c>
      <c r="AB88" s="5" t="inlineStr">
        <is>
          <t>https://www.24houralcohol.co.uk/bradford-off-licences</t>
        </is>
      </c>
    </row>
    <row r="89">
      <c r="A89" s="10" t="inlineStr">
        <is>
          <t>UK-000611</t>
        </is>
      </c>
      <c r="B89" s="10" t="inlineStr">
        <is>
          <t>UK-000611-01</t>
        </is>
      </c>
      <c r="C89" s="10" t="inlineStr"/>
      <c r="D89" s="10" t="inlineStr">
        <is>
          <t>Global News</t>
        </is>
      </c>
      <c r="E89" s="10" t="inlineStr">
        <is>
          <t>Newsagent</t>
        </is>
      </c>
      <c r="F89" s="10" t="inlineStr">
        <is>
          <t>Newsagent &amp; off-licence</t>
        </is>
      </c>
      <c r="G89" s="10" t="inlineStr">
        <is>
          <t>Independent</t>
        </is>
      </c>
      <c r="H89" s="10" t="inlineStr">
        <is>
          <t>1</t>
        </is>
      </c>
      <c r="I89" s="10" t="inlineStr">
        <is>
          <t>55 Broadway</t>
        </is>
      </c>
      <c r="J89" s="10" t="inlineStr">
        <is>
          <t>Stratford</t>
        </is>
      </c>
      <c r="K89" s="10" t="inlineStr">
        <is>
          <t>E15 4BQ</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https://www.yell.com/s/vape+shops-stratford-east+london.html</t>
        </is>
      </c>
    </row>
    <row r="90">
      <c r="A90" s="5" t="inlineStr">
        <is>
          <t>UK-000474</t>
        </is>
      </c>
      <c r="B90" s="5" t="inlineStr">
        <is>
          <t>UK-000474-01</t>
        </is>
      </c>
      <c r="C90" s="5" t="inlineStr"/>
      <c r="D90" s="5" t="inlineStr">
        <is>
          <t>Hall Green Convenience Store</t>
        </is>
      </c>
      <c r="E90" s="5" t="inlineStr">
        <is>
          <t>Convenience Store</t>
        </is>
      </c>
      <c r="F90" s="5" t="inlineStr">
        <is>
          <t>Convenience store</t>
        </is>
      </c>
      <c r="G90" s="5" t="inlineStr">
        <is>
          <t>Independent</t>
        </is>
      </c>
      <c r="H90" s="5" t="inlineStr">
        <is>
          <t>1</t>
        </is>
      </c>
      <c r="I90" s="5" t="inlineStr">
        <is>
          <t>1162 Stratford Road</t>
        </is>
      </c>
      <c r="J90" s="5" t="inlineStr">
        <is>
          <t>Birmingham</t>
        </is>
      </c>
      <c r="K90" s="5" t="inlineStr">
        <is>
          <t>B28 8AF</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https://firmania.co.uk/birmingham/hall-green-convenience-store-6482223</t>
        </is>
      </c>
    </row>
    <row r="91">
      <c r="A91" s="10" t="inlineStr">
        <is>
          <t>UK-000475</t>
        </is>
      </c>
      <c r="B91" s="10" t="inlineStr">
        <is>
          <t>UK-000475-01</t>
        </is>
      </c>
      <c r="C91" s="10" t="inlineStr"/>
      <c r="D91" s="10" t="inlineStr">
        <is>
          <t>Hall Green News &amp; Mini Mart Ltd</t>
        </is>
      </c>
      <c r="E91" s="10" t="inlineStr">
        <is>
          <t>Newsagent</t>
        </is>
      </c>
      <c r="F91" s="10" t="inlineStr">
        <is>
          <t>Newsagent / convenience store</t>
        </is>
      </c>
      <c r="G91" s="10" t="inlineStr">
        <is>
          <t>Independent</t>
        </is>
      </c>
      <c r="H91" s="10" t="inlineStr">
        <is>
          <t>1</t>
        </is>
      </c>
      <c r="I91" s="10" t="inlineStr">
        <is>
          <t>861 Stratford Road</t>
        </is>
      </c>
      <c r="J91" s="10" t="inlineStr">
        <is>
          <t>Birmingham</t>
        </is>
      </c>
      <c r="K91" s="10" t="inlineStr">
        <is>
          <t>B28 8BH</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https://firmania.co.uk/birmingham/hall-green-news-mini-mart-ltd-4938374</t>
        </is>
      </c>
    </row>
    <row r="92">
      <c r="A92" s="5" t="inlineStr">
        <is>
          <t>UK-000614</t>
        </is>
      </c>
      <c r="B92" s="5" t="inlineStr">
        <is>
          <t>UK-000614-01</t>
        </is>
      </c>
      <c r="C92" s="5" t="inlineStr"/>
      <c r="D92" s="5" t="inlineStr">
        <is>
          <t>Helena News</t>
        </is>
      </c>
      <c r="E92" s="5" t="inlineStr">
        <is>
          <t>Newsagent</t>
        </is>
      </c>
      <c r="F92" s="5" t="inlineStr"/>
      <c r="G92" s="5" t="inlineStr">
        <is>
          <t>Independent</t>
        </is>
      </c>
      <c r="H92" s="5" t="inlineStr">
        <is>
          <t>1</t>
        </is>
      </c>
      <c r="I92" s="5" t="inlineStr">
        <is>
          <t>9 Market Parade</t>
        </is>
      </c>
      <c r="J92" s="5" t="inlineStr">
        <is>
          <t>Feltham</t>
        </is>
      </c>
      <c r="K92" s="5" t="inlineStr">
        <is>
          <t>TW13 6AL</t>
        </is>
      </c>
      <c r="L92" s="5" t="inlineStr">
        <is>
          <t>020 8572 0227</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Medium</t>
        </is>
      </c>
      <c r="AA92" s="5" t="inlineStr">
        <is>
          <t>Requires Verification</t>
        </is>
      </c>
      <c r="AB92" s="5" t="inlineStr">
        <is>
          <t>https://www.yell.com/s/newsagents-feltham-middlesex.html</t>
        </is>
      </c>
    </row>
    <row r="93">
      <c r="A93" s="10" t="inlineStr">
        <is>
          <t>UK-000360</t>
        </is>
      </c>
      <c r="B93" s="10" t="inlineStr">
        <is>
          <t>UK-000360-01</t>
        </is>
      </c>
      <c r="C93" s="10" t="inlineStr"/>
      <c r="D93" s="10" t="inlineStr">
        <is>
          <t>High Bank Convenience Store &amp; Off Licence (Gorton)</t>
        </is>
      </c>
      <c r="E93" s="10" t="inlineStr">
        <is>
          <t>Convenience Store</t>
        </is>
      </c>
      <c r="F93" s="10" t="inlineStr">
        <is>
          <t>Convenience &amp; off-licence</t>
        </is>
      </c>
      <c r="G93" s="10" t="inlineStr">
        <is>
          <t>Independent</t>
        </is>
      </c>
      <c r="H93" s="10" t="inlineStr">
        <is>
          <t>1</t>
        </is>
      </c>
      <c r="I93" s="10" t="inlineStr">
        <is>
          <t>15 High Bank</t>
        </is>
      </c>
      <c r="J93" s="10" t="inlineStr">
        <is>
          <t>Manchester</t>
        </is>
      </c>
      <c r="K93" s="10" t="inlineStr">
        <is>
          <t>M18 8UT</t>
        </is>
      </c>
      <c r="L93" s="10" t="inlineStr">
        <is>
          <t>0161 223 5982</t>
        </is>
      </c>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Verified directory</t>
        </is>
      </c>
      <c r="Y93" s="10" t="inlineStr">
        <is>
          <t>Not Found</t>
        </is>
      </c>
      <c r="Z93" s="10" t="inlineStr">
        <is>
          <t>Medium</t>
        </is>
      </c>
      <c r="AA93" s="10" t="inlineStr">
        <is>
          <t>Requires Verification</t>
        </is>
      </c>
      <c r="AB93" s="10" t="inlineStr">
        <is>
          <t>https://www.just-eat.co.uk/restaurants-high-bank-convenience-store-and-off-licence-manchester/menu</t>
        </is>
      </c>
    </row>
    <row r="94">
      <c r="A94" s="5" t="inlineStr">
        <is>
          <t>UK-000782</t>
        </is>
      </c>
      <c r="B94" s="5" t="inlineStr">
        <is>
          <t>UK-000782-01</t>
        </is>
      </c>
      <c r="C94" s="5" t="inlineStr"/>
      <c r="D94" s="5" t="inlineStr">
        <is>
          <t>Holliday's</t>
        </is>
      </c>
      <c r="E94" s="5" t="inlineStr">
        <is>
          <t>Convenience Store</t>
        </is>
      </c>
      <c r="F94" s="5" t="inlineStr">
        <is>
          <t>Grocer &amp; convenience store</t>
        </is>
      </c>
      <c r="G94" s="5" t="inlineStr">
        <is>
          <t>Independent</t>
        </is>
      </c>
      <c r="H94" s="5" t="inlineStr">
        <is>
          <t>1</t>
        </is>
      </c>
      <c r="I94" s="5" t="inlineStr">
        <is>
          <t>15 Old Rough Lane</t>
        </is>
      </c>
      <c r="J94" s="5" t="inlineStr">
        <is>
          <t>Liverpool</t>
        </is>
      </c>
      <c r="K94" s="5" t="inlineStr">
        <is>
          <t>L33 6XE</t>
        </is>
      </c>
      <c r="L94" s="5" t="inlineStr">
        <is>
          <t>0151 546 0738</t>
        </is>
      </c>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Verified directory</t>
        </is>
      </c>
      <c r="Y94" s="5" t="inlineStr">
        <is>
          <t>Not Found</t>
        </is>
      </c>
      <c r="Z94" s="5" t="inlineStr">
        <is>
          <t>Low</t>
        </is>
      </c>
      <c r="AA94" s="5" t="inlineStr">
        <is>
          <t>Requires Verification</t>
        </is>
      </c>
      <c r="AB94" s="5" t="inlineStr">
        <is>
          <t>https://kirkby.cylex-uk.co.uk/convenience-stores/</t>
        </is>
      </c>
    </row>
    <row r="95">
      <c r="A95" s="10" t="inlineStr">
        <is>
          <t>WY-0096</t>
        </is>
      </c>
      <c r="B95" s="10" t="inlineStr">
        <is>
          <t>WY-0096-01</t>
        </is>
      </c>
      <c r="C95" s="10" t="inlineStr"/>
      <c r="D95" s="10" t="inlineStr">
        <is>
          <t>Hopes News</t>
        </is>
      </c>
      <c r="E95" s="10" t="inlineStr">
        <is>
          <t>Newsagent</t>
        </is>
      </c>
      <c r="F95" s="10" t="inlineStr">
        <is>
          <t>Newsagent / off-licence</t>
        </is>
      </c>
      <c r="G95" s="10" t="inlineStr">
        <is>
          <t>Independent</t>
        </is>
      </c>
      <c r="H95" s="10" t="inlineStr">
        <is>
          <t>1</t>
        </is>
      </c>
      <c r="I95" s="10" t="inlineStr">
        <is>
          <t>Otley Road</t>
        </is>
      </c>
      <c r="J95" s="10" t="inlineStr">
        <is>
          <t>Shipley</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https://www.yorkshire.com/shipley/shopping/off-license/hopes-news</t>
        </is>
      </c>
    </row>
    <row r="96">
      <c r="A96" s="5" t="inlineStr">
        <is>
          <t>UK-000364</t>
        </is>
      </c>
      <c r="B96" s="5" t="inlineStr">
        <is>
          <t>UK-000364-01</t>
        </is>
      </c>
      <c r="C96" s="5" t="inlineStr"/>
      <c r="D96" s="5" t="inlineStr">
        <is>
          <t>Hyde Convenience Store</t>
        </is>
      </c>
      <c r="E96" s="5" t="inlineStr">
        <is>
          <t>Convenience Store</t>
        </is>
      </c>
      <c r="F96" s="5" t="inlineStr">
        <is>
          <t>Grocer</t>
        </is>
      </c>
      <c r="G96" s="5" t="inlineStr">
        <is>
          <t>Independent</t>
        </is>
      </c>
      <c r="H96" s="5" t="inlineStr">
        <is>
          <t>1</t>
        </is>
      </c>
      <c r="I96" s="5" t="inlineStr">
        <is>
          <t>39 Dukinfield Road</t>
        </is>
      </c>
      <c r="J96" s="5" t="inlineStr">
        <is>
          <t>Hyde</t>
        </is>
      </c>
      <c r="K96" s="5" t="inlineStr">
        <is>
          <t>SK14 4PD</t>
        </is>
      </c>
      <c r="L96" s="5" t="inlineStr">
        <is>
          <t>0161 368 3057</t>
        </is>
      </c>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Verified directory</t>
        </is>
      </c>
      <c r="Y96" s="5" t="inlineStr">
        <is>
          <t>Not Found</t>
        </is>
      </c>
      <c r="Z96" s="5" t="inlineStr">
        <is>
          <t>Medium</t>
        </is>
      </c>
      <c r="AA96" s="5" t="inlineStr">
        <is>
          <t>Requires Verification</t>
        </is>
      </c>
      <c r="AB96" s="5" t="inlineStr">
        <is>
          <t>https://www.thomsonlocal.com/search/grocers/tameside/hyde-convenience-store/1637220/01613683057</t>
        </is>
      </c>
    </row>
    <row r="97">
      <c r="A97" s="10" t="inlineStr">
        <is>
          <t>WY-0098</t>
        </is>
      </c>
      <c r="B97" s="10" t="inlineStr">
        <is>
          <t>WY-0098-01</t>
        </is>
      </c>
      <c r="C97" s="10" t="inlineStr"/>
      <c r="D97" s="10" t="inlineStr">
        <is>
          <t>Ilkley Convenience Store</t>
        </is>
      </c>
      <c r="E97" s="10" t="inlineStr">
        <is>
          <t>Convenience Store</t>
        </is>
      </c>
      <c r="F97" s="10" t="inlineStr">
        <is>
          <t>Neighbourhood convenience store</t>
        </is>
      </c>
      <c r="G97" s="10" t="inlineStr">
        <is>
          <t>Independent</t>
        </is>
      </c>
      <c r="H97" s="10" t="inlineStr">
        <is>
          <t>1</t>
        </is>
      </c>
      <c r="I97" s="10" t="inlineStr">
        <is>
          <t>Valley Drive</t>
        </is>
      </c>
      <c r="J97" s="10" t="inlineStr">
        <is>
          <t>Ilkley</t>
        </is>
      </c>
      <c r="K97" s="10" t="inlineStr"/>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https://www.yorkshire.com/ilkley/shopping/corner-shops/ilkley-convenience-store</t>
        </is>
      </c>
    </row>
    <row r="98">
      <c r="A98" s="5" t="inlineStr">
        <is>
          <t>UK-000615</t>
        </is>
      </c>
      <c r="B98" s="5" t="inlineStr">
        <is>
          <t>UK-000615-01</t>
        </is>
      </c>
      <c r="C98" s="5" t="inlineStr"/>
      <c r="D98" s="5" t="inlineStr">
        <is>
          <t>Intcont Food &amp; Wine</t>
        </is>
      </c>
      <c r="E98" s="5" t="inlineStr">
        <is>
          <t>Convenience Store</t>
        </is>
      </c>
      <c r="F98" s="5" t="inlineStr">
        <is>
          <t>Convenience &amp; off-licence</t>
        </is>
      </c>
      <c r="G98" s="5" t="inlineStr">
        <is>
          <t>Independent</t>
        </is>
      </c>
      <c r="H98" s="5" t="inlineStr">
        <is>
          <t>1</t>
        </is>
      </c>
      <c r="I98" s="5" t="inlineStr">
        <is>
          <t>195a-197 Uxbridge Road</t>
        </is>
      </c>
      <c r="J98" s="5" t="inlineStr">
        <is>
          <t>London</t>
        </is>
      </c>
      <c r="K98" s="5" t="inlineStr">
        <is>
          <t>W12 9RA</t>
        </is>
      </c>
      <c r="L98" s="5" t="inlineStr">
        <is>
          <t>020 8749 6193</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Medium</t>
        </is>
      </c>
      <c r="AA98" s="5" t="inlineStr">
        <is>
          <t>Requires Verification</t>
        </is>
      </c>
      <c r="AB98" s="5" t="inlineStr">
        <is>
          <t>https://www.yell.com/s/wine+merchants-shepherds+bush-west+london.html</t>
        </is>
      </c>
    </row>
    <row r="99">
      <c r="A99" s="10" t="inlineStr">
        <is>
          <t>UK-000257</t>
        </is>
      </c>
      <c r="B99" s="10" t="inlineStr">
        <is>
          <t>UK-000257-01</t>
        </is>
      </c>
      <c r="C99" s="10" t="inlineStr"/>
      <c r="D99" s="10" t="inlineStr">
        <is>
          <t>J A &amp; S Cowie Newsagent</t>
        </is>
      </c>
      <c r="E99" s="10" t="inlineStr">
        <is>
          <t>Newsagent</t>
        </is>
      </c>
      <c r="F99" s="10" t="inlineStr">
        <is>
          <t>Newsagent &amp; convenience</t>
        </is>
      </c>
      <c r="G99" s="10" t="inlineStr">
        <is>
          <t>Independent</t>
        </is>
      </c>
      <c r="H99" s="10" t="inlineStr">
        <is>
          <t>1</t>
        </is>
      </c>
      <c r="I99" s="10" t="inlineStr">
        <is>
          <t>13 Westgate</t>
        </is>
      </c>
      <c r="J99" s="10" t="inlineStr">
        <is>
          <t>Ripon</t>
        </is>
      </c>
      <c r="K99" s="10" t="inlineStr">
        <is>
          <t>HG4 2AT</t>
        </is>
      </c>
      <c r="L99" s="10" t="inlineStr">
        <is>
          <t>01765 603153</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Low</t>
        </is>
      </c>
      <c r="AA99" s="10" t="inlineStr">
        <is>
          <t>Requires Verification</t>
        </is>
      </c>
      <c r="AB99" s="10" t="inlineStr">
        <is>
          <t>https://www.mynewsagent.co.uk/7788/</t>
        </is>
      </c>
    </row>
    <row r="100">
      <c r="A100" s="5" t="inlineStr">
        <is>
          <t>UK-000481</t>
        </is>
      </c>
      <c r="B100" s="5" t="inlineStr">
        <is>
          <t>UK-000481-01</t>
        </is>
      </c>
      <c r="C100" s="5" t="inlineStr"/>
      <c r="D100" s="5" t="inlineStr">
        <is>
          <t>JS Convenience Store</t>
        </is>
      </c>
      <c r="E100" s="5" t="inlineStr">
        <is>
          <t>Convenience Store</t>
        </is>
      </c>
      <c r="F100" s="5" t="inlineStr">
        <is>
          <t>Convenience store &amp; off-licence</t>
        </is>
      </c>
      <c r="G100" s="5" t="inlineStr">
        <is>
          <t>Independent</t>
        </is>
      </c>
      <c r="H100" s="5" t="inlineStr">
        <is>
          <t>1</t>
        </is>
      </c>
      <c r="I100" s="5" t="inlineStr">
        <is>
          <t>110 Coronation Road</t>
        </is>
      </c>
      <c r="J100" s="5" t="inlineStr">
        <is>
          <t>Wednesbury</t>
        </is>
      </c>
      <c r="K100" s="5" t="inlineStr">
        <is>
          <t>WS10 0TJ</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Medium</t>
        </is>
      </c>
      <c r="AA100" s="5" t="inlineStr">
        <is>
          <t>Requires Verification</t>
        </is>
      </c>
      <c r="AB100" s="5" t="inlineStr">
        <is>
          <t>https://www.yell.com/biz/js-convenience-store-wednesbury-8809377/</t>
        </is>
      </c>
    </row>
    <row r="101">
      <c r="A101" s="10" t="inlineStr">
        <is>
          <t>UK-000366</t>
        </is>
      </c>
      <c r="B101" s="10" t="inlineStr">
        <is>
          <t>UK-000366-01</t>
        </is>
      </c>
      <c r="C101" s="10" t="inlineStr"/>
      <c r="D101" s="10" t="inlineStr">
        <is>
          <t>Jaffa Convenience Store Ltd (Stretford)</t>
        </is>
      </c>
      <c r="E101" s="10" t="inlineStr">
        <is>
          <t>Convenience Store</t>
        </is>
      </c>
      <c r="F101" s="10" t="inlineStr">
        <is>
          <t>Convenience &amp; off-licence</t>
        </is>
      </c>
      <c r="G101" s="10" t="inlineStr">
        <is>
          <t>Independent</t>
        </is>
      </c>
      <c r="H101" s="10" t="inlineStr">
        <is>
          <t>1</t>
        </is>
      </c>
      <c r="I101" s="10" t="inlineStr">
        <is>
          <t>496 Kings Road</t>
        </is>
      </c>
      <c r="J101" s="10" t="inlineStr">
        <is>
          <t>Stretford</t>
        </is>
      </c>
      <c r="K101" s="10" t="inlineStr">
        <is>
          <t>M32 8QW</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https://stretford-trafford.cylex-uk.co.uk/convenience-stores/</t>
        </is>
      </c>
    </row>
    <row r="102">
      <c r="A102" s="5" t="inlineStr">
        <is>
          <t>UK-000482</t>
        </is>
      </c>
      <c r="B102" s="5" t="inlineStr">
        <is>
          <t>UK-000482-01</t>
        </is>
      </c>
      <c r="C102" s="5" t="inlineStr"/>
      <c r="D102" s="5" t="inlineStr">
        <is>
          <t>Jay Mini Market</t>
        </is>
      </c>
      <c r="E102" s="5" t="inlineStr">
        <is>
          <t>Convenience Store</t>
        </is>
      </c>
      <c r="F102" s="5" t="inlineStr">
        <is>
          <t>Convenience store / off-licence</t>
        </is>
      </c>
      <c r="G102" s="5" t="inlineStr">
        <is>
          <t>Independent</t>
        </is>
      </c>
      <c r="H102" s="5" t="inlineStr">
        <is>
          <t>1</t>
        </is>
      </c>
      <c r="I102" s="5" t="inlineStr">
        <is>
          <t>93 Holyhead Road</t>
        </is>
      </c>
      <c r="J102" s="5" t="inlineStr">
        <is>
          <t>Birmingham</t>
        </is>
      </c>
      <c r="K102" s="5" t="inlineStr">
        <is>
          <t>B21 0HH</t>
        </is>
      </c>
      <c r="L102" s="5" t="inlineStr">
        <is>
          <t>0121 554 2063</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Low</t>
        </is>
      </c>
      <c r="AA102" s="5" t="inlineStr">
        <is>
          <t>Requires Verification</t>
        </is>
      </c>
      <c r="AB102" s="5" t="inlineStr">
        <is>
          <t>https://www.yell.com/s/off+licences-handsworth-birmingham.html</t>
        </is>
      </c>
    </row>
    <row r="103">
      <c r="A103" s="10" t="inlineStr">
        <is>
          <t>UK-000787</t>
        </is>
      </c>
      <c r="B103" s="10" t="inlineStr">
        <is>
          <t>UK-000787-01</t>
        </is>
      </c>
      <c r="C103" s="10" t="inlineStr"/>
      <c r="D103" s="10" t="inlineStr">
        <is>
          <t>K Douglas Newsagent</t>
        </is>
      </c>
      <c r="E103" s="10" t="inlineStr">
        <is>
          <t>Newsagent</t>
        </is>
      </c>
      <c r="F103" s="10" t="inlineStr">
        <is>
          <t>Newsagent / convenience</t>
        </is>
      </c>
      <c r="G103" s="10" t="inlineStr">
        <is>
          <t>Independent</t>
        </is>
      </c>
      <c r="H103" s="10" t="inlineStr">
        <is>
          <t>1</t>
        </is>
      </c>
      <c r="I103" s="10" t="inlineStr">
        <is>
          <t>80-82 South Road</t>
        </is>
      </c>
      <c r="J103" s="10" t="inlineStr">
        <is>
          <t>Liverpool</t>
        </is>
      </c>
      <c r="K103" s="10" t="inlineStr">
        <is>
          <t>L22 0LY</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https://groceries-now.co.uk/now/Waterloo%20(Merseyside)</t>
        </is>
      </c>
    </row>
    <row r="104">
      <c r="A104" s="5" t="inlineStr">
        <is>
          <t>UK-000788</t>
        </is>
      </c>
      <c r="B104" s="5" t="inlineStr">
        <is>
          <t>UK-000788-01</t>
        </is>
      </c>
      <c r="C104" s="5" t="inlineStr"/>
      <c r="D104" s="5" t="inlineStr">
        <is>
          <t>K K Stores</t>
        </is>
      </c>
      <c r="E104" s="5" t="inlineStr">
        <is>
          <t>Convenience Store</t>
        </is>
      </c>
      <c r="F104" s="5" t="inlineStr">
        <is>
          <t>Grocer &amp; convenience store</t>
        </is>
      </c>
      <c r="G104" s="5" t="inlineStr">
        <is>
          <t>Independent</t>
        </is>
      </c>
      <c r="H104" s="5" t="inlineStr">
        <is>
          <t>1</t>
        </is>
      </c>
      <c r="I104" s="5" t="inlineStr"/>
      <c r="J104" s="5" t="inlineStr">
        <is>
          <t>Bootle</t>
        </is>
      </c>
      <c r="K104" s="5" t="inlineStr">
        <is>
          <t>L20 2EA</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https://www.192.com/atoz/business/bootle-l20/convenience-stores/k-k-stores/3c4031298ca7285729f2a8f40d96a80e709da138/ml/</t>
        </is>
      </c>
    </row>
    <row r="105">
      <c r="A105" s="10" t="inlineStr">
        <is>
          <t>WY-0101</t>
        </is>
      </c>
      <c r="B105" s="10" t="inlineStr">
        <is>
          <t>WY-0101-01</t>
        </is>
      </c>
      <c r="C105" s="10" t="inlineStr"/>
      <c r="D105" s="10" t="inlineStr">
        <is>
          <t>KV Convenience &amp; Off Licence</t>
        </is>
      </c>
      <c r="E105" s="10" t="inlineStr">
        <is>
          <t>Convenience Store</t>
        </is>
      </c>
      <c r="F105" s="10" t="inlineStr">
        <is>
          <t>24-hour convenience store and off-licence</t>
        </is>
      </c>
      <c r="G105" s="10" t="inlineStr">
        <is>
          <t>Independent</t>
        </is>
      </c>
      <c r="H105" s="10" t="inlineStr">
        <is>
          <t>1</t>
        </is>
      </c>
      <c r="I105" s="10" t="inlineStr">
        <is>
          <t>51-53 Market Street</t>
        </is>
      </c>
      <c r="J105" s="10" t="inlineStr">
        <is>
          <t>Huddersfield</t>
        </is>
      </c>
      <c r="K105" s="10" t="inlineStr">
        <is>
          <t>HD3 4HZ</t>
        </is>
      </c>
      <c r="L105" s="10" t="inlineStr">
        <is>
          <t>01484 644192</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Medium</t>
        </is>
      </c>
      <c r="AA105" s="10" t="inlineStr">
        <is>
          <t>Requires Verification</t>
        </is>
      </c>
      <c r="AB105" s="10" t="inlineStr">
        <is>
          <t>https://www.yellowtom.co.uk/1452035</t>
        </is>
      </c>
    </row>
    <row r="106">
      <c r="A106" s="5" t="inlineStr">
        <is>
          <t>WY-0102</t>
        </is>
      </c>
      <c r="B106" s="5" t="inlineStr">
        <is>
          <t>WY-0102-01</t>
        </is>
      </c>
      <c r="C106" s="5" t="inlineStr"/>
      <c r="D106" s="5" t="inlineStr">
        <is>
          <t>Kasa Beeston Convenience Store</t>
        </is>
      </c>
      <c r="E106" s="5" t="inlineStr">
        <is>
          <t>Convenience Store</t>
        </is>
      </c>
      <c r="F106" s="5" t="inlineStr">
        <is>
          <t>24-hour convenience store with off-licence and food-to-go</t>
        </is>
      </c>
      <c r="G106" s="5" t="inlineStr">
        <is>
          <t>Independent</t>
        </is>
      </c>
      <c r="H106" s="5" t="inlineStr">
        <is>
          <t>1</t>
        </is>
      </c>
      <c r="I106" s="5" t="inlineStr">
        <is>
          <t>334-336 Dewsbury Road</t>
        </is>
      </c>
      <c r="J106" s="5" t="inlineStr">
        <is>
          <t>Leeds</t>
        </is>
      </c>
      <c r="K106" s="5" t="inlineStr">
        <is>
          <t>LS11 7DJ</t>
        </is>
      </c>
      <c r="L106" s="5" t="inlineStr">
        <is>
          <t>0113 277 5757</t>
        </is>
      </c>
      <c r="M106" s="5" t="inlineStr">
        <is>
          <t>info@kasabeeston.com</t>
        </is>
      </c>
      <c r="N106" s="5" t="inlineStr"/>
      <c r="O106" s="5" t="inlineStr">
        <is>
          <t>https://kasabeeston.com/</t>
        </is>
      </c>
      <c r="P106" s="5" t="inlineStr">
        <is>
          <t>https://www.facebook.com/kasabeestonstore/</t>
        </is>
      </c>
      <c r="Q106" s="5" t="inlineStr"/>
      <c r="R106" s="5" t="inlineStr"/>
      <c r="S106" s="5" t="inlineStr"/>
      <c r="T106" s="5" t="inlineStr"/>
      <c r="U106" s="5" t="inlineStr"/>
      <c r="V106" s="5" t="inlineStr">
        <is>
          <t>Medium</t>
        </is>
      </c>
      <c r="W106" s="5" t="inlineStr">
        <is>
          <t>Independent retailer; Relevant category; Public email available; Active website; Social presence</t>
        </is>
      </c>
      <c r="X106" s="5" t="inlineStr">
        <is>
          <t>Verified directory</t>
        </is>
      </c>
      <c r="Y106" s="5" t="inlineStr">
        <is>
          <t>Website Found</t>
        </is>
      </c>
      <c r="Z106" s="5" t="inlineStr">
        <is>
          <t>Medium</t>
        </is>
      </c>
      <c r="AA106" s="5" t="inlineStr">
        <is>
          <t>Partially Verified</t>
        </is>
      </c>
      <c r="AB106" s="5" t="inlineStr">
        <is>
          <t>https://kasabeeston.com/</t>
        </is>
      </c>
    </row>
    <row r="107">
      <c r="A107" s="10" t="inlineStr">
        <is>
          <t>WY-0103</t>
        </is>
      </c>
      <c r="B107" s="10" t="inlineStr">
        <is>
          <t>WY-0103-01</t>
        </is>
      </c>
      <c r="C107" s="10" t="inlineStr"/>
      <c r="D107" s="10" t="inlineStr">
        <is>
          <t>Kash News &amp; Gifts</t>
        </is>
      </c>
      <c r="E107" s="10" t="inlineStr">
        <is>
          <t>Newsagent</t>
        </is>
      </c>
      <c r="F107" s="10" t="inlineStr">
        <is>
          <t>Newsagent and gifts</t>
        </is>
      </c>
      <c r="G107" s="10" t="inlineStr">
        <is>
          <t>Independent</t>
        </is>
      </c>
      <c r="H107" s="10" t="inlineStr">
        <is>
          <t>1</t>
        </is>
      </c>
      <c r="I107" s="10" t="inlineStr">
        <is>
          <t>51 Commercial Street</t>
        </is>
      </c>
      <c r="J107" s="10" t="inlineStr">
        <is>
          <t>Brighouse</t>
        </is>
      </c>
      <c r="K107" s="10" t="inlineStr">
        <is>
          <t>HD6 1AF</t>
        </is>
      </c>
      <c r="L107" s="10" t="inlineStr">
        <is>
          <t>01484 400405</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https://www.thomsonlocal.com/search/newsagents/halifax-brighouse-calderdale/kash-news-gifts/922805/01484400405</t>
        </is>
      </c>
    </row>
    <row r="108">
      <c r="A108" s="5" t="inlineStr">
        <is>
          <t>UK-000789</t>
        </is>
      </c>
      <c r="B108" s="5" t="inlineStr">
        <is>
          <t>UK-000789-01</t>
        </is>
      </c>
      <c r="C108" s="5" t="inlineStr"/>
      <c r="D108" s="5" t="inlineStr">
        <is>
          <t>Kavery Convenience Store</t>
        </is>
      </c>
      <c r="E108" s="5" t="inlineStr">
        <is>
          <t>Convenience Store</t>
        </is>
      </c>
      <c r="F108" s="5" t="inlineStr">
        <is>
          <t>Convenience &amp; off-licence</t>
        </is>
      </c>
      <c r="G108" s="5" t="inlineStr">
        <is>
          <t>Independent</t>
        </is>
      </c>
      <c r="H108" s="5" t="inlineStr">
        <is>
          <t>1</t>
        </is>
      </c>
      <c r="I108" s="5" t="inlineStr">
        <is>
          <t>269 Gorgie Road</t>
        </is>
      </c>
      <c r="J108" s="5" t="inlineStr">
        <is>
          <t>Edinburgh</t>
        </is>
      </c>
      <c r="K108" s="5" t="inlineStr">
        <is>
          <t>EH11 1TX</t>
        </is>
      </c>
      <c r="L108" s="5" t="inlineStr">
        <is>
          <t>0131 623 7192</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Medium</t>
        </is>
      </c>
      <c r="AA108" s="5" t="inlineStr">
        <is>
          <t>Requires Verification</t>
        </is>
      </c>
      <c r="AB108" s="5" t="inlineStr">
        <is>
          <t>https://www.192.com/atoz/business/edinburgh-eh11/convenience-stores/kavery-convenience-store/29863d8ca63d97a73540ebc95cddbf28b019a53b/ml/</t>
        </is>
      </c>
    </row>
    <row r="109">
      <c r="A109" s="10" t="inlineStr">
        <is>
          <t>WY-0104</t>
        </is>
      </c>
      <c r="B109" s="10" t="inlineStr">
        <is>
          <t>WY-0104-01</t>
        </is>
      </c>
      <c r="C109" s="10" t="inlineStr"/>
      <c r="D109" s="10" t="inlineStr">
        <is>
          <t>Keep In Touch</t>
        </is>
      </c>
      <c r="E109" s="10" t="inlineStr">
        <is>
          <t>Newsagent</t>
        </is>
      </c>
      <c r="F109" s="10" t="inlineStr">
        <is>
          <t>Newsagent</t>
        </is>
      </c>
      <c r="G109" s="10" t="inlineStr">
        <is>
          <t>Independent</t>
        </is>
      </c>
      <c r="H109" s="10" t="inlineStr">
        <is>
          <t>1</t>
        </is>
      </c>
      <c r="I109" s="10" t="inlineStr">
        <is>
          <t>5 Albion Street</t>
        </is>
      </c>
      <c r="J109" s="10" t="inlineStr">
        <is>
          <t>Castleford</t>
        </is>
      </c>
      <c r="K109" s="10" t="inlineStr">
        <is>
          <t>WF10 1EG</t>
        </is>
      </c>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Low</t>
        </is>
      </c>
      <c r="AA109" s="10" t="inlineStr">
        <is>
          <t>Requires Verification</t>
        </is>
      </c>
      <c r="AB109" s="10" t="inlineStr">
        <is>
          <t>https://www.192.com/atoz/business/castleford-wf10/newsagents/keep-in-touch/645f3ab15b4cb6acdbc0eb9ef27c5a71438678bb/ml/</t>
        </is>
      </c>
    </row>
    <row r="110">
      <c r="A110" s="5" t="inlineStr">
        <is>
          <t>UK-000790</t>
        </is>
      </c>
      <c r="B110" s="5" t="inlineStr">
        <is>
          <t>UK-000790-01</t>
        </is>
      </c>
      <c r="C110" s="5" t="inlineStr"/>
      <c r="D110" s="5" t="inlineStr">
        <is>
          <t>Keerthi Superstore</t>
        </is>
      </c>
      <c r="E110" s="5" t="inlineStr">
        <is>
          <t>Convenience Store</t>
        </is>
      </c>
      <c r="F110" s="5" t="inlineStr">
        <is>
          <t>Convenience store / off-licence</t>
        </is>
      </c>
      <c r="G110" s="5" t="inlineStr">
        <is>
          <t>Independent</t>
        </is>
      </c>
      <c r="H110" s="5" t="inlineStr">
        <is>
          <t>1</t>
        </is>
      </c>
      <c r="I110" s="5" t="inlineStr">
        <is>
          <t>56 King Street</t>
        </is>
      </c>
      <c r="J110" s="5" t="inlineStr">
        <is>
          <t>Wallasey</t>
        </is>
      </c>
      <c r="K110" s="5" t="inlineStr">
        <is>
          <t>CH44 8AU</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https://democracy.wirral.gov.uk/mgAi.aspx?ID=68536</t>
        </is>
      </c>
    </row>
    <row r="111">
      <c r="A111" s="10" t="inlineStr">
        <is>
          <t>WY-0105</t>
        </is>
      </c>
      <c r="B111" s="10" t="inlineStr">
        <is>
          <t>WY-0105-01</t>
        </is>
      </c>
      <c r="C111" s="10" t="inlineStr"/>
      <c r="D111" s="10" t="inlineStr">
        <is>
          <t>Keighley Newsagent</t>
        </is>
      </c>
      <c r="E111" s="10" t="inlineStr">
        <is>
          <t>Newsagent</t>
        </is>
      </c>
      <c r="F111" s="10" t="inlineStr">
        <is>
          <t>Town-centre newsagent</t>
        </is>
      </c>
      <c r="G111" s="10" t="inlineStr">
        <is>
          <t>Independent</t>
        </is>
      </c>
      <c r="H111" s="10" t="inlineStr">
        <is>
          <t>1</t>
        </is>
      </c>
      <c r="I111" s="10" t="inlineStr">
        <is>
          <t>125 North Street</t>
        </is>
      </c>
      <c r="J111" s="10" t="inlineStr">
        <is>
          <t>Keighley</t>
        </is>
      </c>
      <c r="K111" s="10" t="inlineStr">
        <is>
          <t>BD21 3AD</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https://directory.bradfordpages.co.uk/company/504571861241856</t>
        </is>
      </c>
    </row>
    <row r="112">
      <c r="A112" s="5" t="inlineStr">
        <is>
          <t>UK-000620</t>
        </is>
      </c>
      <c r="B112" s="5" t="inlineStr">
        <is>
          <t>UK-000620-01</t>
        </is>
      </c>
      <c r="C112" s="5" t="inlineStr"/>
      <c r="D112" s="5" t="inlineStr">
        <is>
          <t>Kings Cross Continental Stores</t>
        </is>
      </c>
      <c r="E112" s="5" t="inlineStr">
        <is>
          <t>Convenience Store</t>
        </is>
      </c>
      <c r="F112" s="5" t="inlineStr">
        <is>
          <t>Convenience &amp; off-licence</t>
        </is>
      </c>
      <c r="G112" s="5" t="inlineStr">
        <is>
          <t>Independent</t>
        </is>
      </c>
      <c r="H112" s="5" t="inlineStr">
        <is>
          <t>1</t>
        </is>
      </c>
      <c r="I112" s="5" t="inlineStr">
        <is>
          <t>26 Caledonian Road</t>
        </is>
      </c>
      <c r="J112" s="5" t="inlineStr">
        <is>
          <t>London</t>
        </is>
      </c>
      <c r="K112" s="5" t="inlineStr"/>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https://islington.moderngov.co.uk/documents/s38601/Kings%20Cross%20Continental%20Stores%2026%20Caledonian%20Road.pdf</t>
        </is>
      </c>
    </row>
    <row r="113">
      <c r="A113" s="10" t="inlineStr">
        <is>
          <t>UK-000621</t>
        </is>
      </c>
      <c r="B113" s="10" t="inlineStr">
        <is>
          <t>UK-000621-01</t>
        </is>
      </c>
      <c r="C113" s="10" t="inlineStr"/>
      <c r="D113" s="10" t="inlineStr">
        <is>
          <t>Kings Cross Food &amp; Wine</t>
        </is>
      </c>
      <c r="E113" s="10" t="inlineStr">
        <is>
          <t>Convenience Store</t>
        </is>
      </c>
      <c r="F113" s="10" t="inlineStr">
        <is>
          <t>Convenience &amp; off-licence</t>
        </is>
      </c>
      <c r="G113" s="10" t="inlineStr">
        <is>
          <t>Independent</t>
        </is>
      </c>
      <c r="H113" s="10" t="inlineStr">
        <is>
          <t>1</t>
        </is>
      </c>
      <c r="I113" s="10" t="inlineStr"/>
      <c r="J113" s="10" t="inlineStr">
        <is>
          <t>London</t>
        </is>
      </c>
      <c r="K113" s="10" t="inlineStr"/>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https://www.yell.com/biz/kings-cross-food-and-wine-london-7949028/</t>
        </is>
      </c>
    </row>
    <row r="114">
      <c r="A114" s="5" t="inlineStr">
        <is>
          <t>UK-000624</t>
        </is>
      </c>
      <c r="B114" s="5" t="inlineStr">
        <is>
          <t>UK-000624-01</t>
        </is>
      </c>
      <c r="C114" s="5" t="inlineStr"/>
      <c r="D114" s="5" t="inlineStr">
        <is>
          <t>Knights Express</t>
        </is>
      </c>
      <c r="E114" s="5" t="inlineStr">
        <is>
          <t>Convenience Store</t>
        </is>
      </c>
      <c r="F114" s="5" t="inlineStr"/>
      <c r="G114" s="5" t="inlineStr">
        <is>
          <t>Independent</t>
        </is>
      </c>
      <c r="H114" s="5" t="inlineStr">
        <is>
          <t>1</t>
        </is>
      </c>
      <c r="I114" s="5" t="inlineStr">
        <is>
          <t>237 Mitcham Road</t>
        </is>
      </c>
      <c r="J114" s="5" t="inlineStr">
        <is>
          <t>London</t>
        </is>
      </c>
      <c r="K114" s="5" t="inlineStr">
        <is>
          <t>SW17 9JG</t>
        </is>
      </c>
      <c r="L114" s="5" t="inlineStr">
        <is>
          <t>020 8947 3299</t>
        </is>
      </c>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Verified directory</t>
        </is>
      </c>
      <c r="Y114" s="5" t="inlineStr">
        <is>
          <t>Not Found</t>
        </is>
      </c>
      <c r="Z114" s="5" t="inlineStr">
        <is>
          <t>Medium</t>
        </is>
      </c>
      <c r="AA114" s="5" t="inlineStr">
        <is>
          <t>Requires Verification</t>
        </is>
      </c>
      <c r="AB114" s="5" t="inlineStr">
        <is>
          <t>https://www.yell.com/s/off+licences-tooting-south+west+london.html</t>
        </is>
      </c>
    </row>
    <row r="115">
      <c r="A115" s="10" t="inlineStr">
        <is>
          <t>WY-0107</t>
        </is>
      </c>
      <c r="B115" s="10" t="inlineStr">
        <is>
          <t>WY-0107-01</t>
        </is>
      </c>
      <c r="C115" s="10" t="inlineStr"/>
      <c r="D115" s="10" t="inlineStr">
        <is>
          <t>Kubus International Food</t>
        </is>
      </c>
      <c r="E115" s="10" t="inlineStr">
        <is>
          <t>Convenience Store</t>
        </is>
      </c>
      <c r="F115" s="10" t="inlineStr">
        <is>
          <t>International / Eastern European grocery and convenience</t>
        </is>
      </c>
      <c r="G115" s="10" t="inlineStr">
        <is>
          <t>Independent</t>
        </is>
      </c>
      <c r="H115" s="10" t="inlineStr">
        <is>
          <t>1</t>
        </is>
      </c>
      <c r="I115" s="10" t="inlineStr">
        <is>
          <t>86 Kirkgate</t>
        </is>
      </c>
      <c r="J115" s="10" t="inlineStr">
        <is>
          <t>Wakefield</t>
        </is>
      </c>
      <c r="K115" s="10" t="inlineStr"/>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https://www.yorkshire.com/wakefield/shopping/corner-shops/kubus-international-food</t>
        </is>
      </c>
    </row>
    <row r="116">
      <c r="A116" s="5" t="inlineStr">
        <is>
          <t>UK-000628</t>
        </is>
      </c>
      <c r="B116" s="5" t="inlineStr">
        <is>
          <t>UK-000628-01</t>
        </is>
      </c>
      <c r="C116" s="5" t="inlineStr"/>
      <c r="D116" s="5" t="inlineStr">
        <is>
          <t>Leyton Food</t>
        </is>
      </c>
      <c r="E116" s="5" t="inlineStr">
        <is>
          <t>Convenience Store</t>
        </is>
      </c>
      <c r="F116" s="5" t="inlineStr">
        <is>
          <t>Convenience &amp; grocery</t>
        </is>
      </c>
      <c r="G116" s="5" t="inlineStr">
        <is>
          <t>Independent</t>
        </is>
      </c>
      <c r="H116" s="5" t="inlineStr">
        <is>
          <t>1</t>
        </is>
      </c>
      <c r="I116" s="5" t="inlineStr">
        <is>
          <t>124 High Road Leyton</t>
        </is>
      </c>
      <c r="J116" s="5" t="inlineStr">
        <is>
          <t>Leyton</t>
        </is>
      </c>
      <c r="K116" s="5" t="inlineStr">
        <is>
          <t>E15 2BX</t>
        </is>
      </c>
      <c r="L116" s="5" t="inlineStr"/>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Not Found</t>
        </is>
      </c>
      <c r="Y116" s="5" t="inlineStr">
        <is>
          <t>Not Found</t>
        </is>
      </c>
      <c r="Z116" s="5" t="inlineStr">
        <is>
          <t>Low</t>
        </is>
      </c>
      <c r="AA116" s="5" t="inlineStr">
        <is>
          <t>Requires Verification</t>
        </is>
      </c>
      <c r="AB116" s="5" t="inlineStr">
        <is>
          <t>https://www.yell.com/s/vape+shops-stratford-east+london.html</t>
        </is>
      </c>
    </row>
    <row r="117">
      <c r="A117" s="10" t="inlineStr">
        <is>
          <t>WY-0111</t>
        </is>
      </c>
      <c r="B117" s="10" t="inlineStr">
        <is>
          <t>WY-0111-01</t>
        </is>
      </c>
      <c r="C117" s="10" t="inlineStr"/>
      <c r="D117" s="10" t="inlineStr">
        <is>
          <t>Local Convenience Store (Elsinore Avenue)</t>
        </is>
      </c>
      <c r="E117" s="10" t="inlineStr">
        <is>
          <t>Convenience Store</t>
        </is>
      </c>
      <c r="F117" s="10" t="inlineStr"/>
      <c r="G117" s="10" t="inlineStr">
        <is>
          <t>Independent</t>
        </is>
      </c>
      <c r="H117" s="10" t="inlineStr">
        <is>
          <t>1</t>
        </is>
      </c>
      <c r="I117" s="10" t="inlineStr">
        <is>
          <t>12 Elsinore Avenue</t>
        </is>
      </c>
      <c r="J117" s="10" t="inlineStr">
        <is>
          <t>Elland</t>
        </is>
      </c>
      <c r="K117" s="10" t="inlineStr">
        <is>
          <t>HX5 0LT</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https://www.yorkshire.com/elland/shopping/corner-shops</t>
        </is>
      </c>
    </row>
    <row r="118">
      <c r="A118" s="5" t="inlineStr">
        <is>
          <t>WY-0113</t>
        </is>
      </c>
      <c r="B118" s="5" t="inlineStr">
        <is>
          <t>WY-0113-01</t>
        </is>
      </c>
      <c r="C118" s="5" t="inlineStr"/>
      <c r="D118" s="5" t="inlineStr">
        <is>
          <t>Londis Normanton (313 Castleford Road)</t>
        </is>
      </c>
      <c r="E118" s="5" t="inlineStr">
        <is>
          <t>Convenience Store</t>
        </is>
      </c>
      <c r="F118" s="5" t="inlineStr">
        <is>
          <t>Convenience store with off-licence</t>
        </is>
      </c>
      <c r="G118" s="5" t="inlineStr">
        <is>
          <t>Franchise / Symbol Group</t>
        </is>
      </c>
      <c r="H118" s="5" t="inlineStr">
        <is>
          <t>1</t>
        </is>
      </c>
      <c r="I118" s="5" t="inlineStr">
        <is>
          <t>313 Castleford Road</t>
        </is>
      </c>
      <c r="J118" s="5" t="inlineStr">
        <is>
          <t>Normanton</t>
        </is>
      </c>
      <c r="K118" s="5" t="inlineStr">
        <is>
          <t>WF6 2HL</t>
        </is>
      </c>
      <c r="L118" s="5" t="inlineStr">
        <is>
          <t>01924 892113</t>
        </is>
      </c>
      <c r="M118" s="5" t="inlineStr"/>
      <c r="N118" s="5" t="inlineStr"/>
      <c r="O118" s="5" t="inlineStr">
        <is>
          <t>https://www.londis.co.uk/our-stores/londis-normanton</t>
        </is>
      </c>
      <c r="P118" s="5" t="inlineStr"/>
      <c r="Q118" s="5" t="inlineStr"/>
      <c r="R118" s="5" t="inlineStr"/>
      <c r="S118" s="5" t="inlineStr"/>
      <c r="T118" s="5" t="inlineStr"/>
      <c r="U118" s="5" t="inlineStr"/>
      <c r="V118" s="5" t="inlineStr">
        <is>
          <t>Medium</t>
        </is>
      </c>
      <c r="W118" s="5" t="inlineStr">
        <is>
          <t>Independent retailer; Relevant category; Active website; Phone verified on official website</t>
        </is>
      </c>
      <c r="X118" s="5" t="inlineStr">
        <is>
          <t>Verified on official website</t>
        </is>
      </c>
      <c r="Y118" s="5" t="inlineStr">
        <is>
          <t>Not Found</t>
        </is>
      </c>
      <c r="Z118" s="5" t="inlineStr">
        <is>
          <t>Medium</t>
        </is>
      </c>
      <c r="AA118" s="5" t="inlineStr">
        <is>
          <t>Requires Verification</t>
        </is>
      </c>
      <c r="AB118" s="5" t="inlineStr">
        <is>
          <t>https://www.londis.co.uk/our-stores/londis-normanton</t>
        </is>
      </c>
    </row>
    <row r="119">
      <c r="A119" s="10" t="inlineStr">
        <is>
          <t>WY-0114</t>
        </is>
      </c>
      <c r="B119" s="10" t="inlineStr">
        <is>
          <t>WY-0114-01</t>
        </is>
      </c>
      <c r="C119" s="10" t="inlineStr"/>
      <c r="D119" s="10" t="inlineStr">
        <is>
          <t>Londis Normanton (Castleford Road, WF6 2DW)</t>
        </is>
      </c>
      <c r="E119" s="10" t="inlineStr">
        <is>
          <t>Convenience Store</t>
        </is>
      </c>
      <c r="F119" s="10" t="inlineStr">
        <is>
          <t>Convenience store with off-licence</t>
        </is>
      </c>
      <c r="G119" s="10" t="inlineStr">
        <is>
          <t>Franchise / Symbol Group</t>
        </is>
      </c>
      <c r="H119" s="10" t="inlineStr">
        <is>
          <t>1</t>
        </is>
      </c>
      <c r="I119" s="10" t="inlineStr">
        <is>
          <t>Castleford Road</t>
        </is>
      </c>
      <c r="J119" s="10" t="inlineStr">
        <is>
          <t>Normanton</t>
        </is>
      </c>
      <c r="K119" s="10" t="inlineStr">
        <is>
          <t>WF6 2DW</t>
        </is>
      </c>
      <c r="L119" s="10" t="inlineStr">
        <is>
          <t>01924 890438</t>
        </is>
      </c>
      <c r="M119" s="10" t="inlineStr"/>
      <c r="N119" s="10" t="inlineStr"/>
      <c r="O119" s="10" t="inlineStr">
        <is>
          <t>https://www.londis.co.uk/our-stores/normanton</t>
        </is>
      </c>
      <c r="P119" s="10" t="inlineStr"/>
      <c r="Q119" s="10" t="inlineStr"/>
      <c r="R119" s="10" t="inlineStr"/>
      <c r="S119" s="10" t="inlineStr"/>
      <c r="T119" s="10" t="inlineStr"/>
      <c r="U119" s="10" t="inlineStr"/>
      <c r="V119" s="10" t="inlineStr">
        <is>
          <t>Medium</t>
        </is>
      </c>
      <c r="W119" s="10" t="inlineStr">
        <is>
          <t>Independent retailer; Relevant category; Active website; Phone verified on official website</t>
        </is>
      </c>
      <c r="X119" s="10" t="inlineStr">
        <is>
          <t>Verified on official website</t>
        </is>
      </c>
      <c r="Y119" s="10" t="inlineStr">
        <is>
          <t>Not Found</t>
        </is>
      </c>
      <c r="Z119" s="10" t="inlineStr">
        <is>
          <t>Medium</t>
        </is>
      </c>
      <c r="AA119" s="10" t="inlineStr">
        <is>
          <t>Requires Verification</t>
        </is>
      </c>
      <c r="AB119" s="10" t="inlineStr">
        <is>
          <t>https://www.londis.co.uk/our-stores/normanton</t>
        </is>
      </c>
    </row>
    <row r="120">
      <c r="A120" s="5" t="inlineStr">
        <is>
          <t>WY-0115</t>
        </is>
      </c>
      <c r="B120" s="5" t="inlineStr">
        <is>
          <t>WY-0115-01</t>
        </is>
      </c>
      <c r="C120" s="5" t="inlineStr"/>
      <c r="D120" s="5" t="inlineStr">
        <is>
          <t>Londis Ravensthorpe</t>
        </is>
      </c>
      <c r="E120" s="5" t="inlineStr">
        <is>
          <t>Convenience Store</t>
        </is>
      </c>
      <c r="F120" s="5" t="inlineStr">
        <is>
          <t>Londis symbol group convenience store</t>
        </is>
      </c>
      <c r="G120" s="5" t="inlineStr">
        <is>
          <t>Franchise / Symbol Group</t>
        </is>
      </c>
      <c r="H120" s="5" t="inlineStr">
        <is>
          <t>1</t>
        </is>
      </c>
      <c r="I120" s="5" t="inlineStr"/>
      <c r="J120" s="5" t="inlineStr">
        <is>
          <t>Dewsbury</t>
        </is>
      </c>
      <c r="K120" s="5" t="inlineStr">
        <is>
          <t>WF13 3JE</t>
        </is>
      </c>
      <c r="L120" s="5" t="inlineStr">
        <is>
          <t>01924 461300</t>
        </is>
      </c>
      <c r="M120" s="5" t="inlineStr"/>
      <c r="N120" s="5" t="inlineStr"/>
      <c r="O120" s="5" t="inlineStr">
        <is>
          <t>https://www.londis.co.uk/our-stores/londis-ravensthorpe</t>
        </is>
      </c>
      <c r="P120" s="5" t="inlineStr"/>
      <c r="Q120" s="5" t="inlineStr"/>
      <c r="R120" s="5" t="inlineStr"/>
      <c r="S120" s="5" t="inlineStr"/>
      <c r="T120" s="5" t="inlineStr"/>
      <c r="U120" s="5" t="inlineStr"/>
      <c r="V120" s="5" t="inlineStr">
        <is>
          <t>Medium</t>
        </is>
      </c>
      <c r="W120" s="5" t="inlineStr">
        <is>
          <t>Independent retailer; Relevant category; Active website</t>
        </is>
      </c>
      <c r="X120" s="5" t="inlineStr">
        <is>
          <t>Verified directory</t>
        </is>
      </c>
      <c r="Y120" s="5" t="inlineStr">
        <is>
          <t>Not Found</t>
        </is>
      </c>
      <c r="Z120" s="5" t="inlineStr">
        <is>
          <t>Medium</t>
        </is>
      </c>
      <c r="AA120" s="5" t="inlineStr">
        <is>
          <t>Requires Verification</t>
        </is>
      </c>
      <c r="AB120" s="5" t="inlineStr">
        <is>
          <t>https://www.londis.co.uk/our-stores/londis-ravensthorpe</t>
        </is>
      </c>
    </row>
    <row r="121">
      <c r="A121" s="10" t="inlineStr">
        <is>
          <t>WY-0116</t>
        </is>
      </c>
      <c r="B121" s="10" t="inlineStr">
        <is>
          <t>WY-0116-01</t>
        </is>
      </c>
      <c r="C121" s="10" t="inlineStr"/>
      <c r="D121" s="10" t="inlineStr">
        <is>
          <t>Low Lane Convenience Store (Premier)</t>
        </is>
      </c>
      <c r="E121" s="10" t="inlineStr">
        <is>
          <t>Convenience Store</t>
        </is>
      </c>
      <c r="F121" s="10" t="inlineStr">
        <is>
          <t>Premier symbol group convenience store</t>
        </is>
      </c>
      <c r="G121" s="10" t="inlineStr">
        <is>
          <t>Franchise / Symbol Group</t>
        </is>
      </c>
      <c r="H121" s="10" t="inlineStr">
        <is>
          <t>1</t>
        </is>
      </c>
      <c r="I121" s="10" t="inlineStr">
        <is>
          <t>6 Low Lane</t>
        </is>
      </c>
      <c r="J121" s="10" t="inlineStr">
        <is>
          <t>Batley</t>
        </is>
      </c>
      <c r="K121" s="10" t="inlineStr">
        <is>
          <t>WF17 9EY</t>
        </is>
      </c>
      <c r="L121" s="10" t="inlineStr"/>
      <c r="M121" s="10" t="inlineStr"/>
      <c r="N121" s="10" t="inlineStr"/>
      <c r="O121" s="10" t="inlineStr">
        <is>
          <t>https://www.premier-stores.co.uk/our-stores/low-lane-convenience-store</t>
        </is>
      </c>
      <c r="P121" s="10" t="inlineStr"/>
      <c r="Q121" s="10" t="inlineStr"/>
      <c r="R121" s="10" t="inlineStr"/>
      <c r="S121" s="10" t="inlineStr"/>
      <c r="T121" s="10" t="inlineStr"/>
      <c r="U121" s="10" t="inlineStr"/>
      <c r="V121" s="10" t="inlineStr">
        <is>
          <t>Medium</t>
        </is>
      </c>
      <c r="W121" s="10" t="inlineStr">
        <is>
          <t>Independent retailer; Relevant category; Active website</t>
        </is>
      </c>
      <c r="X121" s="10" t="inlineStr">
        <is>
          <t>Not Found</t>
        </is>
      </c>
      <c r="Y121" s="10" t="inlineStr">
        <is>
          <t>Not Found</t>
        </is>
      </c>
      <c r="Z121" s="10" t="inlineStr">
        <is>
          <t>Medium</t>
        </is>
      </c>
      <c r="AA121" s="10" t="inlineStr">
        <is>
          <t>Requires Verification</t>
        </is>
      </c>
      <c r="AB121" s="10" t="inlineStr">
        <is>
          <t>https://www.premier-stores.co.uk/our-stores/low-lane-convenience-store</t>
        </is>
      </c>
    </row>
    <row r="122">
      <c r="A122" s="5" t="inlineStr">
        <is>
          <t>WY-0117</t>
        </is>
      </c>
      <c r="B122" s="5" t="inlineStr">
        <is>
          <t>WY-0117-01</t>
        </is>
      </c>
      <c r="C122" s="5" t="inlineStr"/>
      <c r="D122" s="5" t="inlineStr">
        <is>
          <t>Mace News &amp; Off Licence</t>
        </is>
      </c>
      <c r="E122" s="5" t="inlineStr">
        <is>
          <t>Newsagent</t>
        </is>
      </c>
      <c r="F122" s="5" t="inlineStr">
        <is>
          <t>Newsagent with off-licence</t>
        </is>
      </c>
      <c r="G122" s="5" t="inlineStr">
        <is>
          <t>Franchise / Symbol Group</t>
        </is>
      </c>
      <c r="H122" s="5" t="inlineStr">
        <is>
          <t>1</t>
        </is>
      </c>
      <c r="I122" s="5" t="inlineStr">
        <is>
          <t>Otley Road</t>
        </is>
      </c>
      <c r="J122" s="5" t="inlineStr">
        <is>
          <t>Shipley</t>
        </is>
      </c>
      <c r="K122" s="5" t="inlineStr"/>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https://www.yorkshire.com/shipley/shopping/off-license/mace-news-off-licence</t>
        </is>
      </c>
    </row>
    <row r="123">
      <c r="A123" s="10" t="inlineStr">
        <is>
          <t>UK-000492</t>
        </is>
      </c>
      <c r="B123" s="10" t="inlineStr">
        <is>
          <t>UK-000492-01</t>
        </is>
      </c>
      <c r="C123" s="10" t="inlineStr"/>
      <c r="D123" s="10" t="inlineStr">
        <is>
          <t>Malvern Convenience Store</t>
        </is>
      </c>
      <c r="E123" s="10" t="inlineStr">
        <is>
          <t>Convenience Store</t>
        </is>
      </c>
      <c r="F123" s="10" t="inlineStr">
        <is>
          <t>Convenience store</t>
        </is>
      </c>
      <c r="G123" s="10" t="inlineStr">
        <is>
          <t>Independent</t>
        </is>
      </c>
      <c r="H123" s="10" t="inlineStr">
        <is>
          <t>1</t>
        </is>
      </c>
      <c r="I123" s="10" t="inlineStr">
        <is>
          <t>22 Yardley Road</t>
        </is>
      </c>
      <c r="J123" s="10" t="inlineStr">
        <is>
          <t>Birmingham</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https://www.yelp.com/biz/malvern-convenience-store-birmingham</t>
        </is>
      </c>
    </row>
    <row r="124">
      <c r="A124" s="5" t="inlineStr">
        <is>
          <t>UK-000370</t>
        </is>
      </c>
      <c r="B124" s="5" t="inlineStr">
        <is>
          <t>UK-000370-01</t>
        </is>
      </c>
      <c r="C124" s="5" t="inlineStr"/>
      <c r="D124" s="5" t="inlineStr">
        <is>
          <t>Marple Bridge Stores</t>
        </is>
      </c>
      <c r="E124" s="5" t="inlineStr">
        <is>
          <t>Newsagent</t>
        </is>
      </c>
      <c r="F124" s="5" t="inlineStr">
        <is>
          <t>Newsagent &amp; convenience</t>
        </is>
      </c>
      <c r="G124" s="5" t="inlineStr">
        <is>
          <t>Independent</t>
        </is>
      </c>
      <c r="H124" s="5" t="inlineStr">
        <is>
          <t>1</t>
        </is>
      </c>
      <c r="I124" s="5" t="inlineStr">
        <is>
          <t>14-16 Town Street</t>
        </is>
      </c>
      <c r="J124" s="5" t="inlineStr">
        <is>
          <t>Marple</t>
        </is>
      </c>
      <c r="K124" s="5" t="inlineStr">
        <is>
          <t>SK6 5AA</t>
        </is>
      </c>
      <c r="L124" s="5" t="inlineStr">
        <is>
          <t>0161 427 2046</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Medium</t>
        </is>
      </c>
      <c r="AA124" s="5" t="inlineStr">
        <is>
          <t>Requires Verification</t>
        </is>
      </c>
      <c r="AB124" s="5" t="inlineStr">
        <is>
          <t>https://www.mynewsagent.co.uk/16218/</t>
        </is>
      </c>
    </row>
    <row r="125">
      <c r="A125" s="10" t="inlineStr">
        <is>
          <t>UK-000371</t>
        </is>
      </c>
      <c r="B125" s="10" t="inlineStr">
        <is>
          <t>UK-000371-01</t>
        </is>
      </c>
      <c r="C125" s="10" t="inlineStr"/>
      <c r="D125" s="10" t="inlineStr">
        <is>
          <t>Marple News</t>
        </is>
      </c>
      <c r="E125" s="10" t="inlineStr">
        <is>
          <t>Newsagent</t>
        </is>
      </c>
      <c r="F125" s="10" t="inlineStr"/>
      <c r="G125" s="10" t="inlineStr">
        <is>
          <t>Independent</t>
        </is>
      </c>
      <c r="H125" s="10" t="inlineStr">
        <is>
          <t>1</t>
        </is>
      </c>
      <c r="I125" s="10" t="inlineStr">
        <is>
          <t>132 Stockport Road</t>
        </is>
      </c>
      <c r="J125" s="10" t="inlineStr">
        <is>
          <t>Marple</t>
        </is>
      </c>
      <c r="K125" s="10" t="inlineStr">
        <is>
          <t>SK6 6DQ</t>
        </is>
      </c>
      <c r="L125" s="10" t="inlineStr">
        <is>
          <t>0161 427 7493</t>
        </is>
      </c>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Verified directory</t>
        </is>
      </c>
      <c r="Y125" s="10" t="inlineStr">
        <is>
          <t>Not Found</t>
        </is>
      </c>
      <c r="Z125" s="10" t="inlineStr">
        <is>
          <t>Medium</t>
        </is>
      </c>
      <c r="AA125" s="10" t="inlineStr">
        <is>
          <t>Requires Verification</t>
        </is>
      </c>
      <c r="AB125" s="10" t="inlineStr">
        <is>
          <t>https://www.mynewsagent.co.uk/16222/</t>
        </is>
      </c>
    </row>
    <row r="126">
      <c r="A126" s="5" t="inlineStr">
        <is>
          <t>UK-000633</t>
        </is>
      </c>
      <c r="B126" s="5" t="inlineStr">
        <is>
          <t>UK-000633-01</t>
        </is>
      </c>
      <c r="C126" s="5" t="inlineStr"/>
      <c r="D126" s="5" t="inlineStr">
        <is>
          <t>Marylebone News</t>
        </is>
      </c>
      <c r="E126" s="5" t="inlineStr">
        <is>
          <t>Newsagent</t>
        </is>
      </c>
      <c r="F126" s="5" t="inlineStr">
        <is>
          <t>Newsagent &amp; convenience</t>
        </is>
      </c>
      <c r="G126" s="5" t="inlineStr">
        <is>
          <t>Independent</t>
        </is>
      </c>
      <c r="H126" s="5" t="inlineStr">
        <is>
          <t>1</t>
        </is>
      </c>
      <c r="I126" s="5" t="inlineStr">
        <is>
          <t>47 Marylebone High Street</t>
        </is>
      </c>
      <c r="J126" s="5" t="inlineStr">
        <is>
          <t>London</t>
        </is>
      </c>
      <c r="K126" s="5" t="inlineStr">
        <is>
          <t>W1U 5HH</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https://www.yell.com/biz/marylebone-news-london-10688888/</t>
        </is>
      </c>
    </row>
    <row r="127">
      <c r="A127" s="10" t="inlineStr">
        <is>
          <t>WY-0119</t>
        </is>
      </c>
      <c r="B127" s="10" t="inlineStr">
        <is>
          <t>WY-0119-01</t>
        </is>
      </c>
      <c r="C127" s="10" t="inlineStr"/>
      <c r="D127" s="10" t="inlineStr">
        <is>
          <t>Matharu Newsagents</t>
        </is>
      </c>
      <c r="E127" s="10" t="inlineStr">
        <is>
          <t>Newsagent</t>
        </is>
      </c>
      <c r="F127" s="10" t="inlineStr"/>
      <c r="G127" s="10" t="inlineStr">
        <is>
          <t>Independent</t>
        </is>
      </c>
      <c r="H127" s="10" t="inlineStr">
        <is>
          <t>1</t>
        </is>
      </c>
      <c r="I127" s="10" t="inlineStr">
        <is>
          <t>46 Monk Bridge Road</t>
        </is>
      </c>
      <c r="J127" s="10" t="inlineStr">
        <is>
          <t>Leeds</t>
        </is>
      </c>
      <c r="K127" s="10" t="inlineStr">
        <is>
          <t>LS6 4ER</t>
        </is>
      </c>
      <c r="L127" s="10" t="inlineStr">
        <is>
          <t>0113 275 1851</t>
        </is>
      </c>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Verified directory</t>
        </is>
      </c>
      <c r="Y127" s="10" t="inlineStr">
        <is>
          <t>Not Found</t>
        </is>
      </c>
      <c r="Z127" s="10" t="inlineStr">
        <is>
          <t>Medium</t>
        </is>
      </c>
      <c r="AA127" s="10" t="inlineStr">
        <is>
          <t>Requires Verification</t>
        </is>
      </c>
      <c r="AB127" s="10" t="inlineStr">
        <is>
          <t>https://findit.yorkshireeveningpost.co.uk/search/leeds/newsagent</t>
        </is>
      </c>
    </row>
    <row r="128">
      <c r="A128" s="5" t="inlineStr">
        <is>
          <t>WY-0120</t>
        </is>
      </c>
      <c r="B128" s="5" t="inlineStr">
        <is>
          <t>WY-0120-01</t>
        </is>
      </c>
      <c r="C128" s="5" t="inlineStr"/>
      <c r="D128" s="5" t="inlineStr">
        <is>
          <t>Meltham Convenience Store</t>
        </is>
      </c>
      <c r="E128" s="5" t="inlineStr">
        <is>
          <t>Convenience Store</t>
        </is>
      </c>
      <c r="F128" s="5" t="inlineStr">
        <is>
          <t>Convenience store and off-licence</t>
        </is>
      </c>
      <c r="G128" s="5" t="inlineStr">
        <is>
          <t>Independent</t>
        </is>
      </c>
      <c r="H128" s="5" t="inlineStr">
        <is>
          <t>1</t>
        </is>
      </c>
      <c r="I128" s="5" t="inlineStr">
        <is>
          <t>30 Meltham Mills Road</t>
        </is>
      </c>
      <c r="J128" s="5" t="inlineStr">
        <is>
          <t>Meltham</t>
        </is>
      </c>
      <c r="K128" s="5" t="inlineStr">
        <is>
          <t>HD9 4EJ</t>
        </is>
      </c>
      <c r="L128" s="5" t="inlineStr">
        <is>
          <t>01484 618211</t>
        </is>
      </c>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Verified directory</t>
        </is>
      </c>
      <c r="Y128" s="5" t="inlineStr">
        <is>
          <t>Not Found</t>
        </is>
      </c>
      <c r="Z128" s="5" t="inlineStr">
        <is>
          <t>Medium</t>
        </is>
      </c>
      <c r="AA128" s="5" t="inlineStr">
        <is>
          <t>Requires Verification</t>
        </is>
      </c>
      <c r="AB128" s="5" t="inlineStr">
        <is>
          <t>https://www.yell.com/biz/meltham-convenience-store-holmfirth-9079746/</t>
        </is>
      </c>
    </row>
    <row r="129">
      <c r="A129" s="10" t="inlineStr">
        <is>
          <t>UK-000801</t>
        </is>
      </c>
      <c r="B129" s="10" t="inlineStr">
        <is>
          <t>UK-000801-01</t>
        </is>
      </c>
      <c r="C129" s="10" t="inlineStr"/>
      <c r="D129" s="10" t="inlineStr">
        <is>
          <t>Mick's Convenience Store</t>
        </is>
      </c>
      <c r="E129" s="10" t="inlineStr">
        <is>
          <t>Convenience Store</t>
        </is>
      </c>
      <c r="F129" s="10" t="inlineStr">
        <is>
          <t>Grocer &amp; convenience store</t>
        </is>
      </c>
      <c r="G129" s="10" t="inlineStr">
        <is>
          <t>Independent</t>
        </is>
      </c>
      <c r="H129" s="10" t="inlineStr">
        <is>
          <t>1</t>
        </is>
      </c>
      <c r="I129" s="10" t="inlineStr">
        <is>
          <t>203 Strand Road</t>
        </is>
      </c>
      <c r="J129" s="10" t="inlineStr">
        <is>
          <t>Bootle</t>
        </is>
      </c>
      <c r="K129" s="10" t="inlineStr">
        <is>
          <t>L20 3HJ</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https://www.yell.com/biz/mick-s-convenience-store-bootle-10203737/</t>
        </is>
      </c>
    </row>
    <row r="130">
      <c r="A130" s="5" t="inlineStr">
        <is>
          <t>UK-000635</t>
        </is>
      </c>
      <c r="B130" s="5" t="inlineStr">
        <is>
          <t>UK-000635-01</t>
        </is>
      </c>
      <c r="C130" s="5" t="inlineStr"/>
      <c r="D130" s="5" t="inlineStr">
        <is>
          <t>Mina Stores</t>
        </is>
      </c>
      <c r="E130" s="5" t="inlineStr">
        <is>
          <t>Convenience Store</t>
        </is>
      </c>
      <c r="F130" s="5" t="inlineStr">
        <is>
          <t>Convenience &amp; world-food grocery</t>
        </is>
      </c>
      <c r="G130" s="5" t="inlineStr">
        <is>
          <t>Independent</t>
        </is>
      </c>
      <c r="H130" s="5" t="inlineStr">
        <is>
          <t>1</t>
        </is>
      </c>
      <c r="I130" s="5" t="inlineStr">
        <is>
          <t>274 Green Street</t>
        </is>
      </c>
      <c r="J130" s="5" t="inlineStr">
        <is>
          <t>Forest Gate</t>
        </is>
      </c>
      <c r="K130" s="5" t="inlineStr">
        <is>
          <t>E7 8LF</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Low</t>
        </is>
      </c>
      <c r="AA130" s="5" t="inlineStr">
        <is>
          <t>Requires Verification</t>
        </is>
      </c>
      <c r="AB130" s="5" t="inlineStr">
        <is>
          <t>https://london.cylex-uk.co.uk/upton-park/grocery%20stores.html</t>
        </is>
      </c>
    </row>
    <row r="131">
      <c r="A131" s="10" t="inlineStr">
        <is>
          <t>UK-000493</t>
        </is>
      </c>
      <c r="B131" s="10" t="inlineStr">
        <is>
          <t>UK-000493-01</t>
        </is>
      </c>
      <c r="C131" s="10" t="inlineStr"/>
      <c r="D131" s="10" t="inlineStr">
        <is>
          <t>Mini-Stop Express</t>
        </is>
      </c>
      <c r="E131" s="10" t="inlineStr">
        <is>
          <t>Convenience Store</t>
        </is>
      </c>
      <c r="F131" s="10" t="inlineStr">
        <is>
          <t>Convenience store &amp; off-licence</t>
        </is>
      </c>
      <c r="G131" s="10" t="inlineStr">
        <is>
          <t>Independent</t>
        </is>
      </c>
      <c r="H131" s="10" t="inlineStr">
        <is>
          <t>1</t>
        </is>
      </c>
      <c r="I131" s="10" t="inlineStr">
        <is>
          <t>515 Hagley Road</t>
        </is>
      </c>
      <c r="J131" s="10" t="inlineStr">
        <is>
          <t>Smethwick</t>
        </is>
      </c>
      <c r="K131" s="10" t="inlineStr">
        <is>
          <t>B66 4AX</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Medium</t>
        </is>
      </c>
      <c r="AA131" s="10" t="inlineStr">
        <is>
          <t>Requires Verification</t>
        </is>
      </c>
      <c r="AB131" s="10" t="inlineStr">
        <is>
          <t>https://www.yell.com/s/off+licences-bearwood.html</t>
        </is>
      </c>
    </row>
    <row r="132">
      <c r="A132" s="5" t="inlineStr">
        <is>
          <t>WY-0122</t>
        </is>
      </c>
      <c r="B132" s="5" t="inlineStr">
        <is>
          <t>WY-0122-01</t>
        </is>
      </c>
      <c r="C132" s="5" t="inlineStr"/>
      <c r="D132" s="5" t="inlineStr">
        <is>
          <t>Mount Pellon Newsagent</t>
        </is>
      </c>
      <c r="E132" s="5" t="inlineStr">
        <is>
          <t>Newsagent</t>
        </is>
      </c>
      <c r="F132" s="5" t="inlineStr">
        <is>
          <t>Corner shop newsagent with Royal Mail parcel services</t>
        </is>
      </c>
      <c r="G132" s="5" t="inlineStr">
        <is>
          <t>Independent</t>
        </is>
      </c>
      <c r="H132" s="5" t="inlineStr">
        <is>
          <t>1</t>
        </is>
      </c>
      <c r="I132" s="5" t="inlineStr">
        <is>
          <t>Cross Street West</t>
        </is>
      </c>
      <c r="J132" s="5" t="inlineStr">
        <is>
          <t>Halifax</t>
        </is>
      </c>
      <c r="K132" s="5" t="inlineStr">
        <is>
          <t>HX2 0HA</t>
        </is>
      </c>
      <c r="L132" s="5" t="inlineStr">
        <is>
          <t>01422 361609</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Medium</t>
        </is>
      </c>
      <c r="AA132" s="5" t="inlineStr">
        <is>
          <t>Requires Verification</t>
        </is>
      </c>
      <c r="AB132" s="5" t="inlineStr">
        <is>
          <t>https://www.misterwhat.co.uk/company/573371-mount-pellon-newsagent-halifax</t>
        </is>
      </c>
    </row>
    <row r="133">
      <c r="A133" s="10" t="inlineStr">
        <is>
          <t>UK-000637</t>
        </is>
      </c>
      <c r="B133" s="10" t="inlineStr">
        <is>
          <t>UK-000637-01</t>
        </is>
      </c>
      <c r="C133" s="10" t="inlineStr"/>
      <c r="D133" s="10" t="inlineStr">
        <is>
          <t>Mount Superstore</t>
        </is>
      </c>
      <c r="E133" s="10" t="inlineStr">
        <is>
          <t>Convenience Store</t>
        </is>
      </c>
      <c r="F133" s="10" t="inlineStr">
        <is>
          <t>Convenience store / newsagent</t>
        </is>
      </c>
      <c r="G133" s="10" t="inlineStr">
        <is>
          <t>Independent</t>
        </is>
      </c>
      <c r="H133" s="10" t="inlineStr">
        <is>
          <t>1</t>
        </is>
      </c>
      <c r="I133" s="10" t="inlineStr">
        <is>
          <t>1 Market Parade</t>
        </is>
      </c>
      <c r="J133" s="10" t="inlineStr">
        <is>
          <t>Feltham</t>
        </is>
      </c>
      <c r="K133" s="10" t="inlineStr">
        <is>
          <t>TW13 6AJ</t>
        </is>
      </c>
      <c r="L133" s="10" t="inlineStr">
        <is>
          <t>020 8707 4977</t>
        </is>
      </c>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Verified directory</t>
        </is>
      </c>
      <c r="Y133" s="10" t="inlineStr">
        <is>
          <t>Not Found</t>
        </is>
      </c>
      <c r="Z133" s="10" t="inlineStr">
        <is>
          <t>Medium</t>
        </is>
      </c>
      <c r="AA133" s="10" t="inlineStr">
        <is>
          <t>Requires Verification</t>
        </is>
      </c>
      <c r="AB133" s="10" t="inlineStr">
        <is>
          <t>https://www.allinlondon.co.uk/directory/newsagents/231848-mount-superstore</t>
        </is>
      </c>
    </row>
    <row r="134">
      <c r="A134" s="5" t="inlineStr">
        <is>
          <t>UK-000806</t>
        </is>
      </c>
      <c r="B134" s="5" t="inlineStr">
        <is>
          <t>UK-000806-01</t>
        </is>
      </c>
      <c r="C134" s="5" t="inlineStr"/>
      <c r="D134" s="5" t="inlineStr">
        <is>
          <t>Muirhead Convenience</t>
        </is>
      </c>
      <c r="E134" s="5" t="inlineStr">
        <is>
          <t>Convenience Store</t>
        </is>
      </c>
      <c r="F134" s="5" t="inlineStr">
        <is>
          <t>Convenience &amp; off-licence</t>
        </is>
      </c>
      <c r="G134" s="5" t="inlineStr">
        <is>
          <t>Independent</t>
        </is>
      </c>
      <c r="H134" s="5" t="inlineStr">
        <is>
          <t>1</t>
        </is>
      </c>
      <c r="I134" s="5" t="inlineStr">
        <is>
          <t>Merryhill Farm Steading</t>
        </is>
      </c>
      <c r="J134" s="5" t="inlineStr">
        <is>
          <t>Dunfermline</t>
        </is>
      </c>
      <c r="K134" s="5" t="inlineStr">
        <is>
          <t>KY11 3DR</t>
        </is>
      </c>
      <c r="L134" s="5" t="inlineStr">
        <is>
          <t>01383 873510</t>
        </is>
      </c>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Verified directory</t>
        </is>
      </c>
      <c r="Y134" s="5" t="inlineStr">
        <is>
          <t>Not Found</t>
        </is>
      </c>
      <c r="Z134" s="5" t="inlineStr">
        <is>
          <t>Medium</t>
        </is>
      </c>
      <c r="AA134" s="5" t="inlineStr">
        <is>
          <t>Requires Verification</t>
        </is>
      </c>
      <c r="AB134" s="5" t="inlineStr">
        <is>
          <t>https://dunfermline.cylex-uk.co.uk/off-licence.html</t>
        </is>
      </c>
    </row>
    <row r="135">
      <c r="A135" s="10" t="inlineStr">
        <is>
          <t>WY-0124</t>
        </is>
      </c>
      <c r="B135" s="10" t="inlineStr">
        <is>
          <t>WY-0124-01</t>
        </is>
      </c>
      <c r="C135" s="10" t="inlineStr"/>
      <c r="D135" s="10" t="inlineStr">
        <is>
          <t>Mytholmroyd Post Office</t>
        </is>
      </c>
      <c r="E135" s="10" t="inlineStr">
        <is>
          <t>Convenience Store</t>
        </is>
      </c>
      <c r="F135" s="10" t="inlineStr">
        <is>
          <t>Post office and newsagent counter</t>
        </is>
      </c>
      <c r="G135" s="10" t="inlineStr">
        <is>
          <t>Independent</t>
        </is>
      </c>
      <c r="H135" s="10" t="inlineStr">
        <is>
          <t>1</t>
        </is>
      </c>
      <c r="I135" s="10" t="inlineStr">
        <is>
          <t>Grange Dene, Burnley Road</t>
        </is>
      </c>
      <c r="J135" s="10" t="inlineStr">
        <is>
          <t>Mytholmroyd</t>
        </is>
      </c>
      <c r="K135" s="10" t="inlineStr">
        <is>
          <t>HX7 5LF</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Medium</t>
        </is>
      </c>
      <c r="AA135" s="10" t="inlineStr">
        <is>
          <t>Requires Verification</t>
        </is>
      </c>
      <c r="AB135" s="10" t="inlineStr">
        <is>
          <t>https://www.postoffice.co.uk/branch-finder/6314589/mytholmroyd</t>
        </is>
      </c>
    </row>
    <row r="136">
      <c r="A136" s="5" t="inlineStr">
        <is>
          <t>UK-000807</t>
        </is>
      </c>
      <c r="B136" s="5" t="inlineStr">
        <is>
          <t>UK-000807-01</t>
        </is>
      </c>
      <c r="C136" s="5" t="inlineStr"/>
      <c r="D136" s="5" t="inlineStr">
        <is>
          <t>News and Booze Convenience Store</t>
        </is>
      </c>
      <c r="E136" s="5" t="inlineStr">
        <is>
          <t>Convenience Store</t>
        </is>
      </c>
      <c r="F136" s="5" t="inlineStr">
        <is>
          <t>Convenience store / off-licence / newsagent</t>
        </is>
      </c>
      <c r="G136" s="5" t="inlineStr">
        <is>
          <t>Independent</t>
        </is>
      </c>
      <c r="H136" s="5" t="inlineStr">
        <is>
          <t>1</t>
        </is>
      </c>
      <c r="I136" s="5" t="inlineStr">
        <is>
          <t>54-56 Grange Road West</t>
        </is>
      </c>
      <c r="J136" s="5" t="inlineStr">
        <is>
          <t>Birkenhead</t>
        </is>
      </c>
      <c r="K136" s="5" t="inlineStr">
        <is>
          <t>CH41 4DA</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Medium</t>
        </is>
      </c>
      <c r="AA136" s="5" t="inlineStr">
        <is>
          <t>Requires Verification</t>
        </is>
      </c>
      <c r="AB136" s="5" t="inlineStr">
        <is>
          <t>https://inpost.co.uk/shops/uk00253480-birkenhead-news-and-booze-convenience-store-ch41-4da</t>
        </is>
      </c>
    </row>
    <row r="137">
      <c r="A137" s="10" t="inlineStr">
        <is>
          <t>WY-0125</t>
        </is>
      </c>
      <c r="B137" s="10" t="inlineStr">
        <is>
          <t>WY-0125-01</t>
        </is>
      </c>
      <c r="C137" s="10" t="inlineStr"/>
      <c r="D137" s="10" t="inlineStr">
        <is>
          <t>Nisa Local Knottingley</t>
        </is>
      </c>
      <c r="E137" s="10" t="inlineStr">
        <is>
          <t>Convenience Store</t>
        </is>
      </c>
      <c r="F137" s="10" t="inlineStr">
        <is>
          <t>Symbol group convenience store</t>
        </is>
      </c>
      <c r="G137" s="10" t="inlineStr">
        <is>
          <t>Franchise / Symbol Group</t>
        </is>
      </c>
      <c r="H137" s="10" t="inlineStr">
        <is>
          <t>1</t>
        </is>
      </c>
      <c r="I137" s="10" t="inlineStr">
        <is>
          <t>12-14 Pinewood Place</t>
        </is>
      </c>
      <c r="J137" s="10" t="inlineStr">
        <is>
          <t>Knottingley</t>
        </is>
      </c>
      <c r="K137" s="10" t="inlineStr">
        <is>
          <t>WF11 0QH</t>
        </is>
      </c>
      <c r="L137" s="10" t="inlineStr">
        <is>
          <t>01977 607202</t>
        </is>
      </c>
      <c r="M137" s="10" t="inlineStr"/>
      <c r="N137" s="10" t="inlineStr"/>
      <c r="O137" s="10" t="inlineStr">
        <is>
          <t>https://www.nisalocally.co.uk/stores/west-yorkshire/knottingley</t>
        </is>
      </c>
      <c r="P137" s="10" t="inlineStr">
        <is>
          <t>https://www.facebook.com/NisaLocalPinewoodPlaceKnottingley/</t>
        </is>
      </c>
      <c r="Q137" s="10" t="inlineStr"/>
      <c r="R137" s="10" t="inlineStr"/>
      <c r="S137" s="10" t="inlineStr"/>
      <c r="T137" s="10" t="inlineStr"/>
      <c r="U137" s="10" t="inlineStr"/>
      <c r="V137" s="10" t="inlineStr">
        <is>
          <t>Medium</t>
        </is>
      </c>
      <c r="W137" s="10" t="inlineStr">
        <is>
          <t>Independent retailer; Relevant category; Active website; Social presence</t>
        </is>
      </c>
      <c r="X137" s="10" t="inlineStr">
        <is>
          <t>Verified directory</t>
        </is>
      </c>
      <c r="Y137" s="10" t="inlineStr">
        <is>
          <t>Not Found</t>
        </is>
      </c>
      <c r="Z137" s="10" t="inlineStr">
        <is>
          <t>Medium</t>
        </is>
      </c>
      <c r="AA137" s="10" t="inlineStr">
        <is>
          <t>Requires Verification</t>
        </is>
      </c>
      <c r="AB137" s="10" t="inlineStr">
        <is>
          <t>https://www.nisalocally.co.uk/stores/west-yorkshire/knottingley</t>
        </is>
      </c>
    </row>
    <row r="138">
      <c r="A138" s="5" t="inlineStr">
        <is>
          <t>WY-0126</t>
        </is>
      </c>
      <c r="B138" s="5" t="inlineStr">
        <is>
          <t>WY-0126-01</t>
        </is>
      </c>
      <c r="C138" s="5" t="inlineStr"/>
      <c r="D138" s="5" t="inlineStr">
        <is>
          <t>Northowram Post Office</t>
        </is>
      </c>
      <c r="E138" s="5" t="inlineStr">
        <is>
          <t>Convenience Store</t>
        </is>
      </c>
      <c r="F138" s="5" t="inlineStr">
        <is>
          <t>Family-run convenience store with post office</t>
        </is>
      </c>
      <c r="G138" s="5" t="inlineStr">
        <is>
          <t>Independent</t>
        </is>
      </c>
      <c r="H138" s="5" t="inlineStr">
        <is>
          <t>1</t>
        </is>
      </c>
      <c r="I138" s="5" t="inlineStr">
        <is>
          <t>62 Towngate</t>
        </is>
      </c>
      <c r="J138" s="5" t="inlineStr">
        <is>
          <t>Halifax</t>
        </is>
      </c>
      <c r="K138" s="5" t="inlineStr">
        <is>
          <t>HX3 7DX</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Medium</t>
        </is>
      </c>
      <c r="AA138" s="5" t="inlineStr">
        <is>
          <t>Requires Verification</t>
        </is>
      </c>
      <c r="AB138" s="5" t="inlineStr">
        <is>
          <t>https://www.postoffice.co.uk/branch-finder/6204589/northowram</t>
        </is>
      </c>
    </row>
    <row r="139">
      <c r="A139" s="10" t="inlineStr">
        <is>
          <t>WY-0127</t>
        </is>
      </c>
      <c r="B139" s="10" t="inlineStr">
        <is>
          <t>WY-0127-01</t>
        </is>
      </c>
      <c r="C139" s="10" t="inlineStr"/>
      <c r="D139" s="10" t="inlineStr">
        <is>
          <t>Notay Convenience Store (Premier)</t>
        </is>
      </c>
      <c r="E139" s="10" t="inlineStr">
        <is>
          <t>Convenience Store</t>
        </is>
      </c>
      <c r="F139" s="10" t="inlineStr">
        <is>
          <t>Premier symbol group convenience store</t>
        </is>
      </c>
      <c r="G139" s="10" t="inlineStr">
        <is>
          <t>Franchise / Symbol Group</t>
        </is>
      </c>
      <c r="H139" s="10" t="inlineStr">
        <is>
          <t>1</t>
        </is>
      </c>
      <c r="I139" s="10" t="inlineStr">
        <is>
          <t>Oakhill Road</t>
        </is>
      </c>
      <c r="J139" s="10" t="inlineStr">
        <is>
          <t>Batley</t>
        </is>
      </c>
      <c r="K139" s="10" t="inlineStr">
        <is>
          <t>WF17 8JD</t>
        </is>
      </c>
      <c r="L139" s="10" t="inlineStr">
        <is>
          <t>01924 471483</t>
        </is>
      </c>
      <c r="M139" s="10" t="inlineStr"/>
      <c r="N139" s="10" t="inlineStr"/>
      <c r="O139" s="10" t="inlineStr">
        <is>
          <t>https://www.premier-stores.co.uk/our-stores/notay-convenience-store</t>
        </is>
      </c>
      <c r="P139" s="10" t="inlineStr"/>
      <c r="Q139" s="10" t="inlineStr"/>
      <c r="R139" s="10" t="inlineStr"/>
      <c r="S139" s="10" t="inlineStr"/>
      <c r="T139" s="10" t="inlineStr"/>
      <c r="U139" s="10" t="inlineStr"/>
      <c r="V139" s="10" t="inlineStr">
        <is>
          <t>Medium</t>
        </is>
      </c>
      <c r="W139" s="10" t="inlineStr">
        <is>
          <t>Independent retailer; Relevant category; Active website</t>
        </is>
      </c>
      <c r="X139" s="10" t="inlineStr">
        <is>
          <t>Verified directory</t>
        </is>
      </c>
      <c r="Y139" s="10" t="inlineStr">
        <is>
          <t>Not Found</t>
        </is>
      </c>
      <c r="Z139" s="10" t="inlineStr">
        <is>
          <t>Medium</t>
        </is>
      </c>
      <c r="AA139" s="10" t="inlineStr">
        <is>
          <t>Requires Verification</t>
        </is>
      </c>
      <c r="AB139" s="10" t="inlineStr">
        <is>
          <t>https://www.premier-stores.co.uk/our-stores/notay-convenience-store</t>
        </is>
      </c>
    </row>
    <row r="140">
      <c r="A140" s="5" t="inlineStr">
        <is>
          <t>UK-000496</t>
        </is>
      </c>
      <c r="B140" s="5" t="inlineStr">
        <is>
          <t>UK-000496-01</t>
        </is>
      </c>
      <c r="C140" s="5" t="inlineStr"/>
      <c r="D140" s="5" t="inlineStr">
        <is>
          <t>Oscars Newsagents (Select Xpress)</t>
        </is>
      </c>
      <c r="E140" s="5" t="inlineStr">
        <is>
          <t>Newsagent</t>
        </is>
      </c>
      <c r="F140" s="5" t="inlineStr">
        <is>
          <t>Newsagent &amp; off-licence</t>
        </is>
      </c>
      <c r="G140" s="5" t="inlineStr">
        <is>
          <t>Independent</t>
        </is>
      </c>
      <c r="H140" s="5" t="inlineStr">
        <is>
          <t>1</t>
        </is>
      </c>
      <c r="I140" s="5" t="inlineStr">
        <is>
          <t>133 High Street</t>
        </is>
      </c>
      <c r="J140" s="5" t="inlineStr">
        <is>
          <t>Walsall</t>
        </is>
      </c>
      <c r="K140" s="5" t="inlineStr">
        <is>
          <t>WS3 3LE</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https://addressesandpostcodes.co.uk/address/EzQAh1vR/oscars-newsagents-133-high-street-bloxwich-walsall-ws3-3le.html</t>
        </is>
      </c>
    </row>
    <row r="141">
      <c r="A141" s="10" t="inlineStr">
        <is>
          <t>WY-0129</t>
        </is>
      </c>
      <c r="B141" s="10" t="inlineStr">
        <is>
          <t>WY-0129-01</t>
        </is>
      </c>
      <c r="C141" s="10" t="inlineStr"/>
      <c r="D141" s="10" t="inlineStr">
        <is>
          <t>Outwood Express</t>
        </is>
      </c>
      <c r="E141" s="10" t="inlineStr">
        <is>
          <t>Convenience Store</t>
        </is>
      </c>
      <c r="F141" s="10" t="inlineStr">
        <is>
          <t>Convenience store / grocer</t>
        </is>
      </c>
      <c r="G141" s="10" t="inlineStr">
        <is>
          <t>Independent</t>
        </is>
      </c>
      <c r="H141" s="10" t="inlineStr">
        <is>
          <t>1</t>
        </is>
      </c>
      <c r="I141" s="10" t="inlineStr"/>
      <c r="J141" s="10" t="inlineStr">
        <is>
          <t>Wakefield</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https://www.yell.com/biz/outwood-express-wakefield-10165328/</t>
        </is>
      </c>
    </row>
    <row r="142">
      <c r="A142" s="5" t="inlineStr">
        <is>
          <t>WY-0133</t>
        </is>
      </c>
      <c r="B142" s="5" t="inlineStr">
        <is>
          <t>WY-0133-01</t>
        </is>
      </c>
      <c r="C142" s="5" t="inlineStr"/>
      <c r="D142" s="5" t="inlineStr">
        <is>
          <t>Premier (Bingley Convenience Store)</t>
        </is>
      </c>
      <c r="E142" s="5" t="inlineStr">
        <is>
          <t>Convenience Store</t>
        </is>
      </c>
      <c r="F142" s="5" t="inlineStr">
        <is>
          <t>Symbol-group convenience store</t>
        </is>
      </c>
      <c r="G142" s="5" t="inlineStr">
        <is>
          <t>Franchise / Symbol Group</t>
        </is>
      </c>
      <c r="H142" s="5" t="inlineStr">
        <is>
          <t>1</t>
        </is>
      </c>
      <c r="I142" s="5" t="inlineStr"/>
      <c r="J142" s="5" t="inlineStr">
        <is>
          <t>Bingley</t>
        </is>
      </c>
      <c r="K142" s="5" t="inlineStr"/>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Low</t>
        </is>
      </c>
      <c r="AA142" s="5" t="inlineStr">
        <is>
          <t>Requires Verification</t>
        </is>
      </c>
      <c r="AB142" s="5" t="inlineStr">
        <is>
          <t>https://www.yorkshire.com/bingley/shopping/corner-shops/premier-bingley-convenience-store</t>
        </is>
      </c>
    </row>
    <row r="143">
      <c r="A143" s="10" t="inlineStr">
        <is>
          <t>WY-0134</t>
        </is>
      </c>
      <c r="B143" s="10" t="inlineStr">
        <is>
          <t>WY-0134-01</t>
        </is>
      </c>
      <c r="C143" s="10" t="inlineStr"/>
      <c r="D143" s="10" t="inlineStr">
        <is>
          <t>Premier Hemsworth</t>
        </is>
      </c>
      <c r="E143" s="10" t="inlineStr">
        <is>
          <t>Convenience Store</t>
        </is>
      </c>
      <c r="F143" s="10" t="inlineStr">
        <is>
          <t>Symbol group convenience store</t>
        </is>
      </c>
      <c r="G143" s="10" t="inlineStr">
        <is>
          <t>Franchise / Symbol Group</t>
        </is>
      </c>
      <c r="H143" s="10" t="inlineStr">
        <is>
          <t>1</t>
        </is>
      </c>
      <c r="I143" s="10" t="inlineStr">
        <is>
          <t>51-55 Barnsley Road</t>
        </is>
      </c>
      <c r="J143" s="10" t="inlineStr">
        <is>
          <t>Hemsworth</t>
        </is>
      </c>
      <c r="K143" s="10" t="inlineStr">
        <is>
          <t>WF9 4QZ</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Medium</t>
        </is>
      </c>
      <c r="AA143" s="10" t="inlineStr">
        <is>
          <t>Requires Verification</t>
        </is>
      </c>
      <c r="AB143" s="10" t="inlineStr">
        <is>
          <t>https://hemsworth.ukintouch.com/convenience-store/premier-hemsworth/</t>
        </is>
      </c>
    </row>
    <row r="144">
      <c r="A144" s="5" t="inlineStr">
        <is>
          <t>UK-000810</t>
        </is>
      </c>
      <c r="B144" s="5" t="inlineStr">
        <is>
          <t>UK-000810-01</t>
        </is>
      </c>
      <c r="C144" s="5" t="inlineStr"/>
      <c r="D144" s="5" t="inlineStr">
        <is>
          <t>Prime Convenience Store St Helens</t>
        </is>
      </c>
      <c r="E144" s="5" t="inlineStr">
        <is>
          <t>Convenience Store</t>
        </is>
      </c>
      <c r="F144" s="5" t="inlineStr">
        <is>
          <t>Convenience store</t>
        </is>
      </c>
      <c r="G144" s="5" t="inlineStr">
        <is>
          <t>Independent</t>
        </is>
      </c>
      <c r="H144" s="5" t="inlineStr">
        <is>
          <t>1</t>
        </is>
      </c>
      <c r="I144" s="5" t="inlineStr">
        <is>
          <t>99 Church Street</t>
        </is>
      </c>
      <c r="J144" s="5" t="inlineStr">
        <is>
          <t>St Helens</t>
        </is>
      </c>
      <c r="K144" s="5" t="inlineStr">
        <is>
          <t>WA10 1AD</t>
        </is>
      </c>
      <c r="L144" s="5" t="inlineStr"/>
      <c r="M144" s="5" t="inlineStr"/>
      <c r="N144" s="5" t="inlineStr"/>
      <c r="O144" s="5" t="inlineStr"/>
      <c r="P144" s="5" t="inlineStr"/>
      <c r="Q144" s="5" t="inlineStr"/>
      <c r="R144" s="5" t="inlineStr"/>
      <c r="S144" s="5" t="inlineStr"/>
      <c r="T144" s="5" t="inlineStr">
        <is>
          <t>15581396</t>
        </is>
      </c>
      <c r="U144" s="5" t="inlineStr"/>
      <c r="V144" s="5" t="inlineStr">
        <is>
          <t>Low</t>
        </is>
      </c>
      <c r="W144" s="5" t="inlineStr">
        <is>
          <t>Independent retailer; Relevant category</t>
        </is>
      </c>
      <c r="X144" s="5" t="inlineStr">
        <is>
          <t>Not Found</t>
        </is>
      </c>
      <c r="Y144" s="5" t="inlineStr">
        <is>
          <t>Not Found</t>
        </is>
      </c>
      <c r="Z144" s="5" t="inlineStr">
        <is>
          <t>Medium</t>
        </is>
      </c>
      <c r="AA144" s="5" t="inlineStr">
        <is>
          <t>Requires Verification</t>
        </is>
      </c>
      <c r="AB144" s="5" t="inlineStr">
        <is>
          <t>https://find-and-update.company-information.service.gov.uk/company/15581396</t>
        </is>
      </c>
    </row>
    <row r="145">
      <c r="A145" s="10" t="inlineStr">
        <is>
          <t>UK-000502</t>
        </is>
      </c>
      <c r="B145" s="10" t="inlineStr">
        <is>
          <t>UK-000502-01</t>
        </is>
      </c>
      <c r="C145" s="10" t="inlineStr"/>
      <c r="D145" s="10" t="inlineStr">
        <is>
          <t>Princes End Convenience Store</t>
        </is>
      </c>
      <c r="E145" s="10" t="inlineStr">
        <is>
          <t>Convenience Store</t>
        </is>
      </c>
      <c r="F145" s="10" t="inlineStr">
        <is>
          <t>Convenience store &amp; off-licence</t>
        </is>
      </c>
      <c r="G145" s="10" t="inlineStr">
        <is>
          <t>Independent</t>
        </is>
      </c>
      <c r="H145" s="10" t="inlineStr">
        <is>
          <t>1</t>
        </is>
      </c>
      <c r="I145" s="10" t="inlineStr"/>
      <c r="J145" s="10" t="inlineStr">
        <is>
          <t>Tipton</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https://www.yell.com/biz/princes-end-convenience-store-tipton-9797719/</t>
        </is>
      </c>
    </row>
    <row r="146">
      <c r="A146" s="5" t="inlineStr">
        <is>
          <t>WY-0136</t>
        </is>
      </c>
      <c r="B146" s="5" t="inlineStr">
        <is>
          <t>WY-0136-01</t>
        </is>
      </c>
      <c r="C146" s="5" t="inlineStr"/>
      <c r="D146" s="5" t="inlineStr">
        <is>
          <t>Quix Newsagents, Off Licence &amp; Convenience Store</t>
        </is>
      </c>
      <c r="E146" s="5" t="inlineStr">
        <is>
          <t>Convenience Store</t>
        </is>
      </c>
      <c r="F146" s="5" t="inlineStr">
        <is>
          <t>Newsagent, off-licence &amp; convenience store</t>
        </is>
      </c>
      <c r="G146" s="5" t="inlineStr">
        <is>
          <t>Independent</t>
        </is>
      </c>
      <c r="H146" s="5" t="inlineStr">
        <is>
          <t>1</t>
        </is>
      </c>
      <c r="I146" s="5" t="inlineStr"/>
      <c r="J146" s="5" t="inlineStr">
        <is>
          <t>Shipley</t>
        </is>
      </c>
      <c r="K146" s="5" t="inlineStr"/>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https://www.yorkshire.com/shipley/shopping/corner-shops/quix-newsagents-off-licence-convenience-store</t>
        </is>
      </c>
    </row>
    <row r="147">
      <c r="A147" s="10" t="inlineStr">
        <is>
          <t>WY-0137</t>
        </is>
      </c>
      <c r="B147" s="10" t="inlineStr">
        <is>
          <t>WY-0137-01</t>
        </is>
      </c>
      <c r="C147" s="10" t="inlineStr"/>
      <c r="D147" s="10" t="inlineStr">
        <is>
          <t>Rahien Mini Market</t>
        </is>
      </c>
      <c r="E147" s="10" t="inlineStr">
        <is>
          <t>Convenience Store</t>
        </is>
      </c>
      <c r="F147" s="10" t="inlineStr">
        <is>
          <t>Mini market</t>
        </is>
      </c>
      <c r="G147" s="10" t="inlineStr">
        <is>
          <t>Independent</t>
        </is>
      </c>
      <c r="H147" s="10" t="inlineStr">
        <is>
          <t>1</t>
        </is>
      </c>
      <c r="I147" s="10" t="inlineStr">
        <is>
          <t>Queen's Road</t>
        </is>
      </c>
      <c r="J147" s="10" t="inlineStr">
        <is>
          <t>Leeds</t>
        </is>
      </c>
      <c r="K147" s="10" t="inlineStr"/>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https://www.yorkshire.com/headingley/shopping/markets/rahien-mini-market</t>
        </is>
      </c>
    </row>
    <row r="148">
      <c r="A148" s="5" t="inlineStr">
        <is>
          <t>UK-000272</t>
        </is>
      </c>
      <c r="B148" s="5" t="inlineStr">
        <is>
          <t>UK-000272-01</t>
        </is>
      </c>
      <c r="C148" s="5" t="inlineStr"/>
      <c r="D148" s="5" t="inlineStr">
        <is>
          <t>Ripon News</t>
        </is>
      </c>
      <c r="E148" s="5" t="inlineStr">
        <is>
          <t>Newsagent</t>
        </is>
      </c>
      <c r="F148" s="5" t="inlineStr">
        <is>
          <t>Newsagent &amp; convenience</t>
        </is>
      </c>
      <c r="G148" s="5" t="inlineStr">
        <is>
          <t>Independent</t>
        </is>
      </c>
      <c r="H148" s="5" t="inlineStr">
        <is>
          <t>1</t>
        </is>
      </c>
      <c r="I148" s="5" t="inlineStr">
        <is>
          <t>54 North Street</t>
        </is>
      </c>
      <c r="J148" s="5" t="inlineStr">
        <is>
          <t>Ripon</t>
        </is>
      </c>
      <c r="K148" s="5" t="inlineStr">
        <is>
          <t>HG4 1EN</t>
        </is>
      </c>
      <c r="L148" s="5" t="inlineStr">
        <is>
          <t>01765 604337</t>
        </is>
      </c>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Verified directory</t>
        </is>
      </c>
      <c r="Y148" s="5" t="inlineStr">
        <is>
          <t>Not Found</t>
        </is>
      </c>
      <c r="Z148" s="5" t="inlineStr">
        <is>
          <t>Low</t>
        </is>
      </c>
      <c r="AA148" s="5" t="inlineStr">
        <is>
          <t>Requires Verification</t>
        </is>
      </c>
      <c r="AB148" s="5" t="inlineStr">
        <is>
          <t>https://www.scoot.co.uk/England/North-Yorkshire/Ripon/Ripon-News-CFRK298.html</t>
        </is>
      </c>
    </row>
    <row r="149">
      <c r="A149" s="10" t="inlineStr">
        <is>
          <t>UK-000506</t>
        </is>
      </c>
      <c r="B149" s="10" t="inlineStr">
        <is>
          <t>UK-000506-01</t>
        </is>
      </c>
      <c r="C149" s="10" t="inlineStr"/>
      <c r="D149" s="10" t="inlineStr">
        <is>
          <t>Rowley News</t>
        </is>
      </c>
      <c r="E149" s="10" t="inlineStr">
        <is>
          <t>Newsagent</t>
        </is>
      </c>
      <c r="F149" s="10" t="inlineStr">
        <is>
          <t>Newsagent &amp; convenience</t>
        </is>
      </c>
      <c r="G149" s="10" t="inlineStr">
        <is>
          <t>Independent</t>
        </is>
      </c>
      <c r="H149" s="10" t="inlineStr">
        <is>
          <t>1</t>
        </is>
      </c>
      <c r="I149" s="10" t="inlineStr"/>
      <c r="J149" s="10" t="inlineStr">
        <is>
          <t>Rowley Regis</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https://rowley-regis.cylex-uk.co.uk/company/rowley-news-13010899.html</t>
        </is>
      </c>
    </row>
    <row r="150">
      <c r="A150" s="5" t="inlineStr">
        <is>
          <t>UK-000274</t>
        </is>
      </c>
      <c r="B150" s="5" t="inlineStr">
        <is>
          <t>UK-000274-01</t>
        </is>
      </c>
      <c r="C150" s="5" t="inlineStr"/>
      <c r="D150" s="5" t="inlineStr">
        <is>
          <t>S.J. Convenience Store</t>
        </is>
      </c>
      <c r="E150" s="5" t="inlineStr">
        <is>
          <t>Convenience Store</t>
        </is>
      </c>
      <c r="F150" s="5" t="inlineStr">
        <is>
          <t>Corner shop</t>
        </is>
      </c>
      <c r="G150" s="5" t="inlineStr">
        <is>
          <t>Independent</t>
        </is>
      </c>
      <c r="H150" s="5" t="inlineStr">
        <is>
          <t>1</t>
        </is>
      </c>
      <c r="I150" s="5" t="inlineStr"/>
      <c r="J150" s="5" t="inlineStr">
        <is>
          <t>Kingston upon Hull</t>
        </is>
      </c>
      <c r="K150" s="5" t="inlineStr"/>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https://www.yorkshire.com/hull/shopping/corner-shops/sj-convenience-store</t>
        </is>
      </c>
    </row>
    <row r="151">
      <c r="A151" s="10" t="inlineStr">
        <is>
          <t>WY-0141</t>
        </is>
      </c>
      <c r="B151" s="10" t="inlineStr">
        <is>
          <t>WY-0141-01</t>
        </is>
      </c>
      <c r="C151" s="10" t="inlineStr"/>
      <c r="D151" s="10" t="inlineStr">
        <is>
          <t>SPAR Huddersfield Road</t>
        </is>
      </c>
      <c r="E151" s="10" t="inlineStr">
        <is>
          <t>Convenience Store</t>
        </is>
      </c>
      <c r="F151" s="10" t="inlineStr">
        <is>
          <t>SPAR symbol group convenience store with off-licence</t>
        </is>
      </c>
      <c r="G151" s="10" t="inlineStr">
        <is>
          <t>Franchise / Symbol Group</t>
        </is>
      </c>
      <c r="H151" s="10" t="inlineStr">
        <is>
          <t>1</t>
        </is>
      </c>
      <c r="I151" s="10" t="inlineStr">
        <is>
          <t>Huddersfield Road</t>
        </is>
      </c>
      <c r="J151" s="10" t="inlineStr">
        <is>
          <t>Elland</t>
        </is>
      </c>
      <c r="K151" s="10" t="inlineStr">
        <is>
          <t>HX5 9AA</t>
        </is>
      </c>
      <c r="L151" s="10" t="inlineStr">
        <is>
          <t>01422 648232</t>
        </is>
      </c>
      <c r="M151" s="10" t="inlineStr"/>
      <c r="N151" s="10" t="inlineStr"/>
      <c r="O151" s="10" t="inlineStr">
        <is>
          <t>https://www.spar.co.uk/store-locator/hal32443-spar-huddersfield-road</t>
        </is>
      </c>
      <c r="P151" s="10" t="inlineStr"/>
      <c r="Q151" s="10" t="inlineStr"/>
      <c r="R151" s="10" t="inlineStr"/>
      <c r="S151" s="10" t="inlineStr"/>
      <c r="T151" s="10" t="inlineStr"/>
      <c r="U151" s="10" t="inlineStr"/>
      <c r="V151" s="10" t="inlineStr">
        <is>
          <t>Medium</t>
        </is>
      </c>
      <c r="W151" s="10" t="inlineStr">
        <is>
          <t>Independent retailer; Relevant category; Active website</t>
        </is>
      </c>
      <c r="X151" s="10" t="inlineStr">
        <is>
          <t>Verified directory</t>
        </is>
      </c>
      <c r="Y151" s="10" t="inlineStr">
        <is>
          <t>Not Found</t>
        </is>
      </c>
      <c r="Z151" s="10" t="inlineStr">
        <is>
          <t>Medium</t>
        </is>
      </c>
      <c r="AA151" s="10" t="inlineStr">
        <is>
          <t>Requires Verification</t>
        </is>
      </c>
      <c r="AB151" s="10" t="inlineStr">
        <is>
          <t>https://www.spar.co.uk/store-locator/hal32443-spar-huddersfield-road</t>
        </is>
      </c>
    </row>
    <row r="152">
      <c r="A152" s="5" t="inlineStr">
        <is>
          <t>WY-0142</t>
        </is>
      </c>
      <c r="B152" s="5" t="inlineStr">
        <is>
          <t>WY-0142-01</t>
        </is>
      </c>
      <c r="C152" s="5" t="inlineStr"/>
      <c r="D152" s="5" t="inlineStr">
        <is>
          <t>SPAR Outwood</t>
        </is>
      </c>
      <c r="E152" s="5" t="inlineStr">
        <is>
          <t>Convenience Store</t>
        </is>
      </c>
      <c r="F152" s="5" t="inlineStr">
        <is>
          <t>Symbol group convenience store</t>
        </is>
      </c>
      <c r="G152" s="5" t="inlineStr">
        <is>
          <t>Franchise / Symbol Group</t>
        </is>
      </c>
      <c r="H152" s="5" t="inlineStr">
        <is>
          <t>1</t>
        </is>
      </c>
      <c r="I152" s="5" t="inlineStr">
        <is>
          <t>Potovens Lane</t>
        </is>
      </c>
      <c r="J152" s="5" t="inlineStr">
        <is>
          <t>Wakefield</t>
        </is>
      </c>
      <c r="K152" s="5" t="inlineStr">
        <is>
          <t>WF1 2LE</t>
        </is>
      </c>
      <c r="L152" s="5" t="inlineStr">
        <is>
          <t>01924 822641</t>
        </is>
      </c>
      <c r="M152" s="5" t="inlineStr"/>
      <c r="N152" s="5" t="inlineStr"/>
      <c r="O152" s="5" t="inlineStr">
        <is>
          <t>https://www.spar.co.uk/store-locator/afb49926-spar-outwood</t>
        </is>
      </c>
      <c r="P152" s="5" t="inlineStr"/>
      <c r="Q152" s="5" t="inlineStr"/>
      <c r="R152" s="5" t="inlineStr"/>
      <c r="S152" s="5" t="inlineStr"/>
      <c r="T152" s="5" t="inlineStr"/>
      <c r="U152" s="5" t="inlineStr"/>
      <c r="V152" s="5" t="inlineStr">
        <is>
          <t>Medium</t>
        </is>
      </c>
      <c r="W152" s="5" t="inlineStr">
        <is>
          <t>Independent retailer; Relevant category; Active website</t>
        </is>
      </c>
      <c r="X152" s="5" t="inlineStr">
        <is>
          <t>Verified directory</t>
        </is>
      </c>
      <c r="Y152" s="5" t="inlineStr">
        <is>
          <t>Not Found</t>
        </is>
      </c>
      <c r="Z152" s="5" t="inlineStr">
        <is>
          <t>Medium</t>
        </is>
      </c>
      <c r="AA152" s="5" t="inlineStr">
        <is>
          <t>Requires Verification</t>
        </is>
      </c>
      <c r="AB152" s="5" t="inlineStr">
        <is>
          <t>https://www.spar.co.uk/store-locator/afb49926-spar-outwood</t>
        </is>
      </c>
    </row>
    <row r="153">
      <c r="A153" s="10" t="inlineStr">
        <is>
          <t>UK-000512</t>
        </is>
      </c>
      <c r="B153" s="10" t="inlineStr">
        <is>
          <t>UK-000512-01</t>
        </is>
      </c>
      <c r="C153" s="10" t="inlineStr"/>
      <c r="D153" s="10" t="inlineStr">
        <is>
          <t>Savers Express</t>
        </is>
      </c>
      <c r="E153" s="10" t="inlineStr">
        <is>
          <t>Convenience Store</t>
        </is>
      </c>
      <c r="F153" s="10" t="inlineStr">
        <is>
          <t>Convenience store &amp; off-licence</t>
        </is>
      </c>
      <c r="G153" s="10" t="inlineStr">
        <is>
          <t>Independent</t>
        </is>
      </c>
      <c r="H153" s="10" t="inlineStr">
        <is>
          <t>1</t>
        </is>
      </c>
      <c r="I153" s="10" t="inlineStr"/>
      <c r="J153" s="10" t="inlineStr">
        <is>
          <t>Cradley Heath</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https://cradley-heath.cylex-uk.co.uk/company/savers-express-19840611.html</t>
        </is>
      </c>
    </row>
    <row r="154">
      <c r="A154" s="5" t="inlineStr">
        <is>
          <t>WY-0144</t>
        </is>
      </c>
      <c r="B154" s="5" t="inlineStr">
        <is>
          <t>WY-0144-01</t>
        </is>
      </c>
      <c r="C154" s="5" t="inlineStr"/>
      <c r="D154" s="5" t="inlineStr">
        <is>
          <t>Select Newsagent</t>
        </is>
      </c>
      <c r="E154" s="5" t="inlineStr">
        <is>
          <t>Newsagent</t>
        </is>
      </c>
      <c r="F154" s="5" t="inlineStr">
        <is>
          <t>Newsagent and convenience store</t>
        </is>
      </c>
      <c r="G154" s="5" t="inlineStr">
        <is>
          <t>Independent</t>
        </is>
      </c>
      <c r="H154" s="5" t="inlineStr">
        <is>
          <t>1</t>
        </is>
      </c>
      <c r="I154" s="5" t="inlineStr">
        <is>
          <t>18 Lee Green</t>
        </is>
      </c>
      <c r="J154" s="5" t="inlineStr">
        <is>
          <t>Mirfield</t>
        </is>
      </c>
      <c r="K154" s="5" t="inlineStr">
        <is>
          <t>WF14 0AB</t>
        </is>
      </c>
      <c r="L154" s="5" t="inlineStr">
        <is>
          <t>01924 695779</t>
        </is>
      </c>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Verified directory</t>
        </is>
      </c>
      <c r="Y154" s="5" t="inlineStr">
        <is>
          <t>Not Found</t>
        </is>
      </c>
      <c r="Z154" s="5" t="inlineStr">
        <is>
          <t>Medium</t>
        </is>
      </c>
      <c r="AA154" s="5" t="inlineStr">
        <is>
          <t>Requires Verification</t>
        </is>
      </c>
      <c r="AB154" s="5" t="inlineStr">
        <is>
          <t>https://mirfield.cylex-uk.co.uk/company/select-newsagent-28742458.html</t>
        </is>
      </c>
    </row>
    <row r="155">
      <c r="A155" s="10" t="inlineStr">
        <is>
          <t>UK-000658</t>
        </is>
      </c>
      <c r="B155" s="10" t="inlineStr">
        <is>
          <t>UK-000658-01</t>
        </is>
      </c>
      <c r="C155" s="10" t="inlineStr"/>
      <c r="D155" s="10" t="inlineStr">
        <is>
          <t>Single Tree Foods Ltd</t>
        </is>
      </c>
      <c r="E155" s="10" t="inlineStr">
        <is>
          <t>Convenience Store</t>
        </is>
      </c>
      <c r="F155" s="10" t="inlineStr">
        <is>
          <t>Convenience &amp; grocery</t>
        </is>
      </c>
      <c r="G155" s="10" t="inlineStr">
        <is>
          <t>Independent</t>
        </is>
      </c>
      <c r="H155" s="10" t="inlineStr">
        <is>
          <t>1</t>
        </is>
      </c>
      <c r="I155" s="10" t="inlineStr">
        <is>
          <t>283 Brettenham Road</t>
        </is>
      </c>
      <c r="J155" s="10" t="inlineStr">
        <is>
          <t>Edmonton</t>
        </is>
      </c>
      <c r="K155" s="10" t="inlineStr">
        <is>
          <t>N18 2HF</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Low</t>
        </is>
      </c>
      <c r="AA155" s="10" t="inlineStr">
        <is>
          <t>Requires Verification</t>
        </is>
      </c>
      <c r="AB155" s="10" t="inlineStr">
        <is>
          <t>https://www.192.com/atoz/business/enfield/convenience--stores/</t>
        </is>
      </c>
    </row>
    <row r="156">
      <c r="A156" s="5" t="inlineStr">
        <is>
          <t>UK-000813</t>
        </is>
      </c>
      <c r="B156" s="5" t="inlineStr">
        <is>
          <t>UK-000813-01</t>
        </is>
      </c>
      <c r="C156" s="5" t="inlineStr"/>
      <c r="D156" s="5" t="inlineStr">
        <is>
          <t>Skaus Store &amp; Cafe</t>
        </is>
      </c>
      <c r="E156" s="5" t="inlineStr">
        <is>
          <t>Convenience Store</t>
        </is>
      </c>
      <c r="F156" s="5" t="inlineStr">
        <is>
          <t>Grocer &amp; convenience store</t>
        </is>
      </c>
      <c r="G156" s="5" t="inlineStr">
        <is>
          <t>Independent</t>
        </is>
      </c>
      <c r="H156" s="5" t="inlineStr">
        <is>
          <t>1</t>
        </is>
      </c>
      <c r="I156" s="5" t="inlineStr">
        <is>
          <t>66 Allerton Road</t>
        </is>
      </c>
      <c r="J156" s="5" t="inlineStr">
        <is>
          <t>Liverpool</t>
        </is>
      </c>
      <c r="K156" s="5" t="inlineStr">
        <is>
          <t>L18 1LW</t>
        </is>
      </c>
      <c r="L156" s="5" t="inlineStr">
        <is>
          <t>0151 733 3673</t>
        </is>
      </c>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Verified directory</t>
        </is>
      </c>
      <c r="Y156" s="5" t="inlineStr">
        <is>
          <t>Not Found</t>
        </is>
      </c>
      <c r="Z156" s="5" t="inlineStr">
        <is>
          <t>Low</t>
        </is>
      </c>
      <c r="AA156" s="5" t="inlineStr">
        <is>
          <t>Requires Verification</t>
        </is>
      </c>
      <c r="AB156" s="5" t="inlineStr">
        <is>
          <t>https://www.192.com/atoz/business/l18/convenience--stores/</t>
        </is>
      </c>
    </row>
    <row r="157">
      <c r="A157" s="10" t="inlineStr">
        <is>
          <t>UK-000661</t>
        </is>
      </c>
      <c r="B157" s="10" t="inlineStr">
        <is>
          <t>UK-000661-01</t>
        </is>
      </c>
      <c r="C157" s="10" t="inlineStr"/>
      <c r="D157" s="10" t="inlineStr">
        <is>
          <t>Soho Food &amp; Wine</t>
        </is>
      </c>
      <c r="E157" s="10" t="inlineStr">
        <is>
          <t>Convenience Store</t>
        </is>
      </c>
      <c r="F157" s="10" t="inlineStr">
        <is>
          <t>Convenience &amp; off-licence</t>
        </is>
      </c>
      <c r="G157" s="10" t="inlineStr">
        <is>
          <t>Independent</t>
        </is>
      </c>
      <c r="H157" s="10" t="inlineStr">
        <is>
          <t>1</t>
        </is>
      </c>
      <c r="I157" s="10" t="inlineStr"/>
      <c r="J157" s="10" t="inlineStr">
        <is>
          <t>London</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https://www.yell.com/biz/soho-food-and-wine-london-8165136/</t>
        </is>
      </c>
    </row>
    <row r="158">
      <c r="A158" s="5" t="inlineStr">
        <is>
          <t>WY-0151</t>
        </is>
      </c>
      <c r="B158" s="5" t="inlineStr">
        <is>
          <t>WY-0151-01</t>
        </is>
      </c>
      <c r="C158" s="5" t="inlineStr"/>
      <c r="D158" s="5" t="inlineStr">
        <is>
          <t>Soothill Convenience Store &amp; Off Licence</t>
        </is>
      </c>
      <c r="E158" s="5" t="inlineStr">
        <is>
          <t>Convenience Store</t>
        </is>
      </c>
      <c r="F158" s="5" t="inlineStr">
        <is>
          <t>Convenience store and off-licence</t>
        </is>
      </c>
      <c r="G158" s="5" t="inlineStr">
        <is>
          <t>Independent</t>
        </is>
      </c>
      <c r="H158" s="5" t="inlineStr">
        <is>
          <t>1</t>
        </is>
      </c>
      <c r="I158" s="5" t="inlineStr"/>
      <c r="J158" s="5" t="inlineStr">
        <is>
          <t>Batley</t>
        </is>
      </c>
      <c r="K158" s="5" t="inlineStr"/>
      <c r="L158" s="5" t="inlineStr"/>
      <c r="M158" s="5" t="inlineStr"/>
      <c r="N158" s="5" t="inlineStr"/>
      <c r="O158" s="5" t="inlineStr"/>
      <c r="P158" s="5" t="inlineStr"/>
      <c r="Q158" s="5" t="inlineStr"/>
      <c r="R158" s="5" t="inlineStr"/>
      <c r="S158" s="5" t="inlineStr"/>
      <c r="T158" s="5" t="inlineStr">
        <is>
          <t>11966163</t>
        </is>
      </c>
      <c r="U158" s="5" t="inlineStr"/>
      <c r="V158" s="5" t="inlineStr">
        <is>
          <t>Low</t>
        </is>
      </c>
      <c r="W158" s="5" t="inlineStr">
        <is>
          <t>Independent retailer; Relevant category</t>
        </is>
      </c>
      <c r="X158" s="5" t="inlineStr">
        <is>
          <t>Not Found</t>
        </is>
      </c>
      <c r="Y158" s="5" t="inlineStr">
        <is>
          <t>Not Found</t>
        </is>
      </c>
      <c r="Z158" s="5" t="inlineStr">
        <is>
          <t>Low</t>
        </is>
      </c>
      <c r="AA158" s="5" t="inlineStr">
        <is>
          <t>Requires Verification</t>
        </is>
      </c>
      <c r="AB158" s="5" t="inlineStr">
        <is>
          <t>https://find-and-update.company-information.service.gov.uk/company/11966163/persons-with-significant-control</t>
        </is>
      </c>
    </row>
    <row r="159">
      <c r="A159" s="10" t="inlineStr">
        <is>
          <t>UK-000816</t>
        </is>
      </c>
      <c r="B159" s="10" t="inlineStr">
        <is>
          <t>UK-000816-01</t>
        </is>
      </c>
      <c r="C159" s="10" t="inlineStr"/>
      <c r="D159" s="10" t="inlineStr">
        <is>
          <t>Southdene Newsagents</t>
        </is>
      </c>
      <c r="E159" s="10" t="inlineStr">
        <is>
          <t>Newsagent</t>
        </is>
      </c>
      <c r="F159" s="10" t="inlineStr">
        <is>
          <t>Newsagent &amp; confectionery</t>
        </is>
      </c>
      <c r="G159" s="10" t="inlineStr">
        <is>
          <t>Independent</t>
        </is>
      </c>
      <c r="H159" s="10" t="inlineStr">
        <is>
          <t>1</t>
        </is>
      </c>
      <c r="I159" s="10" t="inlineStr">
        <is>
          <t>8 Park Brow Drive</t>
        </is>
      </c>
      <c r="J159" s="10" t="inlineStr">
        <is>
          <t>Liverpool</t>
        </is>
      </c>
      <c r="K159" s="10" t="inlineStr">
        <is>
          <t>L32 6QP</t>
        </is>
      </c>
      <c r="L159" s="10" t="inlineStr">
        <is>
          <t>0151 549 1663</t>
        </is>
      </c>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Verified directory</t>
        </is>
      </c>
      <c r="Y159" s="10" t="inlineStr">
        <is>
          <t>Not Found</t>
        </is>
      </c>
      <c r="Z159" s="10" t="inlineStr">
        <is>
          <t>Low</t>
        </is>
      </c>
      <c r="AA159" s="10" t="inlineStr">
        <is>
          <t>Requires Verification</t>
        </is>
      </c>
      <c r="AB159" s="10" t="inlineStr">
        <is>
          <t>https://kirkby.cylex-uk.co.uk/convenience-stores/</t>
        </is>
      </c>
    </row>
    <row r="160">
      <c r="A160" s="5" t="inlineStr">
        <is>
          <t>UK-000818</t>
        </is>
      </c>
      <c r="B160" s="5" t="inlineStr">
        <is>
          <t>UK-000818-01</t>
        </is>
      </c>
      <c r="C160" s="5" t="inlineStr"/>
      <c r="D160" s="5" t="inlineStr">
        <is>
          <t>Star News</t>
        </is>
      </c>
      <c r="E160" s="5" t="inlineStr">
        <is>
          <t>Newsagent</t>
        </is>
      </c>
      <c r="F160" s="5" t="inlineStr">
        <is>
          <t>Newsagent &amp; convenience</t>
        </is>
      </c>
      <c r="G160" s="5" t="inlineStr">
        <is>
          <t>Independent</t>
        </is>
      </c>
      <c r="H160" s="5" t="inlineStr">
        <is>
          <t>1</t>
        </is>
      </c>
      <c r="I160" s="5" t="inlineStr"/>
      <c r="J160" s="5" t="inlineStr">
        <is>
          <t>Liverpool</t>
        </is>
      </c>
      <c r="K160" s="5" t="inlineStr">
        <is>
          <t>L3 8HR</t>
        </is>
      </c>
      <c r="L160" s="5" t="inlineStr"/>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Not Found</t>
        </is>
      </c>
      <c r="Y160" s="5" t="inlineStr">
        <is>
          <t>Not Found</t>
        </is>
      </c>
      <c r="Z160" s="5" t="inlineStr">
        <is>
          <t>Low</t>
        </is>
      </c>
      <c r="AA160" s="5" t="inlineStr">
        <is>
          <t>Requires Verification</t>
        </is>
      </c>
      <c r="AB160" s="5" t="inlineStr">
        <is>
          <t>https://www.yell.com/biz/star-news-liverpool-1873832/</t>
        </is>
      </c>
    </row>
    <row r="161">
      <c r="A161" s="10" t="inlineStr">
        <is>
          <t>WY-0157</t>
        </is>
      </c>
      <c r="B161" s="10" t="inlineStr">
        <is>
          <t>WY-0157-01</t>
        </is>
      </c>
      <c r="C161" s="10" t="inlineStr"/>
      <c r="D161" s="10" t="inlineStr">
        <is>
          <t>Sup Mirfield</t>
        </is>
      </c>
      <c r="E161" s="10" t="inlineStr">
        <is>
          <t>Convenience Store</t>
        </is>
      </c>
      <c r="F161" s="10" t="inlineStr">
        <is>
          <t>Convenience store</t>
        </is>
      </c>
      <c r="G161" s="10" t="inlineStr">
        <is>
          <t>Independent</t>
        </is>
      </c>
      <c r="H161" s="10" t="inlineStr">
        <is>
          <t>1</t>
        </is>
      </c>
      <c r="I161" s="10" t="inlineStr">
        <is>
          <t>2 Nettleton Road</t>
        </is>
      </c>
      <c r="J161" s="10" t="inlineStr">
        <is>
          <t>Mirfield</t>
        </is>
      </c>
      <c r="K161" s="10" t="inlineStr"/>
      <c r="L161" s="10" t="inlineStr">
        <is>
          <t>07387 294049</t>
        </is>
      </c>
      <c r="M161" s="10" t="inlineStr"/>
      <c r="N161" s="10" t="inlineStr"/>
      <c r="O161" s="10" t="inlineStr"/>
      <c r="P161" s="10" t="inlineStr">
        <is>
          <t>https://www.facebook.com/supmirfield/</t>
        </is>
      </c>
      <c r="Q161" s="10" t="inlineStr"/>
      <c r="R161" s="10" t="inlineStr"/>
      <c r="S161" s="10" t="inlineStr"/>
      <c r="T161" s="10" t="inlineStr"/>
      <c r="U161" s="10" t="inlineStr"/>
      <c r="V161" s="10" t="inlineStr">
        <is>
          <t>Medium</t>
        </is>
      </c>
      <c r="W161" s="10" t="inlineStr">
        <is>
          <t>Independent retailer; Relevant category; Social presence</t>
        </is>
      </c>
      <c r="X161" s="10" t="inlineStr">
        <is>
          <t>Verified directory</t>
        </is>
      </c>
      <c r="Y161" s="10" t="inlineStr">
        <is>
          <t>Not Found</t>
        </is>
      </c>
      <c r="Z161" s="10" t="inlineStr">
        <is>
          <t>Low</t>
        </is>
      </c>
      <c r="AA161" s="10" t="inlineStr">
        <is>
          <t>Requires Verification</t>
        </is>
      </c>
      <c r="AB161" s="10" t="inlineStr">
        <is>
          <t>https://www.facebook.com/supmirfield/</t>
        </is>
      </c>
    </row>
    <row r="162">
      <c r="A162" s="5" t="inlineStr">
        <is>
          <t>UK-000821</t>
        </is>
      </c>
      <c r="B162" s="5" t="inlineStr">
        <is>
          <t>UK-000821-01</t>
        </is>
      </c>
      <c r="C162" s="5" t="inlineStr"/>
      <c r="D162" s="5" t="inlineStr">
        <is>
          <t>T &amp; C Mills Newsagent</t>
        </is>
      </c>
      <c r="E162" s="5" t="inlineStr">
        <is>
          <t>Newsagent</t>
        </is>
      </c>
      <c r="F162" s="5" t="inlineStr">
        <is>
          <t>Newsagent</t>
        </is>
      </c>
      <c r="G162" s="5" t="inlineStr">
        <is>
          <t>Independent</t>
        </is>
      </c>
      <c r="H162" s="5" t="inlineStr">
        <is>
          <t>1</t>
        </is>
      </c>
      <c r="I162" s="5" t="inlineStr">
        <is>
          <t>34 St Johns Road</t>
        </is>
      </c>
      <c r="J162" s="5" t="inlineStr">
        <is>
          <t>Liverpool</t>
        </is>
      </c>
      <c r="K162" s="5" t="inlineStr">
        <is>
          <t>L22 9QG</t>
        </is>
      </c>
      <c r="L162" s="5" t="inlineStr">
        <is>
          <t>0151 928 5934</t>
        </is>
      </c>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Verified directory</t>
        </is>
      </c>
      <c r="Y162" s="5" t="inlineStr">
        <is>
          <t>Not Found</t>
        </is>
      </c>
      <c r="Z162" s="5" t="inlineStr">
        <is>
          <t>Low</t>
        </is>
      </c>
      <c r="AA162" s="5" t="inlineStr">
        <is>
          <t>Requires Verification</t>
        </is>
      </c>
      <c r="AB162" s="5" t="inlineStr">
        <is>
          <t>https://crosby-sefton.cylex-uk.co.uk/magazines.html</t>
        </is>
      </c>
    </row>
    <row r="163">
      <c r="A163" s="10" t="inlineStr">
        <is>
          <t>UK-000384</t>
        </is>
      </c>
      <c r="B163" s="10" t="inlineStr">
        <is>
          <t>UK-000384-01</t>
        </is>
      </c>
      <c r="C163" s="10" t="inlineStr"/>
      <c r="D163" s="10" t="inlineStr">
        <is>
          <t>TJ News &amp; Off Licence (Gorton)</t>
        </is>
      </c>
      <c r="E163" s="10" t="inlineStr">
        <is>
          <t>Newsagent</t>
        </is>
      </c>
      <c r="F163" s="10" t="inlineStr">
        <is>
          <t>Newsagent &amp; off-licence</t>
        </is>
      </c>
      <c r="G163" s="10" t="inlineStr">
        <is>
          <t>Independent</t>
        </is>
      </c>
      <c r="H163" s="10" t="inlineStr">
        <is>
          <t>1</t>
        </is>
      </c>
      <c r="I163" s="10" t="inlineStr"/>
      <c r="J163" s="10" t="inlineStr">
        <is>
          <t>Manchester</t>
        </is>
      </c>
      <c r="K163" s="10" t="inlineStr">
        <is>
          <t>M18 7GG</t>
        </is>
      </c>
      <c r="L163" s="10" t="inlineStr">
        <is>
          <t>0161 223 3020</t>
        </is>
      </c>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Verified directory</t>
        </is>
      </c>
      <c r="Y163" s="10" t="inlineStr">
        <is>
          <t>Not Found</t>
        </is>
      </c>
      <c r="Z163" s="10" t="inlineStr">
        <is>
          <t>Low</t>
        </is>
      </c>
      <c r="AA163" s="10" t="inlineStr">
        <is>
          <t>Requires Verification</t>
        </is>
      </c>
      <c r="AB163" s="10" t="inlineStr">
        <is>
          <t>https://www.touchlocal.com/search/off-licences/gorton</t>
        </is>
      </c>
    </row>
    <row r="164">
      <c r="A164" s="5" t="inlineStr">
        <is>
          <t>UK-000824</t>
        </is>
      </c>
      <c r="B164" s="5" t="inlineStr">
        <is>
          <t>UK-000824-01</t>
        </is>
      </c>
      <c r="C164" s="5" t="inlineStr"/>
      <c r="D164" s="5" t="inlineStr">
        <is>
          <t>The Dairy Convenience Store</t>
        </is>
      </c>
      <c r="E164" s="5" t="inlineStr">
        <is>
          <t>Convenience Store</t>
        </is>
      </c>
      <c r="F164" s="5" t="inlineStr">
        <is>
          <t>Grocer &amp; convenience store</t>
        </is>
      </c>
      <c r="G164" s="5" t="inlineStr">
        <is>
          <t>Independent</t>
        </is>
      </c>
      <c r="H164" s="5" t="inlineStr">
        <is>
          <t>1</t>
        </is>
      </c>
      <c r="I164" s="5" t="inlineStr">
        <is>
          <t>111A Broad Lane</t>
        </is>
      </c>
      <c r="J164" s="5" t="inlineStr">
        <is>
          <t>Liverpool</t>
        </is>
      </c>
      <c r="K164" s="5" t="inlineStr">
        <is>
          <t>L32 6QD</t>
        </is>
      </c>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https://kirkby.cylex-uk.co.uk/convenience-stores/</t>
        </is>
      </c>
    </row>
    <row r="165">
      <c r="A165" s="10" t="inlineStr">
        <is>
          <t>UK-000386</t>
        </is>
      </c>
      <c r="B165" s="10" t="inlineStr">
        <is>
          <t>UK-000386-01</t>
        </is>
      </c>
      <c r="C165" s="10" t="inlineStr"/>
      <c r="D165" s="10" t="inlineStr">
        <is>
          <t>The Local Ramsbottom</t>
        </is>
      </c>
      <c r="E165" s="10" t="inlineStr">
        <is>
          <t>Convenience Store</t>
        </is>
      </c>
      <c r="F165" s="10" t="inlineStr"/>
      <c r="G165" s="10" t="inlineStr">
        <is>
          <t>Independent</t>
        </is>
      </c>
      <c r="H165" s="10" t="inlineStr">
        <is>
          <t>1</t>
        </is>
      </c>
      <c r="I165" s="10" t="inlineStr">
        <is>
          <t>50 Bolton Road West</t>
        </is>
      </c>
      <c r="J165" s="10" t="inlineStr">
        <is>
          <t>Bury</t>
        </is>
      </c>
      <c r="K165" s="10" t="inlineStr">
        <is>
          <t>BL0 9ND</t>
        </is>
      </c>
      <c r="L165" s="10" t="inlineStr">
        <is>
          <t>01706 822265</t>
        </is>
      </c>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Verified directory</t>
        </is>
      </c>
      <c r="Y165" s="10" t="inlineStr">
        <is>
          <t>Not Found</t>
        </is>
      </c>
      <c r="Z165" s="10" t="inlineStr">
        <is>
          <t>Low</t>
        </is>
      </c>
      <c r="AA165" s="10" t="inlineStr">
        <is>
          <t>Requires Verification</t>
        </is>
      </c>
      <c r="AB165" s="10" t="inlineStr">
        <is>
          <t>https://the-local-ramsbottom.wheree.com/</t>
        </is>
      </c>
    </row>
    <row r="166">
      <c r="A166" s="5" t="inlineStr">
        <is>
          <t>UK-000521</t>
        </is>
      </c>
      <c r="B166" s="5" t="inlineStr">
        <is>
          <t>UK-000521-01</t>
        </is>
      </c>
      <c r="C166" s="5" t="inlineStr"/>
      <c r="D166" s="5" t="inlineStr">
        <is>
          <t>The Maltings Convenience Store</t>
        </is>
      </c>
      <c r="E166" s="5" t="inlineStr">
        <is>
          <t>Convenience Store</t>
        </is>
      </c>
      <c r="F166" s="5" t="inlineStr">
        <is>
          <t>Convenience store &amp; off-licence</t>
        </is>
      </c>
      <c r="G166" s="5" t="inlineStr">
        <is>
          <t>Independent</t>
        </is>
      </c>
      <c r="H166" s="5" t="inlineStr">
        <is>
          <t>1</t>
        </is>
      </c>
      <c r="I166" s="5" t="inlineStr">
        <is>
          <t>2 Anderson Road</t>
        </is>
      </c>
      <c r="J166" s="5" t="inlineStr">
        <is>
          <t>Smethwick</t>
        </is>
      </c>
      <c r="K166" s="5" t="inlineStr">
        <is>
          <t>B66 4AR</t>
        </is>
      </c>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Medium</t>
        </is>
      </c>
      <c r="AA166" s="5" t="inlineStr">
        <is>
          <t>Requires Verification</t>
        </is>
      </c>
      <c r="AB166" s="5" t="inlineStr">
        <is>
          <t>https://www.192.com/atoz/business/smethwick/convenience--stores/</t>
        </is>
      </c>
    </row>
    <row r="167">
      <c r="A167" s="10" t="inlineStr">
        <is>
          <t>UK-000395</t>
        </is>
      </c>
      <c r="B167" s="10" t="inlineStr">
        <is>
          <t>UK-000395-01</t>
        </is>
      </c>
      <c r="C167" s="10" t="inlineStr"/>
      <c r="D167" s="10" t="inlineStr">
        <is>
          <t>The Village Convenience Store</t>
        </is>
      </c>
      <c r="E167" s="10" t="inlineStr">
        <is>
          <t>Convenience Store</t>
        </is>
      </c>
      <c r="F167" s="10" t="inlineStr">
        <is>
          <t>Convenience &amp; off-licence</t>
        </is>
      </c>
      <c r="G167" s="10" t="inlineStr">
        <is>
          <t>Independent</t>
        </is>
      </c>
      <c r="H167" s="10" t="inlineStr">
        <is>
          <t>1</t>
        </is>
      </c>
      <c r="I167" s="10" t="inlineStr">
        <is>
          <t>728-730 Manchester Road</t>
        </is>
      </c>
      <c r="J167" s="10" t="inlineStr">
        <is>
          <t>Rochdale</t>
        </is>
      </c>
      <c r="K167" s="10" t="inlineStr">
        <is>
          <t>OL11 3AQ</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https://heywood.cylex-uk.co.uk/company/the-village-convenience-store-14674727.html</t>
        </is>
      </c>
    </row>
    <row r="168">
      <c r="A168" s="5" t="inlineStr">
        <is>
          <t>WY-0164</t>
        </is>
      </c>
      <c r="B168" s="5" t="inlineStr">
        <is>
          <t>WY-0164-01</t>
        </is>
      </c>
      <c r="C168" s="5" t="inlineStr"/>
      <c r="D168" s="5" t="inlineStr">
        <is>
          <t>Thornhill Convenience Store</t>
        </is>
      </c>
      <c r="E168" s="5" t="inlineStr">
        <is>
          <t>Convenience Store</t>
        </is>
      </c>
      <c r="F168" s="5" t="inlineStr">
        <is>
          <t>Convenience store</t>
        </is>
      </c>
      <c r="G168" s="5" t="inlineStr">
        <is>
          <t>Independent</t>
        </is>
      </c>
      <c r="H168" s="5" t="inlineStr">
        <is>
          <t>1</t>
        </is>
      </c>
      <c r="I168" s="5" t="inlineStr">
        <is>
          <t>1b Brewery Lane</t>
        </is>
      </c>
      <c r="J168" s="5" t="inlineStr">
        <is>
          <t>Dewsbury</t>
        </is>
      </c>
      <c r="K168" s="5" t="inlineStr">
        <is>
          <t>WF12 9DZ</t>
        </is>
      </c>
      <c r="L168" s="5" t="inlineStr">
        <is>
          <t>01924 462478</t>
        </is>
      </c>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Verified directory</t>
        </is>
      </c>
      <c r="Y168" s="5" t="inlineStr">
        <is>
          <t>Not Found</t>
        </is>
      </c>
      <c r="Z168" s="5" t="inlineStr">
        <is>
          <t>Medium</t>
        </is>
      </c>
      <c r="AA168" s="5" t="inlineStr">
        <is>
          <t>Requires Verification</t>
        </is>
      </c>
      <c r="AB168" s="5" t="inlineStr">
        <is>
          <t>https://dewsbury.cylex-uk.co.uk/company/thornhill-convenience-store-28660320.html</t>
        </is>
      </c>
    </row>
    <row r="169">
      <c r="A169" s="10" t="inlineStr">
        <is>
          <t>WY-0165</t>
        </is>
      </c>
      <c r="B169" s="10" t="inlineStr">
        <is>
          <t>WY-0165-01</t>
        </is>
      </c>
      <c r="C169" s="10" t="inlineStr"/>
      <c r="D169" s="10" t="inlineStr">
        <is>
          <t>Todmorden Newscentre</t>
        </is>
      </c>
      <c r="E169" s="10" t="inlineStr">
        <is>
          <t>Newsagent</t>
        </is>
      </c>
      <c r="F169" s="10" t="inlineStr">
        <is>
          <t>Newsagent with Amazon Counter parcel service</t>
        </is>
      </c>
      <c r="G169" s="10" t="inlineStr">
        <is>
          <t>Independent</t>
        </is>
      </c>
      <c r="H169" s="10" t="inlineStr">
        <is>
          <t>1</t>
        </is>
      </c>
      <c r="I169" s="10" t="inlineStr">
        <is>
          <t>15 Bridge Street</t>
        </is>
      </c>
      <c r="J169" s="10" t="inlineStr">
        <is>
          <t>Todmorden</t>
        </is>
      </c>
      <c r="K169" s="10" t="inlineStr">
        <is>
          <t>OL14 5AQ</t>
        </is>
      </c>
      <c r="L169" s="10" t="inlineStr">
        <is>
          <t>01706 819889</t>
        </is>
      </c>
      <c r="M169" s="10" t="inlineStr"/>
      <c r="N169" s="10" t="inlineStr"/>
      <c r="O169" s="10" t="inlineStr"/>
      <c r="P169" s="10" t="inlineStr"/>
      <c r="Q169" s="10" t="inlineStr"/>
      <c r="R169" s="10" t="inlineStr"/>
      <c r="S169" s="10" t="inlineStr"/>
      <c r="T169" s="10" t="inlineStr">
        <is>
          <t>07292504</t>
        </is>
      </c>
      <c r="U169" s="10" t="inlineStr">
        <is>
          <t>Active</t>
        </is>
      </c>
      <c r="V169" s="10" t="inlineStr">
        <is>
          <t>Low</t>
        </is>
      </c>
      <c r="W169" s="10" t="inlineStr">
        <is>
          <t>Independent retailer; Relevant category</t>
        </is>
      </c>
      <c r="X169" s="10" t="inlineStr">
        <is>
          <t>Verified directory</t>
        </is>
      </c>
      <c r="Y169" s="10" t="inlineStr">
        <is>
          <t>Not Found</t>
        </is>
      </c>
      <c r="Z169" s="10" t="inlineStr">
        <is>
          <t>Medium</t>
        </is>
      </c>
      <c r="AA169" s="10" t="inlineStr">
        <is>
          <t>Partially Verified</t>
        </is>
      </c>
      <c r="AB169" s="10" t="inlineStr">
        <is>
          <t>https://find-and-update.company-information.service.gov.uk/company/07292504</t>
        </is>
      </c>
    </row>
    <row r="170">
      <c r="A170" s="5" t="inlineStr">
        <is>
          <t>WY-0168</t>
        </is>
      </c>
      <c r="B170" s="5" t="inlineStr">
        <is>
          <t>WY-0168-01</t>
        </is>
      </c>
      <c r="C170" s="5" t="inlineStr"/>
      <c r="D170" s="5" t="inlineStr">
        <is>
          <t>Turners Food &amp; Wine</t>
        </is>
      </c>
      <c r="E170" s="5" t="inlineStr">
        <is>
          <t>Convenience Store</t>
        </is>
      </c>
      <c r="F170" s="5" t="inlineStr">
        <is>
          <t>Convenience store with off-licence</t>
        </is>
      </c>
      <c r="G170" s="5" t="inlineStr">
        <is>
          <t>Independent</t>
        </is>
      </c>
      <c r="H170" s="5" t="inlineStr">
        <is>
          <t>1</t>
        </is>
      </c>
      <c r="I170" s="5" t="inlineStr"/>
      <c r="J170" s="5" t="inlineStr">
        <is>
          <t>Leeds</t>
        </is>
      </c>
      <c r="K170" s="5" t="inlineStr"/>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https://www.yorkshire.com/leeds/shopping/off-license</t>
        </is>
      </c>
    </row>
    <row r="171">
      <c r="A171" s="10" t="inlineStr">
        <is>
          <t>UK-000682</t>
        </is>
      </c>
      <c r="B171" s="10" t="inlineStr">
        <is>
          <t>UK-000682-01</t>
        </is>
      </c>
      <c r="C171" s="10" t="inlineStr"/>
      <c r="D171" s="10" t="inlineStr">
        <is>
          <t>Victoria News</t>
        </is>
      </c>
      <c r="E171" s="10" t="inlineStr">
        <is>
          <t>Newsagent</t>
        </is>
      </c>
      <c r="F171" s="10" t="inlineStr">
        <is>
          <t>Newsagent &amp; convenience</t>
        </is>
      </c>
      <c r="G171" s="10" t="inlineStr">
        <is>
          <t>Independent</t>
        </is>
      </c>
      <c r="H171" s="10" t="inlineStr">
        <is>
          <t>1</t>
        </is>
      </c>
      <c r="I171" s="10" t="inlineStr">
        <is>
          <t>28 Strutton Ground</t>
        </is>
      </c>
      <c r="J171" s="10" t="inlineStr">
        <is>
          <t>London</t>
        </is>
      </c>
      <c r="K171" s="10" t="inlineStr">
        <is>
          <t>SW1P 2HR</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Low</t>
        </is>
      </c>
      <c r="AA171" s="10" t="inlineStr">
        <is>
          <t>Requires Verification</t>
        </is>
      </c>
      <c r="AB171" s="10" t="inlineStr">
        <is>
          <t>https://www.yell.com/biz/victoria-news-london-467809/</t>
        </is>
      </c>
    </row>
    <row r="172">
      <c r="A172" s="5" t="inlineStr">
        <is>
          <t>UK-000687</t>
        </is>
      </c>
      <c r="B172" s="5" t="inlineStr">
        <is>
          <t>UK-000687-01</t>
        </is>
      </c>
      <c r="C172" s="5" t="inlineStr"/>
      <c r="D172" s="5" t="inlineStr">
        <is>
          <t>West 9 Food &amp; Wine</t>
        </is>
      </c>
      <c r="E172" s="5" t="inlineStr">
        <is>
          <t>Convenience Store</t>
        </is>
      </c>
      <c r="F172" s="5" t="inlineStr">
        <is>
          <t>Convenience &amp; off-licence</t>
        </is>
      </c>
      <c r="G172" s="5" t="inlineStr">
        <is>
          <t>Independent</t>
        </is>
      </c>
      <c r="H172" s="5" t="inlineStr">
        <is>
          <t>1</t>
        </is>
      </c>
      <c r="I172" s="5" t="inlineStr"/>
      <c r="J172" s="5" t="inlineStr">
        <is>
          <t>Bethnal Green</t>
        </is>
      </c>
      <c r="K172" s="5" t="inlineStr">
        <is>
          <t>E2 0RN</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https://www.192.com/atoz/business/london-e2/general-and-convenience-stores/west-9-food-wine/a1f57525e024dcc489d3e9e2c58c38ed54e83d6f/ml/</t>
        </is>
      </c>
    </row>
    <row r="173">
      <c r="A173" s="10" t="inlineStr">
        <is>
          <t>UK-000544</t>
        </is>
      </c>
      <c r="B173" s="10" t="inlineStr">
        <is>
          <t>UK-000544-01</t>
        </is>
      </c>
      <c r="C173" s="10" t="inlineStr"/>
      <c r="D173" s="10" t="inlineStr">
        <is>
          <t>XO Convenience Store</t>
        </is>
      </c>
      <c r="E173" s="10" t="inlineStr">
        <is>
          <t>Convenience Store</t>
        </is>
      </c>
      <c r="F173" s="10" t="inlineStr">
        <is>
          <t>Convenience store</t>
        </is>
      </c>
      <c r="G173" s="10" t="inlineStr">
        <is>
          <t>Independent</t>
        </is>
      </c>
      <c r="H173" s="10" t="inlineStr">
        <is>
          <t>1</t>
        </is>
      </c>
      <c r="I173" s="10" t="inlineStr">
        <is>
          <t>1049 Pershore Road</t>
        </is>
      </c>
      <c r="J173" s="10" t="inlineStr">
        <is>
          <t>Birmingham</t>
        </is>
      </c>
      <c r="K173" s="10" t="inlineStr">
        <is>
          <t>B30 2YH</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https://wanderboat.ai/local-businesses/united-kingdom/birmingham/xo-convenience-store/qJ7jZ5ggTf-kodfvot4yHg</t>
        </is>
      </c>
    </row>
    <row r="174">
      <c r="A174" s="5" t="inlineStr">
        <is>
          <t>UK-000414</t>
        </is>
      </c>
      <c r="B174" s="5" t="inlineStr">
        <is>
          <t>UK-000414-01</t>
        </is>
      </c>
      <c r="C174" s="5" t="inlineStr"/>
      <c r="D174" s="5" t="inlineStr">
        <is>
          <t>Yo1stop Convenience Store</t>
        </is>
      </c>
      <c r="E174" s="5" t="inlineStr">
        <is>
          <t>Convenience Store</t>
        </is>
      </c>
      <c r="F174" s="5" t="inlineStr"/>
      <c r="G174" s="5" t="inlineStr">
        <is>
          <t>Independent</t>
        </is>
      </c>
      <c r="H174" s="5" t="inlineStr">
        <is>
          <t>1</t>
        </is>
      </c>
      <c r="I174" s="5" t="inlineStr">
        <is>
          <t>1 Middleton Road</t>
        </is>
      </c>
      <c r="J174" s="5" t="inlineStr">
        <is>
          <t>Heywood</t>
        </is>
      </c>
      <c r="K174" s="5" t="inlineStr">
        <is>
          <t>OL10 2HS</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https://heywood.cylex-uk.co.uk/convenience-stores/</t>
        </is>
      </c>
    </row>
    <row r="175">
      <c r="A175" s="10" t="inlineStr">
        <is>
          <t>UK-000415</t>
        </is>
      </c>
      <c r="B175" s="10" t="inlineStr">
        <is>
          <t>UK-000415-01</t>
        </is>
      </c>
      <c r="C175" s="10" t="inlineStr"/>
      <c r="D175" s="10" t="inlineStr">
        <is>
          <t>York Street Convenience Store</t>
        </is>
      </c>
      <c r="E175" s="10" t="inlineStr">
        <is>
          <t>Convenience Store</t>
        </is>
      </c>
      <c r="F175" s="10" t="inlineStr"/>
      <c r="G175" s="10" t="inlineStr">
        <is>
          <t>Independent</t>
        </is>
      </c>
      <c r="H175" s="10" t="inlineStr">
        <is>
          <t>1</t>
        </is>
      </c>
      <c r="I175" s="10" t="inlineStr">
        <is>
          <t>75 York Street</t>
        </is>
      </c>
      <c r="J175" s="10" t="inlineStr">
        <is>
          <t>Heywood</t>
        </is>
      </c>
      <c r="K175" s="10" t="inlineStr">
        <is>
          <t>OL10 4NR</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https://heywood.cylex-uk.co.uk/convenience-stores/</t>
        </is>
      </c>
    </row>
    <row r="176">
      <c r="A176" s="5" t="inlineStr">
        <is>
          <t>UK-000416</t>
        </is>
      </c>
      <c r="B176" s="5" t="inlineStr">
        <is>
          <t>UK-000416-01</t>
        </is>
      </c>
      <c r="C176" s="5" t="inlineStr"/>
      <c r="D176" s="5" t="inlineStr">
        <is>
          <t>Your Local Convenience Store (Eccles)</t>
        </is>
      </c>
      <c r="E176" s="5" t="inlineStr">
        <is>
          <t>Convenience Store</t>
        </is>
      </c>
      <c r="F176" s="5" t="inlineStr">
        <is>
          <t>Convenience &amp; off-licence</t>
        </is>
      </c>
      <c r="G176" s="5" t="inlineStr">
        <is>
          <t>Independent</t>
        </is>
      </c>
      <c r="H176" s="5" t="inlineStr">
        <is>
          <t>1</t>
        </is>
      </c>
      <c r="I176" s="5" t="inlineStr">
        <is>
          <t>135-139 Liverpool Road</t>
        </is>
      </c>
      <c r="J176" s="5" t="inlineStr">
        <is>
          <t>Eccles</t>
        </is>
      </c>
      <c r="K176" s="5" t="inlineStr">
        <is>
          <t>M30 0ND</t>
        </is>
      </c>
      <c r="L176" s="5" t="inlineStr">
        <is>
          <t>0161 707 2863</t>
        </is>
      </c>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Verified directory</t>
        </is>
      </c>
      <c r="Y176" s="5" t="inlineStr">
        <is>
          <t>Not Found</t>
        </is>
      </c>
      <c r="Z176" s="5" t="inlineStr">
        <is>
          <t>Low</t>
        </is>
      </c>
      <c r="AA176" s="5" t="inlineStr">
        <is>
          <t>Requires Verification</t>
        </is>
      </c>
      <c r="AB176" s="5" t="inlineStr">
        <is>
          <t>https://www.24houralcohol.co.uk/salford-off-licences</t>
        </is>
      </c>
    </row>
  </sheetData>
  <autoFilter ref="A1:AB17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UK-000309</t>
        </is>
      </c>
      <c r="B3" s="10" t="inlineStr">
        <is>
          <t>LONDIS-02</t>
        </is>
      </c>
      <c r="C3" s="10" t="inlineStr">
        <is>
          <t>Londis</t>
        </is>
      </c>
      <c r="D3" s="10" t="inlineStr">
        <is>
          <t>Shell Bramhall Service Station</t>
        </is>
      </c>
      <c r="E3" s="10" t="inlineStr">
        <is>
          <t>Petrol Station / Forecourt</t>
        </is>
      </c>
      <c r="F3" s="10" t="inlineStr">
        <is>
          <t>Forecourt convenience (symbol group)</t>
        </is>
      </c>
      <c r="G3" s="10" t="inlineStr">
        <is>
          <t>Franchise / Symbol Group</t>
        </is>
      </c>
      <c r="H3" s="10" t="inlineStr">
        <is>
          <t>1</t>
        </is>
      </c>
      <c r="I3" s="10" t="inlineStr"/>
      <c r="J3" s="10" t="inlineStr">
        <is>
          <t>Bramhall</t>
        </is>
      </c>
      <c r="K3" s="10" t="inlineStr"/>
      <c r="L3" s="10" t="inlineStr"/>
      <c r="M3" s="10" t="inlineStr"/>
      <c r="N3" s="10" t="inlineStr"/>
      <c r="O3" s="10" t="inlineStr">
        <is>
          <t>https://www.londis.co.uk/our-stores/shell-bramhall-service-station</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Website Found</t>
        </is>
      </c>
      <c r="Z3" s="10" t="inlineStr">
        <is>
          <t>Low</t>
        </is>
      </c>
      <c r="AA3" s="10" t="inlineStr">
        <is>
          <t>Requires Verification</t>
        </is>
      </c>
      <c r="AB3" s="10" t="inlineStr">
        <is>
          <t>https://www.londis.co.uk/our-stores/shell-bramhall-service-station</t>
        </is>
      </c>
    </row>
    <row r="4">
      <c r="A4" s="5" t="inlineStr">
        <is>
          <t>UK-000432</t>
        </is>
      </c>
      <c r="B4" s="5" t="inlineStr">
        <is>
          <t>LONDISBOOK-02</t>
        </is>
      </c>
      <c r="C4" s="5" t="inlineStr">
        <is>
          <t>Londis (Booker symbol group)</t>
        </is>
      </c>
      <c r="D4" s="5" t="inlineStr">
        <is>
          <t>Shell Yardley Wood Service Station</t>
        </is>
      </c>
      <c r="E4" s="5" t="inlineStr">
        <is>
          <t>Petrol Station / Forecourt</t>
        </is>
      </c>
      <c r="F4" s="5" t="inlineStr">
        <is>
          <t>Forecourt with Londis convenience store</t>
        </is>
      </c>
      <c r="G4" s="5" t="inlineStr">
        <is>
          <t>Franchise / Symbol Group</t>
        </is>
      </c>
      <c r="H4" s="5" t="inlineStr">
        <is>
          <t>1</t>
        </is>
      </c>
      <c r="I4" s="5" t="inlineStr">
        <is>
          <t>Yardley Wood Road</t>
        </is>
      </c>
      <c r="J4" s="5" t="inlineStr">
        <is>
          <t>Birmingham</t>
        </is>
      </c>
      <c r="K4" s="5" t="inlineStr">
        <is>
          <t>B14 4QA</t>
        </is>
      </c>
      <c r="L4" s="5" t="inlineStr">
        <is>
          <t>0121 474 4928</t>
        </is>
      </c>
      <c r="M4" s="5" t="inlineStr"/>
      <c r="N4" s="5" t="inlineStr"/>
      <c r="O4" s="5" t="inlineStr">
        <is>
          <t>https://www.londis.co.uk/our-stores/shell-yardley-wood-service-station</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Verified directory</t>
        </is>
      </c>
      <c r="Y4" s="5" t="inlineStr">
        <is>
          <t>Website Found</t>
        </is>
      </c>
      <c r="Z4" s="5" t="inlineStr">
        <is>
          <t>Medium</t>
        </is>
      </c>
      <c r="AA4" s="5" t="inlineStr">
        <is>
          <t>Requires Verification</t>
        </is>
      </c>
      <c r="AB4" s="5" t="inlineStr">
        <is>
          <t>https://www.londis.co.uk/our-stores/shell-yardley-wood-service-station</t>
        </is>
      </c>
    </row>
    <row r="5">
      <c r="A5" s="10" t="inlineStr">
        <is>
          <t>UK-000710</t>
        </is>
      </c>
      <c r="B5" s="10" t="inlineStr">
        <is>
          <t>LONDISSYMB-01</t>
        </is>
      </c>
      <c r="C5" s="10" t="inlineStr">
        <is>
          <t>Londis (symbol group); BP (fuel brand)</t>
        </is>
      </c>
      <c r="D5" s="10" t="inlineStr">
        <is>
          <t>BP Cliftonhill (Cliftonhill Service Station) / Londis</t>
        </is>
      </c>
      <c r="E5" s="10" t="inlineStr">
        <is>
          <t>Petrol Station / Forecourt</t>
        </is>
      </c>
      <c r="F5" s="10" t="inlineStr">
        <is>
          <t>Petrol forecourt with Londis convenience shop</t>
        </is>
      </c>
      <c r="G5" s="10" t="inlineStr">
        <is>
          <t>Franchise / Symbol Group</t>
        </is>
      </c>
      <c r="H5" s="10" t="inlineStr">
        <is>
          <t>1</t>
        </is>
      </c>
      <c r="I5" s="10" t="inlineStr">
        <is>
          <t>231 Main Street</t>
        </is>
      </c>
      <c r="J5" s="10" t="inlineStr">
        <is>
          <t>Coatbridge</t>
        </is>
      </c>
      <c r="K5" s="10" t="inlineStr">
        <is>
          <t>ML5 3RA</t>
        </is>
      </c>
      <c r="L5" s="10" t="inlineStr">
        <is>
          <t>01236 433242</t>
        </is>
      </c>
      <c r="M5" s="10" t="inlineStr"/>
      <c r="N5" s="10" t="inlineStr"/>
      <c r="O5" s="10" t="inlineStr"/>
      <c r="P5" s="10" t="inlineStr">
        <is>
          <t>https://www.facebook.com/BPCliftonhillLondis/</t>
        </is>
      </c>
      <c r="Q5" s="10" t="inlineStr"/>
      <c r="R5" s="10" t="inlineStr"/>
      <c r="S5" s="10" t="inlineStr"/>
      <c r="T5" s="10" t="inlineStr"/>
      <c r="U5" s="10" t="inlineStr"/>
      <c r="V5" s="10" t="inlineStr">
        <is>
          <t>Medium</t>
        </is>
      </c>
      <c r="W5" s="10" t="inlineStr">
        <is>
          <t>Multi-site retailer; Independent retailer; Relevant category; Social presence</t>
        </is>
      </c>
      <c r="X5" s="10" t="inlineStr">
        <is>
          <t>Verified directory</t>
        </is>
      </c>
      <c r="Y5" s="10" t="inlineStr">
        <is>
          <t>Not Found</t>
        </is>
      </c>
      <c r="Z5" s="10" t="inlineStr">
        <is>
          <t>Medium</t>
        </is>
      </c>
      <c r="AA5" s="10" t="inlineStr">
        <is>
          <t>Requires Verification</t>
        </is>
      </c>
      <c r="AB5" s="10" t="inlineStr">
        <is>
          <t>https://map.bp.com/en-GB/GB/petrol-station/coatbridge/cliftonhill-service-station/17708</t>
        </is>
      </c>
    </row>
    <row r="6">
      <c r="A6" s="5" t="inlineStr">
        <is>
          <t>UK-000318</t>
        </is>
      </c>
      <c r="B6" s="5" t="inlineStr">
        <is>
          <t>SGNRETAILC-01</t>
        </is>
      </c>
      <c r="C6" s="5" t="inlineStr">
        <is>
          <t>SGN Retail (Costcutter symbol group)</t>
        </is>
      </c>
      <c r="D6" s="5" t="inlineStr">
        <is>
          <t>Seedley Road Service Station (Costcutter, Salford)</t>
        </is>
      </c>
      <c r="E6" s="5" t="inlineStr">
        <is>
          <t>Petrol Station / Forecourt</t>
        </is>
      </c>
      <c r="F6" s="5" t="inlineStr">
        <is>
          <t>Forecourt convenience (Costcutter/BP)</t>
        </is>
      </c>
      <c r="G6" s="5" t="inlineStr">
        <is>
          <t>Franchise / Symbol Group</t>
        </is>
      </c>
      <c r="H6" s="5" t="inlineStr">
        <is>
          <t>1</t>
        </is>
      </c>
      <c r="I6" s="5" t="inlineStr">
        <is>
          <t>21 Seedley Road</t>
        </is>
      </c>
      <c r="J6" s="5" t="inlineStr">
        <is>
          <t>Salford</t>
        </is>
      </c>
      <c r="K6" s="5" t="inlineStr">
        <is>
          <t>M6 5WN</t>
        </is>
      </c>
      <c r="L6" s="5" t="inlineStr">
        <is>
          <t>0161 737 8126</t>
        </is>
      </c>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Verified directory</t>
        </is>
      </c>
      <c r="Y6" s="5" t="inlineStr">
        <is>
          <t>Not Found</t>
        </is>
      </c>
      <c r="Z6" s="5" t="inlineStr">
        <is>
          <t>Low</t>
        </is>
      </c>
      <c r="AA6" s="5" t="inlineStr">
        <is>
          <t>Requires Verification</t>
        </is>
      </c>
      <c r="AB6" s="5" t="inlineStr">
        <is>
          <t>https://www.24houralcohol.co.uk/salford-off-licences</t>
        </is>
      </c>
    </row>
    <row r="7">
      <c r="A7" s="10" t="inlineStr">
        <is>
          <t>WY-0025</t>
        </is>
      </c>
      <c r="B7" s="10" t="inlineStr">
        <is>
          <t>SAVILEPETR-01</t>
        </is>
      </c>
      <c r="C7" s="10" t="inlineStr">
        <is>
          <t>Savile Petroleum Limited</t>
        </is>
      </c>
      <c r="D7" s="10" t="inlineStr">
        <is>
          <t>Dewsbury Service Station (Savile Petroleum)</t>
        </is>
      </c>
      <c r="E7" s="10" t="inlineStr">
        <is>
          <t>Petrol Station / Forecourt</t>
        </is>
      </c>
      <c r="F7" s="10" t="inlineStr">
        <is>
          <t>BP-branded independent forecourt with convenience store</t>
        </is>
      </c>
      <c r="G7" s="10" t="inlineStr">
        <is>
          <t>Independent</t>
        </is>
      </c>
      <c r="H7" s="10" t="inlineStr">
        <is>
          <t>1</t>
        </is>
      </c>
      <c r="I7" s="10" t="inlineStr">
        <is>
          <t>Savile Road</t>
        </is>
      </c>
      <c r="J7" s="10" t="inlineStr">
        <is>
          <t>Dewsbury</t>
        </is>
      </c>
      <c r="K7" s="10" t="inlineStr">
        <is>
          <t>WF12 9LR</t>
        </is>
      </c>
      <c r="L7" s="10" t="inlineStr"/>
      <c r="M7" s="10" t="inlineStr"/>
      <c r="N7" s="10" t="inlineStr"/>
      <c r="O7" s="10" t="inlineStr"/>
      <c r="P7" s="10" t="inlineStr"/>
      <c r="Q7" s="10" t="inlineStr"/>
      <c r="R7" s="10" t="inlineStr"/>
      <c r="S7" s="10" t="inlineStr"/>
      <c r="T7" s="10" t="inlineStr">
        <is>
          <t>05197700</t>
        </is>
      </c>
      <c r="U7" s="10" t="inlineStr">
        <is>
          <t>Active</t>
        </is>
      </c>
      <c r="V7" s="10" t="inlineStr">
        <is>
          <t>Medium</t>
        </is>
      </c>
      <c r="W7" s="10" t="inlineStr">
        <is>
          <t>Multi-site retailer; Independent retailer; Relevant category</t>
        </is>
      </c>
      <c r="X7" s="10" t="inlineStr">
        <is>
          <t>Not Found</t>
        </is>
      </c>
      <c r="Y7" s="10" t="inlineStr">
        <is>
          <t>Not Found</t>
        </is>
      </c>
      <c r="Z7" s="10" t="inlineStr">
        <is>
          <t>Medium</t>
        </is>
      </c>
      <c r="AA7" s="10" t="inlineStr">
        <is>
          <t>Partially Verified</t>
        </is>
      </c>
      <c r="AB7" s="10" t="inlineStr">
        <is>
          <t>https://find-and-update.company-information.service.gov.uk/company/05197700</t>
        </is>
      </c>
    </row>
    <row r="8">
      <c r="A8" s="5" t="inlineStr">
        <is>
          <t>WY-0028</t>
        </is>
      </c>
      <c r="B8" s="5" t="inlineStr">
        <is>
          <t>SPEEDPETRO-01</t>
        </is>
      </c>
      <c r="C8" s="5" t="inlineStr">
        <is>
          <t>Speed Petroleum</t>
        </is>
      </c>
      <c r="D8" s="5" t="inlineStr">
        <is>
          <t>Glasshoughton Service Station</t>
        </is>
      </c>
      <c r="E8" s="5" t="inlineStr">
        <is>
          <t>Petrol Station / Forecourt</t>
        </is>
      </c>
      <c r="F8" s="5" t="inlineStr">
        <is>
          <t>BP-branded dealer forecourt with Nisa Local shop</t>
        </is>
      </c>
      <c r="G8" s="5" t="inlineStr">
        <is>
          <t>Franchise / Symbol Group</t>
        </is>
      </c>
      <c r="H8" s="5" t="inlineStr">
        <is>
          <t>1</t>
        </is>
      </c>
      <c r="I8" s="5" t="inlineStr">
        <is>
          <t>Park Road</t>
        </is>
      </c>
      <c r="J8" s="5" t="inlineStr">
        <is>
          <t>Castleford</t>
        </is>
      </c>
      <c r="K8" s="5" t="inlineStr">
        <is>
          <t>WF10 4RS</t>
        </is>
      </c>
      <c r="L8" s="5" t="inlineStr">
        <is>
          <t>01977 278353</t>
        </is>
      </c>
      <c r="M8" s="5" t="inlineStr"/>
      <c r="N8" s="5" t="inlineStr"/>
      <c r="O8" s="5" t="inlineStr">
        <is>
          <t>https://www.nisalocally.co.uk/stores/west-yorkshire/castleford/bp-glasshoughton-ser-st</t>
        </is>
      </c>
      <c r="P8" s="5" t="inlineStr"/>
      <c r="Q8" s="5" t="inlineStr"/>
      <c r="R8" s="5" t="inlineStr"/>
      <c r="S8" s="5" t="inlineStr"/>
      <c r="T8" s="5" t="inlineStr"/>
      <c r="U8" s="5" t="inlineStr"/>
      <c r="V8" s="5" t="inlineStr">
        <is>
          <t>Medium</t>
        </is>
      </c>
      <c r="W8" s="5" t="inlineStr">
        <is>
          <t>Multi-site retailer; Independent retailer; Relevant category; Active website</t>
        </is>
      </c>
      <c r="X8" s="5" t="inlineStr">
        <is>
          <t>Verified directory</t>
        </is>
      </c>
      <c r="Y8" s="5" t="inlineStr">
        <is>
          <t>Not Found</t>
        </is>
      </c>
      <c r="Z8" s="5" t="inlineStr">
        <is>
          <t>Medium</t>
        </is>
      </c>
      <c r="AA8" s="5" t="inlineStr">
        <is>
          <t>Requires Verification</t>
        </is>
      </c>
      <c r="AB8" s="5" t="inlineStr">
        <is>
          <t>https://www.nisalocally.co.uk/stores/west-yorkshire/castleford/bp-glasshoughton-ser-st</t>
        </is>
      </c>
    </row>
    <row r="9">
      <c r="A9" s="10" t="inlineStr">
        <is>
          <t>UK-000322</t>
        </is>
      </c>
      <c r="B9" s="10" t="inlineStr">
        <is>
          <t>TEXACOVALE-01</t>
        </is>
      </c>
      <c r="C9" s="10" t="inlineStr">
        <is>
          <t>Texaco (Valero brand)</t>
        </is>
      </c>
      <c r="D9" s="10" t="inlineStr">
        <is>
          <t>Texaco Horwich Service Station</t>
        </is>
      </c>
      <c r="E9" s="10" t="inlineStr">
        <is>
          <t>Petrol Station / Forecourt</t>
        </is>
      </c>
      <c r="F9" s="10" t="inlineStr">
        <is>
          <t>Branded fuel forecourt with shop</t>
        </is>
      </c>
      <c r="G9" s="10" t="inlineStr">
        <is>
          <t>Franchise / Symbol Group</t>
        </is>
      </c>
      <c r="H9" s="10" t="inlineStr">
        <is>
          <t>1</t>
        </is>
      </c>
      <c r="I9" s="10" t="inlineStr">
        <is>
          <t>427 Chorley New Road</t>
        </is>
      </c>
      <c r="J9" s="10" t="inlineStr">
        <is>
          <t>Bolton</t>
        </is>
      </c>
      <c r="K9" s="10" t="inlineStr">
        <is>
          <t>BL6 6DT</t>
        </is>
      </c>
      <c r="L9" s="10" t="inlineStr">
        <is>
          <t>01204 667182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Low</t>
        </is>
      </c>
      <c r="AA9" s="10" t="inlineStr">
        <is>
          <t>Requires Verification</t>
        </is>
      </c>
      <c r="AB9" s="10" t="inlineStr">
        <is>
          <t>https://petrolmap.co.uk/petrol-stations/lancashire/lancashire/horwich-sstn/6836</t>
        </is>
      </c>
    </row>
    <row r="10">
      <c r="A10" s="5" t="inlineStr">
        <is>
          <t>UK-000217</t>
        </is>
      </c>
      <c r="B10" s="5" t="inlineStr">
        <is>
          <t>VALLIFOREC-01</t>
        </is>
      </c>
      <c r="C10" s="5" t="inlineStr">
        <is>
          <t>Valli Forecourts</t>
        </is>
      </c>
      <c r="D10" s="5" t="inlineStr">
        <is>
          <t>Valli Forecourts (Bawtry Road)</t>
        </is>
      </c>
      <c r="E10" s="5" t="inlineStr">
        <is>
          <t>Petrol Station / Forecourt</t>
        </is>
      </c>
      <c r="F10" s="5" t="inlineStr">
        <is>
          <t>Independent forecourt with convenience store</t>
        </is>
      </c>
      <c r="G10" s="5" t="inlineStr">
        <is>
          <t>Multi-Site Independent</t>
        </is>
      </c>
      <c r="H10" s="5" t="inlineStr">
        <is>
          <t>1</t>
        </is>
      </c>
      <c r="I10" s="5" t="inlineStr">
        <is>
          <t>Bawtry Road</t>
        </is>
      </c>
      <c r="J10" s="5" t="inlineStr">
        <is>
          <t>Doncaster</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https://www.mylocalservices.co.uk/24+Hr+Petrol+Stations-Doncaster.html</t>
        </is>
      </c>
    </row>
    <row r="11">
      <c r="A11" s="10" t="inlineStr">
        <is>
          <t>WY-0034</t>
        </is>
      </c>
      <c r="B11" s="10" t="inlineStr">
        <is>
          <t>VALLIFOREC-01</t>
        </is>
      </c>
      <c r="C11" s="10" t="inlineStr">
        <is>
          <t>Valli Forecourts Ltd</t>
        </is>
      </c>
      <c r="D11" s="10" t="inlineStr">
        <is>
          <t>BP Gledhow Service Station (Valli Forecourts)</t>
        </is>
      </c>
      <c r="E11" s="10" t="inlineStr">
        <is>
          <t>Petrol Station / Forecourt</t>
        </is>
      </c>
      <c r="F11" s="10" t="inlineStr">
        <is>
          <t>BP-branded forecourt with convenience store</t>
        </is>
      </c>
      <c r="G11" s="10" t="inlineStr">
        <is>
          <t>Regional Chain</t>
        </is>
      </c>
      <c r="H11" s="10" t="inlineStr">
        <is>
          <t>16</t>
        </is>
      </c>
      <c r="I11" s="10" t="inlineStr"/>
      <c r="J11" s="10" t="inlineStr">
        <is>
          <t>Leeds</t>
        </is>
      </c>
      <c r="K11" s="10" t="inlineStr">
        <is>
          <t>LS8 4BU</t>
        </is>
      </c>
      <c r="L11" s="10" t="inlineStr"/>
      <c r="M11" s="10" t="inlineStr"/>
      <c r="N11" s="10" t="inlineStr"/>
      <c r="O11" s="10" t="inlineStr">
        <is>
          <t>https://valliforecourts.co.uk/</t>
        </is>
      </c>
      <c r="P11" s="10" t="inlineStr"/>
      <c r="Q11" s="10" t="inlineStr"/>
      <c r="R11" s="10" t="inlineStr"/>
      <c r="S11" s="10" t="inlineStr"/>
      <c r="T11" s="10" t="inlineStr"/>
      <c r="U11" s="10" t="inlineStr"/>
      <c r="V11" s="10" t="inlineStr">
        <is>
          <t>Medium</t>
        </is>
      </c>
      <c r="W11" s="10" t="inlineStr">
        <is>
          <t>Multi-site retailer; Relevant category; Active website</t>
        </is>
      </c>
      <c r="X11" s="10" t="inlineStr">
        <is>
          <t>Not Found</t>
        </is>
      </c>
      <c r="Y11" s="10" t="inlineStr">
        <is>
          <t>Website Found</t>
        </is>
      </c>
      <c r="Z11" s="10" t="inlineStr">
        <is>
          <t>Medium</t>
        </is>
      </c>
      <c r="AA11" s="10" t="inlineStr">
        <is>
          <t>Requires Verification</t>
        </is>
      </c>
      <c r="AB11" s="10" t="inlineStr">
        <is>
          <t>https://www.petrolprices.com/locations/huddersfield</t>
        </is>
      </c>
    </row>
    <row r="12">
      <c r="A12" s="5" t="inlineStr">
        <is>
          <t>WY-0035</t>
        </is>
      </c>
      <c r="B12" s="5" t="inlineStr">
        <is>
          <t>VALLIFOREC-02</t>
        </is>
      </c>
      <c r="C12" s="5" t="inlineStr">
        <is>
          <t>Valli Forecourts Ltd</t>
        </is>
      </c>
      <c r="D12" s="5" t="inlineStr">
        <is>
          <t>Valli Forecourts Ltd (Head Office)</t>
        </is>
      </c>
      <c r="E12" s="5" t="inlineStr">
        <is>
          <t>Petrol Station / Forecourt</t>
        </is>
      </c>
      <c r="F12" s="5" t="inlineStr">
        <is>
          <t>Independent forecourt group head office</t>
        </is>
      </c>
      <c r="G12" s="5" t="inlineStr">
        <is>
          <t>Regional Chain</t>
        </is>
      </c>
      <c r="H12" s="5" t="inlineStr">
        <is>
          <t>16</t>
        </is>
      </c>
      <c r="I12" s="5" t="inlineStr"/>
      <c r="J12" s="5" t="inlineStr">
        <is>
          <t>Leeds</t>
        </is>
      </c>
      <c r="K12" s="5" t="inlineStr"/>
      <c r="L12" s="5" t="inlineStr"/>
      <c r="M12" s="5" t="inlineStr"/>
      <c r="N12" s="5" t="inlineStr"/>
      <c r="O12" s="5" t="inlineStr">
        <is>
          <t>https://valliforecourts.co.uk/</t>
        </is>
      </c>
      <c r="P12" s="5" t="inlineStr"/>
      <c r="Q12" s="5" t="inlineStr"/>
      <c r="R12" s="5" t="inlineStr"/>
      <c r="S12" s="5" t="inlineStr"/>
      <c r="T12" s="5" t="inlineStr"/>
      <c r="U12" s="5" t="inlineStr"/>
      <c r="V12" s="5" t="inlineStr">
        <is>
          <t>Medium</t>
        </is>
      </c>
      <c r="W12" s="5" t="inlineStr">
        <is>
          <t>Multi-site retailer; Relevant category; Active website; Social presence</t>
        </is>
      </c>
      <c r="X12" s="5" t="inlineStr">
        <is>
          <t>Not Found</t>
        </is>
      </c>
      <c r="Y12" s="5" t="inlineStr">
        <is>
          <t>Website Found</t>
        </is>
      </c>
      <c r="Z12" s="5" t="inlineStr">
        <is>
          <t>Low</t>
        </is>
      </c>
      <c r="AA12" s="5" t="inlineStr">
        <is>
          <t>Requires Verification</t>
        </is>
      </c>
      <c r="AB12" s="5" t="inlineStr">
        <is>
          <t>https://www.yorkshire.com/moortown/transport/petrol-stations/valli-forecourts-ltd-head-office</t>
        </is>
      </c>
    </row>
    <row r="13">
      <c r="A13" s="10" t="inlineStr">
        <is>
          <t>WY-0077</t>
        </is>
      </c>
      <c r="B13" s="10" t="inlineStr">
        <is>
          <t>WY-0077-01</t>
        </is>
      </c>
      <c r="C13" s="10" t="inlineStr"/>
      <c r="D13" s="10" t="inlineStr">
        <is>
          <t>Cote Hill Filling Station</t>
        </is>
      </c>
      <c r="E13" s="10" t="inlineStr">
        <is>
          <t>Petrol Station / Forecourt</t>
        </is>
      </c>
      <c r="F13" s="10" t="inlineStr">
        <is>
          <t>Esso-branded independent forecourt with shop</t>
        </is>
      </c>
      <c r="G13" s="10" t="inlineStr">
        <is>
          <t>Independent</t>
        </is>
      </c>
      <c r="H13" s="10" t="inlineStr">
        <is>
          <t>1</t>
        </is>
      </c>
      <c r="I13" s="10" t="inlineStr">
        <is>
          <t>Burnley Road</t>
        </is>
      </c>
      <c r="J13" s="10" t="inlineStr">
        <is>
          <t>Halifax</t>
        </is>
      </c>
      <c r="K13" s="10" t="inlineStr">
        <is>
          <t>HX2 7NB</t>
        </is>
      </c>
      <c r="L13" s="10" t="inlineStr">
        <is>
          <t>01422 835350</t>
        </is>
      </c>
      <c r="M13" s="10" t="inlineStr">
        <is>
          <t>cotehillhalifax@gmail.com</t>
        </is>
      </c>
      <c r="N13" s="10" t="inlineStr"/>
      <c r="O13" s="10" t="inlineStr">
        <is>
          <t>https://www.cotehillhalifax.co.uk/</t>
        </is>
      </c>
      <c r="P13" s="10" t="inlineStr">
        <is>
          <t>https://www.facebook.com/cotehillhalifax/</t>
        </is>
      </c>
      <c r="Q13" s="10" t="inlineStr"/>
      <c r="R13" s="10" t="inlineStr"/>
      <c r="S13" s="10" t="inlineStr"/>
      <c r="T13" s="10" t="inlineStr"/>
      <c r="U13" s="10" t="inlineStr"/>
      <c r="V13" s="10" t="inlineStr">
        <is>
          <t>Medium</t>
        </is>
      </c>
      <c r="W13" s="10" t="inlineStr">
        <is>
          <t>Independent retailer; Relevant category; Public email available; Active website; Social presence</t>
        </is>
      </c>
      <c r="X13" s="10" t="inlineStr">
        <is>
          <t>Verified directory</t>
        </is>
      </c>
      <c r="Y13" s="10" t="inlineStr">
        <is>
          <t>Website Found</t>
        </is>
      </c>
      <c r="Z13" s="10" t="inlineStr">
        <is>
          <t>Medium</t>
        </is>
      </c>
      <c r="AA13" s="10" t="inlineStr">
        <is>
          <t>Partially Verified</t>
        </is>
      </c>
      <c r="AB13" s="10" t="inlineStr">
        <is>
          <t>https://www.cotehillhalifax.co.uk/</t>
        </is>
      </c>
    </row>
    <row r="14">
      <c r="A14" s="5" t="inlineStr">
        <is>
          <t>WY-0091</t>
        </is>
      </c>
      <c r="B14" s="5" t="inlineStr">
        <is>
          <t>WY-0091-01</t>
        </is>
      </c>
      <c r="C14" s="5" t="inlineStr"/>
      <c r="D14" s="5" t="inlineStr">
        <is>
          <t>Greengates Service Station</t>
        </is>
      </c>
      <c r="E14" s="5" t="inlineStr">
        <is>
          <t>Petrol Station / Forecourt</t>
        </is>
      </c>
      <c r="F14" s="5" t="inlineStr">
        <is>
          <t>Forecourt with shop</t>
        </is>
      </c>
      <c r="G14" s="5" t="inlineStr">
        <is>
          <t>Unknown</t>
        </is>
      </c>
      <c r="H14" s="5" t="inlineStr">
        <is>
          <t>1</t>
        </is>
      </c>
      <c r="I14" s="5" t="inlineStr"/>
      <c r="J14" s="5" t="inlineStr">
        <is>
          <t>Bradford</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Relevant category</t>
        </is>
      </c>
      <c r="X14" s="5" t="inlineStr">
        <is>
          <t>Not Found</t>
        </is>
      </c>
      <c r="Y14" s="5" t="inlineStr">
        <is>
          <t>Not Found</t>
        </is>
      </c>
      <c r="Z14" s="5" t="inlineStr">
        <is>
          <t>Low</t>
        </is>
      </c>
      <c r="AA14" s="5" t="inlineStr">
        <is>
          <t>Requires Verification</t>
        </is>
      </c>
      <c r="AB14" s="5" t="inlineStr">
        <is>
          <t>https://fuelmap.co.uk/forecourt/612/</t>
        </is>
      </c>
    </row>
    <row r="15">
      <c r="A15" s="10" t="inlineStr">
        <is>
          <t>UK-000251</t>
        </is>
      </c>
      <c r="B15" s="10" t="inlineStr">
        <is>
          <t>UK-000251-01</t>
        </is>
      </c>
      <c r="C15" s="10" t="inlineStr"/>
      <c r="D15" s="10" t="inlineStr">
        <is>
          <t>Greenroof Service Station</t>
        </is>
      </c>
      <c r="E15" s="10" t="inlineStr">
        <is>
          <t>Petrol Station / Forecourt</t>
        </is>
      </c>
      <c r="F15" s="10" t="inlineStr">
        <is>
          <t>Independent forecourt</t>
        </is>
      </c>
      <c r="G15" s="10" t="inlineStr">
        <is>
          <t>Independent</t>
        </is>
      </c>
      <c r="H15" s="10" t="inlineStr">
        <is>
          <t>1</t>
        </is>
      </c>
      <c r="I15" s="10" t="inlineStr">
        <is>
          <t>Low Street</t>
        </is>
      </c>
      <c r="J15" s="10" t="inlineStr">
        <is>
          <t>Goole</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https://directory.hinckleytimes.net/search/scunthorpe/petrol-service-stations</t>
        </is>
      </c>
    </row>
    <row r="16">
      <c r="A16" s="5" t="inlineStr">
        <is>
          <t>WY-0092</t>
        </is>
      </c>
      <c r="B16" s="5" t="inlineStr">
        <is>
          <t>WY-0092-01</t>
        </is>
      </c>
      <c r="C16" s="5" t="inlineStr"/>
      <c r="D16" s="5" t="inlineStr">
        <is>
          <t>Gulf Service Station Featherstone</t>
        </is>
      </c>
      <c r="E16" s="5" t="inlineStr">
        <is>
          <t>Petrol Station / Forecourt</t>
        </is>
      </c>
      <c r="F16" s="5" t="inlineStr">
        <is>
          <t>Gulf-branded dealer forecourt with shop</t>
        </is>
      </c>
      <c r="G16" s="5" t="inlineStr">
        <is>
          <t>Independent</t>
        </is>
      </c>
      <c r="H16" s="5" t="inlineStr">
        <is>
          <t>1</t>
        </is>
      </c>
      <c r="I16" s="5" t="inlineStr">
        <is>
          <t>Wakefield Road</t>
        </is>
      </c>
      <c r="J16" s="5" t="inlineStr">
        <is>
          <t>Featherstone</t>
        </is>
      </c>
      <c r="K16" s="5" t="inlineStr">
        <is>
          <t>WF7 5BP</t>
        </is>
      </c>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https://www.yorkshire.com/featherstone/services/petrol-stations</t>
        </is>
      </c>
    </row>
    <row r="17">
      <c r="A17" s="10" t="inlineStr">
        <is>
          <t>UK-000476</t>
        </is>
      </c>
      <c r="B17" s="10" t="inlineStr">
        <is>
          <t>UK-000476-01</t>
        </is>
      </c>
      <c r="C17" s="10" t="inlineStr"/>
      <c r="D17" s="10" t="inlineStr">
        <is>
          <t>Hall Green PFS</t>
        </is>
      </c>
      <c r="E17" s="10" t="inlineStr">
        <is>
          <t>Petrol Station / Forecourt</t>
        </is>
      </c>
      <c r="F17" s="10" t="inlineStr">
        <is>
          <t>Petrol filling station with forecourt shop</t>
        </is>
      </c>
      <c r="G17" s="10" t="inlineStr">
        <is>
          <t>Unknown</t>
        </is>
      </c>
      <c r="H17" s="10" t="inlineStr">
        <is>
          <t>1</t>
        </is>
      </c>
      <c r="I17" s="10" t="inlineStr">
        <is>
          <t>Stratford Road</t>
        </is>
      </c>
      <c r="J17" s="10" t="inlineStr">
        <is>
          <t>Birmingham</t>
        </is>
      </c>
      <c r="K17" s="10" t="inlineStr">
        <is>
          <t>B28 8BN</t>
        </is>
      </c>
      <c r="L17" s="10" t="inlineStr"/>
      <c r="M17" s="10" t="inlineStr"/>
      <c r="N17" s="10" t="inlineStr"/>
      <c r="O17" s="10" t="inlineStr">
        <is>
          <t>https://eg-otm.com/locations/Birmingham/HALL/hall-green-pfs</t>
        </is>
      </c>
      <c r="P17" s="10" t="inlineStr"/>
      <c r="Q17" s="10" t="inlineStr"/>
      <c r="R17" s="10" t="inlineStr"/>
      <c r="S17" s="10" t="inlineStr"/>
      <c r="T17" s="10" t="inlineStr"/>
      <c r="U17" s="10" t="inlineStr"/>
      <c r="V17" s="10" t="inlineStr">
        <is>
          <t>Low</t>
        </is>
      </c>
      <c r="W17" s="10" t="inlineStr">
        <is>
          <t>Relevant category; Active website</t>
        </is>
      </c>
      <c r="X17" s="10" t="inlineStr">
        <is>
          <t>Not Found</t>
        </is>
      </c>
      <c r="Y17" s="10" t="inlineStr">
        <is>
          <t>Website Found</t>
        </is>
      </c>
      <c r="Z17" s="10" t="inlineStr">
        <is>
          <t>Low</t>
        </is>
      </c>
      <c r="AA17" s="10" t="inlineStr">
        <is>
          <t>Requires Verification</t>
        </is>
      </c>
      <c r="AB17" s="10" t="inlineStr">
        <is>
          <t>https://eg-otm.com/locations/Birmingham/HALL/hall-green-pfs</t>
        </is>
      </c>
    </row>
    <row r="18">
      <c r="A18" s="5" t="inlineStr">
        <is>
          <t>UK-000254</t>
        </is>
      </c>
      <c r="B18" s="5" t="inlineStr">
        <is>
          <t>UK-000254-01</t>
        </is>
      </c>
      <c r="C18" s="5" t="inlineStr"/>
      <c r="D18" s="5" t="inlineStr">
        <is>
          <t>Harvest Service Station</t>
        </is>
      </c>
      <c r="E18" s="5" t="inlineStr">
        <is>
          <t>Petrol Station / Forecourt</t>
        </is>
      </c>
      <c r="F18" s="5" t="inlineStr">
        <is>
          <t>Independent forecourt with convenience store</t>
        </is>
      </c>
      <c r="G18" s="5" t="inlineStr">
        <is>
          <t>Independent</t>
        </is>
      </c>
      <c r="H18" s="5" t="inlineStr">
        <is>
          <t>1</t>
        </is>
      </c>
      <c r="I18" s="5" t="inlineStr">
        <is>
          <t>Wheatley Hall Road</t>
        </is>
      </c>
      <c r="J18" s="5" t="inlineStr">
        <is>
          <t>Doncaster</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https://www.mylocalservices.co.uk/24+Hr+Petrol+Stations-Doncaster.html</t>
        </is>
      </c>
    </row>
    <row r="19">
      <c r="A19" s="10" t="inlineStr">
        <is>
          <t>WY-0095</t>
        </is>
      </c>
      <c r="B19" s="10" t="inlineStr">
        <is>
          <t>WY-0095-01</t>
        </is>
      </c>
      <c r="C19" s="10" t="inlineStr"/>
      <c r="D19" s="10" t="inlineStr">
        <is>
          <t>Heckmondwike Service Station</t>
        </is>
      </c>
      <c r="E19" s="10" t="inlineStr">
        <is>
          <t>Petrol Station / Forecourt</t>
        </is>
      </c>
      <c r="F19" s="10" t="inlineStr">
        <is>
          <t>BP-branded forecourt with shop</t>
        </is>
      </c>
      <c r="G19" s="10" t="inlineStr">
        <is>
          <t>Unknown</t>
        </is>
      </c>
      <c r="H19" s="10" t="inlineStr">
        <is>
          <t>1</t>
        </is>
      </c>
      <c r="I19" s="10" t="inlineStr">
        <is>
          <t>Halifax Road</t>
        </is>
      </c>
      <c r="J19" s="10" t="inlineStr">
        <is>
          <t>Heckmondwike</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Relevant category</t>
        </is>
      </c>
      <c r="X19" s="10" t="inlineStr">
        <is>
          <t>Not Found</t>
        </is>
      </c>
      <c r="Y19" s="10" t="inlineStr">
        <is>
          <t>Not Found</t>
        </is>
      </c>
      <c r="Z19" s="10" t="inlineStr">
        <is>
          <t>Low</t>
        </is>
      </c>
      <c r="AA19" s="10" t="inlineStr">
        <is>
          <t>Requires Verification</t>
        </is>
      </c>
      <c r="AB19" s="10" t="inlineStr">
        <is>
          <t>https://map.bp.com/en-US/GB/gas-station/dewsbury/heckmondwike-service-station/137101962</t>
        </is>
      </c>
    </row>
    <row r="20">
      <c r="A20" s="5" t="inlineStr">
        <is>
          <t>WY-0132</t>
        </is>
      </c>
      <c r="B20" s="5" t="inlineStr">
        <is>
          <t>WY-0132-01</t>
        </is>
      </c>
      <c r="C20" s="5" t="inlineStr"/>
      <c r="D20" s="5" t="inlineStr">
        <is>
          <t>Phoenix Filling Station</t>
        </is>
      </c>
      <c r="E20" s="5" t="inlineStr">
        <is>
          <t>Petrol Station / Forecourt</t>
        </is>
      </c>
      <c r="F20" s="5" t="inlineStr">
        <is>
          <t>Independent BP-branded 24-hour forecourt with shop</t>
        </is>
      </c>
      <c r="G20" s="5" t="inlineStr">
        <is>
          <t>Independent</t>
        </is>
      </c>
      <c r="H20" s="5" t="inlineStr">
        <is>
          <t>1</t>
        </is>
      </c>
      <c r="I20" s="5" t="inlineStr">
        <is>
          <t>93 Listerhills Road</t>
        </is>
      </c>
      <c r="J20" s="5" t="inlineStr">
        <is>
          <t>Bradford</t>
        </is>
      </c>
      <c r="K20" s="5" t="inlineStr">
        <is>
          <t>BD7 1JT</t>
        </is>
      </c>
      <c r="L20" s="5" t="inlineStr">
        <is>
          <t>01274 721896</t>
        </is>
      </c>
      <c r="M20" s="5" t="inlineStr"/>
      <c r="N20" s="5" t="inlineStr"/>
      <c r="O20" s="5" t="inlineStr"/>
      <c r="P20" s="5" t="inlineStr">
        <is>
          <t>https://www.facebook.com/phoenixFST/</t>
        </is>
      </c>
      <c r="Q20" s="5" t="inlineStr"/>
      <c r="R20" s="5" t="inlineStr"/>
      <c r="S20" s="5" t="inlineStr"/>
      <c r="T20" s="5" t="inlineStr">
        <is>
          <t>11511613</t>
        </is>
      </c>
      <c r="U20" s="5" t="inlineStr"/>
      <c r="V20" s="5" t="inlineStr">
        <is>
          <t>Medium</t>
        </is>
      </c>
      <c r="W20" s="5" t="inlineStr">
        <is>
          <t>Independent retailer; Relevant category; Social presence</t>
        </is>
      </c>
      <c r="X20" s="5" t="inlineStr">
        <is>
          <t>Verified directory</t>
        </is>
      </c>
      <c r="Y20" s="5" t="inlineStr">
        <is>
          <t>Not Found</t>
        </is>
      </c>
      <c r="Z20" s="5" t="inlineStr">
        <is>
          <t>Medium</t>
        </is>
      </c>
      <c r="AA20" s="5" t="inlineStr">
        <is>
          <t>Partially Verified</t>
        </is>
      </c>
      <c r="AB20" s="5" t="inlineStr">
        <is>
          <t>https://find-and-update.company-information.service.gov.uk/company/11511613</t>
        </is>
      </c>
    </row>
    <row r="21">
      <c r="A21" s="10" t="inlineStr">
        <is>
          <t>WY-0152</t>
        </is>
      </c>
      <c r="B21" s="10" t="inlineStr">
        <is>
          <t>WY-0152-01</t>
        </is>
      </c>
      <c r="C21" s="10" t="inlineStr"/>
      <c r="D21" s="10" t="inlineStr">
        <is>
          <t>Springfield Garage (Keighley)</t>
        </is>
      </c>
      <c r="E21" s="10" t="inlineStr">
        <is>
          <t>Petrol Station / Forecourt</t>
        </is>
      </c>
      <c r="F21" s="10" t="inlineStr">
        <is>
          <t>Independent Gulf-branded forecourt with shop</t>
        </is>
      </c>
      <c r="G21" s="10" t="inlineStr">
        <is>
          <t>Independent</t>
        </is>
      </c>
      <c r="H21" s="10" t="inlineStr">
        <is>
          <t>1</t>
        </is>
      </c>
      <c r="I21" s="10" t="inlineStr">
        <is>
          <t>Oakworth Road</t>
        </is>
      </c>
      <c r="J21" s="10" t="inlineStr">
        <is>
          <t>Keighley</t>
        </is>
      </c>
      <c r="K21" s="10" t="inlineStr">
        <is>
          <t>BD21 1QQ</t>
        </is>
      </c>
      <c r="L21" s="10" t="inlineStr">
        <is>
          <t>01535 604629</t>
        </is>
      </c>
      <c r="M21" s="10" t="inlineStr"/>
      <c r="N21" s="10" t="inlineStr"/>
      <c r="O21" s="10" t="inlineStr"/>
      <c r="P21" s="10" t="inlineStr"/>
      <c r="Q21" s="10" t="inlineStr"/>
      <c r="R21" s="10" t="inlineStr"/>
      <c r="S21" s="10" t="inlineStr"/>
      <c r="T21" s="10" t="inlineStr">
        <is>
          <t>00871540</t>
        </is>
      </c>
      <c r="U21" s="10" t="inlineStr"/>
      <c r="V21" s="10" t="inlineStr">
        <is>
          <t>Low</t>
        </is>
      </c>
      <c r="W21" s="10" t="inlineStr">
        <is>
          <t>Independent retailer; Relevant category</t>
        </is>
      </c>
      <c r="X21" s="10" t="inlineStr">
        <is>
          <t>Verified directory</t>
        </is>
      </c>
      <c r="Y21" s="10" t="inlineStr">
        <is>
          <t>Not Found</t>
        </is>
      </c>
      <c r="Z21" s="10" t="inlineStr">
        <is>
          <t>Medium</t>
        </is>
      </c>
      <c r="AA21" s="10" t="inlineStr">
        <is>
          <t>Partially Verified</t>
        </is>
      </c>
      <c r="AB21" s="10" t="inlineStr">
        <is>
          <t>https://find-and-update.company-information.service.gov.uk/company/00871540</t>
        </is>
      </c>
    </row>
    <row r="22">
      <c r="A22" s="5" t="inlineStr">
        <is>
          <t>WY-0155</t>
        </is>
      </c>
      <c r="B22" s="5" t="inlineStr">
        <is>
          <t>WY-0155-01</t>
        </is>
      </c>
      <c r="C22" s="5" t="inlineStr"/>
      <c r="D22" s="5" t="inlineStr">
        <is>
          <t>Stringers Service Station</t>
        </is>
      </c>
      <c r="E22" s="5" t="inlineStr">
        <is>
          <t>Petrol Station / Forecourt</t>
        </is>
      </c>
      <c r="F22" s="5" t="inlineStr">
        <is>
          <t>Independent forecourt (Murco fuel) with shop</t>
        </is>
      </c>
      <c r="G22" s="5" t="inlineStr">
        <is>
          <t>Independent</t>
        </is>
      </c>
      <c r="H22" s="5" t="inlineStr">
        <is>
          <t>1</t>
        </is>
      </c>
      <c r="I22" s="5" t="inlineStr">
        <is>
          <t>102 Southgate</t>
        </is>
      </c>
      <c r="J22" s="5" t="inlineStr">
        <is>
          <t>Pontefract</t>
        </is>
      </c>
      <c r="K22" s="5" t="inlineStr">
        <is>
          <t>WF8 1PN</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Medium</t>
        </is>
      </c>
      <c r="AA22" s="5" t="inlineStr">
        <is>
          <t>Requires Verification</t>
        </is>
      </c>
      <c r="AB22" s="5" t="inlineStr">
        <is>
          <t>https://www.petrolprices.com/locations/pontefract/grove-road/6837</t>
        </is>
      </c>
    </row>
    <row r="23">
      <c r="A23" s="10" t="inlineStr">
        <is>
          <t>WY-0185</t>
        </is>
      </c>
      <c r="B23" s="10" t="inlineStr">
        <is>
          <t>WY-0185-01</t>
        </is>
      </c>
      <c r="C23" s="10" t="inlineStr"/>
      <c r="D23" s="10" t="inlineStr">
        <is>
          <t>Wakefield Road Service Station (Featherstone)</t>
        </is>
      </c>
      <c r="E23" s="10" t="inlineStr">
        <is>
          <t>Petrol Station / Forecourt</t>
        </is>
      </c>
      <c r="F23" s="10" t="inlineStr">
        <is>
          <t>Forecourt with convenience store</t>
        </is>
      </c>
      <c r="G23" s="10" t="inlineStr">
        <is>
          <t>Multi-Site Independent</t>
        </is>
      </c>
      <c r="H23" s="10" t="inlineStr">
        <is>
          <t>3</t>
        </is>
      </c>
      <c r="I23" s="10" t="inlineStr">
        <is>
          <t>Wakefield Road</t>
        </is>
      </c>
      <c r="J23" s="10" t="inlineStr">
        <is>
          <t>Featherstone</t>
        </is>
      </c>
      <c r="K23" s="10" t="inlineStr"/>
      <c r="L23" s="10" t="inlineStr"/>
      <c r="M23" s="10" t="inlineStr"/>
      <c r="N23" s="10" t="inlineStr"/>
      <c r="O23" s="10" t="inlineStr"/>
      <c r="P23" s="10" t="inlineStr"/>
      <c r="Q23" s="10" t="inlineStr"/>
      <c r="R23" s="10" t="inlineStr">
        <is>
          <t>Saqib Javaid; Zeeshan Ali</t>
        </is>
      </c>
      <c r="S23" s="10" t="inlineStr">
        <is>
          <t>Owners / Operators</t>
        </is>
      </c>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https://forecourttrader.co.uk/latest-news/forecourt-operator-duo-add-wakefield-road-service-station-to-portfolio/708047.article</t>
        </is>
      </c>
    </row>
    <row r="24">
      <c r="A24" s="5" t="inlineStr">
        <is>
          <t>WY-0190</t>
        </is>
      </c>
      <c r="B24" s="5" t="inlineStr">
        <is>
          <t>WY-0190-01</t>
        </is>
      </c>
      <c r="C24" s="5" t="inlineStr"/>
      <c r="D24" s="5" t="inlineStr">
        <is>
          <t>Yorkshire Fuels (Green Lane Service Station)</t>
        </is>
      </c>
      <c r="E24" s="5" t="inlineStr">
        <is>
          <t>Petrol Station / Forecourt</t>
        </is>
      </c>
      <c r="F24" s="5" t="inlineStr">
        <is>
          <t>24-hour forecourt with convenience store</t>
        </is>
      </c>
      <c r="G24" s="5" t="inlineStr">
        <is>
          <t>Independent</t>
        </is>
      </c>
      <c r="H24" s="5" t="inlineStr">
        <is>
          <t>1</t>
        </is>
      </c>
      <c r="I24" s="5" t="inlineStr">
        <is>
          <t>Green Lane</t>
        </is>
      </c>
      <c r="J24" s="5" t="inlineStr">
        <is>
          <t>Yeadon</t>
        </is>
      </c>
      <c r="K24" s="5" t="inlineStr">
        <is>
          <t>LS19 7BU</t>
        </is>
      </c>
      <c r="L24" s="5" t="inlineStr"/>
      <c r="M24" s="5" t="inlineStr"/>
      <c r="N24" s="5" t="inlineStr"/>
      <c r="O24" s="5" t="inlineStr"/>
      <c r="P24" s="5" t="inlineStr"/>
      <c r="Q24" s="5" t="inlineStr"/>
      <c r="R24" s="5" t="inlineStr"/>
      <c r="S24" s="5" t="inlineStr"/>
      <c r="T24" s="5" t="inlineStr">
        <is>
          <t>14479452</t>
        </is>
      </c>
      <c r="U24" s="5" t="inlineStr">
        <is>
          <t>Active</t>
        </is>
      </c>
      <c r="V24" s="5" t="inlineStr">
        <is>
          <t>Low</t>
        </is>
      </c>
      <c r="W24" s="5" t="inlineStr">
        <is>
          <t>Independent retailer; Relevant category</t>
        </is>
      </c>
      <c r="X24" s="5" t="inlineStr">
        <is>
          <t>Not Found</t>
        </is>
      </c>
      <c r="Y24" s="5" t="inlineStr">
        <is>
          <t>Not Found</t>
        </is>
      </c>
      <c r="Z24" s="5" t="inlineStr">
        <is>
          <t>Medium</t>
        </is>
      </c>
      <c r="AA24" s="5" t="inlineStr">
        <is>
          <t>Partially Verified</t>
        </is>
      </c>
      <c r="AB24" s="5" t="inlineStr">
        <is>
          <t>https://find-and-update.company-information.service.gov.uk/company/14479452</t>
        </is>
      </c>
    </row>
  </sheetData>
  <autoFilter ref="A1:AB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2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0"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UK-000691</t>
        </is>
      </c>
      <c r="B2" s="5" t="inlineStr">
        <is>
          <t>BARGAINBOO-01</t>
        </is>
      </c>
      <c r="C2" s="5" t="inlineStr">
        <is>
          <t>Bargain Booze (Bestway Retail)</t>
        </is>
      </c>
      <c r="D2" s="5" t="inlineStr">
        <is>
          <t>Bargain Booze - Lord Street Southport</t>
        </is>
      </c>
      <c r="E2" s="5" t="inlineStr">
        <is>
          <t>Off-Licence</t>
        </is>
      </c>
      <c r="F2" s="5" t="inlineStr">
        <is>
          <t>Off-licence / convenience with Post Office</t>
        </is>
      </c>
      <c r="G2" s="5" t="inlineStr">
        <is>
          <t>Franchise / Symbol Group</t>
        </is>
      </c>
      <c r="H2" s="5" t="inlineStr">
        <is>
          <t>1</t>
        </is>
      </c>
      <c r="I2" s="5" t="inlineStr">
        <is>
          <t>597-599 Lord Street</t>
        </is>
      </c>
      <c r="J2" s="5" t="inlineStr">
        <is>
          <t>Southport</t>
        </is>
      </c>
      <c r="K2" s="5" t="inlineStr"/>
      <c r="L2" s="5" t="inlineStr">
        <is>
          <t>01704 534826</t>
        </is>
      </c>
      <c r="M2" s="5" t="inlineStr"/>
      <c r="N2" s="5" t="inlineStr"/>
      <c r="O2" s="5" t="inlineStr">
        <is>
          <t>https://branches.bargainbooze.co.uk/southport/597-599-lord-street.html</t>
        </is>
      </c>
      <c r="P2" s="5" t="inlineStr"/>
      <c r="Q2" s="5" t="inlineStr"/>
      <c r="R2" s="5" t="inlineStr"/>
      <c r="S2" s="5" t="inlineStr"/>
      <c r="T2" s="5" t="inlineStr"/>
      <c r="U2" s="5" t="inlineStr"/>
      <c r="V2" s="5" t="inlineStr">
        <is>
          <t>Medium</t>
        </is>
      </c>
      <c r="W2" s="5" t="inlineStr">
        <is>
          <t>Multi-site retailer; Independent retailer; Relevant category; Active website</t>
        </is>
      </c>
      <c r="X2" s="5" t="inlineStr">
        <is>
          <t>Verified directory</t>
        </is>
      </c>
      <c r="Y2" s="5" t="inlineStr">
        <is>
          <t>Website Found</t>
        </is>
      </c>
      <c r="Z2" s="5" t="inlineStr">
        <is>
          <t>Medium</t>
        </is>
      </c>
      <c r="AA2" s="5" t="inlineStr">
        <is>
          <t>Requires Verification</t>
        </is>
      </c>
      <c r="AB2" s="5" t="inlineStr">
        <is>
          <t>https://branches.bargainbooze.co.uk/southport/597-599-lord-street.html</t>
        </is>
      </c>
    </row>
    <row r="3">
      <c r="A3" s="10" t="inlineStr">
        <is>
          <t>UK-000297</t>
        </is>
      </c>
      <c r="B3" s="10" t="inlineStr">
        <is>
          <t>BARGAINBOO-02</t>
        </is>
      </c>
      <c r="C3" s="10" t="inlineStr">
        <is>
          <t>Bargain Booze (Bestway Retail)</t>
        </is>
      </c>
      <c r="D3" s="10" t="inlineStr">
        <is>
          <t>Bargain Booze Plus Ashton-in-Makerfield</t>
        </is>
      </c>
      <c r="E3" s="10" t="inlineStr">
        <is>
          <t>Off-Licence</t>
        </is>
      </c>
      <c r="F3" s="10" t="inlineStr">
        <is>
          <t>Off-licence and convenience</t>
        </is>
      </c>
      <c r="G3" s="10" t="inlineStr">
        <is>
          <t>Franchise / Symbol Group</t>
        </is>
      </c>
      <c r="H3" s="10" t="inlineStr">
        <is>
          <t>1</t>
        </is>
      </c>
      <c r="I3" s="10" t="inlineStr">
        <is>
          <t>333-333a Wigan Road</t>
        </is>
      </c>
      <c r="J3" s="10" t="inlineStr">
        <is>
          <t>Wigan</t>
        </is>
      </c>
      <c r="K3" s="10" t="inlineStr">
        <is>
          <t>WN4 9SX</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https://directory.gazettelive.co.uk/company/438385185382400</t>
        </is>
      </c>
    </row>
    <row r="4">
      <c r="A4" s="5" t="inlineStr">
        <is>
          <t>UK-000692</t>
        </is>
      </c>
      <c r="B4" s="5" t="inlineStr">
        <is>
          <t>BARGAINBOO-03</t>
        </is>
      </c>
      <c r="C4" s="5" t="inlineStr">
        <is>
          <t>Bargain Booze (Bestway Retail)</t>
        </is>
      </c>
      <c r="D4" s="5" t="inlineStr">
        <is>
          <t>Bargain Booze Select Convenience - Newton-le-Willows</t>
        </is>
      </c>
      <c r="E4" s="5" t="inlineStr">
        <is>
          <t>Off-Licence</t>
        </is>
      </c>
      <c r="F4" s="5" t="inlineStr">
        <is>
          <t>Off-licence / convenience (symbol group)</t>
        </is>
      </c>
      <c r="G4" s="5" t="inlineStr">
        <is>
          <t>Franchise / Symbol Group</t>
        </is>
      </c>
      <c r="H4" s="5" t="inlineStr">
        <is>
          <t>1</t>
        </is>
      </c>
      <c r="I4" s="5" t="inlineStr">
        <is>
          <t>76b High Street</t>
        </is>
      </c>
      <c r="J4" s="5" t="inlineStr">
        <is>
          <t>Newton-le-Willows</t>
        </is>
      </c>
      <c r="K4" s="5" t="inlineStr">
        <is>
          <t>WA12 9SH</t>
        </is>
      </c>
      <c r="L4" s="5" t="inlineStr"/>
      <c r="M4" s="5" t="inlineStr"/>
      <c r="N4" s="5" t="inlineStr"/>
      <c r="O4" s="5" t="inlineStr">
        <is>
          <t>https://branches.bargainbooze.co.uk/newton-le-willows/76b-high-street.html</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Not Found</t>
        </is>
      </c>
      <c r="Y4" s="5" t="inlineStr">
        <is>
          <t>Website Found</t>
        </is>
      </c>
      <c r="Z4" s="5" t="inlineStr">
        <is>
          <t>Medium</t>
        </is>
      </c>
      <c r="AA4" s="5" t="inlineStr">
        <is>
          <t>Requires Verification</t>
        </is>
      </c>
      <c r="AB4" s="5" t="inlineStr">
        <is>
          <t>https://branches.bargainbooze.co.uk/newton-le-willows/76b-high-street.html</t>
        </is>
      </c>
    </row>
    <row r="5">
      <c r="A5" s="10" t="inlineStr">
        <is>
          <t>UK-000298</t>
        </is>
      </c>
      <c r="B5" s="10" t="inlineStr">
        <is>
          <t>BARGAINBOO-04</t>
        </is>
      </c>
      <c r="C5" s="10" t="inlineStr">
        <is>
          <t>Bargain Booze (Bestway Retail)</t>
        </is>
      </c>
      <c r="D5" s="10" t="inlineStr">
        <is>
          <t>Bargain Booze Wigan Lane</t>
        </is>
      </c>
      <c r="E5" s="10" t="inlineStr">
        <is>
          <t>Off-Licence</t>
        </is>
      </c>
      <c r="F5" s="10" t="inlineStr">
        <is>
          <t>Off-licence and convenience</t>
        </is>
      </c>
      <c r="G5" s="10" t="inlineStr">
        <is>
          <t>Franchise / Symbol Group</t>
        </is>
      </c>
      <c r="H5" s="10" t="inlineStr">
        <is>
          <t>1</t>
        </is>
      </c>
      <c r="I5" s="10" t="inlineStr">
        <is>
          <t>54 Wigan Lane</t>
        </is>
      </c>
      <c r="J5" s="10" t="inlineStr">
        <is>
          <t>Wigan</t>
        </is>
      </c>
      <c r="K5" s="10" t="inlineStr">
        <is>
          <t>WN1 1XS</t>
        </is>
      </c>
      <c r="L5" s="10" t="inlineStr">
        <is>
          <t>01942 829539</t>
        </is>
      </c>
      <c r="M5" s="10" t="inlineStr"/>
      <c r="N5" s="10" t="inlineStr"/>
      <c r="O5" s="10" t="inlineStr"/>
      <c r="P5" s="10" t="inlineStr">
        <is>
          <t>https://www.facebook.com/BargainBoozeWN11XS/</t>
        </is>
      </c>
      <c r="Q5" s="10" t="inlineStr"/>
      <c r="R5" s="10" t="inlineStr"/>
      <c r="S5" s="10" t="inlineStr"/>
      <c r="T5" s="10" t="inlineStr"/>
      <c r="U5" s="10" t="inlineStr"/>
      <c r="V5" s="10" t="inlineStr">
        <is>
          <t>Medium</t>
        </is>
      </c>
      <c r="W5" s="10" t="inlineStr">
        <is>
          <t>Multi-site retailer; Independent retailer; Relevant category; Social presence</t>
        </is>
      </c>
      <c r="X5" s="10" t="inlineStr">
        <is>
          <t>Verified directory</t>
        </is>
      </c>
      <c r="Y5" s="10" t="inlineStr">
        <is>
          <t>Not Found</t>
        </is>
      </c>
      <c r="Z5" s="10" t="inlineStr">
        <is>
          <t>Low</t>
        </is>
      </c>
      <c r="AA5" s="10" t="inlineStr">
        <is>
          <t>Requires Verification</t>
        </is>
      </c>
      <c r="AB5" s="10" t="inlineStr">
        <is>
          <t>https://www.facebook.com/BargainBoozeWN11XS/</t>
        </is>
      </c>
    </row>
    <row r="6">
      <c r="A6" s="5" t="inlineStr">
        <is>
          <t>UK-000299</t>
        </is>
      </c>
      <c r="B6" s="5" t="inlineStr">
        <is>
          <t>BESTWAYBES-01</t>
        </is>
      </c>
      <c r="C6" s="5" t="inlineStr">
        <is>
          <t>Bestway (Best-one symbol group)</t>
        </is>
      </c>
      <c r="D6" s="5" t="inlineStr">
        <is>
          <t>Best One (Liverpool Road, Eccles)</t>
        </is>
      </c>
      <c r="E6" s="5" t="inlineStr">
        <is>
          <t>Off-Licence</t>
        </is>
      </c>
      <c r="F6" s="5" t="inlineStr">
        <is>
          <t>Convenience &amp; off-licence (symbol group)</t>
        </is>
      </c>
      <c r="G6" s="5" t="inlineStr">
        <is>
          <t>Franchise / Symbol Group</t>
        </is>
      </c>
      <c r="H6" s="5" t="inlineStr">
        <is>
          <t>1</t>
        </is>
      </c>
      <c r="I6" s="5" t="inlineStr">
        <is>
          <t>213-217 Liverpool Road</t>
        </is>
      </c>
      <c r="J6" s="5" t="inlineStr">
        <is>
          <t>Eccles</t>
        </is>
      </c>
      <c r="K6" s="5" t="inlineStr">
        <is>
          <t>M30 0QW</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https://www.24houralcohol.co.uk/salford-off-licences</t>
        </is>
      </c>
    </row>
    <row r="7">
      <c r="A7" s="10" t="inlineStr">
        <is>
          <t>UK-000697</t>
        </is>
      </c>
      <c r="B7" s="10" t="inlineStr">
        <is>
          <t>BESTWAYRET-01</t>
        </is>
      </c>
      <c r="C7" s="10" t="inlineStr">
        <is>
          <t>Bestway Retail (Bargain Booze)</t>
        </is>
      </c>
      <c r="D7" s="10" t="inlineStr">
        <is>
          <t>Bargain Booze - Page Moss</t>
        </is>
      </c>
      <c r="E7" s="10" t="inlineStr">
        <is>
          <t>Off-Licence</t>
        </is>
      </c>
      <c r="F7" s="10" t="inlineStr">
        <is>
          <t>Off-licence / convenience (symbol group)</t>
        </is>
      </c>
      <c r="G7" s="10" t="inlineStr">
        <is>
          <t>Franchise / Symbol Group</t>
        </is>
      </c>
      <c r="H7" s="10" t="inlineStr">
        <is>
          <t>1</t>
        </is>
      </c>
      <c r="I7" s="10" t="inlineStr">
        <is>
          <t>9 Pagemoss Parade</t>
        </is>
      </c>
      <c r="J7" s="10" t="inlineStr">
        <is>
          <t>Liverpool</t>
        </is>
      </c>
      <c r="K7" s="10" t="inlineStr">
        <is>
          <t>L36 2PA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https://huyton.cylex-uk.co.uk/convenience-stores/</t>
        </is>
      </c>
    </row>
    <row r="8">
      <c r="A8" s="5" t="inlineStr">
        <is>
          <t>UK-000698</t>
        </is>
      </c>
      <c r="B8" s="5" t="inlineStr">
        <is>
          <t>BESTWAYRET-02</t>
        </is>
      </c>
      <c r="C8" s="5" t="inlineStr">
        <is>
          <t>Bestway Retail (Bargain Booze)</t>
        </is>
      </c>
      <c r="D8" s="5" t="inlineStr">
        <is>
          <t>Bargain Booze - Prescot Road</t>
        </is>
      </c>
      <c r="E8" s="5" t="inlineStr">
        <is>
          <t>Off-Licence</t>
        </is>
      </c>
      <c r="F8" s="5" t="inlineStr">
        <is>
          <t>Off-licence / convenience (symbol group)</t>
        </is>
      </c>
      <c r="G8" s="5" t="inlineStr">
        <is>
          <t>Franchise / Symbol Group</t>
        </is>
      </c>
      <c r="H8" s="5" t="inlineStr">
        <is>
          <t>1</t>
        </is>
      </c>
      <c r="I8" s="5" t="inlineStr">
        <is>
          <t>557 Prescot Road</t>
        </is>
      </c>
      <c r="J8" s="5" t="inlineStr">
        <is>
          <t>Liverpool</t>
        </is>
      </c>
      <c r="K8" s="5" t="inlineStr">
        <is>
          <t>L13 5UX</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https://liverpool.cylex-uk.co.uk/vape-shops/?dst=old-swan</t>
        </is>
      </c>
    </row>
    <row r="9">
      <c r="A9" s="10" t="inlineStr">
        <is>
          <t>UK-000699</t>
        </is>
      </c>
      <c r="B9" s="10" t="inlineStr">
        <is>
          <t>BESTWAYRET-03</t>
        </is>
      </c>
      <c r="C9" s="10" t="inlineStr">
        <is>
          <t>Bestway Retail (Bargain Booze)</t>
        </is>
      </c>
      <c r="D9" s="10" t="inlineStr">
        <is>
          <t>Bargain Booze - West Derby Road</t>
        </is>
      </c>
      <c r="E9" s="10" t="inlineStr">
        <is>
          <t>Off-Licence</t>
        </is>
      </c>
      <c r="F9" s="10" t="inlineStr">
        <is>
          <t>Off-licence / convenience (symbol group)</t>
        </is>
      </c>
      <c r="G9" s="10" t="inlineStr">
        <is>
          <t>Franchise / Symbol Group</t>
        </is>
      </c>
      <c r="H9" s="10" t="inlineStr">
        <is>
          <t>1</t>
        </is>
      </c>
      <c r="I9" s="10" t="inlineStr">
        <is>
          <t>525 West Derby Road</t>
        </is>
      </c>
      <c r="J9" s="10" t="inlineStr">
        <is>
          <t>Liverpool</t>
        </is>
      </c>
      <c r="K9" s="10" t="inlineStr">
        <is>
          <t>L13 8AA</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https://liverpool.cylex-uk.co.uk/vape-shops/?dst=old-swan</t>
        </is>
      </c>
    </row>
    <row r="10">
      <c r="A10" s="5" t="inlineStr">
        <is>
          <t>UK-000557</t>
        </is>
      </c>
      <c r="B10" s="5" t="inlineStr">
        <is>
          <t>LEASANDEMA-01</t>
        </is>
      </c>
      <c r="C10" s="5" t="inlineStr">
        <is>
          <t>Lea &amp; Sandeman</t>
        </is>
      </c>
      <c r="D10" s="5" t="inlineStr">
        <is>
          <t>Lea &amp; Sandeman - Fulham Road</t>
        </is>
      </c>
      <c r="E10" s="5" t="inlineStr">
        <is>
          <t>Off-Licence</t>
        </is>
      </c>
      <c r="F10" s="5" t="inlineStr">
        <is>
          <t>Independent wine merchant</t>
        </is>
      </c>
      <c r="G10" s="5" t="inlineStr">
        <is>
          <t>Multi-Site Independent</t>
        </is>
      </c>
      <c r="H10" s="5" t="inlineStr">
        <is>
          <t>1</t>
        </is>
      </c>
      <c r="I10" s="5" t="inlineStr">
        <is>
          <t>170 Fulham Road</t>
        </is>
      </c>
      <c r="J10" s="5" t="inlineStr">
        <is>
          <t>London</t>
        </is>
      </c>
      <c r="K10" s="5" t="inlineStr">
        <is>
          <t>SW10 9PR</t>
        </is>
      </c>
      <c r="L10" s="5" t="inlineStr">
        <is>
          <t>020 7244 0522</t>
        </is>
      </c>
      <c r="M10" s="5" t="inlineStr"/>
      <c r="N10" s="5" t="inlineStr"/>
      <c r="O10" s="5" t="inlineStr">
        <is>
          <t>https://www.leaandsandeman.co.uk/</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Verified directory</t>
        </is>
      </c>
      <c r="Y10" s="5" t="inlineStr">
        <is>
          <t>Website Found</t>
        </is>
      </c>
      <c r="Z10" s="5" t="inlineStr">
        <is>
          <t>Medium</t>
        </is>
      </c>
      <c r="AA10" s="5" t="inlineStr">
        <is>
          <t>Requires Verification</t>
        </is>
      </c>
      <c r="AB10" s="5" t="inlineStr">
        <is>
          <t>https://www.yell.com/s/off+licences-fulham-london.html</t>
        </is>
      </c>
    </row>
    <row r="11">
      <c r="A11" s="10" t="inlineStr">
        <is>
          <t>UK-000215</t>
        </is>
      </c>
      <c r="B11" s="10" t="inlineStr">
        <is>
          <t>THEDRAMSHO-01</t>
        </is>
      </c>
      <c r="C11" s="10" t="inlineStr">
        <is>
          <t>The Dram Shop</t>
        </is>
      </c>
      <c r="D11" s="10" t="inlineStr">
        <is>
          <t>The Dram Shop</t>
        </is>
      </c>
      <c r="E11" s="10" t="inlineStr">
        <is>
          <t>Off-Licence</t>
        </is>
      </c>
      <c r="F11" s="10" t="inlineStr">
        <is>
          <t>Wine, spirits and craft beer merchant</t>
        </is>
      </c>
      <c r="G11" s="10" t="inlineStr">
        <is>
          <t>Multi-Site Independent</t>
        </is>
      </c>
      <c r="H11" s="10" t="inlineStr">
        <is>
          <t>2</t>
        </is>
      </c>
      <c r="I11" s="10" t="inlineStr">
        <is>
          <t>21 Commonside</t>
        </is>
      </c>
      <c r="J11" s="10" t="inlineStr">
        <is>
          <t>Sheffield</t>
        </is>
      </c>
      <c r="K11" s="10" t="inlineStr">
        <is>
          <t>S10 1GA</t>
        </is>
      </c>
      <c r="L11" s="10" t="inlineStr">
        <is>
          <t>0114 268 3117</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Verified directory</t>
        </is>
      </c>
      <c r="Y11" s="10" t="inlineStr">
        <is>
          <t>Not Found</t>
        </is>
      </c>
      <c r="Z11" s="10" t="inlineStr">
        <is>
          <t>Medium</t>
        </is>
      </c>
      <c r="AA11" s="10" t="inlineStr">
        <is>
          <t>Requires Verification</t>
        </is>
      </c>
      <c r="AB11" s="10" t="inlineStr">
        <is>
          <t>https://www.yelp.co.uk/biz/dram-shop-sheffield</t>
        </is>
      </c>
    </row>
    <row r="12">
      <c r="A12" s="5" t="inlineStr">
        <is>
          <t>UK-000750</t>
        </is>
      </c>
      <c r="B12" s="5" t="inlineStr">
        <is>
          <t>WOODWINTER-01</t>
        </is>
      </c>
      <c r="C12" s="5" t="inlineStr">
        <is>
          <t>WoodWinters</t>
        </is>
      </c>
      <c r="D12" s="5" t="inlineStr">
        <is>
          <t>WoodWinters Wines &amp; Whiskies</t>
        </is>
      </c>
      <c r="E12" s="5" t="inlineStr">
        <is>
          <t>Off-Licence</t>
        </is>
      </c>
      <c r="F12" s="5" t="inlineStr">
        <is>
          <t>Wine &amp; whisky merchant</t>
        </is>
      </c>
      <c r="G12" s="5" t="inlineStr">
        <is>
          <t>Multi-Site Independent</t>
        </is>
      </c>
      <c r="H12" s="5" t="inlineStr">
        <is>
          <t>1</t>
        </is>
      </c>
      <c r="I12" s="5" t="inlineStr">
        <is>
          <t>2c Springbank Road</t>
        </is>
      </c>
      <c r="J12" s="5" t="inlineStr">
        <is>
          <t>Stirling</t>
        </is>
      </c>
      <c r="K12" s="5" t="inlineStr">
        <is>
          <t>FK7 7WR</t>
        </is>
      </c>
      <c r="L12" s="5" t="inlineStr">
        <is>
          <t>01786 448687</t>
        </is>
      </c>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Verified directory</t>
        </is>
      </c>
      <c r="Y12" s="5" t="inlineStr">
        <is>
          <t>Not Found</t>
        </is>
      </c>
      <c r="Z12" s="5" t="inlineStr">
        <is>
          <t>Medium</t>
        </is>
      </c>
      <c r="AA12" s="5" t="inlineStr">
        <is>
          <t>Requires Verification</t>
        </is>
      </c>
      <c r="AB12" s="5" t="inlineStr">
        <is>
          <t>https://falkirk.cylex-uk.co.uk/off-licence.html</t>
        </is>
      </c>
    </row>
    <row r="13">
      <c r="A13" s="10" t="inlineStr">
        <is>
          <t>WY-0047</t>
        </is>
      </c>
      <c r="B13" s="10" t="inlineStr">
        <is>
          <t>WY-0047-01</t>
        </is>
      </c>
      <c r="C13" s="10" t="inlineStr"/>
      <c r="D13" s="10" t="inlineStr">
        <is>
          <t>A &amp; B Stores</t>
        </is>
      </c>
      <c r="E13" s="10" t="inlineStr">
        <is>
          <t>Off-Licence</t>
        </is>
      </c>
      <c r="F13" s="10" t="inlineStr">
        <is>
          <t>Off-licence / convenience</t>
        </is>
      </c>
      <c r="G13" s="10" t="inlineStr">
        <is>
          <t>Independent</t>
        </is>
      </c>
      <c r="H13" s="10" t="inlineStr">
        <is>
          <t>1</t>
        </is>
      </c>
      <c r="I13" s="10" t="inlineStr"/>
      <c r="J13" s="10" t="inlineStr">
        <is>
          <t>Bingley</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Low</t>
        </is>
      </c>
      <c r="AA13" s="10" t="inlineStr">
        <is>
          <t>Requires Verification</t>
        </is>
      </c>
      <c r="AB13" s="10" t="inlineStr">
        <is>
          <t>https://www.yorkshire.com/bingley/shopping/off-license/a-b-stores</t>
        </is>
      </c>
    </row>
    <row r="14">
      <c r="A14" s="5" t="inlineStr">
        <is>
          <t>UK-000232</t>
        </is>
      </c>
      <c r="B14" s="5" t="inlineStr">
        <is>
          <t>UK-000232-01</t>
        </is>
      </c>
      <c r="C14" s="5" t="inlineStr"/>
      <c r="D14" s="5" t="inlineStr">
        <is>
          <t>AA Off Licence</t>
        </is>
      </c>
      <c r="E14" s="5" t="inlineStr">
        <is>
          <t>Off-Licence</t>
        </is>
      </c>
      <c r="F14" s="5" t="inlineStr">
        <is>
          <t>Off-licence / convenience</t>
        </is>
      </c>
      <c r="G14" s="5" t="inlineStr">
        <is>
          <t>Independent</t>
        </is>
      </c>
      <c r="H14" s="5" t="inlineStr">
        <is>
          <t>1</t>
        </is>
      </c>
      <c r="I14" s="5" t="inlineStr">
        <is>
          <t>Hessle Road</t>
        </is>
      </c>
      <c r="J14" s="5" t="inlineStr">
        <is>
          <t>Kingston upon Hull</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https://www.yorkshire.com/hull/shopping/off-license/aa-off-licence</t>
        </is>
      </c>
    </row>
    <row r="15">
      <c r="A15" s="10" t="inlineStr">
        <is>
          <t>UK-000335</t>
        </is>
      </c>
      <c r="B15" s="10" t="inlineStr">
        <is>
          <t>UK-000335-01</t>
        </is>
      </c>
      <c r="C15" s="10" t="inlineStr"/>
      <c r="D15" s="10" t="inlineStr">
        <is>
          <t>AJ Food &amp; Wine</t>
        </is>
      </c>
      <c r="E15" s="10" t="inlineStr">
        <is>
          <t>Off-Licence</t>
        </is>
      </c>
      <c r="F15" s="10" t="inlineStr">
        <is>
          <t>Convenience &amp; off-licence</t>
        </is>
      </c>
      <c r="G15" s="10" t="inlineStr">
        <is>
          <t>Independent</t>
        </is>
      </c>
      <c r="H15" s="10" t="inlineStr">
        <is>
          <t>1</t>
        </is>
      </c>
      <c r="I15" s="10" t="inlineStr">
        <is>
          <t>215 Stockport Road</t>
        </is>
      </c>
      <c r="J15" s="10" t="inlineStr">
        <is>
          <t>Stockport</t>
        </is>
      </c>
      <c r="K15" s="10" t="inlineStr">
        <is>
          <t>SK3 0RH</t>
        </is>
      </c>
      <c r="L15" s="10" t="inlineStr">
        <is>
          <t>0161 428 2312</t>
        </is>
      </c>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Verified directory</t>
        </is>
      </c>
      <c r="Y15" s="10" t="inlineStr">
        <is>
          <t>Not Found</t>
        </is>
      </c>
      <c r="Z15" s="10" t="inlineStr">
        <is>
          <t>Low</t>
        </is>
      </c>
      <c r="AA15" s="10" t="inlineStr">
        <is>
          <t>Requires Verification</t>
        </is>
      </c>
      <c r="AB15" s="10" t="inlineStr">
        <is>
          <t>https://www.24houralcohol.co.uk/stockport-off-licences</t>
        </is>
      </c>
    </row>
    <row r="16">
      <c r="A16" s="5" t="inlineStr">
        <is>
          <t>UK-000574</t>
        </is>
      </c>
      <c r="B16" s="5" t="inlineStr">
        <is>
          <t>UK-000574-01</t>
        </is>
      </c>
      <c r="C16" s="5" t="inlineStr"/>
      <c r="D16" s="5" t="inlineStr">
        <is>
          <t>Ali's Wine &amp; Grocery</t>
        </is>
      </c>
      <c r="E16" s="5" t="inlineStr">
        <is>
          <t>Off-Licence</t>
        </is>
      </c>
      <c r="F16" s="5" t="inlineStr">
        <is>
          <t>Off-licence &amp; grocery</t>
        </is>
      </c>
      <c r="G16" s="5" t="inlineStr">
        <is>
          <t>Independent</t>
        </is>
      </c>
      <c r="H16" s="5" t="inlineStr">
        <is>
          <t>1</t>
        </is>
      </c>
      <c r="I16" s="5" t="inlineStr">
        <is>
          <t>47 Southgate Road</t>
        </is>
      </c>
      <c r="J16" s="5" t="inlineStr">
        <is>
          <t>Islington</t>
        </is>
      </c>
      <c r="K16" s="5" t="inlineStr">
        <is>
          <t>N1 3JP</t>
        </is>
      </c>
      <c r="L16" s="5" t="inlineStr">
        <is>
          <t>020 7729 7522</t>
        </is>
      </c>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Verified directory</t>
        </is>
      </c>
      <c r="Y16" s="5" t="inlineStr">
        <is>
          <t>Not Found</t>
        </is>
      </c>
      <c r="Z16" s="5" t="inlineStr">
        <is>
          <t>Medium</t>
        </is>
      </c>
      <c r="AA16" s="5" t="inlineStr">
        <is>
          <t>Requires Verification</t>
        </is>
      </c>
      <c r="AB16" s="5" t="inlineStr">
        <is>
          <t>https://www.yell.com/s/off+licences-dalston-east+london.html</t>
        </is>
      </c>
    </row>
    <row r="17">
      <c r="A17" s="10" t="inlineStr">
        <is>
          <t>UK-000576</t>
        </is>
      </c>
      <c r="B17" s="10" t="inlineStr">
        <is>
          <t>UK-000576-01</t>
        </is>
      </c>
      <c r="C17" s="10" t="inlineStr"/>
      <c r="D17" s="10" t="inlineStr">
        <is>
          <t>Alpha Off Licence</t>
        </is>
      </c>
      <c r="E17" s="10" t="inlineStr">
        <is>
          <t>Off-Licence</t>
        </is>
      </c>
      <c r="F17" s="10" t="inlineStr"/>
      <c r="G17" s="10" t="inlineStr">
        <is>
          <t>Independent</t>
        </is>
      </c>
      <c r="H17" s="10" t="inlineStr">
        <is>
          <t>1</t>
        </is>
      </c>
      <c r="I17" s="10" t="inlineStr">
        <is>
          <t>24 Peckham Rye</t>
        </is>
      </c>
      <c r="J17" s="10" t="inlineStr">
        <is>
          <t>London</t>
        </is>
      </c>
      <c r="K17" s="10" t="inlineStr">
        <is>
          <t>SE15 4JR</t>
        </is>
      </c>
      <c r="L17" s="10" t="inlineStr">
        <is>
          <t>020 7639 5124</t>
        </is>
      </c>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Verified directory</t>
        </is>
      </c>
      <c r="Y17" s="10" t="inlineStr">
        <is>
          <t>Not Found</t>
        </is>
      </c>
      <c r="Z17" s="10" t="inlineStr">
        <is>
          <t>Medium</t>
        </is>
      </c>
      <c r="AA17" s="10" t="inlineStr">
        <is>
          <t>Requires Verification</t>
        </is>
      </c>
      <c r="AB17" s="10" t="inlineStr">
        <is>
          <t>https://www.yell.com/s/off+licences-se15.html</t>
        </is>
      </c>
    </row>
    <row r="18">
      <c r="A18" s="5" t="inlineStr">
        <is>
          <t>UK-000338</t>
        </is>
      </c>
      <c r="B18" s="5" t="inlineStr">
        <is>
          <t>UK-000338-01</t>
        </is>
      </c>
      <c r="C18" s="5" t="inlineStr"/>
      <c r="D18" s="5" t="inlineStr">
        <is>
          <t>Anil's Off Licence</t>
        </is>
      </c>
      <c r="E18" s="5" t="inlineStr">
        <is>
          <t>Off-Licence</t>
        </is>
      </c>
      <c r="F18" s="5" t="inlineStr"/>
      <c r="G18" s="5" t="inlineStr">
        <is>
          <t>Independent</t>
        </is>
      </c>
      <c r="H18" s="5" t="inlineStr">
        <is>
          <t>1</t>
        </is>
      </c>
      <c r="I18" s="5" t="inlineStr">
        <is>
          <t>427 Chorley Old Road</t>
        </is>
      </c>
      <c r="J18" s="5" t="inlineStr">
        <is>
          <t>Bolton</t>
        </is>
      </c>
      <c r="K18" s="5" t="inlineStr">
        <is>
          <t>BL1 6AH</t>
        </is>
      </c>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https://www.britaine.co.uk/anil-s-off-licence-F1B07C40413</t>
        </is>
      </c>
    </row>
    <row r="19">
      <c r="A19" s="10" t="inlineStr">
        <is>
          <t>UK-000755</t>
        </is>
      </c>
      <c r="B19" s="10" t="inlineStr">
        <is>
          <t>UK-000755-01</t>
        </is>
      </c>
      <c r="C19" s="10" t="inlineStr"/>
      <c r="D19" s="10" t="inlineStr">
        <is>
          <t>Ashok &amp; Vanita House</t>
        </is>
      </c>
      <c r="E19" s="10" t="inlineStr">
        <is>
          <t>Off-Licence</t>
        </is>
      </c>
      <c r="F19" s="10" t="inlineStr">
        <is>
          <t>Off-licence / convenience</t>
        </is>
      </c>
      <c r="G19" s="10" t="inlineStr">
        <is>
          <t>Independent</t>
        </is>
      </c>
      <c r="H19" s="10" t="inlineStr">
        <is>
          <t>1</t>
        </is>
      </c>
      <c r="I19" s="10" t="inlineStr">
        <is>
          <t>87 Anfield Road</t>
        </is>
      </c>
      <c r="J19" s="10" t="inlineStr">
        <is>
          <t>Liverpool</t>
        </is>
      </c>
      <c r="K19" s="10" t="inlineStr">
        <is>
          <t>L4 0TJ</t>
        </is>
      </c>
      <c r="L19" s="10" t="inlineStr">
        <is>
          <t>07956 121045</t>
        </is>
      </c>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Verified directory</t>
        </is>
      </c>
      <c r="Y19" s="10" t="inlineStr">
        <is>
          <t>Not Found</t>
        </is>
      </c>
      <c r="Z19" s="10" t="inlineStr">
        <is>
          <t>Low</t>
        </is>
      </c>
      <c r="AA19" s="10" t="inlineStr">
        <is>
          <t>Requires Verification</t>
        </is>
      </c>
      <c r="AB19" s="10" t="inlineStr">
        <is>
          <t>https://anfield.cylex-uk.co.uk/off-licence.html</t>
        </is>
      </c>
    </row>
    <row r="20">
      <c r="A20" s="5" t="inlineStr">
        <is>
          <t>UK-000454</t>
        </is>
      </c>
      <c r="B20" s="5" t="inlineStr">
        <is>
          <t>UK-000454-01</t>
        </is>
      </c>
      <c r="C20" s="5" t="inlineStr"/>
      <c r="D20" s="5" t="inlineStr">
        <is>
          <t>B &amp; G Liquor Ltd</t>
        </is>
      </c>
      <c r="E20" s="5" t="inlineStr">
        <is>
          <t>Off-Licence</t>
        </is>
      </c>
      <c r="F20" s="5" t="inlineStr">
        <is>
          <t>Off-licence &amp; convenience</t>
        </is>
      </c>
      <c r="G20" s="5" t="inlineStr">
        <is>
          <t>Independent</t>
        </is>
      </c>
      <c r="H20" s="5" t="inlineStr">
        <is>
          <t>1</t>
        </is>
      </c>
      <c r="I20" s="5" t="inlineStr">
        <is>
          <t>334 Londonderry Road</t>
        </is>
      </c>
      <c r="J20" s="5" t="inlineStr">
        <is>
          <t>Oldbury</t>
        </is>
      </c>
      <c r="K20" s="5" t="inlineStr">
        <is>
          <t>B68 9NB</t>
        </is>
      </c>
      <c r="L20" s="5" t="inlineStr">
        <is>
          <t>0121 552 3270</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https://www.yell.com/s/off+licences+and+wine+merchants-oldbury-west+midlands.html</t>
        </is>
      </c>
    </row>
    <row r="21">
      <c r="A21" s="10" t="inlineStr">
        <is>
          <t>UK-000756</t>
        </is>
      </c>
      <c r="B21" s="10" t="inlineStr">
        <is>
          <t>UK-000756-01</t>
        </is>
      </c>
      <c r="C21" s="10" t="inlineStr"/>
      <c r="D21" s="10" t="inlineStr">
        <is>
          <t>BBBBooze</t>
        </is>
      </c>
      <c r="E21" s="10" t="inlineStr">
        <is>
          <t>Off-Licence</t>
        </is>
      </c>
      <c r="F21" s="10" t="inlineStr">
        <is>
          <t>Off-licence / wines &amp; spirits</t>
        </is>
      </c>
      <c r="G21" s="10" t="inlineStr">
        <is>
          <t>Independent</t>
        </is>
      </c>
      <c r="H21" s="10" t="inlineStr">
        <is>
          <t>1</t>
        </is>
      </c>
      <c r="I21" s="10" t="inlineStr">
        <is>
          <t>Workshop B5, 66b Long Lane</t>
        </is>
      </c>
      <c r="J21" s="10" t="inlineStr">
        <is>
          <t>Liverpool</t>
        </is>
      </c>
      <c r="K21" s="10" t="inlineStr">
        <is>
          <t>L9 7BN</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https://liverpool.cylex-uk.co.uk/off-licence-4.html</t>
        </is>
      </c>
    </row>
    <row r="22">
      <c r="A22" s="5" t="inlineStr">
        <is>
          <t>UK-000343</t>
        </is>
      </c>
      <c r="B22" s="5" t="inlineStr">
        <is>
          <t>UK-000343-01</t>
        </is>
      </c>
      <c r="C22" s="5" t="inlineStr"/>
      <c r="D22" s="5" t="inlineStr">
        <is>
          <t>BK Off Licence (Salford)</t>
        </is>
      </c>
      <c r="E22" s="5" t="inlineStr">
        <is>
          <t>Off-Licence</t>
        </is>
      </c>
      <c r="F22" s="5" t="inlineStr">
        <is>
          <t>Off-licence &amp; convenience</t>
        </is>
      </c>
      <c r="G22" s="5" t="inlineStr">
        <is>
          <t>Independent</t>
        </is>
      </c>
      <c r="H22" s="5" t="inlineStr">
        <is>
          <t>1</t>
        </is>
      </c>
      <c r="I22" s="5" t="inlineStr">
        <is>
          <t>4 Islington Street</t>
        </is>
      </c>
      <c r="J22" s="5" t="inlineStr">
        <is>
          <t>Salford</t>
        </is>
      </c>
      <c r="K22" s="5" t="inlineStr">
        <is>
          <t>M5 3LG</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https://www.salford.gov.uk/licensing-and-permits/licensing-notice-of-application/bk-off-licence</t>
        </is>
      </c>
    </row>
    <row r="23">
      <c r="A23" s="10" t="inlineStr">
        <is>
          <t>WY-0057</t>
        </is>
      </c>
      <c r="B23" s="10" t="inlineStr">
        <is>
          <t>WY-0057-01</t>
        </is>
      </c>
      <c r="C23" s="10" t="inlineStr"/>
      <c r="D23" s="10" t="inlineStr">
        <is>
          <t>Baildon Off Licence</t>
        </is>
      </c>
      <c r="E23" s="10" t="inlineStr">
        <is>
          <t>Off-Licence</t>
        </is>
      </c>
      <c r="F23" s="10" t="inlineStr">
        <is>
          <t>Neighbourhood off-licence</t>
        </is>
      </c>
      <c r="G23" s="10" t="inlineStr">
        <is>
          <t>Independent</t>
        </is>
      </c>
      <c r="H23" s="10" t="inlineStr">
        <is>
          <t>1</t>
        </is>
      </c>
      <c r="I23" s="10" t="inlineStr">
        <is>
          <t>Coach Road</t>
        </is>
      </c>
      <c r="J23" s="10" t="inlineStr">
        <is>
          <t>Shipley</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https://www.yorkshire.com/saltaire/shopping/off-license/baildon-off-licence</t>
        </is>
      </c>
    </row>
    <row r="24">
      <c r="A24" s="5" t="inlineStr">
        <is>
          <t>WY-0058</t>
        </is>
      </c>
      <c r="B24" s="5" t="inlineStr">
        <is>
          <t>WY-0058-01</t>
        </is>
      </c>
      <c r="C24" s="5" t="inlineStr"/>
      <c r="D24" s="5" t="inlineStr">
        <is>
          <t>Bar Market</t>
        </is>
      </c>
      <c r="E24" s="5" t="inlineStr">
        <is>
          <t>Off-Licence</t>
        </is>
      </c>
      <c r="F24" s="5" t="inlineStr">
        <is>
          <t>24-hour off-licence</t>
        </is>
      </c>
      <c r="G24" s="5" t="inlineStr">
        <is>
          <t>Independent</t>
        </is>
      </c>
      <c r="H24" s="5" t="inlineStr">
        <is>
          <t>1</t>
        </is>
      </c>
      <c r="I24" s="5" t="inlineStr">
        <is>
          <t>Crown Street</t>
        </is>
      </c>
      <c r="J24" s="5" t="inlineStr">
        <is>
          <t>Halifax</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https://www.yorkshire.com/halifax/shopping/off-license/bar-market-ltd</t>
        </is>
      </c>
    </row>
    <row r="25">
      <c r="A25" s="10" t="inlineStr">
        <is>
          <t>WY-0061</t>
        </is>
      </c>
      <c r="B25" s="10" t="inlineStr">
        <is>
          <t>WY-0061-01</t>
        </is>
      </c>
      <c r="C25" s="10" t="inlineStr"/>
      <c r="D25" s="10" t="inlineStr">
        <is>
          <t>Beer Ritz</t>
        </is>
      </c>
      <c r="E25" s="10" t="inlineStr">
        <is>
          <t>Off-Licence</t>
        </is>
      </c>
      <c r="F25" s="10" t="inlineStr">
        <is>
          <t>Specialist craft beer off-licence</t>
        </is>
      </c>
      <c r="G25" s="10" t="inlineStr">
        <is>
          <t>Independent</t>
        </is>
      </c>
      <c r="H25" s="10" t="inlineStr">
        <is>
          <t>1</t>
        </is>
      </c>
      <c r="I25" s="10" t="inlineStr">
        <is>
          <t>14 Weetwood Lane</t>
        </is>
      </c>
      <c r="J25" s="10" t="inlineStr">
        <is>
          <t>Leeds</t>
        </is>
      </c>
      <c r="K25" s="10" t="inlineStr">
        <is>
          <t>LS16 5LX</t>
        </is>
      </c>
      <c r="L25" s="10" t="inlineStr">
        <is>
          <t>0113 275 3464</t>
        </is>
      </c>
      <c r="M25" s="10" t="inlineStr"/>
      <c r="N25" s="10" t="inlineStr">
        <is>
          <t>sales@beerritz.co.uk</t>
        </is>
      </c>
      <c r="O25" s="10" t="inlineStr">
        <is>
          <t>https://www.beerritz.co.uk/</t>
        </is>
      </c>
      <c r="P25" s="10" t="inlineStr">
        <is>
          <t>https://www.facebook.com/beerritz/</t>
        </is>
      </c>
      <c r="Q25" s="10" t="inlineStr">
        <is>
          <t>https://www.instagram.com/beerritzleeds/</t>
        </is>
      </c>
      <c r="R25" s="10" t="inlineStr"/>
      <c r="S25" s="10" t="inlineStr"/>
      <c r="T25" s="10" t="inlineStr"/>
      <c r="U25" s="10" t="inlineStr"/>
      <c r="V25" s="10" t="inlineStr">
        <is>
          <t>High</t>
        </is>
      </c>
      <c r="W25" s="10" t="inlineStr">
        <is>
          <t>Independent retailer; Relevant category; Public trade/sales contact; Active website; Social presence</t>
        </is>
      </c>
      <c r="X25" s="10" t="inlineStr">
        <is>
          <t>Verified directory</t>
        </is>
      </c>
      <c r="Y25" s="10" t="inlineStr">
        <is>
          <t>Website Found</t>
        </is>
      </c>
      <c r="Z25" s="10" t="inlineStr">
        <is>
          <t>Medium</t>
        </is>
      </c>
      <c r="AA25" s="10" t="inlineStr">
        <is>
          <t>Partially Verified</t>
        </is>
      </c>
      <c r="AB25" s="10" t="inlineStr">
        <is>
          <t>https://www.beerritz.co.uk/contact-us</t>
        </is>
      </c>
    </row>
    <row r="26">
      <c r="A26" s="5" t="inlineStr">
        <is>
          <t>UK-000582</t>
        </is>
      </c>
      <c r="B26" s="5" t="inlineStr">
        <is>
          <t>UK-000582-01</t>
        </is>
      </c>
      <c r="C26" s="5" t="inlineStr"/>
      <c r="D26" s="5" t="inlineStr">
        <is>
          <t>Best Quality Food &amp; Wines</t>
        </is>
      </c>
      <c r="E26" s="5" t="inlineStr">
        <is>
          <t>Off-Licence</t>
        </is>
      </c>
      <c r="F26" s="5" t="inlineStr">
        <is>
          <t>Off-licence &amp; convenience</t>
        </is>
      </c>
      <c r="G26" s="5" t="inlineStr">
        <is>
          <t>Independent</t>
        </is>
      </c>
      <c r="H26" s="5" t="inlineStr">
        <is>
          <t>1</t>
        </is>
      </c>
      <c r="I26" s="5" t="inlineStr">
        <is>
          <t>25 Heathmans Road</t>
        </is>
      </c>
      <c r="J26" s="5" t="inlineStr">
        <is>
          <t>London</t>
        </is>
      </c>
      <c r="K26" s="5" t="inlineStr">
        <is>
          <t>SW6 4TJ</t>
        </is>
      </c>
      <c r="L26" s="5" t="inlineStr">
        <is>
          <t>020 7352 4083</t>
        </is>
      </c>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Verified directory</t>
        </is>
      </c>
      <c r="Y26" s="5" t="inlineStr">
        <is>
          <t>Not Found</t>
        </is>
      </c>
      <c r="Z26" s="5" t="inlineStr">
        <is>
          <t>Medium</t>
        </is>
      </c>
      <c r="AA26" s="5" t="inlineStr">
        <is>
          <t>Requires Verification</t>
        </is>
      </c>
      <c r="AB26" s="5" t="inlineStr">
        <is>
          <t>https://www.yell.com/s/off+licences-fulham-london.html</t>
        </is>
      </c>
    </row>
    <row r="27">
      <c r="A27" s="10" t="inlineStr">
        <is>
          <t>WY-0066</t>
        </is>
      </c>
      <c r="B27" s="10" t="inlineStr">
        <is>
          <t>WY-0066-01</t>
        </is>
      </c>
      <c r="C27" s="10" t="inlineStr"/>
      <c r="D27" s="10" t="inlineStr">
        <is>
          <t>Boothtown Post Office &amp; Off-Licence</t>
        </is>
      </c>
      <c r="E27" s="10" t="inlineStr">
        <is>
          <t>Off-Licence</t>
        </is>
      </c>
      <c r="F27" s="10" t="inlineStr">
        <is>
          <t>Off-licence with post office counter</t>
        </is>
      </c>
      <c r="G27" s="10" t="inlineStr">
        <is>
          <t>Independent</t>
        </is>
      </c>
      <c r="H27" s="10" t="inlineStr">
        <is>
          <t>1</t>
        </is>
      </c>
      <c r="I27" s="10" t="inlineStr"/>
      <c r="J27" s="10" t="inlineStr">
        <is>
          <t>Halifax</t>
        </is>
      </c>
      <c r="K27" s="10" t="inlineStr"/>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https://findit.halifaxcourier.co.uk/search/halifax/off-licence</t>
        </is>
      </c>
    </row>
    <row r="28">
      <c r="A28" s="5" t="inlineStr">
        <is>
          <t>WY-0067</t>
        </is>
      </c>
      <c r="B28" s="5" t="inlineStr">
        <is>
          <t>WY-0067-01</t>
        </is>
      </c>
      <c r="C28" s="5" t="inlineStr"/>
      <c r="D28" s="5" t="inlineStr">
        <is>
          <t>Booze Express</t>
        </is>
      </c>
      <c r="E28" s="5" t="inlineStr">
        <is>
          <t>Off-Licence</t>
        </is>
      </c>
      <c r="F28" s="5" t="inlineStr"/>
      <c r="G28" s="5" t="inlineStr">
        <is>
          <t>Independent</t>
        </is>
      </c>
      <c r="H28" s="5" t="inlineStr">
        <is>
          <t>1</t>
        </is>
      </c>
      <c r="I28" s="5" t="inlineStr">
        <is>
          <t>520 Gibbet Street</t>
        </is>
      </c>
      <c r="J28" s="5" t="inlineStr">
        <is>
          <t>Halifax</t>
        </is>
      </c>
      <c r="K28" s="5" t="inlineStr">
        <is>
          <t>HX2 0AH</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Relevant category; Social presence</t>
        </is>
      </c>
      <c r="X28" s="5" t="inlineStr">
        <is>
          <t>Not Found</t>
        </is>
      </c>
      <c r="Y28" s="5" t="inlineStr">
        <is>
          <t>Not Found</t>
        </is>
      </c>
      <c r="Z28" s="5" t="inlineStr">
        <is>
          <t>Low</t>
        </is>
      </c>
      <c r="AA28" s="5" t="inlineStr">
        <is>
          <t>Partially Verified</t>
        </is>
      </c>
      <c r="AB28" s="5" t="inlineStr">
        <is>
          <t>https://find-and-update.company-information.service.gov.uk/company/10264056</t>
        </is>
      </c>
    </row>
    <row r="29">
      <c r="A29" s="10" t="inlineStr">
        <is>
          <t>UK-000458</t>
        </is>
      </c>
      <c r="B29" s="10" t="inlineStr">
        <is>
          <t>UK-000458-01</t>
        </is>
      </c>
      <c r="C29" s="10" t="inlineStr"/>
      <c r="D29" s="10" t="inlineStr">
        <is>
          <t>Booze Stop</t>
        </is>
      </c>
      <c r="E29" s="10" t="inlineStr">
        <is>
          <t>Off-Licence</t>
        </is>
      </c>
      <c r="F29" s="10" t="inlineStr">
        <is>
          <t>Off-licence &amp; convenience</t>
        </is>
      </c>
      <c r="G29" s="10" t="inlineStr">
        <is>
          <t>Independent</t>
        </is>
      </c>
      <c r="H29" s="10" t="inlineStr">
        <is>
          <t>1</t>
        </is>
      </c>
      <c r="I29" s="10" t="inlineStr">
        <is>
          <t>520 Hagley Road West</t>
        </is>
      </c>
      <c r="J29" s="10" t="inlineStr">
        <is>
          <t>Oldbury</t>
        </is>
      </c>
      <c r="K29" s="10" t="inlineStr">
        <is>
          <t>B68 0BZ</t>
        </is>
      </c>
      <c r="L29" s="10" t="inlineStr">
        <is>
          <t>0121 421 3797</t>
        </is>
      </c>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Verified directory</t>
        </is>
      </c>
      <c r="Y29" s="10" t="inlineStr">
        <is>
          <t>Not Found</t>
        </is>
      </c>
      <c r="Z29" s="10" t="inlineStr">
        <is>
          <t>Medium</t>
        </is>
      </c>
      <c r="AA29" s="10" t="inlineStr">
        <is>
          <t>Requires Verification</t>
        </is>
      </c>
      <c r="AB29" s="10" t="inlineStr">
        <is>
          <t>https://www.yell.com/s/off+licences+and+wine+merchants-oldbury-west+midlands.html</t>
        </is>
      </c>
    </row>
    <row r="30">
      <c r="A30" s="5" t="inlineStr">
        <is>
          <t>WY-0068</t>
        </is>
      </c>
      <c r="B30" s="5" t="inlineStr">
        <is>
          <t>WY-0068-01</t>
        </is>
      </c>
      <c r="C30" s="5" t="inlineStr"/>
      <c r="D30" s="5" t="inlineStr">
        <is>
          <t>Bottle and Bean</t>
        </is>
      </c>
      <c r="E30" s="5" t="inlineStr">
        <is>
          <t>Off-Licence</t>
        </is>
      </c>
      <c r="F30" s="5" t="inlineStr">
        <is>
          <t>Wine, craft beer and coffee shop</t>
        </is>
      </c>
      <c r="G30" s="5" t="inlineStr">
        <is>
          <t>Independent</t>
        </is>
      </c>
      <c r="H30" s="5" t="inlineStr">
        <is>
          <t>1</t>
        </is>
      </c>
      <c r="I30" s="5" t="inlineStr"/>
      <c r="J30" s="5" t="inlineStr">
        <is>
          <t>Wetherby</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https://www.yorkshire.com/wetherby/shopping/off-license/bottle-and-bean</t>
        </is>
      </c>
    </row>
    <row r="31">
      <c r="A31" s="10" t="inlineStr">
        <is>
          <t>UK-000758</t>
        </is>
      </c>
      <c r="B31" s="10" t="inlineStr">
        <is>
          <t>UK-000758-01</t>
        </is>
      </c>
      <c r="C31" s="10" t="inlineStr"/>
      <c r="D31" s="10" t="inlineStr">
        <is>
          <t>Bottoms Up</t>
        </is>
      </c>
      <c r="E31" s="10" t="inlineStr">
        <is>
          <t>Off-Licence</t>
        </is>
      </c>
      <c r="F31" s="10" t="inlineStr">
        <is>
          <t>Off-licence / wines &amp; spirits</t>
        </is>
      </c>
      <c r="G31" s="10" t="inlineStr">
        <is>
          <t>Independent</t>
        </is>
      </c>
      <c r="H31" s="10" t="inlineStr">
        <is>
          <t>1</t>
        </is>
      </c>
      <c r="I31" s="10" t="inlineStr">
        <is>
          <t>122 Oakfield Road</t>
        </is>
      </c>
      <c r="J31" s="10" t="inlineStr">
        <is>
          <t>Liverpool</t>
        </is>
      </c>
      <c r="K31" s="10" t="inlineStr">
        <is>
          <t>L4 0UQ</t>
        </is>
      </c>
      <c r="L31" s="10" t="inlineStr">
        <is>
          <t>0151 263 3113</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Low</t>
        </is>
      </c>
      <c r="AA31" s="10" t="inlineStr">
        <is>
          <t>Requires Verification</t>
        </is>
      </c>
      <c r="AB31" s="10" t="inlineStr">
        <is>
          <t>https://anfield.cylex-uk.co.uk/off-licence.html</t>
        </is>
      </c>
    </row>
    <row r="32">
      <c r="A32" s="5" t="inlineStr">
        <is>
          <t>UK-000587</t>
        </is>
      </c>
      <c r="B32" s="5" t="inlineStr">
        <is>
          <t>UK-000587-01</t>
        </is>
      </c>
      <c r="C32" s="5" t="inlineStr"/>
      <c r="D32" s="5" t="inlineStr">
        <is>
          <t>Bow Off Licence</t>
        </is>
      </c>
      <c r="E32" s="5" t="inlineStr">
        <is>
          <t>Off-Licence</t>
        </is>
      </c>
      <c r="F32" s="5" t="inlineStr">
        <is>
          <t>Off-licence</t>
        </is>
      </c>
      <c r="G32" s="5" t="inlineStr">
        <is>
          <t>Independent</t>
        </is>
      </c>
      <c r="H32" s="5" t="inlineStr">
        <is>
          <t>1</t>
        </is>
      </c>
      <c r="I32" s="5" t="inlineStr">
        <is>
          <t>214 Devons Road</t>
        </is>
      </c>
      <c r="J32" s="5" t="inlineStr">
        <is>
          <t>Bow</t>
        </is>
      </c>
      <c r="K32" s="5" t="inlineStr">
        <is>
          <t>E3 3PN</t>
        </is>
      </c>
      <c r="L32" s="5" t="inlineStr">
        <is>
          <t>020 7538 4695</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https://www.yell.com/s/off+licences-bethnal+green-east+london.html</t>
        </is>
      </c>
    </row>
    <row r="33">
      <c r="A33" s="10" t="inlineStr">
        <is>
          <t>UK-000348</t>
        </is>
      </c>
      <c r="B33" s="10" t="inlineStr">
        <is>
          <t>UK-000348-01</t>
        </is>
      </c>
      <c r="C33" s="10" t="inlineStr"/>
      <c r="D33" s="10" t="inlineStr">
        <is>
          <t>Bradshawgate News &amp; Off Licence</t>
        </is>
      </c>
      <c r="E33" s="10" t="inlineStr">
        <is>
          <t>Off-Licence</t>
        </is>
      </c>
      <c r="F33" s="10" t="inlineStr">
        <is>
          <t>Newsagent and off-licence</t>
        </is>
      </c>
      <c r="G33" s="10" t="inlineStr">
        <is>
          <t>Independent</t>
        </is>
      </c>
      <c r="H33" s="10" t="inlineStr">
        <is>
          <t>1</t>
        </is>
      </c>
      <c r="I33" s="10" t="inlineStr">
        <is>
          <t>88 London Road</t>
        </is>
      </c>
      <c r="J33" s="10" t="inlineStr">
        <is>
          <t>Bolton</t>
        </is>
      </c>
      <c r="K33" s="10" t="inlineStr">
        <is>
          <t>BL1 1QQ</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https://www.yell.com/biz/bradshawgate-news-and-off-licence-bolton-8206606/</t>
        </is>
      </c>
    </row>
    <row r="34">
      <c r="A34" s="5" t="inlineStr">
        <is>
          <t>WY-0069</t>
        </is>
      </c>
      <c r="B34" s="5" t="inlineStr">
        <is>
          <t>WY-0069-01</t>
        </is>
      </c>
      <c r="C34" s="5" t="inlineStr"/>
      <c r="D34" s="5" t="inlineStr">
        <is>
          <t>Bridge Off Licence Convenience Store</t>
        </is>
      </c>
      <c r="E34" s="5" t="inlineStr">
        <is>
          <t>Off-Licence</t>
        </is>
      </c>
      <c r="F34" s="5" t="inlineStr">
        <is>
          <t>Off-licence and convenience store</t>
        </is>
      </c>
      <c r="G34" s="5" t="inlineStr">
        <is>
          <t>Independent</t>
        </is>
      </c>
      <c r="H34" s="5" t="inlineStr">
        <is>
          <t>1</t>
        </is>
      </c>
      <c r="I34" s="5" t="inlineStr"/>
      <c r="J34" s="5" t="inlineStr">
        <is>
          <t>Sowerby Bridge</t>
        </is>
      </c>
      <c r="K34" s="5" t="inlineStr"/>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https://www.yorkshire.com/sowerby-bridge/shopping/off-license/bridge-off-licence-convenience-store</t>
        </is>
      </c>
    </row>
    <row r="35">
      <c r="A35" s="10" t="inlineStr">
        <is>
          <t>UK-000761</t>
        </is>
      </c>
      <c r="B35" s="10" t="inlineStr">
        <is>
          <t>UK-000761-01</t>
        </is>
      </c>
      <c r="C35" s="10" t="inlineStr"/>
      <c r="D35" s="10" t="inlineStr">
        <is>
          <t>C Hoyton Off Licence</t>
        </is>
      </c>
      <c r="E35" s="10" t="inlineStr">
        <is>
          <t>Off-Licence</t>
        </is>
      </c>
      <c r="F35" s="10" t="inlineStr">
        <is>
          <t>Off-licence</t>
        </is>
      </c>
      <c r="G35" s="10" t="inlineStr">
        <is>
          <t>Independent</t>
        </is>
      </c>
      <c r="H35" s="10" t="inlineStr">
        <is>
          <t>1</t>
        </is>
      </c>
      <c r="I35" s="10" t="inlineStr">
        <is>
          <t>64-66 Dunriding Lane</t>
        </is>
      </c>
      <c r="J35" s="10" t="inlineStr">
        <is>
          <t>St Helens</t>
        </is>
      </c>
      <c r="K35" s="10" t="inlineStr">
        <is>
          <t>WA10 4BB</t>
        </is>
      </c>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https://www.24houralcohol.co.uk/st-helens-off-licences</t>
        </is>
      </c>
    </row>
    <row r="36">
      <c r="A36" s="5" t="inlineStr">
        <is>
          <t>UK-000762</t>
        </is>
      </c>
      <c r="B36" s="5" t="inlineStr">
        <is>
          <t>UK-000762-01</t>
        </is>
      </c>
      <c r="C36" s="5" t="inlineStr"/>
      <c r="D36" s="5" t="inlineStr">
        <is>
          <t>Cashen's 2</t>
        </is>
      </c>
      <c r="E36" s="5" t="inlineStr">
        <is>
          <t>Off-Licence</t>
        </is>
      </c>
      <c r="F36" s="5" t="inlineStr">
        <is>
          <t>Off-licence / convenience</t>
        </is>
      </c>
      <c r="G36" s="5" t="inlineStr">
        <is>
          <t>Independent</t>
        </is>
      </c>
      <c r="H36" s="5" t="inlineStr">
        <is>
          <t>1</t>
        </is>
      </c>
      <c r="I36" s="5" t="inlineStr">
        <is>
          <t>85 Hale Road</t>
        </is>
      </c>
      <c r="J36" s="5" t="inlineStr">
        <is>
          <t>Liverpool</t>
        </is>
      </c>
      <c r="K36" s="5" t="inlineStr">
        <is>
          <t>L4 3RL</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https://liverpool.cylex-uk.co.uk/off-licence-4.html</t>
        </is>
      </c>
    </row>
    <row r="37">
      <c r="A37" s="10" t="inlineStr">
        <is>
          <t>WY-0073</t>
        </is>
      </c>
      <c r="B37" s="10" t="inlineStr">
        <is>
          <t>WY-0073-01</t>
        </is>
      </c>
      <c r="C37" s="10" t="inlineStr"/>
      <c r="D37" s="10" t="inlineStr">
        <is>
          <t>Caspar's Bottle Shop</t>
        </is>
      </c>
      <c r="E37" s="10" t="inlineStr">
        <is>
          <t>Off-Licence</t>
        </is>
      </c>
      <c r="F37" s="10" t="inlineStr">
        <is>
          <t>Craft beer bottle shop</t>
        </is>
      </c>
      <c r="G37" s="10" t="inlineStr">
        <is>
          <t>Independent</t>
        </is>
      </c>
      <c r="H37" s="10" t="inlineStr">
        <is>
          <t>1</t>
        </is>
      </c>
      <c r="I37" s="10" t="inlineStr">
        <is>
          <t>65 Potternewton Lane</t>
        </is>
      </c>
      <c r="J37" s="10" t="inlineStr">
        <is>
          <t>Leeds</t>
        </is>
      </c>
      <c r="K37" s="10" t="inlineStr">
        <is>
          <t>LS7 3LW</t>
        </is>
      </c>
      <c r="L37" s="10" t="inlineStr">
        <is>
          <t>0113 237 4554</t>
        </is>
      </c>
      <c r="M37" s="10" t="inlineStr"/>
      <c r="N37" s="10" t="inlineStr"/>
      <c r="O37" s="10" t="inlineStr">
        <is>
          <t>https://www.casparsbottleshop.com/</t>
        </is>
      </c>
      <c r="P37" s="10" t="inlineStr">
        <is>
          <t>https://www.facebook.com/casparsbottleshop/</t>
        </is>
      </c>
      <c r="Q37" s="10" t="inlineStr"/>
      <c r="R37" s="10" t="inlineStr"/>
      <c r="S37" s="10" t="inlineStr"/>
      <c r="T37" s="10" t="inlineStr"/>
      <c r="U37" s="10" t="inlineStr"/>
      <c r="V37" s="10" t="inlineStr">
        <is>
          <t>Medium</t>
        </is>
      </c>
      <c r="W37" s="10" t="inlineStr">
        <is>
          <t>Independent retailer; Relevant category; Active website; Social presence</t>
        </is>
      </c>
      <c r="X37" s="10" t="inlineStr">
        <is>
          <t>Verified directory</t>
        </is>
      </c>
      <c r="Y37" s="10" t="inlineStr">
        <is>
          <t>Website Found</t>
        </is>
      </c>
      <c r="Z37" s="10" t="inlineStr">
        <is>
          <t>Medium</t>
        </is>
      </c>
      <c r="AA37" s="10" t="inlineStr">
        <is>
          <t>Requires Verification</t>
        </is>
      </c>
      <c r="AB37" s="10" t="inlineStr">
        <is>
          <t>https://www.casparsbottleshop.com/</t>
        </is>
      </c>
    </row>
    <row r="38">
      <c r="A38" s="5" t="inlineStr">
        <is>
          <t>WY-0074</t>
        </is>
      </c>
      <c r="B38" s="5" t="inlineStr">
        <is>
          <t>WY-0074-01</t>
        </is>
      </c>
      <c r="C38" s="5" t="inlineStr"/>
      <c r="D38" s="5" t="inlineStr">
        <is>
          <t>Castleford Road Off Licence</t>
        </is>
      </c>
      <c r="E38" s="5" t="inlineStr">
        <is>
          <t>Off-Licence</t>
        </is>
      </c>
      <c r="F38" s="5" t="inlineStr">
        <is>
          <t>Off-licence and convenience store</t>
        </is>
      </c>
      <c r="G38" s="5" t="inlineStr">
        <is>
          <t>Independent</t>
        </is>
      </c>
      <c r="H38" s="5" t="inlineStr">
        <is>
          <t>1</t>
        </is>
      </c>
      <c r="I38" s="5" t="inlineStr">
        <is>
          <t>154 Castleford Road</t>
        </is>
      </c>
      <c r="J38" s="5" t="inlineStr">
        <is>
          <t>Normanton</t>
        </is>
      </c>
      <c r="K38" s="5" t="inlineStr">
        <is>
          <t>WF6 2EU</t>
        </is>
      </c>
      <c r="L38" s="5" t="inlineStr">
        <is>
          <t>01924 223984</t>
        </is>
      </c>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Verified directory</t>
        </is>
      </c>
      <c r="Y38" s="5" t="inlineStr">
        <is>
          <t>Not Found</t>
        </is>
      </c>
      <c r="Z38" s="5" t="inlineStr">
        <is>
          <t>Medium</t>
        </is>
      </c>
      <c r="AA38" s="5" t="inlineStr">
        <is>
          <t>Requires Verification</t>
        </is>
      </c>
      <c r="AB38" s="5" t="inlineStr">
        <is>
          <t>https://www.192.com/atoz/business/normanton-wf6/convenience-stores/castleford-road-off-licence-limited/bb1e65f2f01c9a4208fc92bb1c8fdf5da42be2ec/comp/</t>
        </is>
      </c>
    </row>
    <row r="39">
      <c r="A39" s="10" t="inlineStr">
        <is>
          <t>UK-000460</t>
        </is>
      </c>
      <c r="B39" s="10" t="inlineStr">
        <is>
          <t>UK-000460-01</t>
        </is>
      </c>
      <c r="C39" s="10" t="inlineStr"/>
      <c r="D39" s="10" t="inlineStr">
        <is>
          <t>Causeway Wines</t>
        </is>
      </c>
      <c r="E39" s="10" t="inlineStr">
        <is>
          <t>Off-Licence</t>
        </is>
      </c>
      <c r="F39" s="10" t="inlineStr">
        <is>
          <t>Off-licence &amp; convenience</t>
        </is>
      </c>
      <c r="G39" s="10" t="inlineStr">
        <is>
          <t>Independent</t>
        </is>
      </c>
      <c r="H39" s="10" t="inlineStr">
        <is>
          <t>1</t>
        </is>
      </c>
      <c r="I39" s="10" t="inlineStr">
        <is>
          <t>202 Causeway Green Road</t>
        </is>
      </c>
      <c r="J39" s="10" t="inlineStr">
        <is>
          <t>Oldbury</t>
        </is>
      </c>
      <c r="K39" s="10" t="inlineStr">
        <is>
          <t>B68 8LS</t>
        </is>
      </c>
      <c r="L39" s="10" t="inlineStr">
        <is>
          <t>0121 541 2103</t>
        </is>
      </c>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Verified directory</t>
        </is>
      </c>
      <c r="Y39" s="10" t="inlineStr">
        <is>
          <t>Not Found</t>
        </is>
      </c>
      <c r="Z39" s="10" t="inlineStr">
        <is>
          <t>Medium</t>
        </is>
      </c>
      <c r="AA39" s="10" t="inlineStr">
        <is>
          <t>Requires Verification</t>
        </is>
      </c>
      <c r="AB39" s="10" t="inlineStr">
        <is>
          <t>https://www.yell.com/s/off+licences+and+wine+merchants-oldbury-west+midlands.html</t>
        </is>
      </c>
    </row>
    <row r="40">
      <c r="A40" s="5" t="inlineStr">
        <is>
          <t>UK-000591</t>
        </is>
      </c>
      <c r="B40" s="5" t="inlineStr">
        <is>
          <t>UK-000591-01</t>
        </is>
      </c>
      <c r="C40" s="5" t="inlineStr"/>
      <c r="D40" s="5" t="inlineStr">
        <is>
          <t>Cobham Food &amp; Wine</t>
        </is>
      </c>
      <c r="E40" s="5" t="inlineStr">
        <is>
          <t>Off-Licence</t>
        </is>
      </c>
      <c r="F40" s="5" t="inlineStr"/>
      <c r="G40" s="5" t="inlineStr">
        <is>
          <t>Independent</t>
        </is>
      </c>
      <c r="H40" s="5" t="inlineStr">
        <is>
          <t>1</t>
        </is>
      </c>
      <c r="I40" s="5" t="inlineStr">
        <is>
          <t>3 Cobham Court</t>
        </is>
      </c>
      <c r="J40" s="5" t="inlineStr">
        <is>
          <t>Mitcham</t>
        </is>
      </c>
      <c r="K40" s="5" t="inlineStr">
        <is>
          <t>CR4 3PR</t>
        </is>
      </c>
      <c r="L40" s="5" t="inlineStr">
        <is>
          <t>020 8767 8854</t>
        </is>
      </c>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Verified directory</t>
        </is>
      </c>
      <c r="Y40" s="5" t="inlineStr">
        <is>
          <t>Not Found</t>
        </is>
      </c>
      <c r="Z40" s="5" t="inlineStr">
        <is>
          <t>Medium</t>
        </is>
      </c>
      <c r="AA40" s="5" t="inlineStr">
        <is>
          <t>Requires Verification</t>
        </is>
      </c>
      <c r="AB40" s="5" t="inlineStr">
        <is>
          <t>https://www.yell.com/s/off+licences-wimbledon-south+west+london.html</t>
        </is>
      </c>
    </row>
    <row r="41">
      <c r="A41" s="10" t="inlineStr">
        <is>
          <t>WY-0079</t>
        </is>
      </c>
      <c r="B41" s="10" t="inlineStr">
        <is>
          <t>WY-0079-01</t>
        </is>
      </c>
      <c r="C41" s="10" t="inlineStr"/>
      <c r="D41" s="10" t="inlineStr">
        <is>
          <t>Crossroads Off Licence &amp; Newsagent</t>
        </is>
      </c>
      <c r="E41" s="10" t="inlineStr">
        <is>
          <t>Off-Licence</t>
        </is>
      </c>
      <c r="F41" s="10" t="inlineStr">
        <is>
          <t>Off-licence and newsagent</t>
        </is>
      </c>
      <c r="G41" s="10" t="inlineStr">
        <is>
          <t>Independent</t>
        </is>
      </c>
      <c r="H41" s="10" t="inlineStr">
        <is>
          <t>1</t>
        </is>
      </c>
      <c r="I41" s="10" t="inlineStr">
        <is>
          <t>19 Cross Road</t>
        </is>
      </c>
      <c r="J41" s="10" t="inlineStr">
        <is>
          <t>Wakefield</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https://m.yelp.com/biz/crossroads-off-licence-and-newsagent-wakefield</t>
        </is>
      </c>
    </row>
    <row r="42">
      <c r="A42" s="5" t="inlineStr">
        <is>
          <t>UK-000593</t>
        </is>
      </c>
      <c r="B42" s="5" t="inlineStr">
        <is>
          <t>UK-000593-01</t>
        </is>
      </c>
      <c r="C42" s="5" t="inlineStr"/>
      <c r="D42" s="5" t="inlineStr">
        <is>
          <t>Dalston Food and Wine</t>
        </is>
      </c>
      <c r="E42" s="5" t="inlineStr">
        <is>
          <t>Off-Licence</t>
        </is>
      </c>
      <c r="F42" s="5" t="inlineStr">
        <is>
          <t>Off-licence &amp; grocery</t>
        </is>
      </c>
      <c r="G42" s="5" t="inlineStr">
        <is>
          <t>Independent</t>
        </is>
      </c>
      <c r="H42" s="5" t="inlineStr">
        <is>
          <t>1</t>
        </is>
      </c>
      <c r="I42" s="5" t="inlineStr">
        <is>
          <t>28 Stoke Newington Road</t>
        </is>
      </c>
      <c r="J42" s="5" t="inlineStr">
        <is>
          <t>Dalston</t>
        </is>
      </c>
      <c r="K42" s="5" t="inlineStr">
        <is>
          <t>N16 7XJ</t>
        </is>
      </c>
      <c r="L42" s="5" t="inlineStr">
        <is>
          <t>020 7226 1959</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Requires Verification</t>
        </is>
      </c>
      <c r="AB42" s="5" t="inlineStr">
        <is>
          <t>https://www.yell.com/s/off+licences-dalston-east+london.html</t>
        </is>
      </c>
    </row>
    <row r="43">
      <c r="A43" s="10" t="inlineStr">
        <is>
          <t>UK-000465</t>
        </is>
      </c>
      <c r="B43" s="10" t="inlineStr">
        <is>
          <t>UK-000465-01</t>
        </is>
      </c>
      <c r="C43" s="10" t="inlineStr"/>
      <c r="D43" s="10" t="inlineStr">
        <is>
          <t>Dave Wine</t>
        </is>
      </c>
      <c r="E43" s="10" t="inlineStr">
        <is>
          <t>Off-Licence</t>
        </is>
      </c>
      <c r="F43" s="10" t="inlineStr">
        <is>
          <t>Off-licence &amp; convenience</t>
        </is>
      </c>
      <c r="G43" s="10" t="inlineStr">
        <is>
          <t>Independent</t>
        </is>
      </c>
      <c r="H43" s="10" t="inlineStr">
        <is>
          <t>1</t>
        </is>
      </c>
      <c r="I43" s="10" t="inlineStr">
        <is>
          <t>778 Hagley Road West</t>
        </is>
      </c>
      <c r="J43" s="10" t="inlineStr">
        <is>
          <t>Oldbury</t>
        </is>
      </c>
      <c r="K43" s="10" t="inlineStr">
        <is>
          <t>B68 0PJ</t>
        </is>
      </c>
      <c r="L43" s="10" t="inlineStr">
        <is>
          <t>0121 421 2029</t>
        </is>
      </c>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Verified directory</t>
        </is>
      </c>
      <c r="Y43" s="10" t="inlineStr">
        <is>
          <t>Not Found</t>
        </is>
      </c>
      <c r="Z43" s="10" t="inlineStr">
        <is>
          <t>Medium</t>
        </is>
      </c>
      <c r="AA43" s="10" t="inlineStr">
        <is>
          <t>Requires Verification</t>
        </is>
      </c>
      <c r="AB43" s="10" t="inlineStr">
        <is>
          <t>https://www.yell.com/s/off+licences+and+wine+merchants-oldbury-west+midlands.html</t>
        </is>
      </c>
    </row>
    <row r="44">
      <c r="A44" s="5" t="inlineStr">
        <is>
          <t>UK-000351</t>
        </is>
      </c>
      <c r="B44" s="5" t="inlineStr">
        <is>
          <t>UK-000351-01</t>
        </is>
      </c>
      <c r="C44" s="5" t="inlineStr"/>
      <c r="D44" s="5" t="inlineStr">
        <is>
          <t>Dave's Off Licence</t>
        </is>
      </c>
      <c r="E44" s="5" t="inlineStr">
        <is>
          <t>Off-Licence</t>
        </is>
      </c>
      <c r="F44" s="5" t="inlineStr"/>
      <c r="G44" s="5" t="inlineStr">
        <is>
          <t>Independent</t>
        </is>
      </c>
      <c r="H44" s="5" t="inlineStr">
        <is>
          <t>1</t>
        </is>
      </c>
      <c r="I44" s="5" t="inlineStr">
        <is>
          <t>91 Tunstall Lane</t>
        </is>
      </c>
      <c r="J44" s="5" t="inlineStr">
        <is>
          <t>Wigan</t>
        </is>
      </c>
      <c r="K44" s="5" t="inlineStr">
        <is>
          <t>WN5 9HR</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https://www.24houralcohol.co.uk/wigan-off-licences</t>
        </is>
      </c>
    </row>
    <row r="45">
      <c r="A45" s="10" t="inlineStr">
        <is>
          <t>UK-000466</t>
        </is>
      </c>
      <c r="B45" s="10" t="inlineStr">
        <is>
          <t>UK-000466-01</t>
        </is>
      </c>
      <c r="C45" s="10" t="inlineStr"/>
      <c r="D45" s="10" t="inlineStr">
        <is>
          <t>Delta Wines</t>
        </is>
      </c>
      <c r="E45" s="10" t="inlineStr">
        <is>
          <t>Off-Licence</t>
        </is>
      </c>
      <c r="F45" s="10" t="inlineStr">
        <is>
          <t>Off-licence &amp; convenience</t>
        </is>
      </c>
      <c r="G45" s="10" t="inlineStr">
        <is>
          <t>Independent</t>
        </is>
      </c>
      <c r="H45" s="10" t="inlineStr">
        <is>
          <t>1</t>
        </is>
      </c>
      <c r="I45" s="10" t="inlineStr">
        <is>
          <t>107 Sams Lane</t>
        </is>
      </c>
      <c r="J45" s="10" t="inlineStr">
        <is>
          <t>West Bromwich</t>
        </is>
      </c>
      <c r="K45" s="10" t="inlineStr">
        <is>
          <t>B70 7EG</t>
        </is>
      </c>
      <c r="L45" s="10" t="inlineStr">
        <is>
          <t>0121 553 5563</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https://west-bromwich.cylex-uk.co.uk/beer-wine-spirits/</t>
        </is>
      </c>
    </row>
    <row r="46">
      <c r="A46" s="5" t="inlineStr">
        <is>
          <t>UK-000767</t>
        </is>
      </c>
      <c r="B46" s="5" t="inlineStr">
        <is>
          <t>UK-000767-01</t>
        </is>
      </c>
      <c r="C46" s="5" t="inlineStr"/>
      <c r="D46" s="5" t="inlineStr">
        <is>
          <t>Discount Booze</t>
        </is>
      </c>
      <c r="E46" s="5" t="inlineStr">
        <is>
          <t>Off-Licence</t>
        </is>
      </c>
      <c r="F46" s="5" t="inlineStr">
        <is>
          <t>Off-licence / wines &amp; spirits</t>
        </is>
      </c>
      <c r="G46" s="5" t="inlineStr">
        <is>
          <t>Independent</t>
        </is>
      </c>
      <c r="H46" s="5" t="inlineStr">
        <is>
          <t>1</t>
        </is>
      </c>
      <c r="I46" s="5" t="inlineStr">
        <is>
          <t>1 Blessington Road</t>
        </is>
      </c>
      <c r="J46" s="5" t="inlineStr">
        <is>
          <t>Liverpool</t>
        </is>
      </c>
      <c r="K46" s="5" t="inlineStr">
        <is>
          <t>L4 0RY</t>
        </is>
      </c>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https://liverpool.cylex-uk.co.uk/off-licence-4.html</t>
        </is>
      </c>
    </row>
    <row r="47">
      <c r="A47" s="10" t="inlineStr">
        <is>
          <t>UK-000769</t>
        </is>
      </c>
      <c r="B47" s="10" t="inlineStr">
        <is>
          <t>UK-000769-01</t>
        </is>
      </c>
      <c r="C47" s="10" t="inlineStr"/>
      <c r="D47" s="10" t="inlineStr">
        <is>
          <t>Dubai Convenience &amp; Off Licence</t>
        </is>
      </c>
      <c r="E47" s="10" t="inlineStr">
        <is>
          <t>Off-Licence</t>
        </is>
      </c>
      <c r="F47" s="10" t="inlineStr">
        <is>
          <t>Convenience &amp; off-licence</t>
        </is>
      </c>
      <c r="G47" s="10" t="inlineStr">
        <is>
          <t>Independent</t>
        </is>
      </c>
      <c r="H47" s="10" t="inlineStr">
        <is>
          <t>1</t>
        </is>
      </c>
      <c r="I47" s="10" t="inlineStr">
        <is>
          <t>71 Walton Vale</t>
        </is>
      </c>
      <c r="J47" s="10" t="inlineStr">
        <is>
          <t>Liverpool</t>
        </is>
      </c>
      <c r="K47" s="10" t="inlineStr">
        <is>
          <t>L9 4RQ</t>
        </is>
      </c>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https://www.yell.com/biz/dubai-convenience-and-off-licence-liverpool-10714449/</t>
        </is>
      </c>
    </row>
    <row r="48">
      <c r="A48" s="5" t="inlineStr">
        <is>
          <t>UK-000467</t>
        </is>
      </c>
      <c r="B48" s="5" t="inlineStr">
        <is>
          <t>UK-000467-01</t>
        </is>
      </c>
      <c r="C48" s="5" t="inlineStr"/>
      <c r="D48" s="5" t="inlineStr">
        <is>
          <t>Dylan's 24/7 Off Licence &amp; Convenience Store</t>
        </is>
      </c>
      <c r="E48" s="5" t="inlineStr">
        <is>
          <t>Off-Licence</t>
        </is>
      </c>
      <c r="F48" s="5" t="inlineStr">
        <is>
          <t>Off-licence &amp; convenience (24 hour)</t>
        </is>
      </c>
      <c r="G48" s="5" t="inlineStr">
        <is>
          <t>Independent</t>
        </is>
      </c>
      <c r="H48" s="5" t="inlineStr">
        <is>
          <t>1</t>
        </is>
      </c>
      <c r="I48" s="5" t="inlineStr">
        <is>
          <t>75 Bridge Street</t>
        </is>
      </c>
      <c r="J48" s="5" t="inlineStr">
        <is>
          <t>Wednesbury</t>
        </is>
      </c>
      <c r="K48" s="5" t="inlineStr">
        <is>
          <t>WS10 0AH</t>
        </is>
      </c>
      <c r="L48" s="5" t="inlineStr">
        <is>
          <t>0121 505 5898</t>
        </is>
      </c>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Verified directory</t>
        </is>
      </c>
      <c r="Y48" s="5" t="inlineStr">
        <is>
          <t>Not Found</t>
        </is>
      </c>
      <c r="Z48" s="5" t="inlineStr">
        <is>
          <t>Medium</t>
        </is>
      </c>
      <c r="AA48" s="5" t="inlineStr">
        <is>
          <t>Requires Verification</t>
        </is>
      </c>
      <c r="AB48" s="5" t="inlineStr">
        <is>
          <t>https://wednesbury.cylex-uk.co.uk/convenience-stores/</t>
        </is>
      </c>
    </row>
    <row r="49">
      <c r="A49" s="10" t="inlineStr">
        <is>
          <t>UK-000468</t>
        </is>
      </c>
      <c r="B49" s="10" t="inlineStr">
        <is>
          <t>UK-000468-01</t>
        </is>
      </c>
      <c r="C49" s="10" t="inlineStr"/>
      <c r="D49" s="10" t="inlineStr">
        <is>
          <t>Dylans Drink Shop</t>
        </is>
      </c>
      <c r="E49" s="10" t="inlineStr">
        <is>
          <t>Off-Licence</t>
        </is>
      </c>
      <c r="F49" s="10" t="inlineStr">
        <is>
          <t>Off-licence &amp; convenience</t>
        </is>
      </c>
      <c r="G49" s="10" t="inlineStr">
        <is>
          <t>Independent</t>
        </is>
      </c>
      <c r="H49" s="10" t="inlineStr">
        <is>
          <t>1</t>
        </is>
      </c>
      <c r="I49" s="10" t="inlineStr">
        <is>
          <t>633 Bearwood Road</t>
        </is>
      </c>
      <c r="J49" s="10" t="inlineStr">
        <is>
          <t>Smethwick</t>
        </is>
      </c>
      <c r="K49" s="10" t="inlineStr">
        <is>
          <t>B66 4BL</t>
        </is>
      </c>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Medium</t>
        </is>
      </c>
      <c r="AA49" s="10" t="inlineStr">
        <is>
          <t>Requires Verification</t>
        </is>
      </c>
      <c r="AB49" s="10" t="inlineStr">
        <is>
          <t>https://www.yell.com/s/off+licences-bearwood.html</t>
        </is>
      </c>
    </row>
    <row r="50">
      <c r="A50" s="5" t="inlineStr">
        <is>
          <t>UK-000598</t>
        </is>
      </c>
      <c r="B50" s="5" t="inlineStr">
        <is>
          <t>UK-000598-01</t>
        </is>
      </c>
      <c r="C50" s="5" t="inlineStr"/>
      <c r="D50" s="5" t="inlineStr">
        <is>
          <t>Easy Off Licence (Caledonian Road)</t>
        </is>
      </c>
      <c r="E50" s="5" t="inlineStr">
        <is>
          <t>Off-Licence</t>
        </is>
      </c>
      <c r="F50" s="5" t="inlineStr">
        <is>
          <t>Off-licence &amp; convenience</t>
        </is>
      </c>
      <c r="G50" s="5" t="inlineStr">
        <is>
          <t>Independent</t>
        </is>
      </c>
      <c r="H50" s="5" t="inlineStr">
        <is>
          <t>1</t>
        </is>
      </c>
      <c r="I50" s="5" t="inlineStr">
        <is>
          <t>62 Caledonian Road</t>
        </is>
      </c>
      <c r="J50" s="5" t="inlineStr">
        <is>
          <t>London</t>
        </is>
      </c>
      <c r="K50" s="5" t="inlineStr">
        <is>
          <t>N1 9DP</t>
        </is>
      </c>
      <c r="L50" s="5" t="inlineStr">
        <is>
          <t>020 7837 1799</t>
        </is>
      </c>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Verified directory</t>
        </is>
      </c>
      <c r="Y50" s="5" t="inlineStr">
        <is>
          <t>Not Found</t>
        </is>
      </c>
      <c r="Z50" s="5" t="inlineStr">
        <is>
          <t>Low</t>
        </is>
      </c>
      <c r="AA50" s="5" t="inlineStr">
        <is>
          <t>Requires Verification</t>
        </is>
      </c>
      <c r="AB50" s="5" t="inlineStr">
        <is>
          <t>http://2pos.org.uk/2808/140518</t>
        </is>
      </c>
    </row>
    <row r="51">
      <c r="A51" s="10" t="inlineStr">
        <is>
          <t>UK-000599</t>
        </is>
      </c>
      <c r="B51" s="10" t="inlineStr">
        <is>
          <t>UK-000599-01</t>
        </is>
      </c>
      <c r="C51" s="10" t="inlineStr"/>
      <c r="D51" s="10" t="inlineStr">
        <is>
          <t>Eatmore Express</t>
        </is>
      </c>
      <c r="E51" s="10" t="inlineStr">
        <is>
          <t>Off-Licence</t>
        </is>
      </c>
      <c r="F51" s="10" t="inlineStr">
        <is>
          <t>Convenience &amp; off-licence</t>
        </is>
      </c>
      <c r="G51" s="10" t="inlineStr">
        <is>
          <t>Independent</t>
        </is>
      </c>
      <c r="H51" s="10" t="inlineStr">
        <is>
          <t>1</t>
        </is>
      </c>
      <c r="I51" s="10" t="inlineStr">
        <is>
          <t>421 New Kings Road</t>
        </is>
      </c>
      <c r="J51" s="10" t="inlineStr">
        <is>
          <t>London</t>
        </is>
      </c>
      <c r="K51" s="10" t="inlineStr">
        <is>
          <t>SW6 4RN</t>
        </is>
      </c>
      <c r="L51" s="10" t="inlineStr">
        <is>
          <t>020 7736 0335</t>
        </is>
      </c>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Verified directory</t>
        </is>
      </c>
      <c r="Y51" s="10" t="inlineStr">
        <is>
          <t>Not Found</t>
        </is>
      </c>
      <c r="Z51" s="10" t="inlineStr">
        <is>
          <t>Medium</t>
        </is>
      </c>
      <c r="AA51" s="10" t="inlineStr">
        <is>
          <t>Requires Verification</t>
        </is>
      </c>
      <c r="AB51" s="10" t="inlineStr">
        <is>
          <t>https://www.yell.com/s/off+licences-fulham-london.html</t>
        </is>
      </c>
    </row>
    <row r="52">
      <c r="A52" s="5" t="inlineStr">
        <is>
          <t>UK-000602</t>
        </is>
      </c>
      <c r="B52" s="5" t="inlineStr">
        <is>
          <t>UK-000602-01</t>
        </is>
      </c>
      <c r="C52" s="5" t="inlineStr"/>
      <c r="D52" s="5" t="inlineStr">
        <is>
          <t>Elite Wine Merchants</t>
        </is>
      </c>
      <c r="E52" s="5" t="inlineStr">
        <is>
          <t>Off-Licence</t>
        </is>
      </c>
      <c r="F52" s="5" t="inlineStr">
        <is>
          <t>Off-licence / wine merchant</t>
        </is>
      </c>
      <c r="G52" s="5" t="inlineStr">
        <is>
          <t>Independent</t>
        </is>
      </c>
      <c r="H52" s="5" t="inlineStr">
        <is>
          <t>1</t>
        </is>
      </c>
      <c r="I52" s="5" t="inlineStr">
        <is>
          <t>176 Earls Court Road</t>
        </is>
      </c>
      <c r="J52" s="5" t="inlineStr">
        <is>
          <t>London</t>
        </is>
      </c>
      <c r="K52" s="5" t="inlineStr">
        <is>
          <t>SW5 9QQ</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https://www.yell.com/s/off+licences-earls+court-south+west+london.html</t>
        </is>
      </c>
    </row>
    <row r="53">
      <c r="A53" s="10" t="inlineStr">
        <is>
          <t>UK-000469</t>
        </is>
      </c>
      <c r="B53" s="10" t="inlineStr">
        <is>
          <t>UK-000469-01</t>
        </is>
      </c>
      <c r="C53" s="10" t="inlineStr"/>
      <c r="D53" s="10" t="inlineStr">
        <is>
          <t>Elite Wines</t>
        </is>
      </c>
      <c r="E53" s="10" t="inlineStr">
        <is>
          <t>Off-Licence</t>
        </is>
      </c>
      <c r="F53" s="10" t="inlineStr">
        <is>
          <t>Off-licence &amp; convenience</t>
        </is>
      </c>
      <c r="G53" s="10" t="inlineStr">
        <is>
          <t>Independent</t>
        </is>
      </c>
      <c r="H53" s="10" t="inlineStr">
        <is>
          <t>1</t>
        </is>
      </c>
      <c r="I53" s="10" t="inlineStr">
        <is>
          <t>20 Carters Green</t>
        </is>
      </c>
      <c r="J53" s="10" t="inlineStr">
        <is>
          <t>West Bromwich</t>
        </is>
      </c>
      <c r="K53" s="10" t="inlineStr">
        <is>
          <t>B70 9LW</t>
        </is>
      </c>
      <c r="L53" s="10" t="inlineStr">
        <is>
          <t>0121 553 5218</t>
        </is>
      </c>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Verified directory</t>
        </is>
      </c>
      <c r="Y53" s="10" t="inlineStr">
        <is>
          <t>Not Found</t>
        </is>
      </c>
      <c r="Z53" s="10" t="inlineStr">
        <is>
          <t>Medium</t>
        </is>
      </c>
      <c r="AA53" s="10" t="inlineStr">
        <is>
          <t>Requires Verification</t>
        </is>
      </c>
      <c r="AB53" s="10" t="inlineStr">
        <is>
          <t>https://west-bromwich.cylex-uk.co.uk/beer-wine-spirits/</t>
        </is>
      </c>
    </row>
    <row r="54">
      <c r="A54" s="5" t="inlineStr">
        <is>
          <t>UK-000772</t>
        </is>
      </c>
      <c r="B54" s="5" t="inlineStr">
        <is>
          <t>UK-000772-01</t>
        </is>
      </c>
      <c r="C54" s="5" t="inlineStr"/>
      <c r="D54" s="5" t="inlineStr">
        <is>
          <t>Ellie's Cellar</t>
        </is>
      </c>
      <c r="E54" s="5" t="inlineStr">
        <is>
          <t>Off-Licence</t>
        </is>
      </c>
      <c r="F54" s="5" t="inlineStr">
        <is>
          <t>Off-licence / wine &amp; spirits</t>
        </is>
      </c>
      <c r="G54" s="5" t="inlineStr">
        <is>
          <t>Independent</t>
        </is>
      </c>
      <c r="H54" s="5" t="inlineStr">
        <is>
          <t>1</t>
        </is>
      </c>
      <c r="I54" s="5" t="inlineStr">
        <is>
          <t>24 Henderson Street</t>
        </is>
      </c>
      <c r="J54" s="5" t="inlineStr">
        <is>
          <t>Stirling</t>
        </is>
      </c>
      <c r="K54" s="5" t="inlineStr">
        <is>
          <t>FK9 4HP</t>
        </is>
      </c>
      <c r="L54" s="5" t="inlineStr">
        <is>
          <t>01786 834894</t>
        </is>
      </c>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Verified directory</t>
        </is>
      </c>
      <c r="Y54" s="5" t="inlineStr">
        <is>
          <t>Not Found</t>
        </is>
      </c>
      <c r="Z54" s="5" t="inlineStr">
        <is>
          <t>Medium</t>
        </is>
      </c>
      <c r="AA54" s="5" t="inlineStr">
        <is>
          <t>Requires Verification</t>
        </is>
      </c>
      <c r="AB54" s="5" t="inlineStr">
        <is>
          <t>https://falkirk.cylex-uk.co.uk/off-licence.html</t>
        </is>
      </c>
    </row>
    <row r="55">
      <c r="A55" s="10" t="inlineStr">
        <is>
          <t>UK-000773</t>
        </is>
      </c>
      <c r="B55" s="10" t="inlineStr">
        <is>
          <t>UK-000773-01</t>
        </is>
      </c>
      <c r="C55" s="10" t="inlineStr"/>
      <c r="D55" s="10" t="inlineStr">
        <is>
          <t>Elm Row Grocer &amp; Off Licence</t>
        </is>
      </c>
      <c r="E55" s="10" t="inlineStr">
        <is>
          <t>Off-Licence</t>
        </is>
      </c>
      <c r="F55" s="10" t="inlineStr">
        <is>
          <t>Grocer &amp; off-licence</t>
        </is>
      </c>
      <c r="G55" s="10" t="inlineStr">
        <is>
          <t>Independent</t>
        </is>
      </c>
      <c r="H55" s="10" t="inlineStr">
        <is>
          <t>1</t>
        </is>
      </c>
      <c r="I55" s="10" t="inlineStr">
        <is>
          <t>26 Elm Row</t>
        </is>
      </c>
      <c r="J55" s="10" t="inlineStr">
        <is>
          <t>Edinburgh</t>
        </is>
      </c>
      <c r="K55" s="10" t="inlineStr">
        <is>
          <t>EH7 4AH</t>
        </is>
      </c>
      <c r="L55" s="10" t="inlineStr">
        <is>
          <t>0131 558 3058</t>
        </is>
      </c>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Verified directory</t>
        </is>
      </c>
      <c r="Y55" s="10" t="inlineStr">
        <is>
          <t>Not Found</t>
        </is>
      </c>
      <c r="Z55" s="10" t="inlineStr">
        <is>
          <t>Medium</t>
        </is>
      </c>
      <c r="AA55" s="10" t="inlineStr">
        <is>
          <t>Requires Verification</t>
        </is>
      </c>
      <c r="AB55" s="10" t="inlineStr">
        <is>
          <t>https://www.yell.com/biz/elm-row-grocer-and-off-licence-edinburgh-7953638/</t>
        </is>
      </c>
    </row>
    <row r="56">
      <c r="A56" s="5" t="inlineStr">
        <is>
          <t>UK-000603</t>
        </is>
      </c>
      <c r="B56" s="5" t="inlineStr">
        <is>
          <t>UK-000603-01</t>
        </is>
      </c>
      <c r="C56" s="5" t="inlineStr"/>
      <c r="D56" s="5" t="inlineStr">
        <is>
          <t>Express Kentish Town Food &amp; Wine</t>
        </is>
      </c>
      <c r="E56" s="5" t="inlineStr">
        <is>
          <t>Off-Licence</t>
        </is>
      </c>
      <c r="F56" s="5" t="inlineStr">
        <is>
          <t>Convenience &amp; off-licence</t>
        </is>
      </c>
      <c r="G56" s="5" t="inlineStr">
        <is>
          <t>Independent</t>
        </is>
      </c>
      <c r="H56" s="5" t="inlineStr">
        <is>
          <t>1</t>
        </is>
      </c>
      <c r="I56" s="5" t="inlineStr"/>
      <c r="J56" s="5" t="inlineStr">
        <is>
          <t>London</t>
        </is>
      </c>
      <c r="K56" s="5" t="inlineStr"/>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https://www.yell.com/biz/express-kentish-town-food-and-wine-london-8768068/</t>
        </is>
      </c>
    </row>
    <row r="57">
      <c r="A57" s="10" t="inlineStr">
        <is>
          <t>UK-000245</t>
        </is>
      </c>
      <c r="B57" s="10" t="inlineStr">
        <is>
          <t>UK-000245-01</t>
        </is>
      </c>
      <c r="C57" s="10" t="inlineStr"/>
      <c r="D57" s="10" t="inlineStr">
        <is>
          <t>First Choice Off Licence</t>
        </is>
      </c>
      <c r="E57" s="10" t="inlineStr">
        <is>
          <t>Off-Licence</t>
        </is>
      </c>
      <c r="F57" s="10" t="inlineStr">
        <is>
          <t>Off-licence</t>
        </is>
      </c>
      <c r="G57" s="10" t="inlineStr">
        <is>
          <t>Independent</t>
        </is>
      </c>
      <c r="H57" s="10" t="inlineStr">
        <is>
          <t>1</t>
        </is>
      </c>
      <c r="I57" s="10" t="inlineStr"/>
      <c r="J57" s="10" t="inlineStr">
        <is>
          <t>Sheffield</t>
        </is>
      </c>
      <c r="K57" s="10" t="inlineStr"/>
      <c r="L57" s="10" t="inlineStr"/>
      <c r="M57" s="10" t="inlineStr"/>
      <c r="N57" s="10" t="inlineStr"/>
      <c r="O57" s="10" t="inlineStr"/>
      <c r="P57" s="10" t="inlineStr">
        <is>
          <t>https://www.facebook.com/FirstChoiceOffLicence/</t>
        </is>
      </c>
      <c r="Q57" s="10" t="inlineStr"/>
      <c r="R57" s="10" t="inlineStr"/>
      <c r="S57" s="10" t="inlineStr"/>
      <c r="T57" s="10" t="inlineStr"/>
      <c r="U57" s="10" t="inlineStr"/>
      <c r="V57" s="10" t="inlineStr">
        <is>
          <t>Medium</t>
        </is>
      </c>
      <c r="W57" s="10" t="inlineStr">
        <is>
          <t>Independent retailer; Relevant category; Social presence</t>
        </is>
      </c>
      <c r="X57" s="10" t="inlineStr">
        <is>
          <t>Not Found</t>
        </is>
      </c>
      <c r="Y57" s="10" t="inlineStr">
        <is>
          <t>Not Found</t>
        </is>
      </c>
      <c r="Z57" s="10" t="inlineStr">
        <is>
          <t>Low</t>
        </is>
      </c>
      <c r="AA57" s="10" t="inlineStr">
        <is>
          <t>Requires Verification</t>
        </is>
      </c>
      <c r="AB57" s="10" t="inlineStr">
        <is>
          <t>https://www.facebook.com/FirstChoiceOffLicence/</t>
        </is>
      </c>
    </row>
    <row r="58">
      <c r="A58" s="5" t="inlineStr">
        <is>
          <t>UK-000607</t>
        </is>
      </c>
      <c r="B58" s="5" t="inlineStr">
        <is>
          <t>UK-000607-01</t>
        </is>
      </c>
      <c r="C58" s="5" t="inlineStr"/>
      <c r="D58" s="5" t="inlineStr">
        <is>
          <t>Fulham Food &amp; Wine</t>
        </is>
      </c>
      <c r="E58" s="5" t="inlineStr">
        <is>
          <t>Off-Licence</t>
        </is>
      </c>
      <c r="F58" s="5" t="inlineStr">
        <is>
          <t>Convenience &amp; off-licence</t>
        </is>
      </c>
      <c r="G58" s="5" t="inlineStr">
        <is>
          <t>Independent</t>
        </is>
      </c>
      <c r="H58" s="5" t="inlineStr">
        <is>
          <t>1</t>
        </is>
      </c>
      <c r="I58" s="5" t="inlineStr">
        <is>
          <t>320 Munster Road</t>
        </is>
      </c>
      <c r="J58" s="5" t="inlineStr">
        <is>
          <t>London</t>
        </is>
      </c>
      <c r="K58" s="5" t="inlineStr">
        <is>
          <t>SW6 6BH</t>
        </is>
      </c>
      <c r="L58" s="5" t="inlineStr">
        <is>
          <t>020 7610 0070</t>
        </is>
      </c>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Verified directory</t>
        </is>
      </c>
      <c r="Y58" s="5" t="inlineStr">
        <is>
          <t>Not Found</t>
        </is>
      </c>
      <c r="Z58" s="5" t="inlineStr">
        <is>
          <t>Medium</t>
        </is>
      </c>
      <c r="AA58" s="5" t="inlineStr">
        <is>
          <t>Requires Verification</t>
        </is>
      </c>
      <c r="AB58" s="5" t="inlineStr">
        <is>
          <t>https://www.yell.com/s/off+licences-fulham-london.html</t>
        </is>
      </c>
    </row>
    <row r="59">
      <c r="A59" s="10" t="inlineStr">
        <is>
          <t>UK-000608</t>
        </is>
      </c>
      <c r="B59" s="10" t="inlineStr">
        <is>
          <t>UK-000608-01</t>
        </is>
      </c>
      <c r="C59" s="10" t="inlineStr"/>
      <c r="D59" s="10" t="inlineStr">
        <is>
          <t>G S Wines</t>
        </is>
      </c>
      <c r="E59" s="10" t="inlineStr">
        <is>
          <t>Off-Licence</t>
        </is>
      </c>
      <c r="F59" s="10" t="inlineStr">
        <is>
          <t>Off-licence</t>
        </is>
      </c>
      <c r="G59" s="10" t="inlineStr">
        <is>
          <t>Independent</t>
        </is>
      </c>
      <c r="H59" s="10" t="inlineStr">
        <is>
          <t>1</t>
        </is>
      </c>
      <c r="I59" s="10" t="inlineStr">
        <is>
          <t>436 Hedgemans Road</t>
        </is>
      </c>
      <c r="J59" s="10" t="inlineStr">
        <is>
          <t>Dagenham</t>
        </is>
      </c>
      <c r="K59" s="10" t="inlineStr">
        <is>
          <t>RM9 6BU</t>
        </is>
      </c>
      <c r="L59" s="10" t="inlineStr">
        <is>
          <t>020 8592 5465</t>
        </is>
      </c>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Verified directory</t>
        </is>
      </c>
      <c r="Y59" s="10" t="inlineStr">
        <is>
          <t>Not Found</t>
        </is>
      </c>
      <c r="Z59" s="10" t="inlineStr">
        <is>
          <t>Medium</t>
        </is>
      </c>
      <c r="AA59" s="10" t="inlineStr">
        <is>
          <t>Requires Verification</t>
        </is>
      </c>
      <c r="AB59" s="10" t="inlineStr">
        <is>
          <t>https://www.yell.com/s/off+licences-london+borough+of+barking+and+dagenham.html</t>
        </is>
      </c>
    </row>
    <row r="60">
      <c r="A60" s="5" t="inlineStr">
        <is>
          <t>UK-000777</t>
        </is>
      </c>
      <c r="B60" s="5" t="inlineStr">
        <is>
          <t>UK-000777-01</t>
        </is>
      </c>
      <c r="C60" s="5" t="inlineStr"/>
      <c r="D60" s="5" t="inlineStr">
        <is>
          <t>Goldenacre Wines</t>
        </is>
      </c>
      <c r="E60" s="5" t="inlineStr">
        <is>
          <t>Off-Licence</t>
        </is>
      </c>
      <c r="F60" s="5" t="inlineStr">
        <is>
          <t>Wine merchant &amp; off-licence</t>
        </is>
      </c>
      <c r="G60" s="5" t="inlineStr">
        <is>
          <t>Independent</t>
        </is>
      </c>
      <c r="H60" s="5" t="inlineStr">
        <is>
          <t>1</t>
        </is>
      </c>
      <c r="I60" s="5" t="inlineStr">
        <is>
          <t>58-59 Inverleith Row</t>
        </is>
      </c>
      <c r="J60" s="5" t="inlineStr">
        <is>
          <t>Edinburgh</t>
        </is>
      </c>
      <c r="K60" s="5" t="inlineStr">
        <is>
          <t>EH3 5PX</t>
        </is>
      </c>
      <c r="L60" s="5" t="inlineStr">
        <is>
          <t>0131 552 8064</t>
        </is>
      </c>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Verified directory</t>
        </is>
      </c>
      <c r="Y60" s="5" t="inlineStr">
        <is>
          <t>Not Found</t>
        </is>
      </c>
      <c r="Z60" s="5" t="inlineStr">
        <is>
          <t>Medium</t>
        </is>
      </c>
      <c r="AA60" s="5" t="inlineStr">
        <is>
          <t>Requires Verification</t>
        </is>
      </c>
      <c r="AB60" s="5" t="inlineStr">
        <is>
          <t>https://www.yell.com/s/off+licences-leith.html</t>
        </is>
      </c>
    </row>
    <row r="61">
      <c r="A61" s="10" t="inlineStr">
        <is>
          <t>UK-000779</t>
        </is>
      </c>
      <c r="B61" s="10" t="inlineStr">
        <is>
          <t>UK-000779-01</t>
        </is>
      </c>
      <c r="C61" s="10" t="inlineStr"/>
      <c r="D61" s="10" t="inlineStr">
        <is>
          <t>Grog Shop</t>
        </is>
      </c>
      <c r="E61" s="10" t="inlineStr">
        <is>
          <t>Off-Licence</t>
        </is>
      </c>
      <c r="F61" s="10" t="inlineStr">
        <is>
          <t>Off-licence / convenience</t>
        </is>
      </c>
      <c r="G61" s="10" t="inlineStr">
        <is>
          <t>Independent</t>
        </is>
      </c>
      <c r="H61" s="10" t="inlineStr">
        <is>
          <t>1</t>
        </is>
      </c>
      <c r="I61" s="10" t="inlineStr">
        <is>
          <t>21 Richard Hesketh Drive</t>
        </is>
      </c>
      <c r="J61" s="10" t="inlineStr">
        <is>
          <t>Liverpool</t>
        </is>
      </c>
      <c r="K61" s="10" t="inlineStr">
        <is>
          <t>L32 0TU</t>
        </is>
      </c>
      <c r="L61" s="10" t="inlineStr">
        <is>
          <t>0151 549 1773</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Low</t>
        </is>
      </c>
      <c r="AA61" s="10" t="inlineStr">
        <is>
          <t>Requires Verification</t>
        </is>
      </c>
      <c r="AB61" s="10" t="inlineStr">
        <is>
          <t>https://kirkby.cylex-uk.co.uk/convenience-stores/</t>
        </is>
      </c>
    </row>
    <row r="62">
      <c r="A62" s="5" t="inlineStr">
        <is>
          <t>UK-000612</t>
        </is>
      </c>
      <c r="B62" s="5" t="inlineStr">
        <is>
          <t>UK-000612-01</t>
        </is>
      </c>
      <c r="C62" s="5" t="inlineStr"/>
      <c r="D62" s="5" t="inlineStr">
        <is>
          <t>Happy Wines</t>
        </is>
      </c>
      <c r="E62" s="5" t="inlineStr">
        <is>
          <t>Off-Licence</t>
        </is>
      </c>
      <c r="F62" s="5" t="inlineStr">
        <is>
          <t>Off-licence</t>
        </is>
      </c>
      <c r="G62" s="5" t="inlineStr">
        <is>
          <t>Independent</t>
        </is>
      </c>
      <c r="H62" s="5" t="inlineStr">
        <is>
          <t>1</t>
        </is>
      </c>
      <c r="I62" s="5" t="inlineStr">
        <is>
          <t>56a Whalebone Lane South</t>
        </is>
      </c>
      <c r="J62" s="5" t="inlineStr">
        <is>
          <t>Dagenham</t>
        </is>
      </c>
      <c r="K62" s="5" t="inlineStr">
        <is>
          <t>RM8 1BB</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https://www.yell.com/s/off+licences-london+borough+of+barking+and+dagenham.html</t>
        </is>
      </c>
    </row>
    <row r="63">
      <c r="A63" s="10" t="inlineStr">
        <is>
          <t>UK-000477</t>
        </is>
      </c>
      <c r="B63" s="10" t="inlineStr">
        <is>
          <t>UK-000477-01</t>
        </is>
      </c>
      <c r="C63" s="10" t="inlineStr"/>
      <c r="D63" s="10" t="inlineStr">
        <is>
          <t>Hayer Brothers Groceries &amp; Off Licence</t>
        </is>
      </c>
      <c r="E63" s="10" t="inlineStr">
        <is>
          <t>Off-Licence</t>
        </is>
      </c>
      <c r="F63" s="10" t="inlineStr">
        <is>
          <t>Grocery and off-licence</t>
        </is>
      </c>
      <c r="G63" s="10" t="inlineStr">
        <is>
          <t>Independent</t>
        </is>
      </c>
      <c r="H63" s="10" t="inlineStr">
        <is>
          <t>1</t>
        </is>
      </c>
      <c r="I63" s="10" t="inlineStr">
        <is>
          <t>350 Soho Road</t>
        </is>
      </c>
      <c r="J63" s="10" t="inlineStr">
        <is>
          <t>Birmingham</t>
        </is>
      </c>
      <c r="K63" s="10" t="inlineStr">
        <is>
          <t>B21 9QL</t>
        </is>
      </c>
      <c r="L63" s="10" t="inlineStr">
        <is>
          <t>0121 725 6829</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Low</t>
        </is>
      </c>
      <c r="AA63" s="10" t="inlineStr">
        <is>
          <t>Requires Verification</t>
        </is>
      </c>
      <c r="AB63" s="10" t="inlineStr">
        <is>
          <t>https://www.yell.com/s/off+licences-handsworth-birmingham.html</t>
        </is>
      </c>
    </row>
    <row r="64">
      <c r="A64" s="5" t="inlineStr">
        <is>
          <t>UK-000780</t>
        </is>
      </c>
      <c r="B64" s="5" t="inlineStr">
        <is>
          <t>UK-000780-01</t>
        </is>
      </c>
      <c r="C64" s="5" t="inlineStr"/>
      <c r="D64" s="5" t="inlineStr">
        <is>
          <t>High Park Off Licence</t>
        </is>
      </c>
      <c r="E64" s="5" t="inlineStr">
        <is>
          <t>Off-Licence</t>
        </is>
      </c>
      <c r="F64" s="5" t="inlineStr">
        <is>
          <t>Off-licence / convenience</t>
        </is>
      </c>
      <c r="G64" s="5" t="inlineStr">
        <is>
          <t>Independent</t>
        </is>
      </c>
      <c r="H64" s="5" t="inlineStr">
        <is>
          <t>1</t>
        </is>
      </c>
      <c r="I64" s="5" t="inlineStr">
        <is>
          <t>91 High Park Street</t>
        </is>
      </c>
      <c r="J64" s="5" t="inlineStr">
        <is>
          <t>Liverpool</t>
        </is>
      </c>
      <c r="K64" s="5" t="inlineStr">
        <is>
          <t>L8 3UF</t>
        </is>
      </c>
      <c r="L64" s="5" t="inlineStr">
        <is>
          <t>0151 475 5764</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Low</t>
        </is>
      </c>
      <c r="AA64" s="5" t="inlineStr">
        <is>
          <t>Requires Verification</t>
        </is>
      </c>
      <c r="AB64" s="5" t="inlineStr">
        <is>
          <t>https://liverpool.cylex-uk.co.uk/company/high-park--off-licence-13894901.html</t>
        </is>
      </c>
    </row>
    <row r="65">
      <c r="A65" s="10" t="inlineStr">
        <is>
          <t>UK-000478</t>
        </is>
      </c>
      <c r="B65" s="10" t="inlineStr">
        <is>
          <t>UK-000478-01</t>
        </is>
      </c>
      <c r="C65" s="10" t="inlineStr"/>
      <c r="D65" s="10" t="inlineStr">
        <is>
          <t>High Street Wine Stores</t>
        </is>
      </c>
      <c r="E65" s="10" t="inlineStr">
        <is>
          <t>Off-Licence</t>
        </is>
      </c>
      <c r="F65" s="10" t="inlineStr">
        <is>
          <t>Off-licence &amp; convenience</t>
        </is>
      </c>
      <c r="G65" s="10" t="inlineStr">
        <is>
          <t>Independent</t>
        </is>
      </c>
      <c r="H65" s="10" t="inlineStr">
        <is>
          <t>1</t>
        </is>
      </c>
      <c r="I65" s="10" t="inlineStr"/>
      <c r="J65" s="10" t="inlineStr">
        <is>
          <t>West Bromwich</t>
        </is>
      </c>
      <c r="K65" s="10" t="inlineStr"/>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https://west-bromwich.cylex-uk.co.uk/company/high-street-wine-stores-16185574.html</t>
        </is>
      </c>
    </row>
    <row r="66">
      <c r="A66" s="5" t="inlineStr">
        <is>
          <t>UK-000256</t>
        </is>
      </c>
      <c r="B66" s="5" t="inlineStr">
        <is>
          <t>UK-000256-01</t>
        </is>
      </c>
      <c r="C66" s="5" t="inlineStr"/>
      <c r="D66" s="5" t="inlineStr">
        <is>
          <t>Holderness Convenience &amp; Spirits</t>
        </is>
      </c>
      <c r="E66" s="5" t="inlineStr">
        <is>
          <t>Off-Licence</t>
        </is>
      </c>
      <c r="F66" s="5" t="inlineStr">
        <is>
          <t>Off-licence / convenience</t>
        </is>
      </c>
      <c r="G66" s="5" t="inlineStr">
        <is>
          <t>Independent</t>
        </is>
      </c>
      <c r="H66" s="5" t="inlineStr">
        <is>
          <t>1</t>
        </is>
      </c>
      <c r="I66" s="5" t="inlineStr">
        <is>
          <t>Holderness Road</t>
        </is>
      </c>
      <c r="J66" s="5" t="inlineStr">
        <is>
          <t>Kingston upon Hull</t>
        </is>
      </c>
      <c r="K66" s="5" t="inlineStr"/>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https://www.yorkshire.com/hull/shopping/off-license/holderness-convenience-spirits</t>
        </is>
      </c>
    </row>
    <row r="67">
      <c r="A67" s="10" t="inlineStr">
        <is>
          <t>UK-000480</t>
        </is>
      </c>
      <c r="B67" s="10" t="inlineStr">
        <is>
          <t>UK-000480-01</t>
        </is>
      </c>
      <c r="C67" s="10" t="inlineStr"/>
      <c r="D67" s="10" t="inlineStr">
        <is>
          <t>International Mini Market</t>
        </is>
      </c>
      <c r="E67" s="10" t="inlineStr">
        <is>
          <t>Off-Licence</t>
        </is>
      </c>
      <c r="F67" s="10" t="inlineStr">
        <is>
          <t>Off-licence and convenience store</t>
        </is>
      </c>
      <c r="G67" s="10" t="inlineStr">
        <is>
          <t>Independent</t>
        </is>
      </c>
      <c r="H67" s="10" t="inlineStr">
        <is>
          <t>1</t>
        </is>
      </c>
      <c r="I67" s="10" t="inlineStr">
        <is>
          <t>233 Lozells Road</t>
        </is>
      </c>
      <c r="J67" s="10" t="inlineStr">
        <is>
          <t>Birmingham</t>
        </is>
      </c>
      <c r="K67" s="10" t="inlineStr">
        <is>
          <t>B19 1RJ</t>
        </is>
      </c>
      <c r="L67" s="10" t="inlineStr">
        <is>
          <t>0121 554 5363</t>
        </is>
      </c>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Verified directory</t>
        </is>
      </c>
      <c r="Y67" s="10" t="inlineStr">
        <is>
          <t>Not Found</t>
        </is>
      </c>
      <c r="Z67" s="10" t="inlineStr">
        <is>
          <t>Low</t>
        </is>
      </c>
      <c r="AA67" s="10" t="inlineStr">
        <is>
          <t>Requires Verification</t>
        </is>
      </c>
      <c r="AB67" s="10" t="inlineStr">
        <is>
          <t>https://www.24houralcohol.co.uk/birmingham-off-licences</t>
        </is>
      </c>
    </row>
    <row r="68">
      <c r="A68" s="5" t="inlineStr">
        <is>
          <t>UK-000259</t>
        </is>
      </c>
      <c r="B68" s="5" t="inlineStr">
        <is>
          <t>UK-000259-01</t>
        </is>
      </c>
      <c r="C68" s="5" t="inlineStr"/>
      <c r="D68" s="5" t="inlineStr">
        <is>
          <t>Jah's Off Licence</t>
        </is>
      </c>
      <c r="E68" s="5" t="inlineStr">
        <is>
          <t>Off-Licence</t>
        </is>
      </c>
      <c r="F68" s="5" t="inlineStr">
        <is>
          <t>Off-licence / convenience</t>
        </is>
      </c>
      <c r="G68" s="5" t="inlineStr">
        <is>
          <t>Independent</t>
        </is>
      </c>
      <c r="H68" s="5" t="inlineStr">
        <is>
          <t>1</t>
        </is>
      </c>
      <c r="I68" s="5" t="inlineStr">
        <is>
          <t>141 London Road</t>
        </is>
      </c>
      <c r="J68" s="5" t="inlineStr">
        <is>
          <t>Sheffield</t>
        </is>
      </c>
      <c r="K68" s="5" t="inlineStr">
        <is>
          <t>S2 4LE</t>
        </is>
      </c>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https://www.locallife.co.uk/sheffield/off-licences.asp</t>
        </is>
      </c>
    </row>
    <row r="69">
      <c r="A69" s="10" t="inlineStr">
        <is>
          <t>UK-000791</t>
        </is>
      </c>
      <c r="B69" s="10" t="inlineStr">
        <is>
          <t>UK-000791-01</t>
        </is>
      </c>
      <c r="C69" s="10" t="inlineStr"/>
      <c r="D69" s="10" t="inlineStr">
        <is>
          <t>Kellys Wines</t>
        </is>
      </c>
      <c r="E69" s="10" t="inlineStr">
        <is>
          <t>Off-Licence</t>
        </is>
      </c>
      <c r="F69" s="10" t="inlineStr">
        <is>
          <t>Off-licence / wines &amp; spirits</t>
        </is>
      </c>
      <c r="G69" s="10" t="inlineStr">
        <is>
          <t>Independent</t>
        </is>
      </c>
      <c r="H69" s="10" t="inlineStr">
        <is>
          <t>1</t>
        </is>
      </c>
      <c r="I69" s="10" t="inlineStr">
        <is>
          <t>87 Walton Road</t>
        </is>
      </c>
      <c r="J69" s="10" t="inlineStr">
        <is>
          <t>Liverpool</t>
        </is>
      </c>
      <c r="K69" s="10" t="inlineStr">
        <is>
          <t>L4 4AF</t>
        </is>
      </c>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Low</t>
        </is>
      </c>
      <c r="AA69" s="10" t="inlineStr">
        <is>
          <t>Requires Verification</t>
        </is>
      </c>
      <c r="AB69" s="10" t="inlineStr">
        <is>
          <t>https://liverpool.cylex-uk.co.uk/off-licence-4.html</t>
        </is>
      </c>
    </row>
    <row r="70">
      <c r="A70" s="5" t="inlineStr">
        <is>
          <t>UK-000619</t>
        </is>
      </c>
      <c r="B70" s="5" t="inlineStr">
        <is>
          <t>UK-000619-01</t>
        </is>
      </c>
      <c r="C70" s="5" t="inlineStr"/>
      <c r="D70" s="5" t="inlineStr">
        <is>
          <t>King Edward Off Licence</t>
        </is>
      </c>
      <c r="E70" s="5" t="inlineStr">
        <is>
          <t>Off-Licence</t>
        </is>
      </c>
      <c r="F70" s="5" t="inlineStr">
        <is>
          <t>Off-licence</t>
        </is>
      </c>
      <c r="G70" s="5" t="inlineStr">
        <is>
          <t>Independent</t>
        </is>
      </c>
      <c r="H70" s="5" t="inlineStr">
        <is>
          <t>1</t>
        </is>
      </c>
      <c r="I70" s="5" t="inlineStr">
        <is>
          <t>30b King Edward's Road</t>
        </is>
      </c>
      <c r="J70" s="5" t="inlineStr">
        <is>
          <t>Hackney</t>
        </is>
      </c>
      <c r="K70" s="5" t="inlineStr">
        <is>
          <t>E9 7SF</t>
        </is>
      </c>
      <c r="L70" s="5" t="inlineStr">
        <is>
          <t>020 8510 9079</t>
        </is>
      </c>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Verified directory</t>
        </is>
      </c>
      <c r="Y70" s="5" t="inlineStr">
        <is>
          <t>Not Found</t>
        </is>
      </c>
      <c r="Z70" s="5" t="inlineStr">
        <is>
          <t>Medium</t>
        </is>
      </c>
      <c r="AA70" s="5" t="inlineStr">
        <is>
          <t>Requires Verification</t>
        </is>
      </c>
      <c r="AB70" s="5" t="inlineStr">
        <is>
          <t>https://www.yell.com/s/off+licences-stoke+newington-north+london.html</t>
        </is>
      </c>
    </row>
    <row r="71">
      <c r="A71" s="10" t="inlineStr">
        <is>
          <t>UK-000623</t>
        </is>
      </c>
      <c r="B71" s="10" t="inlineStr">
        <is>
          <t>UK-000623-01</t>
        </is>
      </c>
      <c r="C71" s="10" t="inlineStr"/>
      <c r="D71" s="10" t="inlineStr">
        <is>
          <t>Kingsland Wines</t>
        </is>
      </c>
      <c r="E71" s="10" t="inlineStr">
        <is>
          <t>Off-Licence</t>
        </is>
      </c>
      <c r="F71" s="10" t="inlineStr">
        <is>
          <t>Off-licence</t>
        </is>
      </c>
      <c r="G71" s="10" t="inlineStr">
        <is>
          <t>Independent</t>
        </is>
      </c>
      <c r="H71" s="10" t="inlineStr">
        <is>
          <t>1</t>
        </is>
      </c>
      <c r="I71" s="10" t="inlineStr">
        <is>
          <t>77 Kingsland High Street</t>
        </is>
      </c>
      <c r="J71" s="10" t="inlineStr">
        <is>
          <t>Dalston</t>
        </is>
      </c>
      <c r="K71" s="10" t="inlineStr">
        <is>
          <t>E8 2PB</t>
        </is>
      </c>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https://www.yell.com/s/off+licences-dalston-east+london.html</t>
        </is>
      </c>
    </row>
    <row r="72">
      <c r="A72" s="5" t="inlineStr">
        <is>
          <t>UK-000625</t>
        </is>
      </c>
      <c r="B72" s="5" t="inlineStr">
        <is>
          <t>UK-000625-01</t>
        </is>
      </c>
      <c r="C72" s="5" t="inlineStr"/>
      <c r="D72" s="5" t="inlineStr">
        <is>
          <t>Krystals Food &amp; Wine</t>
        </is>
      </c>
      <c r="E72" s="5" t="inlineStr">
        <is>
          <t>Off-Licence</t>
        </is>
      </c>
      <c r="F72" s="5" t="inlineStr">
        <is>
          <t>Convenience &amp; off-licence</t>
        </is>
      </c>
      <c r="G72" s="5" t="inlineStr">
        <is>
          <t>Independent</t>
        </is>
      </c>
      <c r="H72" s="5" t="inlineStr">
        <is>
          <t>1</t>
        </is>
      </c>
      <c r="I72" s="5" t="inlineStr">
        <is>
          <t>320-322 Earls Court Road</t>
        </is>
      </c>
      <c r="J72" s="5" t="inlineStr">
        <is>
          <t>London</t>
        </is>
      </c>
      <c r="K72" s="5" t="inlineStr">
        <is>
          <t>SW5 9BQ</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https://www.yell.com/biz/krystals-food-and-wine-london-7962661/</t>
        </is>
      </c>
    </row>
    <row r="73">
      <c r="A73" s="10" t="inlineStr">
        <is>
          <t>WY-0108</t>
        </is>
      </c>
      <c r="B73" s="10" t="inlineStr">
        <is>
          <t>WY-0108-01</t>
        </is>
      </c>
      <c r="C73" s="10" t="inlineStr"/>
      <c r="D73" s="10" t="inlineStr">
        <is>
          <t>Latitude Wine &amp; Liquor Merchant</t>
        </is>
      </c>
      <c r="E73" s="10" t="inlineStr">
        <is>
          <t>Off-Licence</t>
        </is>
      </c>
      <c r="F73" s="10" t="inlineStr">
        <is>
          <t>Specialist wine and spirits merchant</t>
        </is>
      </c>
      <c r="G73" s="10" t="inlineStr">
        <is>
          <t>Independent</t>
        </is>
      </c>
      <c r="H73" s="10" t="inlineStr">
        <is>
          <t>1</t>
        </is>
      </c>
      <c r="I73" s="10" t="inlineStr">
        <is>
          <t>5 Cherry Tree Walk</t>
        </is>
      </c>
      <c r="J73" s="10" t="inlineStr">
        <is>
          <t>Leeds</t>
        </is>
      </c>
      <c r="K73" s="10" t="inlineStr">
        <is>
          <t>LS2 7EB</t>
        </is>
      </c>
      <c r="L73" s="10" t="inlineStr">
        <is>
          <t>0113 245 3393</t>
        </is>
      </c>
      <c r="M73" s="10" t="inlineStr"/>
      <c r="N73" s="10" t="inlineStr">
        <is>
          <t>sales@latitudewine.co.uk</t>
        </is>
      </c>
      <c r="O73" s="10" t="inlineStr">
        <is>
          <t>https://latitudewine.co.uk/</t>
        </is>
      </c>
      <c r="P73" s="10" t="inlineStr"/>
      <c r="Q73" s="10" t="inlineStr"/>
      <c r="R73" s="10" t="inlineStr"/>
      <c r="S73" s="10" t="inlineStr"/>
      <c r="T73" s="10" t="inlineStr"/>
      <c r="U73" s="10" t="inlineStr"/>
      <c r="V73" s="10" t="inlineStr">
        <is>
          <t>Medium</t>
        </is>
      </c>
      <c r="W73" s="10" t="inlineStr">
        <is>
          <t>Independent retailer; Relevant category; Public trade/sales contact; Active website</t>
        </is>
      </c>
      <c r="X73" s="10" t="inlineStr">
        <is>
          <t>Verified directory</t>
        </is>
      </c>
      <c r="Y73" s="10" t="inlineStr">
        <is>
          <t>Website Found</t>
        </is>
      </c>
      <c r="Z73" s="10" t="inlineStr">
        <is>
          <t>Medium</t>
        </is>
      </c>
      <c r="AA73" s="10" t="inlineStr">
        <is>
          <t>Partially Verified</t>
        </is>
      </c>
      <c r="AB73" s="10" t="inlineStr">
        <is>
          <t>https://latitudewine.co.uk/</t>
        </is>
      </c>
    </row>
    <row r="74">
      <c r="A74" s="5" t="inlineStr">
        <is>
          <t>UK-000489</t>
        </is>
      </c>
      <c r="B74" s="5" t="inlineStr">
        <is>
          <t>UK-000489-01</t>
        </is>
      </c>
      <c r="C74" s="5" t="inlineStr"/>
      <c r="D74" s="5" t="inlineStr">
        <is>
          <t>Liquor Bins</t>
        </is>
      </c>
      <c r="E74" s="5" t="inlineStr">
        <is>
          <t>Off-Licence</t>
        </is>
      </c>
      <c r="F74" s="5" t="inlineStr">
        <is>
          <t>Off-licence &amp; convenience</t>
        </is>
      </c>
      <c r="G74" s="5" t="inlineStr">
        <is>
          <t>Independent</t>
        </is>
      </c>
      <c r="H74" s="5" t="inlineStr">
        <is>
          <t>1</t>
        </is>
      </c>
      <c r="I74" s="5" t="inlineStr">
        <is>
          <t>468-470 Bearwood Road</t>
        </is>
      </c>
      <c r="J74" s="5" t="inlineStr">
        <is>
          <t>Smethwick</t>
        </is>
      </c>
      <c r="K74" s="5" t="inlineStr">
        <is>
          <t>B66 4HA</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Medium</t>
        </is>
      </c>
      <c r="AA74" s="5" t="inlineStr">
        <is>
          <t>Requires Verification</t>
        </is>
      </c>
      <c r="AB74" s="5" t="inlineStr">
        <is>
          <t>https://www.yell.com/s/off+licences-bearwood.html</t>
        </is>
      </c>
    </row>
    <row r="75">
      <c r="A75" s="10" t="inlineStr">
        <is>
          <t>WY-0112</t>
        </is>
      </c>
      <c r="B75" s="10" t="inlineStr">
        <is>
          <t>WY-0112-01</t>
        </is>
      </c>
      <c r="C75" s="10" t="inlineStr"/>
      <c r="D75" s="10" t="inlineStr">
        <is>
          <t>Local Express Off Licence</t>
        </is>
      </c>
      <c r="E75" s="10" t="inlineStr">
        <is>
          <t>Off-Licence</t>
        </is>
      </c>
      <c r="F75" s="10" t="inlineStr">
        <is>
          <t>Off-licence / beer store</t>
        </is>
      </c>
      <c r="G75" s="10" t="inlineStr">
        <is>
          <t>Independent</t>
        </is>
      </c>
      <c r="H75" s="10" t="inlineStr">
        <is>
          <t>1</t>
        </is>
      </c>
      <c r="I75" s="10" t="inlineStr">
        <is>
          <t>30 Common Road</t>
        </is>
      </c>
      <c r="J75" s="10" t="inlineStr">
        <is>
          <t>Batley</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https://www.bigreddirectory.com/local-express-off-licence-batley</t>
        </is>
      </c>
    </row>
    <row r="76">
      <c r="A76" s="5" t="inlineStr">
        <is>
          <t>UK-000491</t>
        </is>
      </c>
      <c r="B76" s="5" t="inlineStr">
        <is>
          <t>UK-000491-01</t>
        </is>
      </c>
      <c r="C76" s="5" t="inlineStr"/>
      <c r="D76" s="5" t="inlineStr">
        <is>
          <t>Malhi Wine &amp; Beer Convenience Store</t>
        </is>
      </c>
      <c r="E76" s="5" t="inlineStr">
        <is>
          <t>Off-Licence</t>
        </is>
      </c>
      <c r="F76" s="5" t="inlineStr">
        <is>
          <t>Off-licence and convenience store</t>
        </is>
      </c>
      <c r="G76" s="5" t="inlineStr">
        <is>
          <t>Independent</t>
        </is>
      </c>
      <c r="H76" s="5" t="inlineStr">
        <is>
          <t>1</t>
        </is>
      </c>
      <c r="I76" s="5" t="inlineStr">
        <is>
          <t>179 Rookery Road</t>
        </is>
      </c>
      <c r="J76" s="5" t="inlineStr">
        <is>
          <t>Birmingham</t>
        </is>
      </c>
      <c r="K76" s="5" t="inlineStr">
        <is>
          <t>B21 9QZ</t>
        </is>
      </c>
      <c r="L76" s="5" t="inlineStr">
        <is>
          <t>0121 250 4968</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Low</t>
        </is>
      </c>
      <c r="AA76" s="5" t="inlineStr">
        <is>
          <t>Requires Verification</t>
        </is>
      </c>
      <c r="AB76" s="5" t="inlineStr">
        <is>
          <t>https://www.yell.com/s/off+licences-handsworth-birmingham.html</t>
        </is>
      </c>
    </row>
    <row r="77">
      <c r="A77" s="10" t="inlineStr">
        <is>
          <t>WY-0118</t>
        </is>
      </c>
      <c r="B77" s="10" t="inlineStr">
        <is>
          <t>WY-0118-01</t>
        </is>
      </c>
      <c r="C77" s="10" t="inlineStr"/>
      <c r="D77" s="10" t="inlineStr">
        <is>
          <t>Martinez Wines</t>
        </is>
      </c>
      <c r="E77" s="10" t="inlineStr">
        <is>
          <t>Off-Licence</t>
        </is>
      </c>
      <c r="F77" s="10" t="inlineStr">
        <is>
          <t>Independent fine wine merchant (with cellar wine bar)</t>
        </is>
      </c>
      <c r="G77" s="10" t="inlineStr">
        <is>
          <t>Independent</t>
        </is>
      </c>
      <c r="H77" s="10" t="inlineStr">
        <is>
          <t>1</t>
        </is>
      </c>
      <c r="I77" s="10" t="inlineStr">
        <is>
          <t>35 The Grove</t>
        </is>
      </c>
      <c r="J77" s="10" t="inlineStr">
        <is>
          <t>Ilkley</t>
        </is>
      </c>
      <c r="K77" s="10" t="inlineStr">
        <is>
          <t>LS29 9NJ</t>
        </is>
      </c>
      <c r="L77" s="10" t="inlineStr">
        <is>
          <t>01943 600000</t>
        </is>
      </c>
      <c r="M77" s="10" t="inlineStr">
        <is>
          <t>shop@martinez.co.uk</t>
        </is>
      </c>
      <c r="N77" s="10" t="inlineStr"/>
      <c r="O77" s="10" t="inlineStr">
        <is>
          <t>https://martinez.co.uk/</t>
        </is>
      </c>
      <c r="P77" s="10" t="inlineStr"/>
      <c r="Q77" s="10" t="inlineStr">
        <is>
          <t>https://www.instagram.com/martinezwines/</t>
        </is>
      </c>
      <c r="R77" s="10" t="inlineStr"/>
      <c r="S77" s="10" t="inlineStr"/>
      <c r="T77" s="10" t="inlineStr"/>
      <c r="U77" s="10" t="inlineStr"/>
      <c r="V77" s="10" t="inlineStr">
        <is>
          <t>High</t>
        </is>
      </c>
      <c r="W77" s="10" t="inlineStr">
        <is>
          <t>Independent retailer; Relevant category; Public email available; Active website; Social presence; Phone verified on official website</t>
        </is>
      </c>
      <c r="X77" s="10" t="inlineStr">
        <is>
          <t>Verified on official website</t>
        </is>
      </c>
      <c r="Y77" s="10" t="inlineStr">
        <is>
          <t>Publicly Listed</t>
        </is>
      </c>
      <c r="Z77" s="10" t="inlineStr">
        <is>
          <t>Medium</t>
        </is>
      </c>
      <c r="AA77" s="10" t="inlineStr">
        <is>
          <t>Requires Verification</t>
        </is>
      </c>
      <c r="AB77" s="10" t="inlineStr">
        <is>
          <t>https://martinez.co.uk/shop-services/contact/</t>
        </is>
      </c>
    </row>
    <row r="78">
      <c r="A78" s="5" t="inlineStr">
        <is>
          <t>UK-000632</t>
        </is>
      </c>
      <c r="B78" s="5" t="inlineStr">
        <is>
          <t>UK-000632-01</t>
        </is>
      </c>
      <c r="C78" s="5" t="inlineStr"/>
      <c r="D78" s="5" t="inlineStr">
        <is>
          <t>Maruti Wines</t>
        </is>
      </c>
      <c r="E78" s="5" t="inlineStr">
        <is>
          <t>Off-Licence</t>
        </is>
      </c>
      <c r="F78" s="5" t="inlineStr">
        <is>
          <t>Off-licence</t>
        </is>
      </c>
      <c r="G78" s="5" t="inlineStr">
        <is>
          <t>Independent</t>
        </is>
      </c>
      <c r="H78" s="5" t="inlineStr">
        <is>
          <t>1</t>
        </is>
      </c>
      <c r="I78" s="5" t="inlineStr">
        <is>
          <t>10 Porters Avenue</t>
        </is>
      </c>
      <c r="J78" s="5" t="inlineStr">
        <is>
          <t>Dagenham</t>
        </is>
      </c>
      <c r="K78" s="5" t="inlineStr">
        <is>
          <t>RM8 2AQ</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https://www.yell.com/s/off+licences-rm8.html</t>
        </is>
      </c>
    </row>
    <row r="79">
      <c r="A79" s="10" t="inlineStr">
        <is>
          <t>UK-000634</t>
        </is>
      </c>
      <c r="B79" s="10" t="inlineStr">
        <is>
          <t>UK-000634-01</t>
        </is>
      </c>
      <c r="C79" s="10" t="inlineStr"/>
      <c r="D79" s="10" t="inlineStr">
        <is>
          <t>Millennium Food &amp; Wine</t>
        </is>
      </c>
      <c r="E79" s="10" t="inlineStr">
        <is>
          <t>Off-Licence</t>
        </is>
      </c>
      <c r="F79" s="10" t="inlineStr">
        <is>
          <t>Off-licence &amp; grocery</t>
        </is>
      </c>
      <c r="G79" s="10" t="inlineStr">
        <is>
          <t>Independent</t>
        </is>
      </c>
      <c r="H79" s="10" t="inlineStr">
        <is>
          <t>1</t>
        </is>
      </c>
      <c r="I79" s="10" t="inlineStr">
        <is>
          <t>176 The Grove</t>
        </is>
      </c>
      <c r="J79" s="10" t="inlineStr">
        <is>
          <t>Stratford</t>
        </is>
      </c>
      <c r="K79" s="10" t="inlineStr">
        <is>
          <t>E15 1NS</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https://www.yell.com/s/vape+shops-stratford-east+london.html</t>
        </is>
      </c>
    </row>
    <row r="80">
      <c r="A80" s="5" t="inlineStr">
        <is>
          <t>UK-000802</t>
        </is>
      </c>
      <c r="B80" s="5" t="inlineStr">
        <is>
          <t>UK-000802-01</t>
        </is>
      </c>
      <c r="C80" s="5" t="inlineStr"/>
      <c r="D80" s="5" t="inlineStr">
        <is>
          <t>Millstreet Wines</t>
        </is>
      </c>
      <c r="E80" s="5" t="inlineStr">
        <is>
          <t>Off-Licence</t>
        </is>
      </c>
      <c r="F80" s="5" t="inlineStr">
        <is>
          <t>Off-licence / wines &amp; spirits</t>
        </is>
      </c>
      <c r="G80" s="5" t="inlineStr">
        <is>
          <t>Independent</t>
        </is>
      </c>
      <c r="H80" s="5" t="inlineStr">
        <is>
          <t>1</t>
        </is>
      </c>
      <c r="I80" s="5" t="inlineStr">
        <is>
          <t>483-485 Mill Street</t>
        </is>
      </c>
      <c r="J80" s="5" t="inlineStr">
        <is>
          <t>Liverpool</t>
        </is>
      </c>
      <c r="K80" s="5" t="inlineStr">
        <is>
          <t>L8 4RD</t>
        </is>
      </c>
      <c r="L80" s="5" t="inlineStr">
        <is>
          <t>0151 726 0900</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Low</t>
        </is>
      </c>
      <c r="AA80" s="5" t="inlineStr">
        <is>
          <t>Requires Verification</t>
        </is>
      </c>
      <c r="AB80" s="5" t="inlineStr">
        <is>
          <t>https://liverpool.cylex-uk.co.uk/off-licence-4.html</t>
        </is>
      </c>
    </row>
    <row r="81">
      <c r="A81" s="10" t="inlineStr">
        <is>
          <t>UK-000636</t>
        </is>
      </c>
      <c r="B81" s="10" t="inlineStr">
        <is>
          <t>UK-000636-01</t>
        </is>
      </c>
      <c r="C81" s="10" t="inlineStr"/>
      <c r="D81" s="10" t="inlineStr">
        <is>
          <t>Mini Free Off Licence</t>
        </is>
      </c>
      <c r="E81" s="10" t="inlineStr">
        <is>
          <t>Off-Licence</t>
        </is>
      </c>
      <c r="F81" s="10" t="inlineStr">
        <is>
          <t>Off-licence</t>
        </is>
      </c>
      <c r="G81" s="10" t="inlineStr">
        <is>
          <t>Independent</t>
        </is>
      </c>
      <c r="H81" s="10" t="inlineStr">
        <is>
          <t>1</t>
        </is>
      </c>
      <c r="I81" s="10" t="inlineStr">
        <is>
          <t>37 Roman Road</t>
        </is>
      </c>
      <c r="J81" s="10" t="inlineStr">
        <is>
          <t>Bethnal Green</t>
        </is>
      </c>
      <c r="K81" s="10" t="inlineStr">
        <is>
          <t>E2 0HU</t>
        </is>
      </c>
      <c r="L81" s="10" t="inlineStr">
        <is>
          <t>020 8980 4690</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Medium</t>
        </is>
      </c>
      <c r="AA81" s="10" t="inlineStr">
        <is>
          <t>Requires Verification</t>
        </is>
      </c>
      <c r="AB81" s="10" t="inlineStr">
        <is>
          <t>https://www.yell.com/s/off+licences-bethnal+green-east+london.html</t>
        </is>
      </c>
    </row>
    <row r="82">
      <c r="A82" s="5" t="inlineStr">
        <is>
          <t>UK-000377</t>
        </is>
      </c>
      <c r="B82" s="5" t="inlineStr">
        <is>
          <t>UK-000377-01</t>
        </is>
      </c>
      <c r="C82" s="5" t="inlineStr"/>
      <c r="D82" s="5" t="inlineStr">
        <is>
          <t>News And Booze Off Licence And Convenience Store</t>
        </is>
      </c>
      <c r="E82" s="5" t="inlineStr">
        <is>
          <t>Off-Licence</t>
        </is>
      </c>
      <c r="F82" s="5" t="inlineStr">
        <is>
          <t>Newsagent &amp; off-licence</t>
        </is>
      </c>
      <c r="G82" s="5" t="inlineStr">
        <is>
          <t>Independent</t>
        </is>
      </c>
      <c r="H82" s="5" t="inlineStr">
        <is>
          <t>1</t>
        </is>
      </c>
      <c r="I82" s="5" t="inlineStr">
        <is>
          <t>2 Hazelwood Road</t>
        </is>
      </c>
      <c r="J82" s="5" t="inlineStr">
        <is>
          <t>Hazel Grove</t>
        </is>
      </c>
      <c r="K82" s="5" t="inlineStr">
        <is>
          <t>SK7 4LZ</t>
        </is>
      </c>
      <c r="L82" s="5" t="inlineStr"/>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Not Found</t>
        </is>
      </c>
      <c r="Y82" s="5" t="inlineStr">
        <is>
          <t>Not Found</t>
        </is>
      </c>
      <c r="Z82" s="5" t="inlineStr">
        <is>
          <t>Low</t>
        </is>
      </c>
      <c r="AA82" s="5" t="inlineStr">
        <is>
          <t>Requires Verification</t>
        </is>
      </c>
      <c r="AB82" s="5" t="inlineStr">
        <is>
          <t>https://directory.dailypost.co.uk/company/1252107804860416</t>
        </is>
      </c>
    </row>
    <row r="83">
      <c r="A83" s="10" t="inlineStr">
        <is>
          <t>UK-000808</t>
        </is>
      </c>
      <c r="B83" s="10" t="inlineStr">
        <is>
          <t>UK-000808-01</t>
        </is>
      </c>
      <c r="C83" s="10" t="inlineStr"/>
      <c r="D83" s="10" t="inlineStr">
        <is>
          <t>North Hill Food &amp; Wines</t>
        </is>
      </c>
      <c r="E83" s="10" t="inlineStr">
        <is>
          <t>Off-Licence</t>
        </is>
      </c>
      <c r="F83" s="10" t="inlineStr">
        <is>
          <t>Off-licence / convenience</t>
        </is>
      </c>
      <c r="G83" s="10" t="inlineStr">
        <is>
          <t>Independent</t>
        </is>
      </c>
      <c r="H83" s="10" t="inlineStr">
        <is>
          <t>1</t>
        </is>
      </c>
      <c r="I83" s="10" t="inlineStr">
        <is>
          <t>102 North Hill Street</t>
        </is>
      </c>
      <c r="J83" s="10" t="inlineStr">
        <is>
          <t>Liverpool</t>
        </is>
      </c>
      <c r="K83" s="10" t="inlineStr">
        <is>
          <t>L8 8AG</t>
        </is>
      </c>
      <c r="L83" s="10" t="inlineStr">
        <is>
          <t>0151 727 4254</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Low</t>
        </is>
      </c>
      <c r="AA83" s="10" t="inlineStr">
        <is>
          <t>Requires Verification</t>
        </is>
      </c>
      <c r="AB83" s="10" t="inlineStr">
        <is>
          <t>https://liverpool.cylex-uk.co.uk/off-licence-4.html</t>
        </is>
      </c>
    </row>
    <row r="84">
      <c r="A84" s="5" t="inlineStr">
        <is>
          <t>WY-0128</t>
        </is>
      </c>
      <c r="B84" s="5" t="inlineStr">
        <is>
          <t>WY-0128-01</t>
        </is>
      </c>
      <c r="C84" s="5" t="inlineStr"/>
      <c r="D84" s="5" t="inlineStr">
        <is>
          <t>Off Licence and Convenience Store (Cutsyke)</t>
        </is>
      </c>
      <c r="E84" s="5" t="inlineStr">
        <is>
          <t>Off-Licence</t>
        </is>
      </c>
      <c r="F84" s="5" t="inlineStr">
        <is>
          <t>Off-licence and convenience store</t>
        </is>
      </c>
      <c r="G84" s="5" t="inlineStr">
        <is>
          <t>Independent</t>
        </is>
      </c>
      <c r="H84" s="5" t="inlineStr">
        <is>
          <t>1</t>
        </is>
      </c>
      <c r="I84" s="5" t="inlineStr">
        <is>
          <t>2 Leeds Road</t>
        </is>
      </c>
      <c r="J84" s="5" t="inlineStr">
        <is>
          <t>Castleford</t>
        </is>
      </c>
      <c r="K84" s="5" t="inlineStr">
        <is>
          <t>WF10 5HA</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https://ratings.food.gov.uk/business/1268724/off-licence-and-convenience-store-castleford</t>
        </is>
      </c>
    </row>
    <row r="85">
      <c r="A85" s="10" t="inlineStr">
        <is>
          <t>UK-000497</t>
        </is>
      </c>
      <c r="B85" s="10" t="inlineStr">
        <is>
          <t>UK-000497-01</t>
        </is>
      </c>
      <c r="C85" s="10" t="inlineStr"/>
      <c r="D85" s="10" t="inlineStr">
        <is>
          <t>Padda Store</t>
        </is>
      </c>
      <c r="E85" s="10" t="inlineStr">
        <is>
          <t>Off-Licence</t>
        </is>
      </c>
      <c r="F85" s="10" t="inlineStr">
        <is>
          <t>Off-licence &amp; grocery</t>
        </is>
      </c>
      <c r="G85" s="10" t="inlineStr">
        <is>
          <t>Independent</t>
        </is>
      </c>
      <c r="H85" s="10" t="inlineStr">
        <is>
          <t>1</t>
        </is>
      </c>
      <c r="I85" s="10" t="inlineStr">
        <is>
          <t>2-4 Stanley Road</t>
        </is>
      </c>
      <c r="J85" s="10" t="inlineStr">
        <is>
          <t>Oldbury</t>
        </is>
      </c>
      <c r="K85" s="10" t="inlineStr">
        <is>
          <t>B68 0DY</t>
        </is>
      </c>
      <c r="L85" s="10" t="inlineStr">
        <is>
          <t>0121 439 4384</t>
        </is>
      </c>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Verified directory</t>
        </is>
      </c>
      <c r="Y85" s="10" t="inlineStr">
        <is>
          <t>Not Found</t>
        </is>
      </c>
      <c r="Z85" s="10" t="inlineStr">
        <is>
          <t>Medium</t>
        </is>
      </c>
      <c r="AA85" s="10" t="inlineStr">
        <is>
          <t>Requires Verification</t>
        </is>
      </c>
      <c r="AB85" s="10" t="inlineStr">
        <is>
          <t>https://www.yell.com/s/off+licences+and+wine+merchants-oldbury-west+midlands.html</t>
        </is>
      </c>
    </row>
    <row r="86">
      <c r="A86" s="5" t="inlineStr">
        <is>
          <t>UK-000642</t>
        </is>
      </c>
      <c r="B86" s="5" t="inlineStr">
        <is>
          <t>UK-000642-01</t>
        </is>
      </c>
      <c r="C86" s="5" t="inlineStr"/>
      <c r="D86" s="5" t="inlineStr">
        <is>
          <t>Park Vintners</t>
        </is>
      </c>
      <c r="E86" s="5" t="inlineStr">
        <is>
          <t>Off-Licence</t>
        </is>
      </c>
      <c r="F86" s="5" t="inlineStr">
        <is>
          <t>Wine merchant</t>
        </is>
      </c>
      <c r="G86" s="5" t="inlineStr">
        <is>
          <t>Independent</t>
        </is>
      </c>
      <c r="H86" s="5" t="inlineStr">
        <is>
          <t>1</t>
        </is>
      </c>
      <c r="I86" s="5" t="inlineStr">
        <is>
          <t>126 Arthur Road</t>
        </is>
      </c>
      <c r="J86" s="5" t="inlineStr">
        <is>
          <t>London</t>
        </is>
      </c>
      <c r="K86" s="5" t="inlineStr">
        <is>
          <t>SW19 8AA</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https://www.yell.com/biz/park-vintners-london-6513692/</t>
        </is>
      </c>
    </row>
    <row r="87">
      <c r="A87" s="10" t="inlineStr">
        <is>
          <t>UK-000498</t>
        </is>
      </c>
      <c r="B87" s="10" t="inlineStr">
        <is>
          <t>UK-000498-01</t>
        </is>
      </c>
      <c r="C87" s="10" t="inlineStr"/>
      <c r="D87" s="10" t="inlineStr">
        <is>
          <t>Paul's Convenience &amp; Off Licence Store</t>
        </is>
      </c>
      <c r="E87" s="10" t="inlineStr">
        <is>
          <t>Off-Licence</t>
        </is>
      </c>
      <c r="F87" s="10" t="inlineStr">
        <is>
          <t>Convenience store &amp; off-licence</t>
        </is>
      </c>
      <c r="G87" s="10" t="inlineStr">
        <is>
          <t>Independent</t>
        </is>
      </c>
      <c r="H87" s="10" t="inlineStr">
        <is>
          <t>1</t>
        </is>
      </c>
      <c r="I87" s="10" t="inlineStr">
        <is>
          <t>55 High Street</t>
        </is>
      </c>
      <c r="J87" s="10" t="inlineStr">
        <is>
          <t>Rowley Regis</t>
        </is>
      </c>
      <c r="K87" s="10" t="inlineStr">
        <is>
          <t>B65 0EH</t>
        </is>
      </c>
      <c r="L87" s="10" t="inlineStr">
        <is>
          <t>0121 559 4902</t>
        </is>
      </c>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Verified directory</t>
        </is>
      </c>
      <c r="Y87" s="10" t="inlineStr">
        <is>
          <t>Not Found</t>
        </is>
      </c>
      <c r="Z87" s="10" t="inlineStr">
        <is>
          <t>Medium</t>
        </is>
      </c>
      <c r="AA87" s="10" t="inlineStr">
        <is>
          <t>Requires Verification</t>
        </is>
      </c>
      <c r="AB87" s="10" t="inlineStr">
        <is>
          <t>https://www.192.com/atoz/business/rowley--regis/convenience--stores/</t>
        </is>
      </c>
    </row>
    <row r="88">
      <c r="A88" s="5" t="inlineStr">
        <is>
          <t>UK-000645</t>
        </is>
      </c>
      <c r="B88" s="5" t="inlineStr">
        <is>
          <t>UK-000645-01</t>
        </is>
      </c>
      <c r="C88" s="5" t="inlineStr"/>
      <c r="D88" s="5" t="inlineStr">
        <is>
          <t>Pembridge Food and Wine</t>
        </is>
      </c>
      <c r="E88" s="5" t="inlineStr">
        <is>
          <t>Off-Licence</t>
        </is>
      </c>
      <c r="F88" s="5" t="inlineStr">
        <is>
          <t>Convenience &amp; off-licence</t>
        </is>
      </c>
      <c r="G88" s="5" t="inlineStr">
        <is>
          <t>Independent</t>
        </is>
      </c>
      <c r="H88" s="5" t="inlineStr">
        <is>
          <t>1</t>
        </is>
      </c>
      <c r="I88" s="5" t="inlineStr">
        <is>
          <t>11A Pembridge Road</t>
        </is>
      </c>
      <c r="J88" s="5" t="inlineStr">
        <is>
          <t>London</t>
        </is>
      </c>
      <c r="K88" s="5" t="inlineStr">
        <is>
          <t>W11 3HQ</t>
        </is>
      </c>
      <c r="L88" s="5" t="inlineStr">
        <is>
          <t>020 3092 8444</t>
        </is>
      </c>
      <c r="M88" s="5" t="inlineStr"/>
      <c r="N88" s="5" t="inlineStr"/>
      <c r="O88" s="5" t="inlineStr"/>
      <c r="P88" s="5" t="inlineStr">
        <is>
          <t>https://www.facebook.com/PembridgeFoodAndWine/</t>
        </is>
      </c>
      <c r="Q88" s="5" t="inlineStr"/>
      <c r="R88" s="5" t="inlineStr"/>
      <c r="S88" s="5" t="inlineStr"/>
      <c r="T88" s="5" t="inlineStr">
        <is>
          <t>12479860</t>
        </is>
      </c>
      <c r="U88" s="5" t="inlineStr"/>
      <c r="V88" s="5" t="inlineStr">
        <is>
          <t>Medium</t>
        </is>
      </c>
      <c r="W88" s="5" t="inlineStr">
        <is>
          <t>Independent retailer; Relevant category; Social presence</t>
        </is>
      </c>
      <c r="X88" s="5" t="inlineStr">
        <is>
          <t>Verified directory</t>
        </is>
      </c>
      <c r="Y88" s="5" t="inlineStr">
        <is>
          <t>Not Found</t>
        </is>
      </c>
      <c r="Z88" s="5" t="inlineStr">
        <is>
          <t>Medium</t>
        </is>
      </c>
      <c r="AA88" s="5" t="inlineStr">
        <is>
          <t>Requires Verification</t>
        </is>
      </c>
      <c r="AB88" s="5" t="inlineStr">
        <is>
          <t>https://find-and-update.company-information.service.gov.uk/company/12479860</t>
        </is>
      </c>
    </row>
    <row r="89">
      <c r="A89" s="10" t="inlineStr">
        <is>
          <t>UK-000648</t>
        </is>
      </c>
      <c r="B89" s="10" t="inlineStr">
        <is>
          <t>UK-000648-01</t>
        </is>
      </c>
      <c r="C89" s="10" t="inlineStr"/>
      <c r="D89" s="10" t="inlineStr">
        <is>
          <t>Red Lion Wine</t>
        </is>
      </c>
      <c r="E89" s="10" t="inlineStr">
        <is>
          <t>Off-Licence</t>
        </is>
      </c>
      <c r="F89" s="10" t="inlineStr"/>
      <c r="G89" s="10" t="inlineStr">
        <is>
          <t>Independent</t>
        </is>
      </c>
      <c r="H89" s="10" t="inlineStr">
        <is>
          <t>1</t>
        </is>
      </c>
      <c r="I89" s="10" t="inlineStr">
        <is>
          <t>184 Hither Green Lane</t>
        </is>
      </c>
      <c r="J89" s="10" t="inlineStr">
        <is>
          <t>London</t>
        </is>
      </c>
      <c r="K89" s="10" t="inlineStr">
        <is>
          <t>SE13 6QB</t>
        </is>
      </c>
      <c r="L89" s="10" t="inlineStr">
        <is>
          <t>020 8852 5801</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https://www.yell.com/s/off+licences+and+wine+merchants-lewisham-south+east+london.html</t>
        </is>
      </c>
    </row>
    <row r="90">
      <c r="A90" s="5" t="inlineStr">
        <is>
          <t>UK-000507</t>
        </is>
      </c>
      <c r="B90" s="5" t="inlineStr">
        <is>
          <t>UK-000507-01</t>
        </is>
      </c>
      <c r="C90" s="5" t="inlineStr"/>
      <c r="D90" s="5" t="inlineStr">
        <is>
          <t>Royal Liquors</t>
        </is>
      </c>
      <c r="E90" s="5" t="inlineStr">
        <is>
          <t>Off-Licence</t>
        </is>
      </c>
      <c r="F90" s="5" t="inlineStr">
        <is>
          <t>Off-licence &amp; convenience</t>
        </is>
      </c>
      <c r="G90" s="5" t="inlineStr">
        <is>
          <t>Independent</t>
        </is>
      </c>
      <c r="H90" s="5" t="inlineStr">
        <is>
          <t>1</t>
        </is>
      </c>
      <c r="I90" s="5" t="inlineStr">
        <is>
          <t>330 Pound Road</t>
        </is>
      </c>
      <c r="J90" s="5" t="inlineStr">
        <is>
          <t>Oldbury</t>
        </is>
      </c>
      <c r="K90" s="5" t="inlineStr">
        <is>
          <t>B68 8NQ</t>
        </is>
      </c>
      <c r="L90" s="5" t="inlineStr">
        <is>
          <t>0121 544 2719</t>
        </is>
      </c>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Verified directory</t>
        </is>
      </c>
      <c r="Y90" s="5" t="inlineStr">
        <is>
          <t>Not Found</t>
        </is>
      </c>
      <c r="Z90" s="5" t="inlineStr">
        <is>
          <t>Medium</t>
        </is>
      </c>
      <c r="AA90" s="5" t="inlineStr">
        <is>
          <t>Requires Verification</t>
        </is>
      </c>
      <c r="AB90" s="5" t="inlineStr">
        <is>
          <t>https://www.yell.com/s/off+licences+and+wine+merchants-oldbury-west+midlands.html</t>
        </is>
      </c>
    </row>
    <row r="91">
      <c r="A91" s="10" t="inlineStr">
        <is>
          <t>UK-000649</t>
        </is>
      </c>
      <c r="B91" s="10" t="inlineStr">
        <is>
          <t>UK-000649-01</t>
        </is>
      </c>
      <c r="C91" s="10" t="inlineStr"/>
      <c r="D91" s="10" t="inlineStr">
        <is>
          <t>Rushey Green Food &amp; Wine</t>
        </is>
      </c>
      <c r="E91" s="10" t="inlineStr">
        <is>
          <t>Off-Licence</t>
        </is>
      </c>
      <c r="F91" s="10" t="inlineStr"/>
      <c r="G91" s="10" t="inlineStr">
        <is>
          <t>Independent</t>
        </is>
      </c>
      <c r="H91" s="10" t="inlineStr">
        <is>
          <t>1</t>
        </is>
      </c>
      <c r="I91" s="10" t="inlineStr">
        <is>
          <t>131 Rushey Green</t>
        </is>
      </c>
      <c r="J91" s="10" t="inlineStr">
        <is>
          <t>London</t>
        </is>
      </c>
      <c r="K91" s="10" t="inlineStr">
        <is>
          <t>SE6 4AA</t>
        </is>
      </c>
      <c r="L91" s="10" t="inlineStr">
        <is>
          <t>020 3632 7442</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Medium</t>
        </is>
      </c>
      <c r="AA91" s="10" t="inlineStr">
        <is>
          <t>Requires Verification</t>
        </is>
      </c>
      <c r="AB91" s="10" t="inlineStr">
        <is>
          <t>https://www.yell.com/s/off+licences+and+wine+merchants-lewisham-south+east+london.html</t>
        </is>
      </c>
    </row>
    <row r="92">
      <c r="A92" s="5" t="inlineStr">
        <is>
          <t>UK-000651</t>
        </is>
      </c>
      <c r="B92" s="5" t="inlineStr">
        <is>
          <t>UK-000651-01</t>
        </is>
      </c>
      <c r="C92" s="5" t="inlineStr"/>
      <c r="D92" s="5" t="inlineStr">
        <is>
          <t>SD Off License</t>
        </is>
      </c>
      <c r="E92" s="5" t="inlineStr">
        <is>
          <t>Off-Licence</t>
        </is>
      </c>
      <c r="F92" s="5" t="inlineStr"/>
      <c r="G92" s="5" t="inlineStr">
        <is>
          <t>Independent</t>
        </is>
      </c>
      <c r="H92" s="5" t="inlineStr">
        <is>
          <t>1</t>
        </is>
      </c>
      <c r="I92" s="5" t="inlineStr">
        <is>
          <t>167 Upper Tooting Road</t>
        </is>
      </c>
      <c r="J92" s="5" t="inlineStr">
        <is>
          <t>London</t>
        </is>
      </c>
      <c r="K92" s="5" t="inlineStr">
        <is>
          <t>SW17 7TJ</t>
        </is>
      </c>
      <c r="L92" s="5" t="inlineStr">
        <is>
          <t>020 8672 0151</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Medium</t>
        </is>
      </c>
      <c r="AA92" s="5" t="inlineStr">
        <is>
          <t>Requires Verification</t>
        </is>
      </c>
      <c r="AB92" s="5" t="inlineStr">
        <is>
          <t>https://www.yell.com/s/off+licences-tooting-south+west+london.html</t>
        </is>
      </c>
    </row>
    <row r="93">
      <c r="A93" s="10" t="inlineStr">
        <is>
          <t>UK-000653</t>
        </is>
      </c>
      <c r="B93" s="10" t="inlineStr">
        <is>
          <t>UK-000653-01</t>
        </is>
      </c>
      <c r="C93" s="10" t="inlineStr"/>
      <c r="D93" s="10" t="inlineStr">
        <is>
          <t>Salon Wine Store</t>
        </is>
      </c>
      <c r="E93" s="10" t="inlineStr">
        <is>
          <t>Off-Licence</t>
        </is>
      </c>
      <c r="F93" s="10" t="inlineStr"/>
      <c r="G93" s="10" t="inlineStr">
        <is>
          <t>Independent</t>
        </is>
      </c>
      <c r="H93" s="10" t="inlineStr">
        <is>
          <t>1</t>
        </is>
      </c>
      <c r="I93" s="10" t="inlineStr">
        <is>
          <t>79 Atlantic Road</t>
        </is>
      </c>
      <c r="J93" s="10" t="inlineStr">
        <is>
          <t>London</t>
        </is>
      </c>
      <c r="K93" s="10" t="inlineStr">
        <is>
          <t>SW9 8PU</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https://www.yell.com/s/off+licences-sw9.html</t>
        </is>
      </c>
    </row>
    <row r="94">
      <c r="A94" s="5" t="inlineStr">
        <is>
          <t>UK-000510</t>
        </is>
      </c>
      <c r="B94" s="5" t="inlineStr">
        <is>
          <t>UK-000510-01</t>
        </is>
      </c>
      <c r="C94" s="5" t="inlineStr"/>
      <c r="D94" s="5" t="inlineStr">
        <is>
          <t>Sandhu Grocers</t>
        </is>
      </c>
      <c r="E94" s="5" t="inlineStr">
        <is>
          <t>Off-Licence</t>
        </is>
      </c>
      <c r="F94" s="5" t="inlineStr">
        <is>
          <t>Grocery &amp; off-licence</t>
        </is>
      </c>
      <c r="G94" s="5" t="inlineStr">
        <is>
          <t>Independent</t>
        </is>
      </c>
      <c r="H94" s="5" t="inlineStr">
        <is>
          <t>1</t>
        </is>
      </c>
      <c r="I94" s="5" t="inlineStr">
        <is>
          <t>22 Causeway Green Road</t>
        </is>
      </c>
      <c r="J94" s="5" t="inlineStr">
        <is>
          <t>Oldbury</t>
        </is>
      </c>
      <c r="K94" s="5" t="inlineStr">
        <is>
          <t>B68 8LD</t>
        </is>
      </c>
      <c r="L94" s="5" t="inlineStr">
        <is>
          <t>0121 552 4845</t>
        </is>
      </c>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Verified directory</t>
        </is>
      </c>
      <c r="Y94" s="5" t="inlineStr">
        <is>
          <t>Not Found</t>
        </is>
      </c>
      <c r="Z94" s="5" t="inlineStr">
        <is>
          <t>Medium</t>
        </is>
      </c>
      <c r="AA94" s="5" t="inlineStr">
        <is>
          <t>Requires Verification</t>
        </is>
      </c>
      <c r="AB94" s="5" t="inlineStr">
        <is>
          <t>https://www.yell.com/s/off+licences+and+wine+merchants-oldbury-west+midlands.html</t>
        </is>
      </c>
    </row>
    <row r="95">
      <c r="A95" s="10" t="inlineStr">
        <is>
          <t>WY-0146</t>
        </is>
      </c>
      <c r="B95" s="10" t="inlineStr">
        <is>
          <t>WY-0146-01</t>
        </is>
      </c>
      <c r="C95" s="10" t="inlineStr"/>
      <c r="D95" s="10" t="inlineStr">
        <is>
          <t>Sheepridge Off Licence</t>
        </is>
      </c>
      <c r="E95" s="10" t="inlineStr">
        <is>
          <t>Off-Licence</t>
        </is>
      </c>
      <c r="F95" s="10" t="inlineStr">
        <is>
          <t>Off-licence and convenience store</t>
        </is>
      </c>
      <c r="G95" s="10" t="inlineStr">
        <is>
          <t>Independent</t>
        </is>
      </c>
      <c r="H95" s="10" t="inlineStr">
        <is>
          <t>1</t>
        </is>
      </c>
      <c r="I95" s="10" t="inlineStr">
        <is>
          <t>73 Lawrence Road</t>
        </is>
      </c>
      <c r="J95" s="10" t="inlineStr">
        <is>
          <t>Huddersfield</t>
        </is>
      </c>
      <c r="K95" s="10" t="inlineStr">
        <is>
          <t>HD1 4LW</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https://www.192.com/atoz/business/huddersfield-hd1/convenience-stores/sheepridge-off-licence-limited/bfc32af555a5eed742b2bfb4d8a2acd75ab80d62/comp/</t>
        </is>
      </c>
    </row>
    <row r="96">
      <c r="A96" s="5" t="inlineStr">
        <is>
          <t>UK-000815</t>
        </is>
      </c>
      <c r="B96" s="5" t="inlineStr">
        <is>
          <t>UK-000815-01</t>
        </is>
      </c>
      <c r="C96" s="5" t="inlineStr"/>
      <c r="D96" s="5" t="inlineStr">
        <is>
          <t>Sohal Licensed Grocers</t>
        </is>
      </c>
      <c r="E96" s="5" t="inlineStr">
        <is>
          <t>Off-Licence</t>
        </is>
      </c>
      <c r="F96" s="5" t="inlineStr">
        <is>
          <t>Licensed grocer / off-licence</t>
        </is>
      </c>
      <c r="G96" s="5" t="inlineStr">
        <is>
          <t>Independent</t>
        </is>
      </c>
      <c r="H96" s="5" t="inlineStr">
        <is>
          <t>1</t>
        </is>
      </c>
      <c r="I96" s="5" t="inlineStr">
        <is>
          <t>6 Balornock Road</t>
        </is>
      </c>
      <c r="J96" s="5" t="inlineStr">
        <is>
          <t>Glasgow</t>
        </is>
      </c>
      <c r="K96" s="5" t="inlineStr">
        <is>
          <t>G21 3UH</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https://www.yelp.co.uk/search?find_desc=Off+Licence&amp;find_loc=Springburn%2C+Glasgow</t>
        </is>
      </c>
    </row>
    <row r="97">
      <c r="A97" s="10" t="inlineStr">
        <is>
          <t>UK-000817</t>
        </is>
      </c>
      <c r="B97" s="10" t="inlineStr">
        <is>
          <t>UK-000817-01</t>
        </is>
      </c>
      <c r="C97" s="10" t="inlineStr"/>
      <c r="D97" s="10" t="inlineStr">
        <is>
          <t>Southside Drinks Company</t>
        </is>
      </c>
      <c r="E97" s="10" t="inlineStr">
        <is>
          <t>Off-Licence</t>
        </is>
      </c>
      <c r="F97" s="10" t="inlineStr">
        <is>
          <t>Off-licence / wine &amp; spirits</t>
        </is>
      </c>
      <c r="G97" s="10" t="inlineStr">
        <is>
          <t>Independent</t>
        </is>
      </c>
      <c r="H97" s="10" t="inlineStr">
        <is>
          <t>1</t>
        </is>
      </c>
      <c r="I97" s="10" t="inlineStr">
        <is>
          <t>471 Victoria Road</t>
        </is>
      </c>
      <c r="J97" s="10" t="inlineStr">
        <is>
          <t>Glasgow</t>
        </is>
      </c>
      <c r="K97" s="10" t="inlineStr">
        <is>
          <t>G42 8RL</t>
        </is>
      </c>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https://tsa-property.co.uk/project/471-victoria-road-glasgow-g42-8rl/</t>
        </is>
      </c>
    </row>
    <row r="98">
      <c r="A98" s="5" t="inlineStr">
        <is>
          <t>UK-000382</t>
        </is>
      </c>
      <c r="B98" s="5" t="inlineStr">
        <is>
          <t>UK-000382-01</t>
        </is>
      </c>
      <c r="C98" s="5" t="inlineStr"/>
      <c r="D98" s="5" t="inlineStr">
        <is>
          <t>Springwater Off Licence</t>
        </is>
      </c>
      <c r="E98" s="5" t="inlineStr">
        <is>
          <t>Off-Licence</t>
        </is>
      </c>
      <c r="F98" s="5" t="inlineStr"/>
      <c r="G98" s="5" t="inlineStr">
        <is>
          <t>Independent</t>
        </is>
      </c>
      <c r="H98" s="5" t="inlineStr">
        <is>
          <t>1</t>
        </is>
      </c>
      <c r="I98" s="5" t="inlineStr">
        <is>
          <t>169 Radcliffe New Road</t>
        </is>
      </c>
      <c r="J98" s="5" t="inlineStr">
        <is>
          <t>Whitefield</t>
        </is>
      </c>
      <c r="K98" s="5" t="inlineStr">
        <is>
          <t>M45 7RG</t>
        </is>
      </c>
      <c r="L98" s="5" t="inlineStr">
        <is>
          <t>0161 796 2910</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Low</t>
        </is>
      </c>
      <c r="AA98" s="5" t="inlineStr">
        <is>
          <t>Requires Verification</t>
        </is>
      </c>
      <c r="AB98" s="5" t="inlineStr">
        <is>
          <t>https://www.192.com/atoz/business/manchester/off--licence/</t>
        </is>
      </c>
    </row>
    <row r="99">
      <c r="A99" s="10" t="inlineStr">
        <is>
          <t>WY-0153</t>
        </is>
      </c>
      <c r="B99" s="10" t="inlineStr">
        <is>
          <t>WY-0153-01</t>
        </is>
      </c>
      <c r="C99" s="10" t="inlineStr"/>
      <c r="D99" s="10" t="inlineStr">
        <is>
          <t>Stainbeck Off Licence (Best-one)</t>
        </is>
      </c>
      <c r="E99" s="10" t="inlineStr">
        <is>
          <t>Off-Licence</t>
        </is>
      </c>
      <c r="F99" s="10" t="inlineStr">
        <is>
          <t>Off-licence and convenience store under Best-one symbol</t>
        </is>
      </c>
      <c r="G99" s="10" t="inlineStr">
        <is>
          <t>Franchise / Symbol Group</t>
        </is>
      </c>
      <c r="H99" s="10" t="inlineStr">
        <is>
          <t>1</t>
        </is>
      </c>
      <c r="I99" s="10" t="inlineStr"/>
      <c r="J99" s="10" t="inlineStr">
        <is>
          <t>Leeds</t>
        </is>
      </c>
      <c r="K99" s="10" t="inlineStr"/>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https://www.yorkshire.com/chapel-allerton/shopping/off-license</t>
        </is>
      </c>
    </row>
    <row r="100">
      <c r="A100" s="5" t="inlineStr">
        <is>
          <t>WY-0154</t>
        </is>
      </c>
      <c r="B100" s="5" t="inlineStr">
        <is>
          <t>WY-0154-01</t>
        </is>
      </c>
      <c r="C100" s="5" t="inlineStr"/>
      <c r="D100" s="5" t="inlineStr">
        <is>
          <t>Star Express Off-Licence &amp; Convenience Store</t>
        </is>
      </c>
      <c r="E100" s="5" t="inlineStr">
        <is>
          <t>Off-Licence</t>
        </is>
      </c>
      <c r="F100" s="5" t="inlineStr">
        <is>
          <t>Off-licence and convenience store</t>
        </is>
      </c>
      <c r="G100" s="5" t="inlineStr">
        <is>
          <t>Independent</t>
        </is>
      </c>
      <c r="H100" s="5" t="inlineStr">
        <is>
          <t>1</t>
        </is>
      </c>
      <c r="I100" s="5" t="inlineStr">
        <is>
          <t>Norfolk Avenue</t>
        </is>
      </c>
      <c r="J100" s="5" t="inlineStr">
        <is>
          <t>Huddersfield</t>
        </is>
      </c>
      <c r="K100" s="5" t="inlineStr"/>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https://www.yorkshire.com/huddersfield/shopping/off-license/star-express-off-licence-convenience-store</t>
        </is>
      </c>
    </row>
    <row r="101">
      <c r="A101" s="10" t="inlineStr">
        <is>
          <t>UK-000517</t>
        </is>
      </c>
      <c r="B101" s="10" t="inlineStr">
        <is>
          <t>UK-000517-01</t>
        </is>
      </c>
      <c r="C101" s="10" t="inlineStr"/>
      <c r="D101" s="10" t="inlineStr">
        <is>
          <t>Stirchley Food &amp; Wine</t>
        </is>
      </c>
      <c r="E101" s="10" t="inlineStr">
        <is>
          <t>Off-Licence</t>
        </is>
      </c>
      <c r="F101" s="10" t="inlineStr">
        <is>
          <t>Off-licence and convenience store</t>
        </is>
      </c>
      <c r="G101" s="10" t="inlineStr">
        <is>
          <t>Independent</t>
        </is>
      </c>
      <c r="H101" s="10" t="inlineStr">
        <is>
          <t>1</t>
        </is>
      </c>
      <c r="I101" s="10" t="inlineStr">
        <is>
          <t>1446 Pershore Road</t>
        </is>
      </c>
      <c r="J101" s="10" t="inlineStr">
        <is>
          <t>Birmingham</t>
        </is>
      </c>
      <c r="K101" s="10" t="inlineStr">
        <is>
          <t>B30 2PH</t>
        </is>
      </c>
      <c r="L101" s="10" t="inlineStr">
        <is>
          <t>0121 459 7611</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Low</t>
        </is>
      </c>
      <c r="AA101" s="10" t="inlineStr">
        <is>
          <t>Requires Verification</t>
        </is>
      </c>
      <c r="AB101" s="10" t="inlineStr">
        <is>
          <t>https://www.yelp.com/search?cflt=convenience&amp;find_loc=Stirchley%2C+Birmingham%2C+West+Midlands</t>
        </is>
      </c>
    </row>
    <row r="102">
      <c r="A102" s="5" t="inlineStr">
        <is>
          <t>UK-000518</t>
        </is>
      </c>
      <c r="B102" s="5" t="inlineStr">
        <is>
          <t>UK-000518-01</t>
        </is>
      </c>
      <c r="C102" s="5" t="inlineStr"/>
      <c r="D102" s="5" t="inlineStr">
        <is>
          <t>Stirchley Wines &amp; Spirits</t>
        </is>
      </c>
      <c r="E102" s="5" t="inlineStr">
        <is>
          <t>Off-Licence</t>
        </is>
      </c>
      <c r="F102" s="5" t="inlineStr">
        <is>
          <t>Specialist beer, wine &amp; spirits off-licence</t>
        </is>
      </c>
      <c r="G102" s="5" t="inlineStr">
        <is>
          <t>Independent</t>
        </is>
      </c>
      <c r="H102" s="5" t="inlineStr">
        <is>
          <t>1</t>
        </is>
      </c>
      <c r="I102" s="5" t="inlineStr">
        <is>
          <t>1535-1537 Pershore Road</t>
        </is>
      </c>
      <c r="J102" s="5" t="inlineStr">
        <is>
          <t>Birmingham</t>
        </is>
      </c>
      <c r="K102" s="5" t="inlineStr">
        <is>
          <t>B30 2JH</t>
        </is>
      </c>
      <c r="L102" s="5" t="inlineStr">
        <is>
          <t>0121 459 9936</t>
        </is>
      </c>
      <c r="M102" s="5" t="inlineStr"/>
      <c r="N102" s="5" t="inlineStr"/>
      <c r="O102" s="5" t="inlineStr">
        <is>
          <t>https://www.stirchleywines.co.uk/</t>
        </is>
      </c>
      <c r="P102" s="5" t="inlineStr"/>
      <c r="Q102" s="5" t="inlineStr"/>
      <c r="R102" s="5" t="inlineStr"/>
      <c r="S102" s="5" t="inlineStr"/>
      <c r="T102" s="5" t="inlineStr"/>
      <c r="U102" s="5" t="inlineStr"/>
      <c r="V102" s="5" t="inlineStr">
        <is>
          <t>Medium</t>
        </is>
      </c>
      <c r="W102" s="5" t="inlineStr">
        <is>
          <t>Independent retailer; Relevant category; Active website</t>
        </is>
      </c>
      <c r="X102" s="5" t="inlineStr">
        <is>
          <t>Verified directory</t>
        </is>
      </c>
      <c r="Y102" s="5" t="inlineStr">
        <is>
          <t>Website Found</t>
        </is>
      </c>
      <c r="Z102" s="5" t="inlineStr">
        <is>
          <t>Medium</t>
        </is>
      </c>
      <c r="AA102" s="5" t="inlineStr">
        <is>
          <t>Requires Verification</t>
        </is>
      </c>
      <c r="AB102" s="5" t="inlineStr">
        <is>
          <t>https://www.stirchleywines.co.uk/contact/</t>
        </is>
      </c>
    </row>
    <row r="103">
      <c r="A103" s="10" t="inlineStr">
        <is>
          <t>UK-000663</t>
        </is>
      </c>
      <c r="B103" s="10" t="inlineStr">
        <is>
          <t>UK-000663-01</t>
        </is>
      </c>
      <c r="C103" s="10" t="inlineStr"/>
      <c r="D103" s="10" t="inlineStr">
        <is>
          <t>Tad's Coffee Offie</t>
        </is>
      </c>
      <c r="E103" s="10" t="inlineStr">
        <is>
          <t>Off-Licence</t>
        </is>
      </c>
      <c r="F103" s="10" t="inlineStr">
        <is>
          <t>Off-licence &amp; convenience</t>
        </is>
      </c>
      <c r="G103" s="10" t="inlineStr">
        <is>
          <t>Independent</t>
        </is>
      </c>
      <c r="H103" s="10" t="inlineStr">
        <is>
          <t>1</t>
        </is>
      </c>
      <c r="I103" s="10" t="inlineStr">
        <is>
          <t>113 Globe Road</t>
        </is>
      </c>
      <c r="J103" s="10" t="inlineStr">
        <is>
          <t>Bethnal Green</t>
        </is>
      </c>
      <c r="K103" s="10" t="inlineStr">
        <is>
          <t>E1 4LB</t>
        </is>
      </c>
      <c r="L103" s="10" t="inlineStr">
        <is>
          <t>020 7702 8297</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Medium</t>
        </is>
      </c>
      <c r="AA103" s="10" t="inlineStr">
        <is>
          <t>Requires Verification</t>
        </is>
      </c>
      <c r="AB103" s="10" t="inlineStr">
        <is>
          <t>https://www.yell.com/s/off+licences-bethnal+green-east+london.html</t>
        </is>
      </c>
    </row>
    <row r="104">
      <c r="A104" s="5" t="inlineStr">
        <is>
          <t>UK-000281</t>
        </is>
      </c>
      <c r="B104" s="5" t="inlineStr">
        <is>
          <t>UK-000281-01</t>
        </is>
      </c>
      <c r="C104" s="5" t="inlineStr"/>
      <c r="D104" s="5" t="inlineStr">
        <is>
          <t>Tang Hall Food &amp; Wine</t>
        </is>
      </c>
      <c r="E104" s="5" t="inlineStr">
        <is>
          <t>Off-Licence</t>
        </is>
      </c>
      <c r="F104" s="5" t="inlineStr">
        <is>
          <t>Off-licence &amp; convenience</t>
        </is>
      </c>
      <c r="G104" s="5" t="inlineStr">
        <is>
          <t>Independent</t>
        </is>
      </c>
      <c r="H104" s="5" t="inlineStr">
        <is>
          <t>1</t>
        </is>
      </c>
      <c r="I104" s="5" t="inlineStr">
        <is>
          <t>202 Melrosegate</t>
        </is>
      </c>
      <c r="J104" s="5" t="inlineStr">
        <is>
          <t>York</t>
        </is>
      </c>
      <c r="K104" s="5" t="inlineStr">
        <is>
          <t>YO10 3SW</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https://www.yorkshire.com/york/shopping/off-license</t>
        </is>
      </c>
    </row>
    <row r="105">
      <c r="A105" s="10" t="inlineStr">
        <is>
          <t>WY-0159</t>
        </is>
      </c>
      <c r="B105" s="10" t="inlineStr">
        <is>
          <t>WY-0159-01</t>
        </is>
      </c>
      <c r="C105" s="10" t="inlineStr"/>
      <c r="D105" s="10" t="inlineStr">
        <is>
          <t>The Local: Elland</t>
        </is>
      </c>
      <c r="E105" s="10" t="inlineStr">
        <is>
          <t>Off-Licence</t>
        </is>
      </c>
      <c r="F105" s="10" t="inlineStr">
        <is>
          <t>Off-licence and everyday essentials</t>
        </is>
      </c>
      <c r="G105" s="10" t="inlineStr">
        <is>
          <t>Unknown</t>
        </is>
      </c>
      <c r="H105" s="10" t="inlineStr">
        <is>
          <t>1</t>
        </is>
      </c>
      <c r="I105" s="10" t="inlineStr">
        <is>
          <t>160 Westgate</t>
        </is>
      </c>
      <c r="J105" s="10" t="inlineStr">
        <is>
          <t>Elland</t>
        </is>
      </c>
      <c r="K105" s="10" t="inlineStr">
        <is>
          <t>HX5 0BB</t>
        </is>
      </c>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Relevant category</t>
        </is>
      </c>
      <c r="X105" s="10" t="inlineStr">
        <is>
          <t>Not Found</t>
        </is>
      </c>
      <c r="Y105" s="10" t="inlineStr">
        <is>
          <t>Not Found</t>
        </is>
      </c>
      <c r="Z105" s="10" t="inlineStr">
        <is>
          <t>Medium</t>
        </is>
      </c>
      <c r="AA105" s="10" t="inlineStr">
        <is>
          <t>Requires Verification</t>
        </is>
      </c>
      <c r="AB105" s="10" t="inlineStr">
        <is>
          <t>https://www.yorkshire.com/elland/shopping/off-license</t>
        </is>
      </c>
    </row>
    <row r="106">
      <c r="A106" s="5" t="inlineStr">
        <is>
          <t>UK-000387</t>
        </is>
      </c>
      <c r="B106" s="5" t="inlineStr">
        <is>
          <t>UK-000387-01</t>
        </is>
      </c>
      <c r="C106" s="5" t="inlineStr"/>
      <c r="D106" s="5" t="inlineStr">
        <is>
          <t>The Off Licence (Chorley Old Road)</t>
        </is>
      </c>
      <c r="E106" s="5" t="inlineStr">
        <is>
          <t>Off-Licence</t>
        </is>
      </c>
      <c r="F106" s="5" t="inlineStr"/>
      <c r="G106" s="5" t="inlineStr">
        <is>
          <t>Independent</t>
        </is>
      </c>
      <c r="H106" s="5" t="inlineStr">
        <is>
          <t>1</t>
        </is>
      </c>
      <c r="I106" s="5" t="inlineStr">
        <is>
          <t>270-272 Chorley Old Road</t>
        </is>
      </c>
      <c r="J106" s="5" t="inlineStr">
        <is>
          <t>Bolton</t>
        </is>
      </c>
      <c r="K106" s="5" t="inlineStr">
        <is>
          <t>BL1 4JE</t>
        </is>
      </c>
      <c r="L106" s="5" t="inlineStr">
        <is>
          <t>07411 497826</t>
        </is>
      </c>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Verified directory</t>
        </is>
      </c>
      <c r="Y106" s="5" t="inlineStr">
        <is>
          <t>Not Found</t>
        </is>
      </c>
      <c r="Z106" s="5" t="inlineStr">
        <is>
          <t>Low</t>
        </is>
      </c>
      <c r="AA106" s="5" t="inlineStr">
        <is>
          <t>Requires Verification</t>
        </is>
      </c>
      <c r="AB106" s="5" t="inlineStr">
        <is>
          <t>https://www.boltononline.org.uk/info/6391/</t>
        </is>
      </c>
    </row>
    <row r="107">
      <c r="A107" s="10" t="inlineStr">
        <is>
          <t>UK-000668</t>
        </is>
      </c>
      <c r="B107" s="10" t="inlineStr">
        <is>
          <t>UK-000668-01</t>
        </is>
      </c>
      <c r="C107" s="10" t="inlineStr"/>
      <c r="D107" s="10" t="inlineStr">
        <is>
          <t>The Vintner</t>
        </is>
      </c>
      <c r="E107" s="10" t="inlineStr">
        <is>
          <t>Off-Licence</t>
        </is>
      </c>
      <c r="F107" s="10" t="inlineStr">
        <is>
          <t>Off-licence / wine merchant</t>
        </is>
      </c>
      <c r="G107" s="10" t="inlineStr">
        <is>
          <t>Independent</t>
        </is>
      </c>
      <c r="H107" s="10" t="inlineStr">
        <is>
          <t>1</t>
        </is>
      </c>
      <c r="I107" s="10" t="inlineStr">
        <is>
          <t>208 Fulham Palace Road</t>
        </is>
      </c>
      <c r="J107" s="10" t="inlineStr">
        <is>
          <t>London</t>
        </is>
      </c>
      <c r="K107" s="10" t="inlineStr">
        <is>
          <t>W6 9NT</t>
        </is>
      </c>
      <c r="L107" s="10" t="inlineStr">
        <is>
          <t>020 7385 4436</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https://www.yell.com/s/off+licences-fulham-london.html</t>
        </is>
      </c>
    </row>
    <row r="108">
      <c r="A108" s="5" t="inlineStr">
        <is>
          <t>UK-000829</t>
        </is>
      </c>
      <c r="B108" s="5" t="inlineStr">
        <is>
          <t>UK-000829-01</t>
        </is>
      </c>
      <c r="C108" s="5" t="inlineStr"/>
      <c r="D108" s="5" t="inlineStr">
        <is>
          <t>The Wine Lodge</t>
        </is>
      </c>
      <c r="E108" s="5" t="inlineStr">
        <is>
          <t>Off-Licence</t>
        </is>
      </c>
      <c r="F108" s="5" t="inlineStr">
        <is>
          <t>Off-licence / wines &amp; spirits</t>
        </is>
      </c>
      <c r="G108" s="5" t="inlineStr">
        <is>
          <t>Independent</t>
        </is>
      </c>
      <c r="H108" s="5" t="inlineStr">
        <is>
          <t>1</t>
        </is>
      </c>
      <c r="I108" s="5" t="inlineStr">
        <is>
          <t>159-161 Lodge Lane</t>
        </is>
      </c>
      <c r="J108" s="5" t="inlineStr">
        <is>
          <t>Liverpool</t>
        </is>
      </c>
      <c r="K108" s="5" t="inlineStr">
        <is>
          <t>L8 0QQ</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https://www.yell.com/biz/the-wine-lodge-liverpool-1268926/</t>
        </is>
      </c>
    </row>
    <row r="109">
      <c r="A109" s="10" t="inlineStr">
        <is>
          <t>UK-000525</t>
        </is>
      </c>
      <c r="B109" s="10" t="inlineStr">
        <is>
          <t>UK-000525-01</t>
        </is>
      </c>
      <c r="C109" s="10" t="inlineStr"/>
      <c r="D109" s="10" t="inlineStr">
        <is>
          <t>The Wine Shop</t>
        </is>
      </c>
      <c r="E109" s="10" t="inlineStr">
        <is>
          <t>Off-Licence</t>
        </is>
      </c>
      <c r="F109" s="10" t="inlineStr">
        <is>
          <t>Off-licence &amp; convenience</t>
        </is>
      </c>
      <c r="G109" s="10" t="inlineStr">
        <is>
          <t>Independent</t>
        </is>
      </c>
      <c r="H109" s="10" t="inlineStr">
        <is>
          <t>1</t>
        </is>
      </c>
      <c r="I109" s="10" t="inlineStr">
        <is>
          <t>79 Evans Street</t>
        </is>
      </c>
      <c r="J109" s="10" t="inlineStr">
        <is>
          <t>Wolverhampton</t>
        </is>
      </c>
      <c r="K109" s="10" t="inlineStr"/>
      <c r="L109" s="10" t="inlineStr">
        <is>
          <t>01902 656833</t>
        </is>
      </c>
      <c r="M109" s="10" t="inlineStr"/>
      <c r="N109" s="10" t="inlineStr"/>
      <c r="O109" s="10" t="inlineStr"/>
      <c r="P109" s="10" t="inlineStr">
        <is>
          <t>https://www.facebook.com/p/The-WINE-SHOP-100054376846673/</t>
        </is>
      </c>
      <c r="Q109" s="10" t="inlineStr"/>
      <c r="R109" s="10" t="inlineStr"/>
      <c r="S109" s="10" t="inlineStr"/>
      <c r="T109" s="10" t="inlineStr"/>
      <c r="U109" s="10" t="inlineStr"/>
      <c r="V109" s="10" t="inlineStr">
        <is>
          <t>Medium</t>
        </is>
      </c>
      <c r="W109" s="10" t="inlineStr">
        <is>
          <t>Independent retailer; Relevant category; Social presence</t>
        </is>
      </c>
      <c r="X109" s="10" t="inlineStr">
        <is>
          <t>Verified directory</t>
        </is>
      </c>
      <c r="Y109" s="10" t="inlineStr">
        <is>
          <t>Not Found</t>
        </is>
      </c>
      <c r="Z109" s="10" t="inlineStr">
        <is>
          <t>Low</t>
        </is>
      </c>
      <c r="AA109" s="10" t="inlineStr">
        <is>
          <t>Requires Verification</t>
        </is>
      </c>
      <c r="AB109" s="10" t="inlineStr">
        <is>
          <t>https://www.facebook.com/p/The-WINE-SHOP-100054376846673/</t>
        </is>
      </c>
    </row>
    <row r="110">
      <c r="A110" s="5" t="inlineStr">
        <is>
          <t>UK-000669</t>
        </is>
      </c>
      <c r="B110" s="5" t="inlineStr">
        <is>
          <t>UK-000669-01</t>
        </is>
      </c>
      <c r="C110" s="5" t="inlineStr"/>
      <c r="D110" s="5" t="inlineStr">
        <is>
          <t>Tooting Food &amp; Wine</t>
        </is>
      </c>
      <c r="E110" s="5" t="inlineStr">
        <is>
          <t>Off-Licence</t>
        </is>
      </c>
      <c r="F110" s="5" t="inlineStr"/>
      <c r="G110" s="5" t="inlineStr">
        <is>
          <t>Independent</t>
        </is>
      </c>
      <c r="H110" s="5" t="inlineStr">
        <is>
          <t>1</t>
        </is>
      </c>
      <c r="I110" s="5" t="inlineStr">
        <is>
          <t>32 London Road</t>
        </is>
      </c>
      <c r="J110" s="5" t="inlineStr">
        <is>
          <t>London</t>
        </is>
      </c>
      <c r="K110" s="5" t="inlineStr">
        <is>
          <t>SW17 9HP</t>
        </is>
      </c>
      <c r="L110" s="5" t="inlineStr">
        <is>
          <t>07534 741161</t>
        </is>
      </c>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Verified directory</t>
        </is>
      </c>
      <c r="Y110" s="5" t="inlineStr">
        <is>
          <t>Not Found</t>
        </is>
      </c>
      <c r="Z110" s="5" t="inlineStr">
        <is>
          <t>Medium</t>
        </is>
      </c>
      <c r="AA110" s="5" t="inlineStr">
        <is>
          <t>Requires Verification</t>
        </is>
      </c>
      <c r="AB110" s="5" t="inlineStr">
        <is>
          <t>https://www.yell.com/s/off+licences-tooting-south+west+london.html</t>
        </is>
      </c>
    </row>
    <row r="111">
      <c r="A111" s="10" t="inlineStr">
        <is>
          <t>WY-0167</t>
        </is>
      </c>
      <c r="B111" s="10" t="inlineStr">
        <is>
          <t>WY-0167-01</t>
        </is>
      </c>
      <c r="C111" s="10" t="inlineStr"/>
      <c r="D111" s="10" t="inlineStr">
        <is>
          <t>Top Shelf Off Licence</t>
        </is>
      </c>
      <c r="E111" s="10" t="inlineStr">
        <is>
          <t>Off-Licence</t>
        </is>
      </c>
      <c r="F111" s="10" t="inlineStr">
        <is>
          <t>Off-licence</t>
        </is>
      </c>
      <c r="G111" s="10" t="inlineStr">
        <is>
          <t>Independent</t>
        </is>
      </c>
      <c r="H111" s="10" t="inlineStr">
        <is>
          <t>1</t>
        </is>
      </c>
      <c r="I111" s="10" t="inlineStr">
        <is>
          <t>557 Leeds Road</t>
        </is>
      </c>
      <c r="J111" s="10" t="inlineStr">
        <is>
          <t>Wakefield</t>
        </is>
      </c>
      <c r="K111" s="10" t="inlineStr">
        <is>
          <t>WF1 2JL</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https://www.foodhygienerankings.co.uk/authorities/wakefield</t>
        </is>
      </c>
    </row>
    <row r="112">
      <c r="A112" s="5" t="inlineStr">
        <is>
          <t>WY-0169</t>
        </is>
      </c>
      <c r="B112" s="5" t="inlineStr">
        <is>
          <t>WY-0169-01</t>
        </is>
      </c>
      <c r="C112" s="5" t="inlineStr"/>
      <c r="D112" s="5" t="inlineStr">
        <is>
          <t>Tylor's Booze</t>
        </is>
      </c>
      <c r="E112" s="5" t="inlineStr">
        <is>
          <t>Off-Licence</t>
        </is>
      </c>
      <c r="F112" s="5" t="inlineStr">
        <is>
          <t>Off-licence</t>
        </is>
      </c>
      <c r="G112" s="5" t="inlineStr">
        <is>
          <t>Independent</t>
        </is>
      </c>
      <c r="H112" s="5" t="inlineStr">
        <is>
          <t>1</t>
        </is>
      </c>
      <c r="I112" s="5" t="inlineStr">
        <is>
          <t>33 Albion Street</t>
        </is>
      </c>
      <c r="J112" s="5" t="inlineStr">
        <is>
          <t>Castleford</t>
        </is>
      </c>
      <c r="K112" s="5" t="inlineStr">
        <is>
          <t>WF10 1EG</t>
        </is>
      </c>
      <c r="L112" s="5" t="inlineStr"/>
      <c r="M112" s="5" t="inlineStr"/>
      <c r="N112" s="5" t="inlineStr"/>
      <c r="O112" s="5" t="inlineStr"/>
      <c r="P112" s="5" t="inlineStr"/>
      <c r="Q112" s="5" t="inlineStr"/>
      <c r="R112" s="5" t="inlineStr"/>
      <c r="S112" s="5" t="inlineStr"/>
      <c r="T112" s="5" t="inlineStr">
        <is>
          <t>12100725</t>
        </is>
      </c>
      <c r="U112" s="5" t="inlineStr">
        <is>
          <t>Active</t>
        </is>
      </c>
      <c r="V112" s="5" t="inlineStr">
        <is>
          <t>Low</t>
        </is>
      </c>
      <c r="W112" s="5" t="inlineStr">
        <is>
          <t>Independent retailer; Relevant category</t>
        </is>
      </c>
      <c r="X112" s="5" t="inlineStr">
        <is>
          <t>Not Found</t>
        </is>
      </c>
      <c r="Y112" s="5" t="inlineStr">
        <is>
          <t>Not Found</t>
        </is>
      </c>
      <c r="Z112" s="5" t="inlineStr">
        <is>
          <t>Medium</t>
        </is>
      </c>
      <c r="AA112" s="5" t="inlineStr">
        <is>
          <t>Partially Verified</t>
        </is>
      </c>
      <c r="AB112" s="5" t="inlineStr">
        <is>
          <t>https://find-and-update.company-information.service.gov.uk/company/12100725</t>
        </is>
      </c>
    </row>
    <row r="113">
      <c r="A113" s="10" t="inlineStr">
        <is>
          <t>UK-000672</t>
        </is>
      </c>
      <c r="B113" s="10" t="inlineStr">
        <is>
          <t>UK-000672-01</t>
        </is>
      </c>
      <c r="C113" s="10" t="inlineStr"/>
      <c r="D113" s="10" t="inlineStr">
        <is>
          <t>Universal Liquor Mart</t>
        </is>
      </c>
      <c r="E113" s="10" t="inlineStr">
        <is>
          <t>Off-Licence</t>
        </is>
      </c>
      <c r="F113" s="10" t="inlineStr">
        <is>
          <t>Off-licence</t>
        </is>
      </c>
      <c r="G113" s="10" t="inlineStr">
        <is>
          <t>Independent</t>
        </is>
      </c>
      <c r="H113" s="10" t="inlineStr">
        <is>
          <t>1</t>
        </is>
      </c>
      <c r="I113" s="10" t="inlineStr">
        <is>
          <t>125 Lillie Road</t>
        </is>
      </c>
      <c r="J113" s="10" t="inlineStr">
        <is>
          <t>London</t>
        </is>
      </c>
      <c r="K113" s="10" t="inlineStr">
        <is>
          <t>SW6 7SX</t>
        </is>
      </c>
      <c r="L113" s="10" t="inlineStr">
        <is>
          <t>020 3080 0700</t>
        </is>
      </c>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Verified directory</t>
        </is>
      </c>
      <c r="Y113" s="10" t="inlineStr">
        <is>
          <t>Not Found</t>
        </is>
      </c>
      <c r="Z113" s="10" t="inlineStr">
        <is>
          <t>Medium</t>
        </is>
      </c>
      <c r="AA113" s="10" t="inlineStr">
        <is>
          <t>Requires Verification</t>
        </is>
      </c>
      <c r="AB113" s="10" t="inlineStr">
        <is>
          <t>https://www.yell.com/s/off+licences-fulham-london.html</t>
        </is>
      </c>
    </row>
    <row r="114">
      <c r="A114" s="5" t="inlineStr">
        <is>
          <t>UK-000530</t>
        </is>
      </c>
      <c r="B114" s="5" t="inlineStr">
        <is>
          <t>UK-000530-01</t>
        </is>
      </c>
      <c r="C114" s="5" t="inlineStr"/>
      <c r="D114" s="5" t="inlineStr">
        <is>
          <t>VT Off Licence &amp; Convenience Store</t>
        </is>
      </c>
      <c r="E114" s="5" t="inlineStr">
        <is>
          <t>Off-Licence</t>
        </is>
      </c>
      <c r="F114" s="5" t="inlineStr">
        <is>
          <t>Off-licence and convenience store</t>
        </is>
      </c>
      <c r="G114" s="5" t="inlineStr">
        <is>
          <t>Independent</t>
        </is>
      </c>
      <c r="H114" s="5" t="inlineStr">
        <is>
          <t>1</t>
        </is>
      </c>
      <c r="I114" s="5" t="inlineStr">
        <is>
          <t>10 School Road</t>
        </is>
      </c>
      <c r="J114" s="5" t="inlineStr">
        <is>
          <t>Birmingham</t>
        </is>
      </c>
      <c r="K114" s="5" t="inlineStr">
        <is>
          <t>B14 4BJ</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https://birmingham.cylex-uk.co.uk/company/vt-off-licence---convenience-store-27496181.html</t>
        </is>
      </c>
    </row>
    <row r="115">
      <c r="A115" s="10" t="inlineStr">
        <is>
          <t>WY-0178</t>
        </is>
      </c>
      <c r="B115" s="10" t="inlineStr">
        <is>
          <t>WY-0178-01</t>
        </is>
      </c>
      <c r="C115" s="10" t="inlineStr"/>
      <c r="D115" s="10" t="inlineStr">
        <is>
          <t>Vape and Wine Village</t>
        </is>
      </c>
      <c r="E115" s="10" t="inlineStr">
        <is>
          <t>Off-Licence</t>
        </is>
      </c>
      <c r="F115" s="10" t="inlineStr">
        <is>
          <t>Off-licence and vape shop</t>
        </is>
      </c>
      <c r="G115" s="10" t="inlineStr">
        <is>
          <t>Independent</t>
        </is>
      </c>
      <c r="H115" s="10" t="inlineStr">
        <is>
          <t>1</t>
        </is>
      </c>
      <c r="I115" s="10" t="inlineStr">
        <is>
          <t>13-15 Hyde Park Road</t>
        </is>
      </c>
      <c r="J115" s="10" t="inlineStr">
        <is>
          <t>Leeds</t>
        </is>
      </c>
      <c r="K115" s="10" t="inlineStr">
        <is>
          <t>LS6 1PY</t>
        </is>
      </c>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https://www.yorkshire.com/leeds/shopping/off-license</t>
        </is>
      </c>
    </row>
    <row r="116">
      <c r="A116" s="5" t="inlineStr">
        <is>
          <t>UK-000683</t>
        </is>
      </c>
      <c r="B116" s="5" t="inlineStr">
        <is>
          <t>UK-000683-01</t>
        </is>
      </c>
      <c r="C116" s="5" t="inlineStr"/>
      <c r="D116" s="5" t="inlineStr">
        <is>
          <t>Vini Italia</t>
        </is>
      </c>
      <c r="E116" s="5" t="inlineStr">
        <is>
          <t>Off-Licence</t>
        </is>
      </c>
      <c r="F116" s="5" t="inlineStr">
        <is>
          <t>Italian wine specialist</t>
        </is>
      </c>
      <c r="G116" s="5" t="inlineStr">
        <is>
          <t>Independent</t>
        </is>
      </c>
      <c r="H116" s="5" t="inlineStr">
        <is>
          <t>1</t>
        </is>
      </c>
      <c r="I116" s="5" t="inlineStr">
        <is>
          <t>41 London Road</t>
        </is>
      </c>
      <c r="J116" s="5" t="inlineStr">
        <is>
          <t>London</t>
        </is>
      </c>
      <c r="K116" s="5" t="inlineStr">
        <is>
          <t>SW17 9JR</t>
        </is>
      </c>
      <c r="L116" s="5" t="inlineStr">
        <is>
          <t>07825 178842</t>
        </is>
      </c>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Verified directory</t>
        </is>
      </c>
      <c r="Y116" s="5" t="inlineStr">
        <is>
          <t>Not Found</t>
        </is>
      </c>
      <c r="Z116" s="5" t="inlineStr">
        <is>
          <t>Medium</t>
        </is>
      </c>
      <c r="AA116" s="5" t="inlineStr">
        <is>
          <t>Requires Verification</t>
        </is>
      </c>
      <c r="AB116" s="5" t="inlineStr">
        <is>
          <t>https://www.yell.com/s/off+licences-tooting-south+west+london.html</t>
        </is>
      </c>
    </row>
    <row r="117">
      <c r="A117" s="10" t="inlineStr">
        <is>
          <t>UK-000412</t>
        </is>
      </c>
      <c r="B117" s="10" t="inlineStr">
        <is>
          <t>UK-000412-01</t>
        </is>
      </c>
      <c r="C117" s="10" t="inlineStr"/>
      <c r="D117" s="10" t="inlineStr">
        <is>
          <t>Vish Off Licence Ltd</t>
        </is>
      </c>
      <c r="E117" s="10" t="inlineStr">
        <is>
          <t>Off-Licence</t>
        </is>
      </c>
      <c r="F117" s="10" t="inlineStr">
        <is>
          <t>Beer, wine and spirits retail</t>
        </is>
      </c>
      <c r="G117" s="10" t="inlineStr">
        <is>
          <t>Independent</t>
        </is>
      </c>
      <c r="H117" s="10" t="inlineStr">
        <is>
          <t>1</t>
        </is>
      </c>
      <c r="I117" s="10" t="inlineStr">
        <is>
          <t>71 Settle Street</t>
        </is>
      </c>
      <c r="J117" s="10" t="inlineStr">
        <is>
          <t>Bolton</t>
        </is>
      </c>
      <c r="K117" s="10" t="inlineStr">
        <is>
          <t>BL3 3DJ</t>
        </is>
      </c>
      <c r="L117" s="10" t="inlineStr">
        <is>
          <t>01204 418222</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Medium</t>
        </is>
      </c>
      <c r="AA117" s="10" t="inlineStr">
        <is>
          <t>Requires Verification</t>
        </is>
      </c>
      <c r="AB117" s="10" t="inlineStr">
        <is>
          <t>https://www.192.com/atoz/business/bolton-bl3/beer-wine-and-spirit-retail/vish-off-licence-ltd/5185dd21e8acf4fb82e6698055d1b839486ad42f/comp/</t>
        </is>
      </c>
    </row>
    <row r="118">
      <c r="A118" s="5" t="inlineStr">
        <is>
          <t>UK-000295</t>
        </is>
      </c>
      <c r="B118" s="5" t="inlineStr">
        <is>
          <t>UK-000295-01</t>
        </is>
      </c>
      <c r="C118" s="5" t="inlineStr"/>
      <c r="D118" s="5" t="inlineStr">
        <is>
          <t>Walkley Beer Company</t>
        </is>
      </c>
      <c r="E118" s="5" t="inlineStr">
        <is>
          <t>Off-Licence</t>
        </is>
      </c>
      <c r="F118" s="5" t="inlineStr">
        <is>
          <t>Craft beer bottle shop / micropub</t>
        </is>
      </c>
      <c r="G118" s="5" t="inlineStr">
        <is>
          <t>Independent</t>
        </is>
      </c>
      <c r="H118" s="5" t="inlineStr">
        <is>
          <t>1</t>
        </is>
      </c>
      <c r="I118" s="5" t="inlineStr"/>
      <c r="J118" s="5" t="inlineStr">
        <is>
          <t>Sheffield</t>
        </is>
      </c>
      <c r="K118" s="5" t="inlineStr"/>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https://www.yorkshire.com/sheffield/shopping/off-license</t>
        </is>
      </c>
    </row>
    <row r="119">
      <c r="A119" s="10" t="inlineStr">
        <is>
          <t>UK-000843</t>
        </is>
      </c>
      <c r="B119" s="10" t="inlineStr">
        <is>
          <t>UK-000843-01</t>
        </is>
      </c>
      <c r="C119" s="10" t="inlineStr"/>
      <c r="D119" s="10" t="inlineStr">
        <is>
          <t>Wallasey Off Licence and Convenience</t>
        </is>
      </c>
      <c r="E119" s="10" t="inlineStr">
        <is>
          <t>Off-Licence</t>
        </is>
      </c>
      <c r="F119" s="10" t="inlineStr">
        <is>
          <t>Off-licence / convenience store</t>
        </is>
      </c>
      <c r="G119" s="10" t="inlineStr">
        <is>
          <t>Independent</t>
        </is>
      </c>
      <c r="H119" s="10" t="inlineStr">
        <is>
          <t>1</t>
        </is>
      </c>
      <c r="I119" s="10" t="inlineStr">
        <is>
          <t>22 King Street</t>
        </is>
      </c>
      <c r="J119" s="10" t="inlineStr">
        <is>
          <t>Wallasey</t>
        </is>
      </c>
      <c r="K119" s="10" t="inlineStr">
        <is>
          <t>CH44 8AU</t>
        </is>
      </c>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https://ratings.food.gov.uk/business/777455</t>
        </is>
      </c>
    </row>
    <row r="120">
      <c r="A120" s="5" t="inlineStr">
        <is>
          <t>WY-0186</t>
        </is>
      </c>
      <c r="B120" s="5" t="inlineStr">
        <is>
          <t>WY-0186-01</t>
        </is>
      </c>
      <c r="C120" s="5" t="inlineStr"/>
      <c r="D120" s="5" t="inlineStr">
        <is>
          <t>Wayward Wines</t>
        </is>
      </c>
      <c r="E120" s="5" t="inlineStr">
        <is>
          <t>Off-Licence</t>
        </is>
      </c>
      <c r="F120" s="5" t="inlineStr">
        <is>
          <t>Natural / organic wine shop</t>
        </is>
      </c>
      <c r="G120" s="5" t="inlineStr">
        <is>
          <t>Independent</t>
        </is>
      </c>
      <c r="H120" s="5" t="inlineStr">
        <is>
          <t>1</t>
        </is>
      </c>
      <c r="I120" s="5" t="inlineStr">
        <is>
          <t>1C Regent Street</t>
        </is>
      </c>
      <c r="J120" s="5" t="inlineStr">
        <is>
          <t>Leeds</t>
        </is>
      </c>
      <c r="K120" s="5" t="inlineStr">
        <is>
          <t>LS7 4PE</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Medium</t>
        </is>
      </c>
      <c r="AA120" s="5" t="inlineStr">
        <is>
          <t>Requires Verification</t>
        </is>
      </c>
      <c r="AB120" s="5" t="inlineStr">
        <is>
          <t>https://confidentials.com/leeds/six-of-the-best-bottle-shops</t>
        </is>
      </c>
    </row>
    <row r="121">
      <c r="A121" s="10" t="inlineStr">
        <is>
          <t>UK-000686</t>
        </is>
      </c>
      <c r="B121" s="10" t="inlineStr">
        <is>
          <t>UK-000686-01</t>
        </is>
      </c>
      <c r="C121" s="10" t="inlineStr"/>
      <c r="D121" s="10" t="inlineStr">
        <is>
          <t>Well Street Wines</t>
        </is>
      </c>
      <c r="E121" s="10" t="inlineStr">
        <is>
          <t>Off-Licence</t>
        </is>
      </c>
      <c r="F121" s="10" t="inlineStr">
        <is>
          <t>Off-licence</t>
        </is>
      </c>
      <c r="G121" s="10" t="inlineStr">
        <is>
          <t>Independent</t>
        </is>
      </c>
      <c r="H121" s="10" t="inlineStr">
        <is>
          <t>1</t>
        </is>
      </c>
      <c r="I121" s="10" t="inlineStr">
        <is>
          <t>98 Well Street</t>
        </is>
      </c>
      <c r="J121" s="10" t="inlineStr">
        <is>
          <t>Hackney</t>
        </is>
      </c>
      <c r="K121" s="10" t="inlineStr">
        <is>
          <t>E9 7JA</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https://www.yell.com/s/off+licences-stoke+newington-north+london.html</t>
        </is>
      </c>
    </row>
    <row r="122">
      <c r="A122" s="5" t="inlineStr">
        <is>
          <t>WY-0187</t>
        </is>
      </c>
      <c r="B122" s="5" t="inlineStr">
        <is>
          <t>WY-0187-01</t>
        </is>
      </c>
      <c r="C122" s="5" t="inlineStr"/>
      <c r="D122" s="5" t="inlineStr">
        <is>
          <t>West End Off Licence</t>
        </is>
      </c>
      <c r="E122" s="5" t="inlineStr">
        <is>
          <t>Off-Licence</t>
        </is>
      </c>
      <c r="F122" s="5" t="inlineStr"/>
      <c r="G122" s="5" t="inlineStr">
        <is>
          <t>Independent</t>
        </is>
      </c>
      <c r="H122" s="5" t="inlineStr">
        <is>
          <t>1</t>
        </is>
      </c>
      <c r="I122" s="5" t="inlineStr">
        <is>
          <t>2 Mile Cross Terrace</t>
        </is>
      </c>
      <c r="J122" s="5" t="inlineStr">
        <is>
          <t>Halifax</t>
        </is>
      </c>
      <c r="K122" s="5" t="inlineStr">
        <is>
          <t>HX1 4HP</t>
        </is>
      </c>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Medium</t>
        </is>
      </c>
      <c r="AA122" s="5" t="inlineStr">
        <is>
          <t>Requires Verification</t>
        </is>
      </c>
      <c r="AB122" s="5" t="inlineStr">
        <is>
          <t>https://www.yelp.co.uk/biz/westend-off-licence-rickys-halifax</t>
        </is>
      </c>
    </row>
    <row r="123">
      <c r="A123" s="10" t="inlineStr">
        <is>
          <t>UK-000845</t>
        </is>
      </c>
      <c r="B123" s="10" t="inlineStr">
        <is>
          <t>UK-000845-01</t>
        </is>
      </c>
      <c r="C123" s="10" t="inlineStr"/>
      <c r="D123" s="10" t="inlineStr">
        <is>
          <t>West Street Off Licence</t>
        </is>
      </c>
      <c r="E123" s="10" t="inlineStr">
        <is>
          <t>Off-Licence</t>
        </is>
      </c>
      <c r="F123" s="10" t="inlineStr">
        <is>
          <t>Late-night off-licence with delivery</t>
        </is>
      </c>
      <c r="G123" s="10" t="inlineStr">
        <is>
          <t>Independent</t>
        </is>
      </c>
      <c r="H123" s="10" t="inlineStr">
        <is>
          <t>1</t>
        </is>
      </c>
      <c r="I123" s="10" t="inlineStr">
        <is>
          <t>9 West Street</t>
        </is>
      </c>
      <c r="J123" s="10" t="inlineStr">
        <is>
          <t>Southport</t>
        </is>
      </c>
      <c r="K123" s="10" t="inlineStr">
        <is>
          <t>PR8 1QN</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https://www.24houralcohol.co.uk/sefton-off-licences</t>
        </is>
      </c>
    </row>
    <row r="124">
      <c r="A124" s="5" t="inlineStr">
        <is>
          <t>UK-000689</t>
        </is>
      </c>
      <c r="B124" s="5" t="inlineStr">
        <is>
          <t>UK-000689-01</t>
        </is>
      </c>
      <c r="C124" s="5" t="inlineStr"/>
      <c r="D124" s="5" t="inlineStr">
        <is>
          <t>Whirly Wines Ltd</t>
        </is>
      </c>
      <c r="E124" s="5" t="inlineStr">
        <is>
          <t>Off-Licence</t>
        </is>
      </c>
      <c r="F124" s="5" t="inlineStr"/>
      <c r="G124" s="5" t="inlineStr">
        <is>
          <t>Independent</t>
        </is>
      </c>
      <c r="H124" s="5" t="inlineStr">
        <is>
          <t>1</t>
        </is>
      </c>
      <c r="I124" s="5" t="inlineStr">
        <is>
          <t>22 Ritherdon Road</t>
        </is>
      </c>
      <c r="J124" s="5" t="inlineStr">
        <is>
          <t>London</t>
        </is>
      </c>
      <c r="K124" s="5" t="inlineStr">
        <is>
          <t>SW17 8QD</t>
        </is>
      </c>
      <c r="L124" s="5" t="inlineStr">
        <is>
          <t>020 3489 2242</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Medium</t>
        </is>
      </c>
      <c r="AA124" s="5" t="inlineStr">
        <is>
          <t>Requires Verification</t>
        </is>
      </c>
      <c r="AB124" s="5" t="inlineStr">
        <is>
          <t>https://www.yell.com/s/off+licences-tooting-south+west+london.html</t>
        </is>
      </c>
    </row>
    <row r="125">
      <c r="A125" s="10" t="inlineStr">
        <is>
          <t>UK-000846</t>
        </is>
      </c>
      <c r="B125" s="10" t="inlineStr">
        <is>
          <t>UK-000846-01</t>
        </is>
      </c>
      <c r="C125" s="10" t="inlineStr"/>
      <c r="D125" s="10" t="inlineStr">
        <is>
          <t>Windsor Wines &amp; Spirits</t>
        </is>
      </c>
      <c r="E125" s="10" t="inlineStr">
        <is>
          <t>Off-Licence</t>
        </is>
      </c>
      <c r="F125" s="10" t="inlineStr">
        <is>
          <t>Off-licence / wines &amp; spirits</t>
        </is>
      </c>
      <c r="G125" s="10" t="inlineStr">
        <is>
          <t>Independent</t>
        </is>
      </c>
      <c r="H125" s="10" t="inlineStr">
        <is>
          <t>1</t>
        </is>
      </c>
      <c r="I125" s="10" t="inlineStr">
        <is>
          <t>166 Windsor Street</t>
        </is>
      </c>
      <c r="J125" s="10" t="inlineStr">
        <is>
          <t>Liverpool</t>
        </is>
      </c>
      <c r="K125" s="10" t="inlineStr">
        <is>
          <t>L8 8EH</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https://liverpool.cylex-uk.co.uk/off-licence-4.html</t>
        </is>
      </c>
    </row>
    <row r="126">
      <c r="A126" s="5" t="inlineStr">
        <is>
          <t>UK-000690</t>
        </is>
      </c>
      <c r="B126" s="5" t="inlineStr">
        <is>
          <t>UK-000690-01</t>
        </is>
      </c>
      <c r="C126" s="5" t="inlineStr"/>
      <c r="D126" s="5" t="inlineStr">
        <is>
          <t>Yagmur</t>
        </is>
      </c>
      <c r="E126" s="5" t="inlineStr">
        <is>
          <t>Off-Licence</t>
        </is>
      </c>
      <c r="F126" s="5" t="inlineStr">
        <is>
          <t>Off-licence &amp; grocery</t>
        </is>
      </c>
      <c r="G126" s="5" t="inlineStr">
        <is>
          <t>Independent</t>
        </is>
      </c>
      <c r="H126" s="5" t="inlineStr">
        <is>
          <t>1</t>
        </is>
      </c>
      <c r="I126" s="5" t="inlineStr">
        <is>
          <t>1 Rugby Road</t>
        </is>
      </c>
      <c r="J126" s="5" t="inlineStr">
        <is>
          <t>Dagenham</t>
        </is>
      </c>
      <c r="K126" s="5" t="inlineStr">
        <is>
          <t>RM9 4AL</t>
        </is>
      </c>
      <c r="L126" s="5" t="inlineStr">
        <is>
          <t>020 8592 1818</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Medium</t>
        </is>
      </c>
      <c r="AA126" s="5" t="inlineStr">
        <is>
          <t>Requires Verification</t>
        </is>
      </c>
      <c r="AB126" s="5" t="inlineStr">
        <is>
          <t>https://www.yell.com/s/off+licences-london+borough+of+barking+and+dagenham.html</t>
        </is>
      </c>
    </row>
  </sheetData>
  <autoFilter ref="A1:AB1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4" customWidth="1" min="7" max="7"/>
    <col width="21" customWidth="1" min="8" max="8"/>
    <col width="41" customWidth="1" min="9" max="9"/>
    <col width="20"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UK-000551</t>
        </is>
      </c>
      <c r="B7" s="10" t="inlineStr">
        <is>
          <t>CITYOFLOND-01</t>
        </is>
      </c>
      <c r="C7" s="10" t="inlineStr">
        <is>
          <t>City of London Cigars</t>
        </is>
      </c>
      <c r="D7" s="10" t="inlineStr">
        <is>
          <t>City of London Cigars - Victoria</t>
        </is>
      </c>
      <c r="E7" s="10" t="inlineStr">
        <is>
          <t>Tobacco Specialist</t>
        </is>
      </c>
      <c r="F7" s="10" t="inlineStr">
        <is>
          <t>Cigar merchant &amp; spirits</t>
        </is>
      </c>
      <c r="G7" s="10" t="inlineStr">
        <is>
          <t>Multi-Site Independent</t>
        </is>
      </c>
      <c r="H7" s="10" t="inlineStr">
        <is>
          <t>1</t>
        </is>
      </c>
      <c r="I7" s="10" t="inlineStr">
        <is>
          <t>97 Buckingham Palace Road</t>
        </is>
      </c>
      <c r="J7" s="10" t="inlineStr">
        <is>
          <t>London</t>
        </is>
      </c>
      <c r="K7" s="10" t="inlineStr">
        <is>
          <t>SW1W 0RP</t>
        </is>
      </c>
      <c r="L7" s="10" t="inlineStr"/>
      <c r="M7" s="10" t="inlineStr"/>
      <c r="N7" s="10" t="inlineStr"/>
      <c r="O7" s="10" t="inlineStr">
        <is>
          <t>https://cityoflondoncigars.com/</t>
        </is>
      </c>
      <c r="P7" s="10" t="inlineStr">
        <is>
          <t>https://www.facebook.com/people/City-of-London-Cigars/61563679750215/</t>
        </is>
      </c>
      <c r="Q7" s="10" t="inlineStr"/>
      <c r="R7" s="10" t="inlineStr"/>
      <c r="S7" s="10" t="inlineStr"/>
      <c r="T7" s="10" t="inlineStr">
        <is>
          <t>15478996</t>
        </is>
      </c>
      <c r="U7" s="10" t="inlineStr"/>
      <c r="V7" s="10" t="inlineStr">
        <is>
          <t>High</t>
        </is>
      </c>
      <c r="W7" s="10" t="inlineStr">
        <is>
          <t>Multi-site retailer; Independent retailer; Core relevant category; Active website; Social presence</t>
        </is>
      </c>
      <c r="X7" s="10" t="inlineStr">
        <is>
          <t>Not Found</t>
        </is>
      </c>
      <c r="Y7" s="10" t="inlineStr">
        <is>
          <t>Website Found</t>
        </is>
      </c>
      <c r="Z7" s="10" t="inlineStr">
        <is>
          <t>Medium</t>
        </is>
      </c>
      <c r="AA7" s="10" t="inlineStr">
        <is>
          <t>Requires Verification</t>
        </is>
      </c>
      <c r="AB7" s="10" t="inlineStr">
        <is>
          <t>https://find-and-update.company-information.service.gov.uk/company/15478996</t>
        </is>
      </c>
    </row>
    <row r="8">
      <c r="A8" s="5" t="inlineStr">
        <is>
          <t>WY-0012</t>
        </is>
      </c>
      <c r="B8" s="5" t="inlineStr">
        <is>
          <t>DOMINIQUEL-01</t>
        </is>
      </c>
      <c r="C8" s="5" t="inlineStr">
        <is>
          <t>Dominique London Group / C.Gars Ltd</t>
        </is>
      </c>
      <c r="D8" s="5" t="inlineStr">
        <is>
          <t>C.Gars Leeds (Dominique London)</t>
        </is>
      </c>
      <c r="E8" s="5" t="inlineStr">
        <is>
          <t>Tobacco Specialist</t>
        </is>
      </c>
      <c r="F8" s="5" t="inlineStr">
        <is>
          <t>Havana cigar specialist - cigars, whisky, accessories</t>
        </is>
      </c>
      <c r="G8" s="5" t="inlineStr">
        <is>
          <t>National Chain</t>
        </is>
      </c>
      <c r="H8" s="5" t="inlineStr"/>
      <c r="I8" s="5" t="inlineStr">
        <is>
          <t>22 Thornton's Arcade</t>
        </is>
      </c>
      <c r="J8" s="5" t="inlineStr">
        <is>
          <t>Leeds</t>
        </is>
      </c>
      <c r="K8" s="5" t="inlineStr">
        <is>
          <t>LS1 6LQ</t>
        </is>
      </c>
      <c r="L8" s="5" t="inlineStr">
        <is>
          <t>0113 244 5556</t>
        </is>
      </c>
      <c r="M8" s="5" t="inlineStr"/>
      <c r="N8" s="5" t="inlineStr"/>
      <c r="O8" s="5" t="inlineStr">
        <is>
          <t>https://www.cgarsltd.co.uk/</t>
        </is>
      </c>
      <c r="P8" s="5" t="inlineStr">
        <is>
          <t>https://www.facebook.com/DominiqueLDN/</t>
        </is>
      </c>
      <c r="Q8" s="5" t="inlineStr"/>
      <c r="R8" s="5" t="inlineStr"/>
      <c r="S8" s="5" t="inlineStr"/>
      <c r="T8" s="5" t="inlineStr"/>
      <c r="U8" s="5" t="inlineStr"/>
      <c r="V8" s="5" t="inlineStr">
        <is>
          <t>High</t>
        </is>
      </c>
      <c r="W8" s="5" t="inlineStr">
        <is>
          <t>Multi-site retailer; Core relevant category; Active website; Social presence</t>
        </is>
      </c>
      <c r="X8" s="5" t="inlineStr">
        <is>
          <t>Verified directory</t>
        </is>
      </c>
      <c r="Y8" s="5" t="inlineStr">
        <is>
          <t>Website Found</t>
        </is>
      </c>
      <c r="Z8" s="5" t="inlineStr">
        <is>
          <t>Medium</t>
        </is>
      </c>
      <c r="AA8" s="5" t="inlineStr">
        <is>
          <t>Requires Verification</t>
        </is>
      </c>
      <c r="AB8" s="5" t="inlineStr">
        <is>
          <t>https://www.cgarsltd.co.uk/new-cgars-ltd-store-leeds-a-521.html</t>
        </is>
      </c>
    </row>
    <row r="9">
      <c r="A9" s="10" t="inlineStr">
        <is>
          <t>UK-000556</t>
        </is>
      </c>
      <c r="B9" s="10" t="inlineStr">
        <is>
          <t>JAMESJFOX-01</t>
        </is>
      </c>
      <c r="C9" s="10" t="inlineStr">
        <is>
          <t>James J. Fox</t>
        </is>
      </c>
      <c r="D9" s="10" t="inlineStr">
        <is>
          <t>James J Fox - St James's</t>
        </is>
      </c>
      <c r="E9" s="10" t="inlineStr">
        <is>
          <t>Tobacco Specialist</t>
        </is>
      </c>
      <c r="F9" s="10" t="inlineStr">
        <is>
          <t>Cigar merchant, museum &amp; sampling lounge</t>
        </is>
      </c>
      <c r="G9" s="10" t="inlineStr">
        <is>
          <t>Multi-Site Independent</t>
        </is>
      </c>
      <c r="H9" s="10" t="inlineStr">
        <is>
          <t>1</t>
        </is>
      </c>
      <c r="I9" s="10" t="inlineStr">
        <is>
          <t>19 St James's Street</t>
        </is>
      </c>
      <c r="J9" s="10" t="inlineStr">
        <is>
          <t>London</t>
        </is>
      </c>
      <c r="K9" s="10" t="inlineStr">
        <is>
          <t>SW1A 1ES</t>
        </is>
      </c>
      <c r="L9" s="10" t="inlineStr">
        <is>
          <t>020 7930 3787</t>
        </is>
      </c>
      <c r="M9" s="10" t="inlineStr"/>
      <c r="N9" s="10" t="inlineStr"/>
      <c r="O9" s="10" t="inlineStr">
        <is>
          <t>https://www.jjfox.co.uk/</t>
        </is>
      </c>
      <c r="P9" s="10" t="inlineStr"/>
      <c r="Q9" s="10" t="inlineStr"/>
      <c r="R9" s="10" t="inlineStr"/>
      <c r="S9" s="10" t="inlineStr"/>
      <c r="T9" s="10" t="inlineStr"/>
      <c r="U9" s="10" t="inlineStr"/>
      <c r="V9" s="10" t="inlineStr">
        <is>
          <t>High</t>
        </is>
      </c>
      <c r="W9" s="10" t="inlineStr">
        <is>
          <t>Multi-site retailer; Independent retailer; Core relevant category; Active website; Phone verified on official website</t>
        </is>
      </c>
      <c r="X9" s="10" t="inlineStr">
        <is>
          <t>Verified on official website</t>
        </is>
      </c>
      <c r="Y9" s="10" t="inlineStr">
        <is>
          <t>Website Found</t>
        </is>
      </c>
      <c r="Z9" s="10" t="inlineStr">
        <is>
          <t>Medium</t>
        </is>
      </c>
      <c r="AA9" s="10" t="inlineStr">
        <is>
          <t>Requires Verification</t>
        </is>
      </c>
      <c r="AB9" s="10" t="inlineStr">
        <is>
          <t>https://www.jjfox.co.uk/opening-hours</t>
        </is>
      </c>
    </row>
    <row r="10">
      <c r="A10" s="5" t="inlineStr">
        <is>
          <t>UK-000233</t>
        </is>
      </c>
      <c r="B10" s="5" t="inlineStr">
        <is>
          <t>UK-000233-01</t>
        </is>
      </c>
      <c r="C10" s="5" t="inlineStr"/>
      <c r="D10" s="5" t="inlineStr">
        <is>
          <t>Agha Lounge</t>
        </is>
      </c>
      <c r="E10" s="5" t="inlineStr">
        <is>
          <t>Smoke / Shisha Shop</t>
        </is>
      </c>
      <c r="F10" s="5" t="inlineStr">
        <is>
          <t>Shisha bar and restaurant</t>
        </is>
      </c>
      <c r="G10" s="5" t="inlineStr">
        <is>
          <t>Independent</t>
        </is>
      </c>
      <c r="H10" s="5" t="inlineStr">
        <is>
          <t>1</t>
        </is>
      </c>
      <c r="I10" s="5" t="inlineStr">
        <is>
          <t>5 North Bank</t>
        </is>
      </c>
      <c r="J10" s="5" t="inlineStr">
        <is>
          <t>Sheffield</t>
        </is>
      </c>
      <c r="K10" s="5" t="inlineStr"/>
      <c r="L10" s="5" t="inlineStr"/>
      <c r="M10" s="5" t="inlineStr"/>
      <c r="N10" s="5" t="inlineStr"/>
      <c r="O10" s="5" t="inlineStr">
        <is>
          <t>https://aghalounge.com/</t>
        </is>
      </c>
      <c r="P10" s="5" t="inlineStr"/>
      <c r="Q10" s="5" t="inlineStr"/>
      <c r="R10" s="5" t="inlineStr"/>
      <c r="S10" s="5" t="inlineStr"/>
      <c r="T10" s="5" t="inlineStr"/>
      <c r="U10" s="5" t="inlineStr"/>
      <c r="V10" s="5" t="inlineStr">
        <is>
          <t>Medium</t>
        </is>
      </c>
      <c r="W10" s="5" t="inlineStr">
        <is>
          <t>Independent retailer; Core relevant category; Active website</t>
        </is>
      </c>
      <c r="X10" s="5" t="inlineStr">
        <is>
          <t>Not Found</t>
        </is>
      </c>
      <c r="Y10" s="5" t="inlineStr">
        <is>
          <t>Website Found</t>
        </is>
      </c>
      <c r="Z10" s="5" t="inlineStr">
        <is>
          <t>Low</t>
        </is>
      </c>
      <c r="AA10" s="5" t="inlineStr">
        <is>
          <t>Requires Verification</t>
        </is>
      </c>
      <c r="AB10" s="5" t="inlineStr">
        <is>
          <t>https://aghalounge.com/about-us/</t>
        </is>
      </c>
    </row>
    <row r="11">
      <c r="A11" s="10" t="inlineStr">
        <is>
          <t>UK-000572</t>
        </is>
      </c>
      <c r="B11" s="10" t="inlineStr">
        <is>
          <t>UK-000572-01</t>
        </is>
      </c>
      <c r="C11" s="10" t="inlineStr"/>
      <c r="D11" s="10" t="inlineStr">
        <is>
          <t>Al Shishawi</t>
        </is>
      </c>
      <c r="E11" s="10" t="inlineStr">
        <is>
          <t>Smoke / Shisha Shop</t>
        </is>
      </c>
      <c r="F11" s="10" t="inlineStr">
        <is>
          <t>Shisha lounge / cafe</t>
        </is>
      </c>
      <c r="G11" s="10" t="inlineStr">
        <is>
          <t>Independent</t>
        </is>
      </c>
      <c r="H11" s="10" t="inlineStr">
        <is>
          <t>1</t>
        </is>
      </c>
      <c r="I11" s="10" t="inlineStr">
        <is>
          <t>51-53 Edgware Road</t>
        </is>
      </c>
      <c r="J11" s="10" t="inlineStr">
        <is>
          <t>London</t>
        </is>
      </c>
      <c r="K11" s="10" t="inlineStr">
        <is>
          <t>W2 2HZ</t>
        </is>
      </c>
      <c r="L11" s="10" t="inlineStr">
        <is>
          <t>020 7262 6212</t>
        </is>
      </c>
      <c r="M11" s="10" t="inlineStr"/>
      <c r="N11" s="10" t="inlineStr"/>
      <c r="O11" s="10" t="inlineStr"/>
      <c r="P11" s="10" t="inlineStr"/>
      <c r="Q11" s="10" t="inlineStr"/>
      <c r="R11" s="10" t="inlineStr"/>
      <c r="S11" s="10" t="inlineStr"/>
      <c r="T11" s="10" t="inlineStr"/>
      <c r="U11" s="10" t="inlineStr"/>
      <c r="V11" s="10" t="inlineStr">
        <is>
          <t>Medium</t>
        </is>
      </c>
      <c r="W11" s="10" t="inlineStr">
        <is>
          <t>Independent retailer; Core relevant category</t>
        </is>
      </c>
      <c r="X11" s="10" t="inlineStr">
        <is>
          <t>Verified directory</t>
        </is>
      </c>
      <c r="Y11" s="10" t="inlineStr">
        <is>
          <t>Not Found</t>
        </is>
      </c>
      <c r="Z11" s="10" t="inlineStr">
        <is>
          <t>Low</t>
        </is>
      </c>
      <c r="AA11" s="10" t="inlineStr">
        <is>
          <t>Requires Verification</t>
        </is>
      </c>
      <c r="AB11" s="10" t="inlineStr">
        <is>
          <t>https://london.cylex-uk.co.uk/company/vape-bar-28775714.html</t>
        </is>
      </c>
    </row>
    <row r="12">
      <c r="A12" s="5" t="inlineStr">
        <is>
          <t>UK-000340</t>
        </is>
      </c>
      <c r="B12" s="5" t="inlineStr">
        <is>
          <t>UK-000340-01</t>
        </is>
      </c>
      <c r="C12" s="5" t="inlineStr"/>
      <c r="D12" s="5" t="inlineStr">
        <is>
          <t>Arthur Morris Tobacconists</t>
        </is>
      </c>
      <c r="E12" s="5" t="inlineStr">
        <is>
          <t>Tobacco Specialist</t>
        </is>
      </c>
      <c r="F12" s="5" t="inlineStr">
        <is>
          <t>Tobacconist and cigar specialist</t>
        </is>
      </c>
      <c r="G12" s="5" t="inlineStr">
        <is>
          <t>Independent</t>
        </is>
      </c>
      <c r="H12" s="5" t="inlineStr">
        <is>
          <t>1</t>
        </is>
      </c>
      <c r="I12" s="5" t="inlineStr">
        <is>
          <t>71 Bradshawgate</t>
        </is>
      </c>
      <c r="J12" s="5" t="inlineStr">
        <is>
          <t>Bolton</t>
        </is>
      </c>
      <c r="K12" s="5" t="inlineStr"/>
      <c r="L12" s="5" t="inlineStr"/>
      <c r="M12" s="5" t="inlineStr"/>
      <c r="N12" s="5" t="inlineStr"/>
      <c r="O12" s="5" t="inlineStr"/>
      <c r="P12" s="5" t="inlineStr"/>
      <c r="Q12" s="5" t="inlineStr"/>
      <c r="R12" s="5" t="inlineStr"/>
      <c r="S12" s="5" t="inlineStr"/>
      <c r="T12" s="5" t="inlineStr"/>
      <c r="U12" s="5" t="inlineStr"/>
      <c r="V12" s="5" t="inlineStr">
        <is>
          <t>Medium</t>
        </is>
      </c>
      <c r="W12" s="5" t="inlineStr">
        <is>
          <t>Independent retailer; Core relevant category</t>
        </is>
      </c>
      <c r="X12" s="5" t="inlineStr">
        <is>
          <t>Not Found</t>
        </is>
      </c>
      <c r="Y12" s="5" t="inlineStr">
        <is>
          <t>Not Found</t>
        </is>
      </c>
      <c r="Z12" s="5" t="inlineStr">
        <is>
          <t>Low</t>
        </is>
      </c>
      <c r="AA12" s="5" t="inlineStr">
        <is>
          <t>Requires Verification</t>
        </is>
      </c>
      <c r="AB12" s="5" t="inlineStr">
        <is>
          <t>https://www.yelp.com/biz/arthur-morris-tobacconists-bolton</t>
        </is>
      </c>
    </row>
    <row r="13">
      <c r="A13" s="10" t="inlineStr">
        <is>
          <t>UK-000341</t>
        </is>
      </c>
      <c r="B13" s="10" t="inlineStr">
        <is>
          <t>UK-000341-01</t>
        </is>
      </c>
      <c r="C13" s="10" t="inlineStr"/>
      <c r="D13" s="10" t="inlineStr">
        <is>
          <t>Aston's of Manchester</t>
        </is>
      </c>
      <c r="E13" s="10" t="inlineStr">
        <is>
          <t>Tobacco Specialist</t>
        </is>
      </c>
      <c r="F13" s="10" t="inlineStr">
        <is>
          <t>Cigars, tobacco, pipes, spirits &amp; accessories</t>
        </is>
      </c>
      <c r="G13" s="10" t="inlineStr">
        <is>
          <t>Independent</t>
        </is>
      </c>
      <c r="H13" s="10" t="inlineStr">
        <is>
          <t>1</t>
        </is>
      </c>
      <c r="I13" s="10" t="inlineStr">
        <is>
          <t>12 Royal Exchange Arcade</t>
        </is>
      </c>
      <c r="J13" s="10" t="inlineStr">
        <is>
          <t>Manchester</t>
        </is>
      </c>
      <c r="K13" s="10" t="inlineStr">
        <is>
          <t>M2 7EA</t>
        </is>
      </c>
      <c r="L13" s="10" t="inlineStr">
        <is>
          <t>0161 832 7895</t>
        </is>
      </c>
      <c r="M13" s="10" t="inlineStr"/>
      <c r="N13" s="10" t="inlineStr"/>
      <c r="O13" s="10" t="inlineStr">
        <is>
          <t>https://astonsofmanchester.co.uk/</t>
        </is>
      </c>
      <c r="P13" s="10" t="inlineStr">
        <is>
          <t>https://www.facebook.com/astonsofmanchester/</t>
        </is>
      </c>
      <c r="Q13" s="10" t="inlineStr"/>
      <c r="R13" s="10" t="inlineStr"/>
      <c r="S13" s="10" t="inlineStr"/>
      <c r="T13" s="10" t="inlineStr"/>
      <c r="U13" s="10" t="inlineStr"/>
      <c r="V13" s="10" t="inlineStr">
        <is>
          <t>Medium</t>
        </is>
      </c>
      <c r="W13" s="10" t="inlineStr">
        <is>
          <t>Independent retailer; Core relevant category; Active website; Social presence</t>
        </is>
      </c>
      <c r="X13" s="10" t="inlineStr">
        <is>
          <t>Verified directory</t>
        </is>
      </c>
      <c r="Y13" s="10" t="inlineStr">
        <is>
          <t>Website Found</t>
        </is>
      </c>
      <c r="Z13" s="10" t="inlineStr">
        <is>
          <t>Medium</t>
        </is>
      </c>
      <c r="AA13" s="10" t="inlineStr">
        <is>
          <t>Requires Verification</t>
        </is>
      </c>
      <c r="AB13" s="10" t="inlineStr">
        <is>
          <t>https://astonsofmanchester.co.uk/</t>
        </is>
      </c>
    </row>
    <row r="14">
      <c r="A14" s="5" t="inlineStr">
        <is>
          <t>UK-000344</t>
        </is>
      </c>
      <c r="B14" s="5" t="inlineStr">
        <is>
          <t>UK-000344-01</t>
        </is>
      </c>
      <c r="C14" s="5" t="inlineStr"/>
      <c r="D14" s="5" t="inlineStr">
        <is>
          <t>Babylon Night Shisha Lounge</t>
        </is>
      </c>
      <c r="E14" s="5" t="inlineStr">
        <is>
          <t>Smoke / Shisha Shop</t>
        </is>
      </c>
      <c r="F14" s="5" t="inlineStr">
        <is>
          <t>Shisha lounge</t>
        </is>
      </c>
      <c r="G14" s="5" t="inlineStr">
        <is>
          <t>Independent</t>
        </is>
      </c>
      <c r="H14" s="5" t="inlineStr">
        <is>
          <t>1</t>
        </is>
      </c>
      <c r="I14" s="5" t="inlineStr">
        <is>
          <t>Manchester Street</t>
        </is>
      </c>
      <c r="J14" s="5" t="inlineStr">
        <is>
          <t>Oldham</t>
        </is>
      </c>
      <c r="K14" s="5" t="inlineStr">
        <is>
          <t>OL8 1UF</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Not Found</t>
        </is>
      </c>
      <c r="Y14" s="5" t="inlineStr">
        <is>
          <t>Not Found</t>
        </is>
      </c>
      <c r="Z14" s="5" t="inlineStr">
        <is>
          <t>Low</t>
        </is>
      </c>
      <c r="AA14" s="5" t="inlineStr">
        <is>
          <t>Requires Verification</t>
        </is>
      </c>
      <c r="AB14" s="5" t="inlineStr">
        <is>
          <t>https://babylon-night-shisha-lounge.wheree.com/</t>
        </is>
      </c>
    </row>
    <row r="15">
      <c r="A15" s="10" t="inlineStr">
        <is>
          <t>WY-0062</t>
        </is>
      </c>
      <c r="B15" s="10" t="inlineStr">
        <is>
          <t>WY-0062-01</t>
        </is>
      </c>
      <c r="C15" s="10" t="inlineStr"/>
      <c r="D15" s="10" t="inlineStr">
        <is>
          <t>Bespoke Shisha</t>
        </is>
      </c>
      <c r="E15" s="10" t="inlineStr">
        <is>
          <t>Smoke / Shisha Shop</t>
        </is>
      </c>
      <c r="F15" s="10" t="inlineStr">
        <is>
          <t>Shisha supplies</t>
        </is>
      </c>
      <c r="G15" s="10" t="inlineStr">
        <is>
          <t>Independent</t>
        </is>
      </c>
      <c r="H15" s="10" t="inlineStr">
        <is>
          <t>1</t>
        </is>
      </c>
      <c r="I15" s="10" t="inlineStr">
        <is>
          <t>40 Low Road</t>
        </is>
      </c>
      <c r="J15" s="10" t="inlineStr">
        <is>
          <t>Dewsbury</t>
        </is>
      </c>
      <c r="K15" s="10" t="inlineStr">
        <is>
          <t>WF13 3PP</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Independent retailer; Core relevant category</t>
        </is>
      </c>
      <c r="X15" s="10" t="inlineStr">
        <is>
          <t>Not Found</t>
        </is>
      </c>
      <c r="Y15" s="10" t="inlineStr">
        <is>
          <t>Not Found</t>
        </is>
      </c>
      <c r="Z15" s="10" t="inlineStr">
        <is>
          <t>Low</t>
        </is>
      </c>
      <c r="AA15" s="10" t="inlineStr">
        <is>
          <t>Requires Verification</t>
        </is>
      </c>
      <c r="AB15" s="10" t="inlineStr">
        <is>
          <t>https://suitableforvegetarian.com/business/detail/bespoke-shisha</t>
        </is>
      </c>
    </row>
    <row r="16">
      <c r="A16" s="5" t="inlineStr">
        <is>
          <t>WY-0071</t>
        </is>
      </c>
      <c r="B16" s="5" t="inlineStr">
        <is>
          <t>WY-0071-01</t>
        </is>
      </c>
      <c r="C16" s="5" t="inlineStr"/>
      <c r="D16" s="5" t="inlineStr">
        <is>
          <t>C Booth and Son</t>
        </is>
      </c>
      <c r="E16" s="5" t="inlineStr">
        <is>
          <t>Tobacco Specialist</t>
        </is>
      </c>
      <c r="F16" s="5" t="inlineStr">
        <is>
          <t>Hardware store and specialist tobacconist</t>
        </is>
      </c>
      <c r="G16" s="5" t="inlineStr">
        <is>
          <t>Independent</t>
        </is>
      </c>
      <c r="H16" s="5" t="inlineStr">
        <is>
          <t>1</t>
        </is>
      </c>
      <c r="I16" s="5" t="inlineStr">
        <is>
          <t>Cross Church Street</t>
        </is>
      </c>
      <c r="J16" s="5" t="inlineStr">
        <is>
          <t>Huddersfield</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Not Found</t>
        </is>
      </c>
      <c r="Y16" s="5" t="inlineStr">
        <is>
          <t>Not Found</t>
        </is>
      </c>
      <c r="Z16" s="5" t="inlineStr">
        <is>
          <t>Low</t>
        </is>
      </c>
      <c r="AA16" s="5" t="inlineStr">
        <is>
          <t>Requires Verification</t>
        </is>
      </c>
      <c r="AB16" s="5" t="inlineStr">
        <is>
          <t>https://www.examinerlive.co.uk/news/west-yorkshire-news/the-shop-sells-everything-c-9967957</t>
        </is>
      </c>
    </row>
    <row r="17">
      <c r="A17" s="10" t="inlineStr">
        <is>
          <t>UK-000461</t>
        </is>
      </c>
      <c r="B17" s="10" t="inlineStr">
        <is>
          <t>UK-000461-01</t>
        </is>
      </c>
      <c r="C17" s="10" t="inlineStr"/>
      <c r="D17" s="10" t="inlineStr">
        <is>
          <t>Cave Lounge</t>
        </is>
      </c>
      <c r="E17" s="10" t="inlineStr">
        <is>
          <t>Smoke / Shisha Shop</t>
        </is>
      </c>
      <c r="F17" s="10" t="inlineStr">
        <is>
          <t>Shisha lounge</t>
        </is>
      </c>
      <c r="G17" s="10" t="inlineStr">
        <is>
          <t>Independent</t>
        </is>
      </c>
      <c r="H17" s="10" t="inlineStr">
        <is>
          <t>1</t>
        </is>
      </c>
      <c r="I17" s="10" t="inlineStr">
        <is>
          <t>Frederick Street</t>
        </is>
      </c>
      <c r="J17" s="10" t="inlineStr">
        <is>
          <t>Wolverhampton</t>
        </is>
      </c>
      <c r="K17" s="10" t="inlineStr"/>
      <c r="L17" s="10" t="inlineStr"/>
      <c r="M17" s="10" t="inlineStr"/>
      <c r="N17" s="10" t="inlineStr"/>
      <c r="O17" s="10" t="inlineStr">
        <is>
          <t>https://cavelounge.co.uk/</t>
        </is>
      </c>
      <c r="P17" s="10" t="inlineStr"/>
      <c r="Q17" s="10" t="inlineStr"/>
      <c r="R17" s="10" t="inlineStr"/>
      <c r="S17" s="10" t="inlineStr"/>
      <c r="T17" s="10" t="inlineStr">
        <is>
          <t>11537893</t>
        </is>
      </c>
      <c r="U17" s="10" t="inlineStr"/>
      <c r="V17" s="10" t="inlineStr">
        <is>
          <t>Medium</t>
        </is>
      </c>
      <c r="W17" s="10" t="inlineStr">
        <is>
          <t>Independent retailer; Core relevant category; Active website</t>
        </is>
      </c>
      <c r="X17" s="10" t="inlineStr">
        <is>
          <t>Not Found</t>
        </is>
      </c>
      <c r="Y17" s="10" t="inlineStr">
        <is>
          <t>Website Found</t>
        </is>
      </c>
      <c r="Z17" s="10" t="inlineStr">
        <is>
          <t>Medium</t>
        </is>
      </c>
      <c r="AA17" s="10" t="inlineStr">
        <is>
          <t>Verified (website + Companies House)</t>
        </is>
      </c>
      <c r="AB17" s="10" t="inlineStr">
        <is>
          <t>https://cavelounge.co.uk/</t>
        </is>
      </c>
    </row>
    <row r="18">
      <c r="A18" s="5" t="inlineStr">
        <is>
          <t>UK-000349</t>
        </is>
      </c>
      <c r="B18" s="5" t="inlineStr">
        <is>
          <t>UK-000349-01</t>
        </is>
      </c>
      <c r="C18" s="5" t="inlineStr"/>
      <c r="D18" s="5" t="inlineStr">
        <is>
          <t>Cheapasmokes Bolton</t>
        </is>
      </c>
      <c r="E18" s="5" t="inlineStr">
        <is>
          <t>Tobacco Specialist</t>
        </is>
      </c>
      <c r="F18" s="5" t="inlineStr">
        <is>
          <t>Discount tobacco and cigar specialist</t>
        </is>
      </c>
      <c r="G18" s="5" t="inlineStr">
        <is>
          <t>Independent</t>
        </is>
      </c>
      <c r="H18" s="5" t="inlineStr">
        <is>
          <t>1</t>
        </is>
      </c>
      <c r="I18" s="5" t="inlineStr">
        <is>
          <t>Bolton 4 Day Market, Ashburner Street</t>
        </is>
      </c>
      <c r="J18" s="5" t="inlineStr">
        <is>
          <t>Bolton</t>
        </is>
      </c>
      <c r="K18" s="5" t="inlineStr"/>
      <c r="L18" s="5" t="inlineStr"/>
      <c r="M18" s="5" t="inlineStr"/>
      <c r="N18" s="5" t="inlineStr"/>
      <c r="O18" s="5" t="inlineStr">
        <is>
          <t>https://www.cheapasmokes.com/</t>
        </is>
      </c>
      <c r="P18" s="5" t="inlineStr"/>
      <c r="Q18" s="5" t="inlineStr"/>
      <c r="R18" s="5" t="inlineStr"/>
      <c r="S18" s="5" t="inlineStr"/>
      <c r="T18" s="5" t="inlineStr"/>
      <c r="U18" s="5" t="inlineStr"/>
      <c r="V18" s="5" t="inlineStr">
        <is>
          <t>Medium</t>
        </is>
      </c>
      <c r="W18" s="5" t="inlineStr">
        <is>
          <t>Independent retailer; Core relevant category; Active website</t>
        </is>
      </c>
      <c r="X18" s="5" t="inlineStr">
        <is>
          <t>Not Found</t>
        </is>
      </c>
      <c r="Y18" s="5" t="inlineStr">
        <is>
          <t>Website Found</t>
        </is>
      </c>
      <c r="Z18" s="5" t="inlineStr">
        <is>
          <t>Low</t>
        </is>
      </c>
      <c r="AA18" s="5" t="inlineStr">
        <is>
          <t>Requires Verification</t>
        </is>
      </c>
      <c r="AB18" s="5" t="inlineStr">
        <is>
          <t>https://www.cheapasmokes.com/pages/cheapasmokes-bolton</t>
        </is>
      </c>
    </row>
    <row r="19">
      <c r="A19" s="10" t="inlineStr">
        <is>
          <t>UK-000352</t>
        </is>
      </c>
      <c r="B19" s="10" t="inlineStr">
        <is>
          <t>UK-000352-01</t>
        </is>
      </c>
      <c r="C19" s="10" t="inlineStr"/>
      <c r="D19" s="10" t="inlineStr">
        <is>
          <t>Dial Me A Shisha</t>
        </is>
      </c>
      <c r="E19" s="10" t="inlineStr">
        <is>
          <t>Smoke / Shisha Shop</t>
        </is>
      </c>
      <c r="F19" s="10" t="inlineStr">
        <is>
          <t>Shisha supplier and delivery</t>
        </is>
      </c>
      <c r="G19" s="10" t="inlineStr">
        <is>
          <t>Independent</t>
        </is>
      </c>
      <c r="H19" s="10" t="inlineStr">
        <is>
          <t>1</t>
        </is>
      </c>
      <c r="I19" s="10" t="inlineStr">
        <is>
          <t>21 Dunbar Drive</t>
        </is>
      </c>
      <c r="J19" s="10" t="inlineStr">
        <is>
          <t>Bolton</t>
        </is>
      </c>
      <c r="K19" s="10" t="inlineStr"/>
      <c r="L19" s="10" t="inlineStr"/>
      <c r="M19" s="10" t="inlineStr"/>
      <c r="N19" s="10" t="inlineStr"/>
      <c r="O19" s="10" t="inlineStr">
        <is>
          <t>https://dial-me-a-shisha.ueniweb.com/</t>
        </is>
      </c>
      <c r="P19" s="10" t="inlineStr">
        <is>
          <t>https://www.facebook.com/dialmeashisha/</t>
        </is>
      </c>
      <c r="Q19" s="10" t="inlineStr"/>
      <c r="R19" s="10" t="inlineStr"/>
      <c r="S19" s="10" t="inlineStr"/>
      <c r="T19" s="10" t="inlineStr"/>
      <c r="U19" s="10" t="inlineStr"/>
      <c r="V19" s="10" t="inlineStr">
        <is>
          <t>Medium</t>
        </is>
      </c>
      <c r="W19" s="10" t="inlineStr">
        <is>
          <t>Independent retailer; Core relevant category; Active website; Social presence</t>
        </is>
      </c>
      <c r="X19" s="10" t="inlineStr">
        <is>
          <t>Not Found</t>
        </is>
      </c>
      <c r="Y19" s="10" t="inlineStr">
        <is>
          <t>Website Found</t>
        </is>
      </c>
      <c r="Z19" s="10" t="inlineStr">
        <is>
          <t>Low</t>
        </is>
      </c>
      <c r="AA19" s="10" t="inlineStr">
        <is>
          <t>Requires Verification</t>
        </is>
      </c>
      <c r="AB19" s="10" t="inlineStr">
        <is>
          <t>https://dial-me-a-shisha.ueniweb.com/</t>
        </is>
      </c>
    </row>
    <row r="20">
      <c r="A20" s="5" t="inlineStr">
        <is>
          <t>UK-000356</t>
        </is>
      </c>
      <c r="B20" s="5" t="inlineStr">
        <is>
          <t>UK-000356-01</t>
        </is>
      </c>
      <c r="C20" s="5" t="inlineStr"/>
      <c r="D20" s="5" t="inlineStr">
        <is>
          <t>Dubai Cafe &amp; Shisha Bar (Rusholme)</t>
        </is>
      </c>
      <c r="E20" s="5" t="inlineStr">
        <is>
          <t>Smoke / Shisha Shop</t>
        </is>
      </c>
      <c r="F20" s="5" t="inlineStr">
        <is>
          <t>Shisha cafe/bar</t>
        </is>
      </c>
      <c r="G20" s="5" t="inlineStr">
        <is>
          <t>Independent</t>
        </is>
      </c>
      <c r="H20" s="5" t="inlineStr">
        <is>
          <t>1</t>
        </is>
      </c>
      <c r="I20" s="5" t="inlineStr">
        <is>
          <t>82 Wilmslow Road</t>
        </is>
      </c>
      <c r="J20" s="5" t="inlineStr">
        <is>
          <t>Manchester</t>
        </is>
      </c>
      <c r="K20" s="5" t="inlineStr">
        <is>
          <t>M14 5AL</t>
        </is>
      </c>
      <c r="L20" s="5" t="inlineStr">
        <is>
          <t>0161 224 9040</t>
        </is>
      </c>
      <c r="M20" s="5" t="inlineStr"/>
      <c r="N20" s="5" t="inlineStr"/>
      <c r="O20" s="5" t="inlineStr"/>
      <c r="P20" s="5" t="inlineStr"/>
      <c r="Q20" s="5" t="inlineStr"/>
      <c r="R20" s="5" t="inlineStr"/>
      <c r="S20" s="5" t="inlineStr"/>
      <c r="T20" s="5" t="inlineStr"/>
      <c r="U20" s="5" t="inlineStr"/>
      <c r="V20" s="5" t="inlineStr">
        <is>
          <t>Medium</t>
        </is>
      </c>
      <c r="W20" s="5" t="inlineStr">
        <is>
          <t>Independent retailer; Core relevant category</t>
        </is>
      </c>
      <c r="X20" s="5" t="inlineStr">
        <is>
          <t>Verified directory</t>
        </is>
      </c>
      <c r="Y20" s="5" t="inlineStr">
        <is>
          <t>Not Found</t>
        </is>
      </c>
      <c r="Z20" s="5" t="inlineStr">
        <is>
          <t>Medium</t>
        </is>
      </c>
      <c r="AA20" s="5" t="inlineStr">
        <is>
          <t>Requires Verification</t>
        </is>
      </c>
      <c r="AB20" s="5" t="inlineStr">
        <is>
          <t>https://www.hungrybritish.com/manchester/dubai-cafe-shisha-bar-rusholme/</t>
        </is>
      </c>
    </row>
    <row r="21">
      <c r="A21" s="10" t="inlineStr">
        <is>
          <t>UK-000470</t>
        </is>
      </c>
      <c r="B21" s="10" t="inlineStr">
        <is>
          <t>UK-000470-01</t>
        </is>
      </c>
      <c r="C21" s="10" t="inlineStr"/>
      <c r="D21" s="10" t="inlineStr">
        <is>
          <t>Emperors Shisha Lounge Cafe</t>
        </is>
      </c>
      <c r="E21" s="10" t="inlineStr">
        <is>
          <t>Smoke / Shisha Shop</t>
        </is>
      </c>
      <c r="F21" s="10" t="inlineStr">
        <is>
          <t>Shisha lounge &amp; cafe</t>
        </is>
      </c>
      <c r="G21" s="10" t="inlineStr">
        <is>
          <t>Independent</t>
        </is>
      </c>
      <c r="H21" s="10" t="inlineStr">
        <is>
          <t>1</t>
        </is>
      </c>
      <c r="I21" s="10" t="inlineStr">
        <is>
          <t>15 Studley Street</t>
        </is>
      </c>
      <c r="J21" s="10" t="inlineStr">
        <is>
          <t>Birmingham</t>
        </is>
      </c>
      <c r="K21" s="10" t="inlineStr">
        <is>
          <t>B12 8JB</t>
        </is>
      </c>
      <c r="L21" s="10" t="inlineStr"/>
      <c r="M21" s="10" t="inlineStr"/>
      <c r="N21" s="10" t="inlineStr"/>
      <c r="O21" s="10" t="inlineStr">
        <is>
          <t>https://www.emperorscafe.co.uk/</t>
        </is>
      </c>
      <c r="P21" s="10" t="inlineStr">
        <is>
          <t>https://www.facebook.com/emperorslounge/</t>
        </is>
      </c>
      <c r="Q21" s="10" t="inlineStr">
        <is>
          <t>https://www.instagram.com/emperorscafe/</t>
        </is>
      </c>
      <c r="R21" s="10" t="inlineStr"/>
      <c r="S21" s="10" t="inlineStr"/>
      <c r="T21" s="10" t="inlineStr"/>
      <c r="U21" s="10" t="inlineStr"/>
      <c r="V21" s="10" t="inlineStr">
        <is>
          <t>Medium</t>
        </is>
      </c>
      <c r="W21" s="10" t="inlineStr">
        <is>
          <t>Independent retailer; Core relevant category; Active website; Social presence</t>
        </is>
      </c>
      <c r="X21" s="10" t="inlineStr">
        <is>
          <t>Not Found</t>
        </is>
      </c>
      <c r="Y21" s="10" t="inlineStr">
        <is>
          <t>Website Found</t>
        </is>
      </c>
      <c r="Z21" s="10" t="inlineStr">
        <is>
          <t>Low</t>
        </is>
      </c>
      <c r="AA21" s="10" t="inlineStr">
        <is>
          <t>Requires Verification</t>
        </is>
      </c>
      <c r="AB21" s="10" t="inlineStr">
        <is>
          <t>https://www.emperorscafe.co.uk/contact</t>
        </is>
      </c>
    </row>
    <row r="22">
      <c r="A22" s="5" t="inlineStr">
        <is>
          <t>UK-000362</t>
        </is>
      </c>
      <c r="B22" s="5" t="inlineStr">
        <is>
          <t>UK-000362-01</t>
        </is>
      </c>
      <c r="C22" s="5" t="inlineStr"/>
      <c r="D22" s="5" t="inlineStr">
        <is>
          <t>Huqqa Lounge (Rusholme)</t>
        </is>
      </c>
      <c r="E22" s="5" t="inlineStr">
        <is>
          <t>Smoke / Shisha Shop</t>
        </is>
      </c>
      <c r="F22" s="5" t="inlineStr">
        <is>
          <t>Shisha lounge</t>
        </is>
      </c>
      <c r="G22" s="5" t="inlineStr">
        <is>
          <t>Independent</t>
        </is>
      </c>
      <c r="H22" s="5" t="inlineStr">
        <is>
          <t>1</t>
        </is>
      </c>
      <c r="I22" s="5" t="inlineStr">
        <is>
          <t>98 Wilmslow Road</t>
        </is>
      </c>
      <c r="J22" s="5" t="inlineStr">
        <is>
          <t>Manchester</t>
        </is>
      </c>
      <c r="K22" s="5" t="inlineStr"/>
      <c r="L22" s="5" t="inlineStr">
        <is>
          <t>0161 273 6555</t>
        </is>
      </c>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Verified directory</t>
        </is>
      </c>
      <c r="Y22" s="5" t="inlineStr">
        <is>
          <t>Not Found</t>
        </is>
      </c>
      <c r="Z22" s="5" t="inlineStr">
        <is>
          <t>Low</t>
        </is>
      </c>
      <c r="AA22" s="5" t="inlineStr">
        <is>
          <t>Requires Verification</t>
        </is>
      </c>
      <c r="AB22" s="5" t="inlineStr">
        <is>
          <t>https://www.mastermanchester.co.uk/best-shisha-lounges-manchester/</t>
        </is>
      </c>
    </row>
    <row r="23">
      <c r="A23" s="10" t="inlineStr">
        <is>
          <t>UK-000783</t>
        </is>
      </c>
      <c r="B23" s="10" t="inlineStr">
        <is>
          <t>UK-000783-01</t>
        </is>
      </c>
      <c r="C23" s="10" t="inlineStr"/>
      <c r="D23" s="10" t="inlineStr">
        <is>
          <t>Ibrox Vapes &amp; Shisha Centre</t>
        </is>
      </c>
      <c r="E23" s="10" t="inlineStr">
        <is>
          <t>Smoke / Shisha Shop</t>
        </is>
      </c>
      <c r="F23" s="10" t="inlineStr">
        <is>
          <t>Vape and shisha retailer</t>
        </is>
      </c>
      <c r="G23" s="10" t="inlineStr">
        <is>
          <t>Independent</t>
        </is>
      </c>
      <c r="H23" s="10" t="inlineStr">
        <is>
          <t>1</t>
        </is>
      </c>
      <c r="I23" s="10" t="inlineStr">
        <is>
          <t>382 Paisley Road West</t>
        </is>
      </c>
      <c r="J23" s="10" t="inlineStr">
        <is>
          <t>Glasgow</t>
        </is>
      </c>
      <c r="K23" s="10" t="inlineStr">
        <is>
          <t>G51 1BG</t>
        </is>
      </c>
      <c r="L23" s="10" t="inlineStr">
        <is>
          <t>07447 556307</t>
        </is>
      </c>
      <c r="M23" s="10" t="inlineStr"/>
      <c r="N23" s="10" t="inlineStr"/>
      <c r="O23" s="10" t="inlineStr"/>
      <c r="P23" s="10" t="inlineStr">
        <is>
          <t>https://www.facebook.com/people/Ibrox-Vapes-Shisha/100094996707701/</t>
        </is>
      </c>
      <c r="Q23" s="10" t="inlineStr"/>
      <c r="R23" s="10" t="inlineStr"/>
      <c r="S23" s="10" t="inlineStr"/>
      <c r="T23" s="10" t="inlineStr"/>
      <c r="U23" s="10" t="inlineStr"/>
      <c r="V23" s="10" t="inlineStr">
        <is>
          <t>Medium</t>
        </is>
      </c>
      <c r="W23" s="10" t="inlineStr">
        <is>
          <t>Independent retailer; Core relevant category; Social presence</t>
        </is>
      </c>
      <c r="X23" s="10" t="inlineStr">
        <is>
          <t>Verified directory</t>
        </is>
      </c>
      <c r="Y23" s="10" t="inlineStr">
        <is>
          <t>Not Found</t>
        </is>
      </c>
      <c r="Z23" s="10" t="inlineStr">
        <is>
          <t>Medium</t>
        </is>
      </c>
      <c r="AA23" s="10" t="inlineStr">
        <is>
          <t>Requires Verification</t>
        </is>
      </c>
      <c r="AB23" s="10" t="inlineStr">
        <is>
          <t>https://www.facebook.com/people/Ibrox-Vapes-Shisha/100094996707701/</t>
        </is>
      </c>
    </row>
    <row r="24">
      <c r="A24" s="5" t="inlineStr">
        <is>
          <t>UK-000258</t>
        </is>
      </c>
      <c r="B24" s="5" t="inlineStr">
        <is>
          <t>UK-000258-01</t>
        </is>
      </c>
      <c r="C24" s="5" t="inlineStr"/>
      <c r="D24" s="5" t="inlineStr">
        <is>
          <t>Jaan Lounge</t>
        </is>
      </c>
      <c r="E24" s="5" t="inlineStr">
        <is>
          <t>Smoke / Shisha Shop</t>
        </is>
      </c>
      <c r="F24" s="5" t="inlineStr">
        <is>
          <t>Cafe and shisha lounge</t>
        </is>
      </c>
      <c r="G24" s="5" t="inlineStr">
        <is>
          <t>Independent</t>
        </is>
      </c>
      <c r="H24" s="5" t="inlineStr">
        <is>
          <t>1</t>
        </is>
      </c>
      <c r="I24" s="5" t="inlineStr"/>
      <c r="J24" s="5" t="inlineStr">
        <is>
          <t>Sheffield</t>
        </is>
      </c>
      <c r="K24" s="5" t="inlineStr"/>
      <c r="L24" s="5" t="inlineStr"/>
      <c r="M24" s="5" t="inlineStr"/>
      <c r="N24" s="5" t="inlineStr"/>
      <c r="O24" s="5" t="inlineStr">
        <is>
          <t>https://www.jaanlounge.com/</t>
        </is>
      </c>
      <c r="P24" s="5" t="inlineStr"/>
      <c r="Q24" s="5" t="inlineStr"/>
      <c r="R24" s="5" t="inlineStr"/>
      <c r="S24" s="5" t="inlineStr"/>
      <c r="T24" s="5" t="inlineStr"/>
      <c r="U24" s="5" t="inlineStr"/>
      <c r="V24" s="5" t="inlineStr">
        <is>
          <t>Medium</t>
        </is>
      </c>
      <c r="W24" s="5" t="inlineStr">
        <is>
          <t>Independent retailer; Core relevant category; Active website</t>
        </is>
      </c>
      <c r="X24" s="5" t="inlineStr">
        <is>
          <t>Not Found</t>
        </is>
      </c>
      <c r="Y24" s="5" t="inlineStr">
        <is>
          <t>Website Found</t>
        </is>
      </c>
      <c r="Z24" s="5" t="inlineStr">
        <is>
          <t>Low</t>
        </is>
      </c>
      <c r="AA24" s="5" t="inlineStr">
        <is>
          <t>Requires Verification</t>
        </is>
      </c>
      <c r="AB24" s="5" t="inlineStr">
        <is>
          <t>https://www.jaanlounge.com/</t>
        </is>
      </c>
    </row>
    <row r="25">
      <c r="A25" s="10" t="inlineStr">
        <is>
          <t>UK-000483</t>
        </is>
      </c>
      <c r="B25" s="10" t="inlineStr">
        <is>
          <t>UK-000483-01</t>
        </is>
      </c>
      <c r="C25" s="10" t="inlineStr"/>
      <c r="D25" s="10" t="inlineStr">
        <is>
          <t>John Hollingsworth &amp; Sons</t>
        </is>
      </c>
      <c r="E25" s="10" t="inlineStr">
        <is>
          <t>Tobacco Specialist</t>
        </is>
      </c>
      <c r="F25" s="10" t="inlineStr">
        <is>
          <t>Traditional tobacconist (cigars &amp; pipe tobacco)</t>
        </is>
      </c>
      <c r="G25" s="10" t="inlineStr">
        <is>
          <t>Independent</t>
        </is>
      </c>
      <c r="H25" s="10" t="inlineStr">
        <is>
          <t>1</t>
        </is>
      </c>
      <c r="I25" s="10" t="inlineStr">
        <is>
          <t>27 Great Western Arcade</t>
        </is>
      </c>
      <c r="J25" s="10" t="inlineStr">
        <is>
          <t>Birmingham</t>
        </is>
      </c>
      <c r="K25" s="10" t="inlineStr">
        <is>
          <t>B2 5HU</t>
        </is>
      </c>
      <c r="L25" s="10" t="inlineStr">
        <is>
          <t>0121 236 7768</t>
        </is>
      </c>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Core relevant category</t>
        </is>
      </c>
      <c r="X25" s="10" t="inlineStr">
        <is>
          <t>Verified directory</t>
        </is>
      </c>
      <c r="Y25" s="10" t="inlineStr">
        <is>
          <t>Not Found</t>
        </is>
      </c>
      <c r="Z25" s="10" t="inlineStr">
        <is>
          <t>Medium</t>
        </is>
      </c>
      <c r="AA25" s="10" t="inlineStr">
        <is>
          <t>Requires Verification</t>
        </is>
      </c>
      <c r="AB25" s="10" t="inlineStr">
        <is>
          <t>https://www.yelp.co.uk/biz/john-hollingsworth-and-sons-birmingham</t>
        </is>
      </c>
    </row>
    <row r="26">
      <c r="A26" s="5" t="inlineStr">
        <is>
          <t>UK-000484</t>
        </is>
      </c>
      <c r="B26" s="5" t="inlineStr">
        <is>
          <t>UK-000484-01</t>
        </is>
      </c>
      <c r="C26" s="5" t="inlineStr"/>
      <c r="D26" s="5" t="inlineStr">
        <is>
          <t>Jungle Shisha Lounge</t>
        </is>
      </c>
      <c r="E26" s="5" t="inlineStr">
        <is>
          <t>Smoke / Shisha Shop</t>
        </is>
      </c>
      <c r="F26" s="5" t="inlineStr">
        <is>
          <t>Shisha lounge</t>
        </is>
      </c>
      <c r="G26" s="5" t="inlineStr">
        <is>
          <t>Independent</t>
        </is>
      </c>
      <c r="H26" s="5" t="inlineStr">
        <is>
          <t>1</t>
        </is>
      </c>
      <c r="I26" s="5" t="inlineStr">
        <is>
          <t>215 Monument Road</t>
        </is>
      </c>
      <c r="J26" s="5" t="inlineStr">
        <is>
          <t>Birmingham</t>
        </is>
      </c>
      <c r="K26" s="5" t="inlineStr">
        <is>
          <t>B16 8UU</t>
        </is>
      </c>
      <c r="L26" s="5" t="inlineStr"/>
      <c r="M26" s="5" t="inlineStr"/>
      <c r="N26" s="5" t="inlineStr"/>
      <c r="O26" s="5" t="inlineStr">
        <is>
          <t>https://jungleshishalounge.com/</t>
        </is>
      </c>
      <c r="P26" s="5" t="inlineStr"/>
      <c r="Q26" s="5" t="inlineStr"/>
      <c r="R26" s="5" t="inlineStr"/>
      <c r="S26" s="5" t="inlineStr"/>
      <c r="T26" s="5" t="inlineStr"/>
      <c r="U26" s="5" t="inlineStr"/>
      <c r="V26" s="5" t="inlineStr">
        <is>
          <t>Medium</t>
        </is>
      </c>
      <c r="W26" s="5" t="inlineStr">
        <is>
          <t>Independent retailer; Core relevant category; Active website</t>
        </is>
      </c>
      <c r="X26" s="5" t="inlineStr">
        <is>
          <t>Not Found</t>
        </is>
      </c>
      <c r="Y26" s="5" t="inlineStr">
        <is>
          <t>Website Found</t>
        </is>
      </c>
      <c r="Z26" s="5" t="inlineStr">
        <is>
          <t>Low</t>
        </is>
      </c>
      <c r="AA26" s="5" t="inlineStr">
        <is>
          <t>Requires Verification</t>
        </is>
      </c>
      <c r="AB26" s="5" t="inlineStr">
        <is>
          <t>https://jungleshishalounge.com/</t>
        </is>
      </c>
    </row>
    <row r="27">
      <c r="A27" s="10" t="inlineStr">
        <is>
          <t>UK-000264</t>
        </is>
      </c>
      <c r="B27" s="10" t="inlineStr">
        <is>
          <t>UK-000264-01</t>
        </is>
      </c>
      <c r="C27" s="10" t="inlineStr"/>
      <c r="D27" s="10" t="inlineStr">
        <is>
          <t>La Vana Restaurant &amp; Shisha</t>
        </is>
      </c>
      <c r="E27" s="10" t="inlineStr">
        <is>
          <t>Smoke / Shisha Shop</t>
        </is>
      </c>
      <c r="F27" s="10" t="inlineStr">
        <is>
          <t>Restaurant and shisha lounge</t>
        </is>
      </c>
      <c r="G27" s="10" t="inlineStr">
        <is>
          <t>Independent</t>
        </is>
      </c>
      <c r="H27" s="10" t="inlineStr">
        <is>
          <t>1</t>
        </is>
      </c>
      <c r="I27" s="10" t="inlineStr"/>
      <c r="J27" s="10" t="inlineStr">
        <is>
          <t>Kingston upon Hull</t>
        </is>
      </c>
      <c r="K27" s="10" t="inlineStr"/>
      <c r="L27" s="10" t="inlineStr"/>
      <c r="M27" s="10" t="inlineStr"/>
      <c r="N27" s="10" t="inlineStr"/>
      <c r="O27" s="10" t="inlineStr"/>
      <c r="P27" s="10" t="inlineStr">
        <is>
          <t>https://www.facebook.com/LaVanaShisha/</t>
        </is>
      </c>
      <c r="Q27" s="10" t="inlineStr"/>
      <c r="R27" s="10" t="inlineStr"/>
      <c r="S27" s="10" t="inlineStr"/>
      <c r="T27" s="10" t="inlineStr"/>
      <c r="U27" s="10" t="inlineStr"/>
      <c r="V27" s="10" t="inlineStr">
        <is>
          <t>Medium</t>
        </is>
      </c>
      <c r="W27" s="10" t="inlineStr">
        <is>
          <t>Independent retailer; Core relevant category; Social presence</t>
        </is>
      </c>
      <c r="X27" s="10" t="inlineStr">
        <is>
          <t>Not Found</t>
        </is>
      </c>
      <c r="Y27" s="10" t="inlineStr">
        <is>
          <t>Not Found</t>
        </is>
      </c>
      <c r="Z27" s="10" t="inlineStr">
        <is>
          <t>Low</t>
        </is>
      </c>
      <c r="AA27" s="10" t="inlineStr">
        <is>
          <t>Requires Verification</t>
        </is>
      </c>
      <c r="AB27" s="10" t="inlineStr">
        <is>
          <t>https://www.facebook.com/LaVanaShisha/</t>
        </is>
      </c>
    </row>
    <row r="28">
      <c r="A28" s="5" t="inlineStr">
        <is>
          <t>WY-0109</t>
        </is>
      </c>
      <c r="B28" s="5" t="inlineStr">
        <is>
          <t>WY-0109-01</t>
        </is>
      </c>
      <c r="C28" s="5" t="inlineStr"/>
      <c r="D28" s="5" t="inlineStr">
        <is>
          <t>Leeds Shisha Wholesale</t>
        </is>
      </c>
      <c r="E28" s="5" t="inlineStr">
        <is>
          <t>Smoke / Shisha Shop</t>
        </is>
      </c>
      <c r="F28" s="5" t="inlineStr">
        <is>
          <t>Shisha wholesale and retail supplier</t>
        </is>
      </c>
      <c r="G28" s="5" t="inlineStr">
        <is>
          <t>Independent</t>
        </is>
      </c>
      <c r="H28" s="5" t="inlineStr">
        <is>
          <t>1</t>
        </is>
      </c>
      <c r="I28" s="5" t="inlineStr"/>
      <c r="J28" s="5" t="inlineStr">
        <is>
          <t>Leeds</t>
        </is>
      </c>
      <c r="K28" s="5" t="inlineStr"/>
      <c r="L28" s="5" t="inlineStr"/>
      <c r="M28" s="5" t="inlineStr"/>
      <c r="N28" s="5" t="inlineStr"/>
      <c r="O28" s="5" t="inlineStr"/>
      <c r="P28" s="5" t="inlineStr">
        <is>
          <t>https://www.facebook.com/p/Leeds-Shisha-Wholesale-100066917521496/</t>
        </is>
      </c>
      <c r="Q28" s="5" t="inlineStr"/>
      <c r="R28" s="5" t="inlineStr"/>
      <c r="S28" s="5" t="inlineStr"/>
      <c r="T28" s="5" t="inlineStr"/>
      <c r="U28" s="5" t="inlineStr"/>
      <c r="V28" s="5" t="inlineStr">
        <is>
          <t>Medium</t>
        </is>
      </c>
      <c r="W28" s="5" t="inlineStr">
        <is>
          <t>Independent retailer; Core relevant category; Social presence</t>
        </is>
      </c>
      <c r="X28" s="5" t="inlineStr">
        <is>
          <t>Not Found</t>
        </is>
      </c>
      <c r="Y28" s="5" t="inlineStr">
        <is>
          <t>Not Found</t>
        </is>
      </c>
      <c r="Z28" s="5" t="inlineStr">
        <is>
          <t>Low</t>
        </is>
      </c>
      <c r="AA28" s="5" t="inlineStr">
        <is>
          <t>Requires Verification</t>
        </is>
      </c>
      <c r="AB28" s="5" t="inlineStr">
        <is>
          <t>https://www.facebook.com/p/Leeds-Shisha-Wholesale-100066917521496/</t>
        </is>
      </c>
    </row>
    <row r="29">
      <c r="A29" s="10" t="inlineStr">
        <is>
          <t>UK-000265</t>
        </is>
      </c>
      <c r="B29" s="10" t="inlineStr">
        <is>
          <t>UK-000265-01</t>
        </is>
      </c>
      <c r="C29" s="10" t="inlineStr"/>
      <c r="D29" s="10" t="inlineStr">
        <is>
          <t>Lounge 418</t>
        </is>
      </c>
      <c r="E29" s="10" t="inlineStr">
        <is>
          <t>Smoke / Shisha Shop</t>
        </is>
      </c>
      <c r="F29" s="10" t="inlineStr">
        <is>
          <t>Middle Eastern restaurant and shisha bar</t>
        </is>
      </c>
      <c r="G29" s="10" t="inlineStr">
        <is>
          <t>Independent</t>
        </is>
      </c>
      <c r="H29" s="10" t="inlineStr">
        <is>
          <t>1</t>
        </is>
      </c>
      <c r="I29" s="10" t="inlineStr"/>
      <c r="J29" s="10" t="inlineStr">
        <is>
          <t>Sheffield</t>
        </is>
      </c>
      <c r="K29" s="10" t="inlineStr"/>
      <c r="L29" s="10" t="inlineStr"/>
      <c r="M29" s="10" t="inlineStr"/>
      <c r="N29" s="10" t="inlineStr"/>
      <c r="O29" s="10" t="inlineStr">
        <is>
          <t>https://www.lounge418.co.uk/</t>
        </is>
      </c>
      <c r="P29" s="10" t="inlineStr"/>
      <c r="Q29" s="10" t="inlineStr"/>
      <c r="R29" s="10" t="inlineStr"/>
      <c r="S29" s="10" t="inlineStr"/>
      <c r="T29" s="10" t="inlineStr"/>
      <c r="U29" s="10" t="inlineStr"/>
      <c r="V29" s="10" t="inlineStr">
        <is>
          <t>Medium</t>
        </is>
      </c>
      <c r="W29" s="10" t="inlineStr">
        <is>
          <t>Independent retailer; Core relevant category; Active website</t>
        </is>
      </c>
      <c r="X29" s="10" t="inlineStr">
        <is>
          <t>Not Found</t>
        </is>
      </c>
      <c r="Y29" s="10" t="inlineStr">
        <is>
          <t>Website Found</t>
        </is>
      </c>
      <c r="Z29" s="10" t="inlineStr">
        <is>
          <t>Low</t>
        </is>
      </c>
      <c r="AA29" s="10" t="inlineStr">
        <is>
          <t>Requires Verification</t>
        </is>
      </c>
      <c r="AB29" s="10" t="inlineStr">
        <is>
          <t>https://www.lounge418.co.uk/</t>
        </is>
      </c>
    </row>
    <row r="30">
      <c r="A30" s="5" t="inlineStr">
        <is>
          <t>UK-000368</t>
        </is>
      </c>
      <c r="B30" s="5" t="inlineStr">
        <is>
          <t>UK-000368-01</t>
        </is>
      </c>
      <c r="C30" s="5" t="inlineStr"/>
      <c r="D30" s="5" t="inlineStr">
        <is>
          <t>Luxury Shisha Lounge (Rusholme)</t>
        </is>
      </c>
      <c r="E30" s="5" t="inlineStr">
        <is>
          <t>Smoke / Shisha Shop</t>
        </is>
      </c>
      <c r="F30" s="5" t="inlineStr">
        <is>
          <t>Shisha lounge</t>
        </is>
      </c>
      <c r="G30" s="5" t="inlineStr">
        <is>
          <t>Independent</t>
        </is>
      </c>
      <c r="H30" s="5" t="inlineStr">
        <is>
          <t>1</t>
        </is>
      </c>
      <c r="I30" s="5" t="inlineStr">
        <is>
          <t>Unit 3 Walmer Street East</t>
        </is>
      </c>
      <c r="J30" s="5" t="inlineStr">
        <is>
          <t>Manchester</t>
        </is>
      </c>
      <c r="K30" s="5" t="inlineStr">
        <is>
          <t>M14 5SS</t>
        </is>
      </c>
      <c r="L30" s="5" t="inlineStr">
        <is>
          <t>0161 249 0077</t>
        </is>
      </c>
      <c r="M30" s="5" t="inlineStr"/>
      <c r="N30" s="5" t="inlineStr"/>
      <c r="O30" s="5" t="inlineStr"/>
      <c r="P30" s="5" t="inlineStr"/>
      <c r="Q30" s="5" t="inlineStr"/>
      <c r="R30" s="5" t="inlineStr"/>
      <c r="S30" s="5" t="inlineStr"/>
      <c r="T30" s="5" t="inlineStr"/>
      <c r="U30" s="5" t="inlineStr"/>
      <c r="V30" s="5" t="inlineStr">
        <is>
          <t>Medium</t>
        </is>
      </c>
      <c r="W30" s="5" t="inlineStr">
        <is>
          <t>Independent retailer; Core relevant category</t>
        </is>
      </c>
      <c r="X30" s="5" t="inlineStr">
        <is>
          <t>Verified directory</t>
        </is>
      </c>
      <c r="Y30" s="5" t="inlineStr">
        <is>
          <t>Not Found</t>
        </is>
      </c>
      <c r="Z30" s="5" t="inlineStr">
        <is>
          <t>Medium</t>
        </is>
      </c>
      <c r="AA30" s="5" t="inlineStr">
        <is>
          <t>Requires Verification</t>
        </is>
      </c>
      <c r="AB30" s="5" t="inlineStr">
        <is>
          <t>https://www.tripadvisor.com/Restaurant_Review-g187069-d10377632-Reviews-Luxury_Shisha_Lounge-Manchester_Greater_Manchester_England.html</t>
        </is>
      </c>
    </row>
    <row r="31">
      <c r="A31" s="10" t="inlineStr">
        <is>
          <t>UK-000798</t>
        </is>
      </c>
      <c r="B31" s="10" t="inlineStr">
        <is>
          <t>UK-000798-01</t>
        </is>
      </c>
      <c r="C31" s="10" t="inlineStr"/>
      <c r="D31" s="10" t="inlineStr">
        <is>
          <t>MNS Shisha Shop</t>
        </is>
      </c>
      <c r="E31" s="10" t="inlineStr">
        <is>
          <t>Smoke / Shisha Shop</t>
        </is>
      </c>
      <c r="F31" s="10" t="inlineStr">
        <is>
          <t>Shisha &amp; tobacco specialist</t>
        </is>
      </c>
      <c r="G31" s="10" t="inlineStr">
        <is>
          <t>Independent</t>
        </is>
      </c>
      <c r="H31" s="10" t="inlineStr">
        <is>
          <t>1</t>
        </is>
      </c>
      <c r="I31" s="10" t="inlineStr">
        <is>
          <t>Pembroke Place</t>
        </is>
      </c>
      <c r="J31" s="10" t="inlineStr">
        <is>
          <t>Liverpool</t>
        </is>
      </c>
      <c r="K31" s="10" t="inlineStr"/>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Not Found</t>
        </is>
      </c>
      <c r="Y31" s="10" t="inlineStr">
        <is>
          <t>Not Found</t>
        </is>
      </c>
      <c r="Z31" s="10" t="inlineStr">
        <is>
          <t>Low</t>
        </is>
      </c>
      <c r="AA31" s="10" t="inlineStr">
        <is>
          <t>Requires Verification</t>
        </is>
      </c>
      <c r="AB31" s="10" t="inlineStr">
        <is>
          <t>https://liverpool.cylex-uk.co.uk/company/mns-shisha-shop-27245333.html</t>
        </is>
      </c>
    </row>
    <row r="32">
      <c r="A32" s="5" t="inlineStr">
        <is>
          <t>UK-000372</t>
        </is>
      </c>
      <c r="B32" s="5" t="inlineStr">
        <is>
          <t>UK-000372-01</t>
        </is>
      </c>
      <c r="C32" s="5" t="inlineStr"/>
      <c r="D32" s="5" t="inlineStr">
        <is>
          <t>Mazzalini Shisha Lounge</t>
        </is>
      </c>
      <c r="E32" s="5" t="inlineStr">
        <is>
          <t>Smoke / Shisha Shop</t>
        </is>
      </c>
      <c r="F32" s="5" t="inlineStr">
        <is>
          <t>Shisha lounge</t>
        </is>
      </c>
      <c r="G32" s="5" t="inlineStr">
        <is>
          <t>Independent</t>
        </is>
      </c>
      <c r="H32" s="5" t="inlineStr">
        <is>
          <t>1</t>
        </is>
      </c>
      <c r="I32" s="5" t="inlineStr">
        <is>
          <t>178 Middleton Road</t>
        </is>
      </c>
      <c r="J32" s="5" t="inlineStr">
        <is>
          <t>Oldham</t>
        </is>
      </c>
      <c r="K32" s="5" t="inlineStr">
        <is>
          <t>OL9 6BG</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https://www.yelp.co.uk/biz/mazzalini-shisha-lounge-oldham</t>
        </is>
      </c>
    </row>
    <row r="33">
      <c r="A33" s="10" t="inlineStr">
        <is>
          <t>UK-000640</t>
        </is>
      </c>
      <c r="B33" s="10" t="inlineStr">
        <is>
          <t>UK-000640-01</t>
        </is>
      </c>
      <c r="C33" s="10" t="inlineStr"/>
      <c r="D33" s="10" t="inlineStr">
        <is>
          <t>No 5 Dining &amp; Lounge</t>
        </is>
      </c>
      <c r="E33" s="10" t="inlineStr">
        <is>
          <t>Smoke / Shisha Shop</t>
        </is>
      </c>
      <c r="F33" s="10" t="inlineStr">
        <is>
          <t>Shisha lounge</t>
        </is>
      </c>
      <c r="G33" s="10" t="inlineStr">
        <is>
          <t>Independent</t>
        </is>
      </c>
      <c r="H33" s="10" t="inlineStr">
        <is>
          <t>1</t>
        </is>
      </c>
      <c r="I33" s="10" t="inlineStr">
        <is>
          <t>5 Tottenham Lane</t>
        </is>
      </c>
      <c r="J33" s="10" t="inlineStr">
        <is>
          <t>Hornsey</t>
        </is>
      </c>
      <c r="K33" s="10" t="inlineStr">
        <is>
          <t>N8 9DJ</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Not Found</t>
        </is>
      </c>
      <c r="Y33" s="10" t="inlineStr">
        <is>
          <t>Not Found</t>
        </is>
      </c>
      <c r="Z33" s="10" t="inlineStr">
        <is>
          <t>Medium</t>
        </is>
      </c>
      <c r="AA33" s="10" t="inlineStr">
        <is>
          <t>Requires Verification</t>
        </is>
      </c>
      <c r="AB33" s="10" t="inlineStr">
        <is>
          <t>https://www.yell.com/biz/no-5-dining-and-lounge-london-10473466/</t>
        </is>
      </c>
    </row>
    <row r="34">
      <c r="A34" s="5" t="inlineStr">
        <is>
          <t>UK-000647</t>
        </is>
      </c>
      <c r="B34" s="5" t="inlineStr">
        <is>
          <t>UK-000647-01</t>
        </is>
      </c>
      <c r="C34" s="5" t="inlineStr"/>
      <c r="D34" s="5" t="inlineStr">
        <is>
          <t>Rakkas</t>
        </is>
      </c>
      <c r="E34" s="5" t="inlineStr">
        <is>
          <t>Smoke / Shisha Shop</t>
        </is>
      </c>
      <c r="F34" s="5" t="inlineStr">
        <is>
          <t>Shisha lounge / Turkish restaurant</t>
        </is>
      </c>
      <c r="G34" s="5" t="inlineStr">
        <is>
          <t>Independent</t>
        </is>
      </c>
      <c r="H34" s="5" t="inlineStr">
        <is>
          <t>1</t>
        </is>
      </c>
      <c r="I34" s="5" t="inlineStr">
        <is>
          <t>369 Green Lanes</t>
        </is>
      </c>
      <c r="J34" s="5" t="inlineStr">
        <is>
          <t>Harringay</t>
        </is>
      </c>
      <c r="K34" s="5" t="inlineStr">
        <is>
          <t>N4 1DY</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Independent retailer; Core relevant category</t>
        </is>
      </c>
      <c r="X34" s="5" t="inlineStr">
        <is>
          <t>Not Found</t>
        </is>
      </c>
      <c r="Y34" s="5" t="inlineStr">
        <is>
          <t>Not Found</t>
        </is>
      </c>
      <c r="Z34" s="5" t="inlineStr">
        <is>
          <t>Medium</t>
        </is>
      </c>
      <c r="AA34" s="5" t="inlineStr">
        <is>
          <t>Requires Verification</t>
        </is>
      </c>
      <c r="AB34" s="5" t="inlineStr">
        <is>
          <t>https://www.yelp.co.uk/biz/rakkas-london</t>
        </is>
      </c>
    </row>
    <row r="35">
      <c r="A35" s="10" t="inlineStr">
        <is>
          <t>UK-000268</t>
        </is>
      </c>
      <c r="B35" s="10" t="inlineStr">
        <is>
          <t>UK-000268-01</t>
        </is>
      </c>
      <c r="C35" s="10" t="inlineStr"/>
      <c r="D35" s="10" t="inlineStr">
        <is>
          <t>Rawal Lounge Sheffield</t>
        </is>
      </c>
      <c r="E35" s="10" t="inlineStr">
        <is>
          <t>Smoke / Shisha Shop</t>
        </is>
      </c>
      <c r="F35" s="10" t="inlineStr">
        <is>
          <t>Rooftop shisha lounge</t>
        </is>
      </c>
      <c r="G35" s="10" t="inlineStr">
        <is>
          <t>Independent</t>
        </is>
      </c>
      <c r="H35" s="10" t="inlineStr">
        <is>
          <t>1</t>
        </is>
      </c>
      <c r="I35" s="10" t="inlineStr">
        <is>
          <t>110 John Street</t>
        </is>
      </c>
      <c r="J35" s="10" t="inlineStr">
        <is>
          <t>Sheffield</t>
        </is>
      </c>
      <c r="K35" s="10" t="inlineStr">
        <is>
          <t>S2 4QU</t>
        </is>
      </c>
      <c r="L35" s="10" t="inlineStr"/>
      <c r="M35" s="10" t="inlineStr">
        <is>
          <t>rawalloungesheffield@hotmail.com</t>
        </is>
      </c>
      <c r="N35" s="10" t="inlineStr"/>
      <c r="O35" s="10" t="inlineStr"/>
      <c r="P35" s="10" t="inlineStr"/>
      <c r="Q35" s="10" t="inlineStr">
        <is>
          <t>https://www.instagram.com/rawallounge_sheffield/</t>
        </is>
      </c>
      <c r="R35" s="10" t="inlineStr"/>
      <c r="S35" s="10" t="inlineStr"/>
      <c r="T35" s="10" t="inlineStr"/>
      <c r="U35" s="10" t="inlineStr"/>
      <c r="V35" s="10" t="inlineStr">
        <is>
          <t>Medium</t>
        </is>
      </c>
      <c r="W35" s="10" t="inlineStr">
        <is>
          <t>Independent retailer; Core relevant category; Public email available; Social presence</t>
        </is>
      </c>
      <c r="X35" s="10" t="inlineStr">
        <is>
          <t>Not Found</t>
        </is>
      </c>
      <c r="Y35" s="10" t="inlineStr">
        <is>
          <t>Publicly Listed</t>
        </is>
      </c>
      <c r="Z35" s="10" t="inlineStr">
        <is>
          <t>Low</t>
        </is>
      </c>
      <c r="AA35" s="10" t="inlineStr">
        <is>
          <t>Requires Verification</t>
        </is>
      </c>
      <c r="AB35" s="10" t="inlineStr">
        <is>
          <t>https://www.instagram.com/rawallounge_sheffield/</t>
        </is>
      </c>
    </row>
    <row r="36">
      <c r="A36" s="5" t="inlineStr">
        <is>
          <t>UK-000269</t>
        </is>
      </c>
      <c r="B36" s="5" t="inlineStr">
        <is>
          <t>UK-000269-01</t>
        </is>
      </c>
      <c r="C36" s="5" t="inlineStr"/>
      <c r="D36" s="5" t="inlineStr">
        <is>
          <t>Retreat Sheesha Lounge</t>
        </is>
      </c>
      <c r="E36" s="5" t="inlineStr">
        <is>
          <t>Smoke / Shisha Shop</t>
        </is>
      </c>
      <c r="F36" s="5" t="inlineStr">
        <is>
          <t>Shisha cafe / lounge</t>
        </is>
      </c>
      <c r="G36" s="5" t="inlineStr">
        <is>
          <t>Independent</t>
        </is>
      </c>
      <c r="H36" s="5" t="inlineStr">
        <is>
          <t>1</t>
        </is>
      </c>
      <c r="I36" s="5" t="inlineStr"/>
      <c r="J36" s="5" t="inlineStr">
        <is>
          <t>Kingston upon Hull</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Not Found</t>
        </is>
      </c>
      <c r="Y36" s="5" t="inlineStr">
        <is>
          <t>Not Found</t>
        </is>
      </c>
      <c r="Z36" s="5" t="inlineStr">
        <is>
          <t>Low</t>
        </is>
      </c>
      <c r="AA36" s="5" t="inlineStr">
        <is>
          <t>Requires Verification</t>
        </is>
      </c>
      <c r="AB36" s="5" t="inlineStr">
        <is>
          <t>https://www.tripadvisor.co.uk/Restaurant_Review-g186317-d4522051-Reviews-Retreat_Sheesha_Lounge-Kingston_upon_Hull_East_Riding_of_Yorkshire_England.html</t>
        </is>
      </c>
    </row>
    <row r="37">
      <c r="A37" s="10" t="inlineStr">
        <is>
          <t>WY-0139</t>
        </is>
      </c>
      <c r="B37" s="10" t="inlineStr">
        <is>
          <t>WY-0139-01</t>
        </is>
      </c>
      <c r="C37" s="10" t="inlineStr"/>
      <c r="D37" s="10" t="inlineStr">
        <is>
          <t>Ryans The Tobacconist</t>
        </is>
      </c>
      <c r="E37" s="10" t="inlineStr">
        <is>
          <t>Tobacco Specialist</t>
        </is>
      </c>
      <c r="F37" s="10" t="inlineStr">
        <is>
          <t>Traditional tobacconist - cigars, pipes, tobacco</t>
        </is>
      </c>
      <c r="G37" s="10" t="inlineStr">
        <is>
          <t>Independent</t>
        </is>
      </c>
      <c r="H37" s="10" t="inlineStr">
        <is>
          <t>1</t>
        </is>
      </c>
      <c r="I37" s="10" t="inlineStr">
        <is>
          <t>5 The Headrow</t>
        </is>
      </c>
      <c r="J37" s="10" t="inlineStr">
        <is>
          <t>Leeds</t>
        </is>
      </c>
      <c r="K37" s="10" t="inlineStr">
        <is>
          <t>LS1 6PU</t>
        </is>
      </c>
      <c r="L37" s="10" t="inlineStr">
        <is>
          <t>0113 242 2585</t>
        </is>
      </c>
      <c r="M37" s="10" t="inlineStr">
        <is>
          <t>Ryans.2000@outlook.com</t>
        </is>
      </c>
      <c r="N37" s="10" t="inlineStr"/>
      <c r="O37" s="10" t="inlineStr">
        <is>
          <t>https://www.ryanstobacconist.co.uk/</t>
        </is>
      </c>
      <c r="P37" s="10" t="inlineStr">
        <is>
          <t>https://www.facebook.com/ryans.tobacconist/</t>
        </is>
      </c>
      <c r="Q37" s="10" t="inlineStr">
        <is>
          <t>https://www.instagram.com/ryansthetobacconist/</t>
        </is>
      </c>
      <c r="R37" s="10" t="inlineStr"/>
      <c r="S37" s="10" t="inlineStr"/>
      <c r="T37" s="10" t="inlineStr"/>
      <c r="U37" s="10" t="inlineStr"/>
      <c r="V37" s="10" t="inlineStr">
        <is>
          <t>High</t>
        </is>
      </c>
      <c r="W37" s="10" t="inlineStr">
        <is>
          <t>Independent retailer; Core relevant category; Public email available; Active website; Social presence</t>
        </is>
      </c>
      <c r="X37" s="10" t="inlineStr">
        <is>
          <t>Verified directory</t>
        </is>
      </c>
      <c r="Y37" s="10" t="inlineStr">
        <is>
          <t>Publicly Listed</t>
        </is>
      </c>
      <c r="Z37" s="10" t="inlineStr">
        <is>
          <t>Medium</t>
        </is>
      </c>
      <c r="AA37" s="10" t="inlineStr">
        <is>
          <t>Requires Verification</t>
        </is>
      </c>
      <c r="AB37" s="10" t="inlineStr">
        <is>
          <t>https://www.ryanstobacconist.co.uk/contact-us</t>
        </is>
      </c>
    </row>
    <row r="38">
      <c r="A38" s="5" t="inlineStr">
        <is>
          <t>UK-000655</t>
        </is>
      </c>
      <c r="B38" s="5" t="inlineStr">
        <is>
          <t>UK-000655-01</t>
        </is>
      </c>
      <c r="C38" s="5" t="inlineStr"/>
      <c r="D38" s="5" t="inlineStr">
        <is>
          <t>Sautter Cigars</t>
        </is>
      </c>
      <c r="E38" s="5" t="inlineStr">
        <is>
          <t>Tobacco Specialist</t>
        </is>
      </c>
      <c r="F38" s="5" t="inlineStr">
        <is>
          <t>Cigar merchant</t>
        </is>
      </c>
      <c r="G38" s="5" t="inlineStr">
        <is>
          <t>Independent</t>
        </is>
      </c>
      <c r="H38" s="5" t="inlineStr">
        <is>
          <t>1</t>
        </is>
      </c>
      <c r="I38" s="5" t="inlineStr">
        <is>
          <t>106 Mount Street</t>
        </is>
      </c>
      <c r="J38" s="5" t="inlineStr">
        <is>
          <t>London</t>
        </is>
      </c>
      <c r="K38" s="5" t="inlineStr">
        <is>
          <t>W1K 2TW</t>
        </is>
      </c>
      <c r="L38" s="5" t="inlineStr">
        <is>
          <t>020 7499 4866</t>
        </is>
      </c>
      <c r="M38" s="5" t="inlineStr"/>
      <c r="N38" s="5" t="inlineStr"/>
      <c r="O38" s="5" t="inlineStr">
        <is>
          <t>https://sauttercigars.com/</t>
        </is>
      </c>
      <c r="P38" s="5" t="inlineStr"/>
      <c r="Q38" s="5" t="inlineStr"/>
      <c r="R38" s="5" t="inlineStr"/>
      <c r="S38" s="5" t="inlineStr"/>
      <c r="T38" s="5" t="inlineStr"/>
      <c r="U38" s="5" t="inlineStr"/>
      <c r="V38" s="5" t="inlineStr">
        <is>
          <t>Medium</t>
        </is>
      </c>
      <c r="W38" s="5" t="inlineStr">
        <is>
          <t>Independent retailer; Core relevant category; Active website; Phone verified on official website</t>
        </is>
      </c>
      <c r="X38" s="5" t="inlineStr">
        <is>
          <t>Verified on official website</t>
        </is>
      </c>
      <c r="Y38" s="5" t="inlineStr">
        <is>
          <t>Website Found</t>
        </is>
      </c>
      <c r="Z38" s="5" t="inlineStr">
        <is>
          <t>Medium</t>
        </is>
      </c>
      <c r="AA38" s="5" t="inlineStr">
        <is>
          <t>Requires Verification</t>
        </is>
      </c>
      <c r="AB38" s="5" t="inlineStr">
        <is>
          <t>https://www.smokepipeshops.com/sautter-cigars/</t>
        </is>
      </c>
    </row>
    <row r="39">
      <c r="A39" s="10" t="inlineStr">
        <is>
          <t>UK-000380</t>
        </is>
      </c>
      <c r="B39" s="10" t="inlineStr">
        <is>
          <t>UK-000380-01</t>
        </is>
      </c>
      <c r="C39" s="10" t="inlineStr"/>
      <c r="D39" s="10" t="inlineStr">
        <is>
          <t>Shesha Lounge (Cheetham Hill)</t>
        </is>
      </c>
      <c r="E39" s="10" t="inlineStr">
        <is>
          <t>Smoke / Shisha Shop</t>
        </is>
      </c>
      <c r="F39" s="10" t="inlineStr">
        <is>
          <t>Shisha lounge</t>
        </is>
      </c>
      <c r="G39" s="10" t="inlineStr">
        <is>
          <t>Independent</t>
        </is>
      </c>
      <c r="H39" s="10" t="inlineStr">
        <is>
          <t>1</t>
        </is>
      </c>
      <c r="I39" s="10" t="inlineStr">
        <is>
          <t>137-139 Cheetham Hill Road</t>
        </is>
      </c>
      <c r="J39" s="10" t="inlineStr">
        <is>
          <t>Manchester</t>
        </is>
      </c>
      <c r="K39" s="10" t="inlineStr"/>
      <c r="L39" s="10" t="inlineStr">
        <is>
          <t>0161 834 8007</t>
        </is>
      </c>
      <c r="M39" s="10" t="inlineStr"/>
      <c r="N39" s="10" t="inlineStr"/>
      <c r="O39" s="10" t="inlineStr"/>
      <c r="P39" s="10" t="inlineStr">
        <is>
          <t>https://www.facebook.com/p/Shesha-Lounge-100036309619169/</t>
        </is>
      </c>
      <c r="Q39" s="10" t="inlineStr"/>
      <c r="R39" s="10" t="inlineStr"/>
      <c r="S39" s="10" t="inlineStr"/>
      <c r="T39" s="10" t="inlineStr"/>
      <c r="U39" s="10" t="inlineStr"/>
      <c r="V39" s="10" t="inlineStr">
        <is>
          <t>Medium</t>
        </is>
      </c>
      <c r="W39" s="10" t="inlineStr">
        <is>
          <t>Independent retailer; Core relevant category; Social presence</t>
        </is>
      </c>
      <c r="X39" s="10" t="inlineStr">
        <is>
          <t>Verified directory</t>
        </is>
      </c>
      <c r="Y39" s="10" t="inlineStr">
        <is>
          <t>Not Found</t>
        </is>
      </c>
      <c r="Z39" s="10" t="inlineStr">
        <is>
          <t>Medium</t>
        </is>
      </c>
      <c r="AA39" s="10" t="inlineStr">
        <is>
          <t>Requires Verification</t>
        </is>
      </c>
      <c r="AB39" s="10" t="inlineStr">
        <is>
          <t>https://www.yelp.co.uk/biz/shesha-lounge-manchester-2</t>
        </is>
      </c>
    </row>
    <row r="40">
      <c r="A40" s="5" t="inlineStr">
        <is>
          <t>UK-000381</t>
        </is>
      </c>
      <c r="B40" s="5" t="inlineStr">
        <is>
          <t>UK-000381-01</t>
        </is>
      </c>
      <c r="C40" s="5" t="inlineStr"/>
      <c r="D40" s="5" t="inlineStr">
        <is>
          <t>Shisha Club UK</t>
        </is>
      </c>
      <c r="E40" s="5" t="inlineStr">
        <is>
          <t>Smoke / Shisha Shop</t>
        </is>
      </c>
      <c r="F40" s="5" t="inlineStr">
        <is>
          <t>Shisha products retailer</t>
        </is>
      </c>
      <c r="G40" s="5" t="inlineStr">
        <is>
          <t>Independent</t>
        </is>
      </c>
      <c r="H40" s="5" t="inlineStr">
        <is>
          <t>1</t>
        </is>
      </c>
      <c r="I40" s="5" t="inlineStr">
        <is>
          <t>253 Featherstall Road</t>
        </is>
      </c>
      <c r="J40" s="5" t="inlineStr">
        <is>
          <t>Oldham</t>
        </is>
      </c>
      <c r="K40" s="5" t="inlineStr">
        <is>
          <t>OL1 2NJ</t>
        </is>
      </c>
      <c r="L40" s="5" t="inlineStr"/>
      <c r="M40" s="5" t="inlineStr"/>
      <c r="N40" s="5" t="inlineStr"/>
      <c r="O40" s="5" t="inlineStr">
        <is>
          <t>https://shisha-club-uk.ueniweb.com/</t>
        </is>
      </c>
      <c r="P40" s="5" t="inlineStr"/>
      <c r="Q40" s="5" t="inlineStr"/>
      <c r="R40" s="5" t="inlineStr"/>
      <c r="S40" s="5" t="inlineStr"/>
      <c r="T40" s="5" t="inlineStr"/>
      <c r="U40" s="5" t="inlineStr"/>
      <c r="V40" s="5" t="inlineStr">
        <is>
          <t>Medium</t>
        </is>
      </c>
      <c r="W40" s="5" t="inlineStr">
        <is>
          <t>Independent retailer; Core relevant category; Active website</t>
        </is>
      </c>
      <c r="X40" s="5" t="inlineStr">
        <is>
          <t>Not Found</t>
        </is>
      </c>
      <c r="Y40" s="5" t="inlineStr">
        <is>
          <t>Website Found</t>
        </is>
      </c>
      <c r="Z40" s="5" t="inlineStr">
        <is>
          <t>Low</t>
        </is>
      </c>
      <c r="AA40" s="5" t="inlineStr">
        <is>
          <t>Requires Verification</t>
        </is>
      </c>
      <c r="AB40" s="5" t="inlineStr">
        <is>
          <t>https://shisha-club-uk.ueniweb.com/</t>
        </is>
      </c>
    </row>
    <row r="41">
      <c r="A41" s="10" t="inlineStr">
        <is>
          <t>UK-000656</t>
        </is>
      </c>
      <c r="B41" s="10" t="inlineStr">
        <is>
          <t>UK-000656-01</t>
        </is>
      </c>
      <c r="C41" s="10" t="inlineStr"/>
      <c r="D41" s="10" t="inlineStr">
        <is>
          <t>Shisha Town Market</t>
        </is>
      </c>
      <c r="E41" s="10" t="inlineStr">
        <is>
          <t>Smoke / Shisha Shop</t>
        </is>
      </c>
      <c r="F41" s="10" t="inlineStr">
        <is>
          <t>Shisha &amp; hookah retail</t>
        </is>
      </c>
      <c r="G41" s="10" t="inlineStr">
        <is>
          <t>Independent</t>
        </is>
      </c>
      <c r="H41" s="10" t="inlineStr">
        <is>
          <t>1</t>
        </is>
      </c>
      <c r="I41" s="10" t="inlineStr">
        <is>
          <t>248 Fore Street</t>
        </is>
      </c>
      <c r="J41" s="10" t="inlineStr">
        <is>
          <t>Edmonton</t>
        </is>
      </c>
      <c r="K41" s="10" t="inlineStr">
        <is>
          <t>N18 2QD</t>
        </is>
      </c>
      <c r="L41" s="10" t="inlineStr">
        <is>
          <t>07404 066331</t>
        </is>
      </c>
      <c r="M41" s="10" t="inlineStr"/>
      <c r="N41" s="10" t="inlineStr"/>
      <c r="O41" s="10" t="inlineStr"/>
      <c r="P41" s="10" t="inlineStr"/>
      <c r="Q41" s="10" t="inlineStr"/>
      <c r="R41" s="10" t="inlineStr"/>
      <c r="S41" s="10" t="inlineStr"/>
      <c r="T41" s="10" t="inlineStr"/>
      <c r="U41" s="10" t="inlineStr"/>
      <c r="V41" s="10" t="inlineStr">
        <is>
          <t>Medium</t>
        </is>
      </c>
      <c r="W41" s="10" t="inlineStr">
        <is>
          <t>Independent retailer; Core relevant category</t>
        </is>
      </c>
      <c r="X41" s="10" t="inlineStr">
        <is>
          <t>Verified directory</t>
        </is>
      </c>
      <c r="Y41" s="10" t="inlineStr">
        <is>
          <t>Not Found</t>
        </is>
      </c>
      <c r="Z41" s="10" t="inlineStr">
        <is>
          <t>Low</t>
        </is>
      </c>
      <c r="AA41" s="10" t="inlineStr">
        <is>
          <t>Requires Verification</t>
        </is>
      </c>
      <c r="AB41" s="10" t="inlineStr">
        <is>
          <t>https://www.yelp.co.uk/search?find_desc=Hookah+Store&amp;find_loc=London</t>
        </is>
      </c>
    </row>
    <row r="42">
      <c r="A42" s="5" t="inlineStr">
        <is>
          <t>UK-000515</t>
        </is>
      </c>
      <c r="B42" s="5" t="inlineStr">
        <is>
          <t>UK-000515-01</t>
        </is>
      </c>
      <c r="C42" s="5" t="inlineStr"/>
      <c r="D42" s="5" t="inlineStr">
        <is>
          <t>Shisha-Wala</t>
        </is>
      </c>
      <c r="E42" s="5" t="inlineStr">
        <is>
          <t>Smoke / Shisha Shop</t>
        </is>
      </c>
      <c r="F42" s="5" t="inlineStr">
        <is>
          <t>Shisha lounge &amp; food</t>
        </is>
      </c>
      <c r="G42" s="5" t="inlineStr">
        <is>
          <t>Independent</t>
        </is>
      </c>
      <c r="H42" s="5" t="inlineStr">
        <is>
          <t>1</t>
        </is>
      </c>
      <c r="I42" s="5" t="inlineStr">
        <is>
          <t>1066 Coventry Road</t>
        </is>
      </c>
      <c r="J42" s="5" t="inlineStr">
        <is>
          <t>Birmingham</t>
        </is>
      </c>
      <c r="K42" s="5" t="inlineStr">
        <is>
          <t>B25 8DP</t>
        </is>
      </c>
      <c r="L42" s="5" t="inlineStr">
        <is>
          <t>0121 245 2229</t>
        </is>
      </c>
      <c r="M42" s="5" t="inlineStr"/>
      <c r="N42" s="5" t="inlineStr"/>
      <c r="O42" s="5" t="inlineStr">
        <is>
          <t>https://shisha-wala.co.uk/</t>
        </is>
      </c>
      <c r="P42" s="5" t="inlineStr"/>
      <c r="Q42" s="5" t="inlineStr"/>
      <c r="R42" s="5" t="inlineStr"/>
      <c r="S42" s="5" t="inlineStr"/>
      <c r="T42" s="5" t="inlineStr"/>
      <c r="U42" s="5" t="inlineStr"/>
      <c r="V42" s="5" t="inlineStr">
        <is>
          <t>Medium</t>
        </is>
      </c>
      <c r="W42" s="5" t="inlineStr">
        <is>
          <t>Independent retailer; Core relevant category; Active website</t>
        </is>
      </c>
      <c r="X42" s="5" t="inlineStr">
        <is>
          <t>Verified directory</t>
        </is>
      </c>
      <c r="Y42" s="5" t="inlineStr">
        <is>
          <t>Website Found</t>
        </is>
      </c>
      <c r="Z42" s="5" t="inlineStr">
        <is>
          <t>Medium</t>
        </is>
      </c>
      <c r="AA42" s="5" t="inlineStr">
        <is>
          <t>Requires Verification</t>
        </is>
      </c>
      <c r="AB42" s="5" t="inlineStr">
        <is>
          <t>https://shisha-wala.co.uk/</t>
        </is>
      </c>
    </row>
    <row r="43">
      <c r="A43" s="10" t="inlineStr">
        <is>
          <t>WY-0147</t>
        </is>
      </c>
      <c r="B43" s="10" t="inlineStr">
        <is>
          <t>WY-0147-01</t>
        </is>
      </c>
      <c r="C43" s="10" t="inlineStr"/>
      <c r="D43" s="10" t="inlineStr">
        <is>
          <t>Shoesmiths Tobacconist</t>
        </is>
      </c>
      <c r="E43" s="10" t="inlineStr">
        <is>
          <t>Tobacco Specialist</t>
        </is>
      </c>
      <c r="F43" s="10" t="inlineStr">
        <is>
          <t>Traditional tobacconist and cigar shop</t>
        </is>
      </c>
      <c r="G43" s="10" t="inlineStr">
        <is>
          <t>Independent</t>
        </is>
      </c>
      <c r="H43" s="10" t="inlineStr">
        <is>
          <t>1</t>
        </is>
      </c>
      <c r="I43" s="10" t="inlineStr">
        <is>
          <t>65 Commercial Street</t>
        </is>
      </c>
      <c r="J43" s="10" t="inlineStr">
        <is>
          <t>Halifax</t>
        </is>
      </c>
      <c r="K43" s="10" t="inlineStr">
        <is>
          <t>HX1 1BE</t>
        </is>
      </c>
      <c r="L43" s="10" t="inlineStr"/>
      <c r="M43" s="10" t="inlineStr"/>
      <c r="N43" s="10" t="inlineStr"/>
      <c r="O43" s="10" t="inlineStr"/>
      <c r="P43" s="10" t="inlineStr">
        <is>
          <t>https://www.facebook.com/shoesmiths/</t>
        </is>
      </c>
      <c r="Q43" s="10" t="inlineStr"/>
      <c r="R43" s="10" t="inlineStr"/>
      <c r="S43" s="10" t="inlineStr"/>
      <c r="T43" s="10" t="inlineStr"/>
      <c r="U43" s="10" t="inlineStr"/>
      <c r="V43" s="10" t="inlineStr">
        <is>
          <t>Medium</t>
        </is>
      </c>
      <c r="W43" s="10" t="inlineStr">
        <is>
          <t>Independent retailer; Core relevant category; Social presence</t>
        </is>
      </c>
      <c r="X43" s="10" t="inlineStr">
        <is>
          <t>Not Found</t>
        </is>
      </c>
      <c r="Y43" s="10" t="inlineStr">
        <is>
          <t>Not Found</t>
        </is>
      </c>
      <c r="Z43" s="10" t="inlineStr">
        <is>
          <t>Medium</t>
        </is>
      </c>
      <c r="AA43" s="10" t="inlineStr">
        <is>
          <t>Requires Verification</t>
        </is>
      </c>
      <c r="AB43" s="10" t="inlineStr">
        <is>
          <t>https://www.facebook.com/shoesmiths/</t>
        </is>
      </c>
    </row>
    <row r="44">
      <c r="A44" s="5" t="inlineStr">
        <is>
          <t>UK-000277</t>
        </is>
      </c>
      <c r="B44" s="5" t="inlineStr">
        <is>
          <t>UK-000277-01</t>
        </is>
      </c>
      <c r="C44" s="5" t="inlineStr"/>
      <c r="D44" s="5" t="inlineStr">
        <is>
          <t>Smoke &amp; Vape Barnsley</t>
        </is>
      </c>
      <c r="E44" s="5" t="inlineStr">
        <is>
          <t>Smoke / Shisha Shop</t>
        </is>
      </c>
      <c r="F44" s="5" t="inlineStr">
        <is>
          <t>Smoke and vape shop</t>
        </is>
      </c>
      <c r="G44" s="5" t="inlineStr">
        <is>
          <t>Independent</t>
        </is>
      </c>
      <c r="H44" s="5" t="inlineStr">
        <is>
          <t>1</t>
        </is>
      </c>
      <c r="I44" s="5" t="inlineStr">
        <is>
          <t>6 Market Street</t>
        </is>
      </c>
      <c r="J44" s="5" t="inlineStr">
        <is>
          <t>Barnsley</t>
        </is>
      </c>
      <c r="K44" s="5" t="inlineStr"/>
      <c r="L44" s="5" t="inlineStr">
        <is>
          <t>01226 953777</t>
        </is>
      </c>
      <c r="M44" s="5" t="inlineStr"/>
      <c r="N44" s="5" t="inlineStr"/>
      <c r="O44" s="5" t="inlineStr"/>
      <c r="P44" s="5" t="inlineStr">
        <is>
          <t>https://www.facebook.com/p/SMOKE-VAPE-Barnsley-61555973916748/</t>
        </is>
      </c>
      <c r="Q44" s="5" t="inlineStr"/>
      <c r="R44" s="5" t="inlineStr"/>
      <c r="S44" s="5" t="inlineStr"/>
      <c r="T44" s="5" t="inlineStr"/>
      <c r="U44" s="5" t="inlineStr"/>
      <c r="V44" s="5" t="inlineStr">
        <is>
          <t>Medium</t>
        </is>
      </c>
      <c r="W44" s="5" t="inlineStr">
        <is>
          <t>Independent retailer; Core relevant category; Social presence</t>
        </is>
      </c>
      <c r="X44" s="5" t="inlineStr">
        <is>
          <t>Verified directory</t>
        </is>
      </c>
      <c r="Y44" s="5" t="inlineStr">
        <is>
          <t>Not Found</t>
        </is>
      </c>
      <c r="Z44" s="5" t="inlineStr">
        <is>
          <t>Low</t>
        </is>
      </c>
      <c r="AA44" s="5" t="inlineStr">
        <is>
          <t>Requires Verification</t>
        </is>
      </c>
      <c r="AB44" s="5" t="inlineStr">
        <is>
          <t>https://www.facebook.com/p/SMOKE-VAPE-Barnsley-61555973916748/</t>
        </is>
      </c>
    </row>
    <row r="45">
      <c r="A45" s="10" t="inlineStr">
        <is>
          <t>UK-000659</t>
        </is>
      </c>
      <c r="B45" s="10" t="inlineStr">
        <is>
          <t>UK-000659-01</t>
        </is>
      </c>
      <c r="C45" s="10" t="inlineStr"/>
      <c r="D45" s="10" t="inlineStr">
        <is>
          <t>Smoke n Shisha</t>
        </is>
      </c>
      <c r="E45" s="10" t="inlineStr">
        <is>
          <t>Smoke / Shisha Shop</t>
        </is>
      </c>
      <c r="F45" s="10" t="inlineStr">
        <is>
          <t>Shisha &amp; tobacco retailer</t>
        </is>
      </c>
      <c r="G45" s="10" t="inlineStr">
        <is>
          <t>Independent</t>
        </is>
      </c>
      <c r="H45" s="10" t="inlineStr">
        <is>
          <t>1</t>
        </is>
      </c>
      <c r="I45" s="10" t="inlineStr">
        <is>
          <t>93a Praed Street</t>
        </is>
      </c>
      <c r="J45" s="10" t="inlineStr">
        <is>
          <t>London</t>
        </is>
      </c>
      <c r="K45" s="10" t="inlineStr">
        <is>
          <t>W2 1NT</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https://www.yell.com/s/tobacconists-praed+mews+w2+london+borough+of+westminster+london.html</t>
        </is>
      </c>
    </row>
    <row r="46">
      <c r="A46" s="5" t="inlineStr">
        <is>
          <t>WY-0148</t>
        </is>
      </c>
      <c r="B46" s="5" t="inlineStr">
        <is>
          <t>WY-0148-01</t>
        </is>
      </c>
      <c r="C46" s="5" t="inlineStr"/>
      <c r="D46" s="5" t="inlineStr">
        <is>
          <t>Smoke-King Tobacconist</t>
        </is>
      </c>
      <c r="E46" s="5" t="inlineStr">
        <is>
          <t>Tobacco Specialist</t>
        </is>
      </c>
      <c r="F46" s="5" t="inlineStr">
        <is>
          <t>Tobacconist - cigars, pipes, tobacco, online store</t>
        </is>
      </c>
      <c r="G46" s="5" t="inlineStr">
        <is>
          <t>Independent</t>
        </is>
      </c>
      <c r="H46" s="5" t="inlineStr">
        <is>
          <t>1</t>
        </is>
      </c>
      <c r="I46" s="5" t="inlineStr">
        <is>
          <t>Unit E2, Otley Mills</t>
        </is>
      </c>
      <c r="J46" s="5" t="inlineStr">
        <is>
          <t>Otley</t>
        </is>
      </c>
      <c r="K46" s="5" t="inlineStr">
        <is>
          <t>LS21 3EE</t>
        </is>
      </c>
      <c r="L46" s="5" t="inlineStr">
        <is>
          <t>0113 217 7723</t>
        </is>
      </c>
      <c r="M46" s="5" t="inlineStr">
        <is>
          <t>enquiries@smoke-king.co.uk</t>
        </is>
      </c>
      <c r="N46" s="5" t="inlineStr"/>
      <c r="O46" s="5" t="inlineStr">
        <is>
          <t>https://www.smoke-king.co.uk/</t>
        </is>
      </c>
      <c r="P46" s="5" t="inlineStr">
        <is>
          <t>https://www.facebook.com/smokekinguk/</t>
        </is>
      </c>
      <c r="Q46" s="5" t="inlineStr"/>
      <c r="R46" s="5" t="inlineStr"/>
      <c r="S46" s="5" t="inlineStr"/>
      <c r="T46" s="5" t="inlineStr"/>
      <c r="U46" s="5" t="inlineStr"/>
      <c r="V46" s="5" t="inlineStr">
        <is>
          <t>High</t>
        </is>
      </c>
      <c r="W46" s="5" t="inlineStr">
        <is>
          <t>Independent retailer; Core relevant category; Public email available; Active website; Social presence</t>
        </is>
      </c>
      <c r="X46" s="5" t="inlineStr">
        <is>
          <t>Verified directory</t>
        </is>
      </c>
      <c r="Y46" s="5" t="inlineStr">
        <is>
          <t>Website Found</t>
        </is>
      </c>
      <c r="Z46" s="5" t="inlineStr">
        <is>
          <t>Medium</t>
        </is>
      </c>
      <c r="AA46" s="5" t="inlineStr">
        <is>
          <t>Partially Verified</t>
        </is>
      </c>
      <c r="AB46" s="5" t="inlineStr">
        <is>
          <t>https://www.smoke-king.co.uk/pages/tobacconist-in-otley</t>
        </is>
      </c>
    </row>
    <row r="47">
      <c r="A47" s="10" t="inlineStr">
        <is>
          <t>UK-000814</t>
        </is>
      </c>
      <c r="B47" s="10" t="inlineStr">
        <is>
          <t>UK-000814-01</t>
        </is>
      </c>
      <c r="C47" s="10" t="inlineStr"/>
      <c r="D47" s="10" t="inlineStr">
        <is>
          <t>Smokers Lounge</t>
        </is>
      </c>
      <c r="E47" s="10" t="inlineStr">
        <is>
          <t>Tobacco Specialist</t>
        </is>
      </c>
      <c r="F47" s="10" t="inlineStr">
        <is>
          <t>Tobacconist / cigar &amp; pipe specialist</t>
        </is>
      </c>
      <c r="G47" s="10" t="inlineStr">
        <is>
          <t>Independent</t>
        </is>
      </c>
      <c r="H47" s="10" t="inlineStr">
        <is>
          <t>1</t>
        </is>
      </c>
      <c r="I47" s="10" t="inlineStr">
        <is>
          <t>155 Gallowgate</t>
        </is>
      </c>
      <c r="J47" s="10" t="inlineStr">
        <is>
          <t>Glasgow</t>
        </is>
      </c>
      <c r="K47" s="10" t="inlineStr">
        <is>
          <t>G1 5AX</t>
        </is>
      </c>
      <c r="L47" s="10" t="inlineStr">
        <is>
          <t>0141 552 0127</t>
        </is>
      </c>
      <c r="M47" s="10" t="inlineStr"/>
      <c r="N47" s="10" t="inlineStr"/>
      <c r="O47" s="10" t="inlineStr"/>
      <c r="P47" s="10" t="inlineStr">
        <is>
          <t>https://www.facebook.com/smokersloungeglasgow/</t>
        </is>
      </c>
      <c r="Q47" s="10" t="inlineStr"/>
      <c r="R47" s="10" t="inlineStr"/>
      <c r="S47" s="10" t="inlineStr"/>
      <c r="T47" s="10" t="inlineStr"/>
      <c r="U47" s="10" t="inlineStr"/>
      <c r="V47" s="10" t="inlineStr">
        <is>
          <t>Medium</t>
        </is>
      </c>
      <c r="W47" s="10" t="inlineStr">
        <is>
          <t>Independent retailer; Core relevant category; Social presence</t>
        </is>
      </c>
      <c r="X47" s="10" t="inlineStr">
        <is>
          <t>Verified directory</t>
        </is>
      </c>
      <c r="Y47" s="10" t="inlineStr">
        <is>
          <t>Not Found</t>
        </is>
      </c>
      <c r="Z47" s="10" t="inlineStr">
        <is>
          <t>Medium</t>
        </is>
      </c>
      <c r="AA47" s="10" t="inlineStr">
        <is>
          <t>Requires Verification</t>
        </is>
      </c>
      <c r="AB47" s="10" t="inlineStr">
        <is>
          <t>https://www.yelp.co.uk/biz/smokers-lounge-glasgow</t>
        </is>
      </c>
    </row>
    <row r="48">
      <c r="A48" s="5" t="inlineStr">
        <is>
          <t>WY-0150</t>
        </is>
      </c>
      <c r="B48" s="5" t="inlineStr">
        <is>
          <t>WY-0150-01</t>
        </is>
      </c>
      <c r="C48" s="5" t="inlineStr"/>
      <c r="D48" s="5" t="inlineStr">
        <is>
          <t>Somers of Keighley</t>
        </is>
      </c>
      <c r="E48" s="5" t="inlineStr">
        <is>
          <t>Tobacco Specialist</t>
        </is>
      </c>
      <c r="F48" s="5" t="inlineStr">
        <is>
          <t>Traditional tobacconist</t>
        </is>
      </c>
      <c r="G48" s="5" t="inlineStr">
        <is>
          <t>Independent</t>
        </is>
      </c>
      <c r="H48" s="5" t="inlineStr">
        <is>
          <t>1</t>
        </is>
      </c>
      <c r="I48" s="5" t="inlineStr">
        <is>
          <t>1 Bow Street</t>
        </is>
      </c>
      <c r="J48" s="5" t="inlineStr">
        <is>
          <t>Keighley</t>
        </is>
      </c>
      <c r="K48" s="5" t="inlineStr">
        <is>
          <t>BD21 3PB</t>
        </is>
      </c>
      <c r="L48" s="5" t="inlineStr">
        <is>
          <t>01535 604678</t>
        </is>
      </c>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Verified directory</t>
        </is>
      </c>
      <c r="Y48" s="5" t="inlineStr">
        <is>
          <t>Not Found</t>
        </is>
      </c>
      <c r="Z48" s="5" t="inlineStr">
        <is>
          <t>Medium</t>
        </is>
      </c>
      <c r="AA48" s="5" t="inlineStr">
        <is>
          <t>Requires Verification</t>
        </is>
      </c>
      <c r="AB48" s="5" t="inlineStr">
        <is>
          <t>https://www.yelp.com/biz/somers-of-keighley-keighley</t>
        </is>
      </c>
    </row>
    <row r="49">
      <c r="A49" s="10" t="inlineStr">
        <is>
          <t>UK-000825</t>
        </is>
      </c>
      <c r="B49" s="10" t="inlineStr">
        <is>
          <t>UK-000825-01</t>
        </is>
      </c>
      <c r="C49" s="10" t="inlineStr"/>
      <c r="D49" s="10" t="inlineStr">
        <is>
          <t>The Pipe Shop</t>
        </is>
      </c>
      <c r="E49" s="10" t="inlineStr">
        <is>
          <t>Tobacco Specialist</t>
        </is>
      </c>
      <c r="F49" s="10" t="inlineStr">
        <is>
          <t>Pipes, cigars &amp; tobacco</t>
        </is>
      </c>
      <c r="G49" s="10" t="inlineStr">
        <is>
          <t>Independent</t>
        </is>
      </c>
      <c r="H49" s="10" t="inlineStr">
        <is>
          <t>1</t>
        </is>
      </c>
      <c r="I49" s="10" t="inlineStr">
        <is>
          <t>92 Leith Walk</t>
        </is>
      </c>
      <c r="J49" s="10" t="inlineStr">
        <is>
          <t>Edinburgh</t>
        </is>
      </c>
      <c r="K49" s="10" t="inlineStr">
        <is>
          <t>EH6 5HB</t>
        </is>
      </c>
      <c r="L49" s="10" t="inlineStr">
        <is>
          <t>0131 553 3561</t>
        </is>
      </c>
      <c r="M49" s="10" t="inlineStr"/>
      <c r="N49" s="10" t="inlineStr"/>
      <c r="O49" s="10" t="inlineStr"/>
      <c r="P49" s="10" t="inlineStr"/>
      <c r="Q49" s="10" t="inlineStr"/>
      <c r="R49" s="10" t="inlineStr"/>
      <c r="S49" s="10" t="inlineStr"/>
      <c r="T49" s="10" t="inlineStr"/>
      <c r="U49" s="10" t="inlineStr"/>
      <c r="V49" s="10" t="inlineStr">
        <is>
          <t>Medium</t>
        </is>
      </c>
      <c r="W49" s="10" t="inlineStr">
        <is>
          <t>Independent retailer; Core relevant category</t>
        </is>
      </c>
      <c r="X49" s="10" t="inlineStr">
        <is>
          <t>Verified directory</t>
        </is>
      </c>
      <c r="Y49" s="10" t="inlineStr">
        <is>
          <t>Not Found</t>
        </is>
      </c>
      <c r="Z49" s="10" t="inlineStr">
        <is>
          <t>Medium</t>
        </is>
      </c>
      <c r="AA49" s="10" t="inlineStr">
        <is>
          <t>Requires Verification</t>
        </is>
      </c>
      <c r="AB49" s="10" t="inlineStr">
        <is>
          <t>https://www.yell.com/biz/the-pipe-shop-ltd-edinburgh-689764/</t>
        </is>
      </c>
    </row>
    <row r="50">
      <c r="A50" s="5" t="inlineStr">
        <is>
          <t>WY-0160</t>
        </is>
      </c>
      <c r="B50" s="5" t="inlineStr">
        <is>
          <t>WY-0160-01</t>
        </is>
      </c>
      <c r="C50" s="5" t="inlineStr"/>
      <c r="D50" s="5" t="inlineStr">
        <is>
          <t>The Shisha Shop Bradford</t>
        </is>
      </c>
      <c r="E50" s="5" t="inlineStr">
        <is>
          <t>Smoke / Shisha Shop</t>
        </is>
      </c>
      <c r="F50" s="5" t="inlineStr">
        <is>
          <t>Shisha retail &amp; wholesale (pipes, flavour, charcoal)</t>
        </is>
      </c>
      <c r="G50" s="5" t="inlineStr">
        <is>
          <t>Independent</t>
        </is>
      </c>
      <c r="H50" s="5" t="inlineStr">
        <is>
          <t>1</t>
        </is>
      </c>
      <c r="I50" s="5" t="inlineStr">
        <is>
          <t>61 Leeds Road</t>
        </is>
      </c>
      <c r="J50" s="5" t="inlineStr">
        <is>
          <t>Bradford</t>
        </is>
      </c>
      <c r="K50" s="5" t="inlineStr">
        <is>
          <t>BD1 5DY</t>
        </is>
      </c>
      <c r="L50" s="5" t="inlineStr">
        <is>
          <t>07466 392838</t>
        </is>
      </c>
      <c r="M50" s="5" t="inlineStr"/>
      <c r="N50" s="5" t="inlineStr"/>
      <c r="O50" s="5" t="inlineStr"/>
      <c r="P50" s="5" t="inlineStr"/>
      <c r="Q50" s="5" t="inlineStr">
        <is>
          <t>https://www.instagram.com/theshishashopbradford/</t>
        </is>
      </c>
      <c r="R50" s="5" t="inlineStr"/>
      <c r="S50" s="5" t="inlineStr"/>
      <c r="T50" s="5" t="inlineStr"/>
      <c r="U50" s="5" t="inlineStr"/>
      <c r="V50" s="5" t="inlineStr">
        <is>
          <t>Medium</t>
        </is>
      </c>
      <c r="W50" s="5" t="inlineStr">
        <is>
          <t>Independent retailer; Core relevant category; Social presence</t>
        </is>
      </c>
      <c r="X50" s="5" t="inlineStr">
        <is>
          <t>Unverified</t>
        </is>
      </c>
      <c r="Y50" s="5" t="inlineStr">
        <is>
          <t>Not Found</t>
        </is>
      </c>
      <c r="Z50" s="5" t="inlineStr">
        <is>
          <t>Medium</t>
        </is>
      </c>
      <c r="AA50" s="5" t="inlineStr">
        <is>
          <t>Requires Verification</t>
        </is>
      </c>
      <c r="AB50" s="5" t="inlineStr">
        <is>
          <t>https://www.instagram.com/theshishashopbradford/</t>
        </is>
      </c>
    </row>
    <row r="51">
      <c r="A51" s="10" t="inlineStr">
        <is>
          <t>UK-000396</t>
        </is>
      </c>
      <c r="B51" s="10" t="inlineStr">
        <is>
          <t>UK-000396-01</t>
        </is>
      </c>
      <c r="C51" s="10" t="inlineStr"/>
      <c r="D51" s="10" t="inlineStr">
        <is>
          <t>Two Apples Restaurant &amp; Shisha Lounge</t>
        </is>
      </c>
      <c r="E51" s="10" t="inlineStr">
        <is>
          <t>Smoke / Shisha Shop</t>
        </is>
      </c>
      <c r="F51" s="10" t="inlineStr">
        <is>
          <t>Restaurant &amp; shisha lounge</t>
        </is>
      </c>
      <c r="G51" s="10" t="inlineStr">
        <is>
          <t>Independent</t>
        </is>
      </c>
      <c r="H51" s="10" t="inlineStr">
        <is>
          <t>1</t>
        </is>
      </c>
      <c r="I51" s="10" t="inlineStr">
        <is>
          <t>The Queens, 341 Rochdale Road</t>
        </is>
      </c>
      <c r="J51" s="10" t="inlineStr">
        <is>
          <t>Oldham</t>
        </is>
      </c>
      <c r="K51" s="10" t="inlineStr">
        <is>
          <t>OL1 2HD</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Independent retailer; Core relevant category</t>
        </is>
      </c>
      <c r="X51" s="10" t="inlineStr">
        <is>
          <t>Not Found</t>
        </is>
      </c>
      <c r="Y51" s="10" t="inlineStr">
        <is>
          <t>Not Found</t>
        </is>
      </c>
      <c r="Z51" s="10" t="inlineStr">
        <is>
          <t>Low</t>
        </is>
      </c>
      <c r="AA51" s="10" t="inlineStr">
        <is>
          <t>Requires Verification</t>
        </is>
      </c>
      <c r="AB51" s="10" t="inlineStr">
        <is>
          <t>https://shisha.com/listing/shisha-bar-lounge-two-apples-restaurant-oldham/</t>
        </is>
      </c>
    </row>
    <row r="52">
      <c r="A52" s="5" t="inlineStr">
        <is>
          <t>UK-000397</t>
        </is>
      </c>
      <c r="B52" s="5" t="inlineStr">
        <is>
          <t>UK-000397-01</t>
        </is>
      </c>
      <c r="C52" s="5" t="inlineStr"/>
      <c r="D52" s="5" t="inlineStr">
        <is>
          <t>Two Apples Shisha (Cheetham Hill)</t>
        </is>
      </c>
      <c r="E52" s="5" t="inlineStr">
        <is>
          <t>Smoke / Shisha Shop</t>
        </is>
      </c>
      <c r="F52" s="5" t="inlineStr">
        <is>
          <t>Hookah bar</t>
        </is>
      </c>
      <c r="G52" s="5" t="inlineStr">
        <is>
          <t>Independent</t>
        </is>
      </c>
      <c r="H52" s="5" t="inlineStr">
        <is>
          <t>1</t>
        </is>
      </c>
      <c r="I52" s="5" t="inlineStr">
        <is>
          <t>103 Queens Road</t>
        </is>
      </c>
      <c r="J52" s="5" t="inlineStr">
        <is>
          <t>Manchester</t>
        </is>
      </c>
      <c r="K52" s="5" t="inlineStr">
        <is>
          <t>M8 8UT</t>
        </is>
      </c>
      <c r="L52" s="5" t="inlineStr">
        <is>
          <t>0161 278 7264</t>
        </is>
      </c>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Verified directory</t>
        </is>
      </c>
      <c r="Y52" s="5" t="inlineStr">
        <is>
          <t>Not Found</t>
        </is>
      </c>
      <c r="Z52" s="5" t="inlineStr">
        <is>
          <t>Low</t>
        </is>
      </c>
      <c r="AA52" s="5" t="inlineStr">
        <is>
          <t>Requires Verification</t>
        </is>
      </c>
      <c r="AB52" s="5" t="inlineStr">
        <is>
          <t>https://two-apples-shisha.wheree.com/</t>
        </is>
      </c>
    </row>
    <row r="53">
      <c r="A53" s="10" t="inlineStr">
        <is>
          <t>UK-000527</t>
        </is>
      </c>
      <c r="B53" s="10" t="inlineStr">
        <is>
          <t>UK-000527-01</t>
        </is>
      </c>
      <c r="C53" s="10" t="inlineStr"/>
      <c r="D53" s="10" t="inlineStr">
        <is>
          <t>U Wish Lounge</t>
        </is>
      </c>
      <c r="E53" s="10" t="inlineStr">
        <is>
          <t>Smoke / Shisha Shop</t>
        </is>
      </c>
      <c r="F53" s="10" t="inlineStr">
        <is>
          <t>Shisha lounge</t>
        </is>
      </c>
      <c r="G53" s="10" t="inlineStr">
        <is>
          <t>Independent</t>
        </is>
      </c>
      <c r="H53" s="10" t="inlineStr">
        <is>
          <t>1</t>
        </is>
      </c>
      <c r="I53" s="10" t="inlineStr">
        <is>
          <t>81 Eyre Street</t>
        </is>
      </c>
      <c r="J53" s="10" t="inlineStr">
        <is>
          <t>Birmingham</t>
        </is>
      </c>
      <c r="K53" s="10" t="inlineStr"/>
      <c r="L53" s="10" t="inlineStr"/>
      <c r="M53" s="10" t="inlineStr"/>
      <c r="N53" s="10" t="inlineStr"/>
      <c r="O53" s="10" t="inlineStr">
        <is>
          <t>https://uwishlounge.co.uk/</t>
        </is>
      </c>
      <c r="P53" s="10" t="inlineStr"/>
      <c r="Q53" s="10" t="inlineStr"/>
      <c r="R53" s="10" t="inlineStr"/>
      <c r="S53" s="10" t="inlineStr"/>
      <c r="T53" s="10" t="inlineStr"/>
      <c r="U53" s="10" t="inlineStr"/>
      <c r="V53" s="10" t="inlineStr">
        <is>
          <t>Medium</t>
        </is>
      </c>
      <c r="W53" s="10" t="inlineStr">
        <is>
          <t>Independent retailer; Core relevant category; Active website</t>
        </is>
      </c>
      <c r="X53" s="10" t="inlineStr">
        <is>
          <t>Not Found</t>
        </is>
      </c>
      <c r="Y53" s="10" t="inlineStr">
        <is>
          <t>Website Found</t>
        </is>
      </c>
      <c r="Z53" s="10" t="inlineStr">
        <is>
          <t>Low</t>
        </is>
      </c>
      <c r="AA53" s="10" t="inlineStr">
        <is>
          <t>Requires Verification</t>
        </is>
      </c>
      <c r="AB53" s="10" t="inlineStr">
        <is>
          <t>https://uwishlounge.co.uk/</t>
        </is>
      </c>
    </row>
    <row r="54">
      <c r="A54" s="5" t="inlineStr">
        <is>
          <t>UK-000680</t>
        </is>
      </c>
      <c r="B54" s="5" t="inlineStr">
        <is>
          <t>UK-000680-01</t>
        </is>
      </c>
      <c r="C54" s="5" t="inlineStr"/>
      <c r="D54" s="5" t="inlineStr">
        <is>
          <t>Vaporz &amp; Shisha</t>
        </is>
      </c>
      <c r="E54" s="5" t="inlineStr">
        <is>
          <t>Smoke / Shisha Shop</t>
        </is>
      </c>
      <c r="F54" s="5" t="inlineStr">
        <is>
          <t>Shisha &amp; vape retailer</t>
        </is>
      </c>
      <c r="G54" s="5" t="inlineStr">
        <is>
          <t>Independent</t>
        </is>
      </c>
      <c r="H54" s="5" t="inlineStr">
        <is>
          <t>1</t>
        </is>
      </c>
      <c r="I54" s="5" t="inlineStr">
        <is>
          <t>137 Edgware Road</t>
        </is>
      </c>
      <c r="J54" s="5" t="inlineStr">
        <is>
          <t>London</t>
        </is>
      </c>
      <c r="K54" s="5" t="inlineStr">
        <is>
          <t>W2 2DN</t>
        </is>
      </c>
      <c r="L54" s="5" t="inlineStr">
        <is>
          <t>07521 262536</t>
        </is>
      </c>
      <c r="M54" s="5" t="inlineStr"/>
      <c r="N54" s="5" t="inlineStr"/>
      <c r="O54" s="5" t="inlineStr"/>
      <c r="P54" s="5" t="inlineStr"/>
      <c r="Q54" s="5" t="inlineStr"/>
      <c r="R54" s="5" t="inlineStr"/>
      <c r="S54" s="5" t="inlineStr"/>
      <c r="T54" s="5" t="inlineStr"/>
      <c r="U54" s="5" t="inlineStr"/>
      <c r="V54" s="5" t="inlineStr">
        <is>
          <t>Medium</t>
        </is>
      </c>
      <c r="W54" s="5" t="inlineStr">
        <is>
          <t>Independent retailer; Core relevant category</t>
        </is>
      </c>
      <c r="X54" s="5" t="inlineStr">
        <is>
          <t>Verified directory</t>
        </is>
      </c>
      <c r="Y54" s="5" t="inlineStr">
        <is>
          <t>Not Found</t>
        </is>
      </c>
      <c r="Z54" s="5" t="inlineStr">
        <is>
          <t>Medium</t>
        </is>
      </c>
      <c r="AA54" s="5" t="inlineStr">
        <is>
          <t>Requires Verification</t>
        </is>
      </c>
      <c r="AB54" s="5" t="inlineStr">
        <is>
          <t>https://london.cylex-uk.co.uk/company/vaporz---shisha-28671460.html</t>
        </is>
      </c>
    </row>
    <row r="55">
      <c r="A55" s="10" t="inlineStr">
        <is>
          <t>UK-000411</t>
        </is>
      </c>
      <c r="B55" s="10" t="inlineStr">
        <is>
          <t>UK-000411-01</t>
        </is>
      </c>
      <c r="C55" s="10" t="inlineStr"/>
      <c r="D55" s="10" t="inlineStr">
        <is>
          <t>Village &amp; Shisha Lounge (Rusholme)</t>
        </is>
      </c>
      <c r="E55" s="10" t="inlineStr">
        <is>
          <t>Smoke / Shisha Shop</t>
        </is>
      </c>
      <c r="F55" s="10" t="inlineStr">
        <is>
          <t>Shisha lounge / restaurant</t>
        </is>
      </c>
      <c r="G55" s="10" t="inlineStr">
        <is>
          <t>Independent</t>
        </is>
      </c>
      <c r="H55" s="10" t="inlineStr">
        <is>
          <t>1</t>
        </is>
      </c>
      <c r="I55" s="10" t="inlineStr">
        <is>
          <t>97 Wilmslow Road</t>
        </is>
      </c>
      <c r="J55" s="10" t="inlineStr">
        <is>
          <t>Manchester</t>
        </is>
      </c>
      <c r="K55" s="10" t="inlineStr">
        <is>
          <t>M14 5SU</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Not Found</t>
        </is>
      </c>
      <c r="Y55" s="10" t="inlineStr">
        <is>
          <t>Not Found</t>
        </is>
      </c>
      <c r="Z55" s="10" t="inlineStr">
        <is>
          <t>Low</t>
        </is>
      </c>
      <c r="AA55" s="10" t="inlineStr">
        <is>
          <t>Requires Verification</t>
        </is>
      </c>
      <c r="AB55" s="10" t="inlineStr">
        <is>
          <t>https://www.onionring.co.uk/restaurants/8504/Village-&amp;-Shisha-Lounge/</t>
        </is>
      </c>
    </row>
    <row r="56">
      <c r="A56" s="5" t="inlineStr">
        <is>
          <t>UK-000545</t>
        </is>
      </c>
      <c r="B56" s="5" t="inlineStr">
        <is>
          <t>UK-000545-01</t>
        </is>
      </c>
      <c r="C56" s="5" t="inlineStr"/>
      <c r="D56" s="5" t="inlineStr">
        <is>
          <t>Yalda Nights Shisha Lounge</t>
        </is>
      </c>
      <c r="E56" s="5" t="inlineStr">
        <is>
          <t>Smoke / Shisha Shop</t>
        </is>
      </c>
      <c r="F56" s="5" t="inlineStr">
        <is>
          <t>Shisha lounge</t>
        </is>
      </c>
      <c r="G56" s="5" t="inlineStr">
        <is>
          <t>Independent</t>
        </is>
      </c>
      <c r="H56" s="5" t="inlineStr">
        <is>
          <t>1</t>
        </is>
      </c>
      <c r="I56" s="5" t="inlineStr">
        <is>
          <t>Sunbeam Street</t>
        </is>
      </c>
      <c r="J56" s="5" t="inlineStr">
        <is>
          <t>Wolverhampton</t>
        </is>
      </c>
      <c r="K56" s="5" t="inlineStr">
        <is>
          <t>WV2 4PF</t>
        </is>
      </c>
      <c r="L56" s="5" t="inlineStr"/>
      <c r="M56" s="5" t="inlineStr"/>
      <c r="N56" s="5" t="inlineStr"/>
      <c r="O56" s="5" t="inlineStr"/>
      <c r="P56" s="5" t="inlineStr">
        <is>
          <t>https://www.facebook.com/p/Yalda-Nights-Shisha-Lounge-100054290121231/</t>
        </is>
      </c>
      <c r="Q56" s="5" t="inlineStr"/>
      <c r="R56" s="5" t="inlineStr"/>
      <c r="S56" s="5" t="inlineStr"/>
      <c r="T56" s="5" t="inlineStr"/>
      <c r="U56" s="5" t="inlineStr"/>
      <c r="V56" s="5" t="inlineStr">
        <is>
          <t>Medium</t>
        </is>
      </c>
      <c r="W56" s="5" t="inlineStr">
        <is>
          <t>Independent retailer; Core relevant category; Social presence</t>
        </is>
      </c>
      <c r="X56" s="5" t="inlineStr">
        <is>
          <t>Not Found</t>
        </is>
      </c>
      <c r="Y56" s="5" t="inlineStr">
        <is>
          <t>Not Found</t>
        </is>
      </c>
      <c r="Z56" s="5" t="inlineStr">
        <is>
          <t>Low</t>
        </is>
      </c>
      <c r="AA56" s="5" t="inlineStr">
        <is>
          <t>Requires Verification</t>
        </is>
      </c>
      <c r="AB56" s="5" t="inlineStr">
        <is>
          <t>https://www.facebook.com/100054290121231/about/</t>
        </is>
      </c>
    </row>
  </sheetData>
  <autoFilter ref="A1:AB5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6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UK-000422</t>
        </is>
      </c>
      <c r="B11" s="10" t="inlineStr">
        <is>
          <t>BESTWAYWHO-01</t>
        </is>
      </c>
      <c r="C11" s="10" t="inlineStr">
        <is>
          <t>Bestway Wholesale</t>
        </is>
      </c>
      <c r="D11" s="10" t="inlineStr">
        <is>
          <t>Bestway Walsall</t>
        </is>
      </c>
      <c r="E11" s="10" t="inlineStr">
        <is>
          <t>Cash &amp; Carry</t>
        </is>
      </c>
      <c r="F11" s="10" t="inlineStr">
        <is>
          <t>Grocery &amp; tobacco wholesale depot</t>
        </is>
      </c>
      <c r="G11" s="10" t="inlineStr">
        <is>
          <t>National Chain</t>
        </is>
      </c>
      <c r="H11" s="10" t="inlineStr">
        <is>
          <t>1</t>
        </is>
      </c>
      <c r="I11" s="10" t="inlineStr">
        <is>
          <t>9-10 Bloxwich Lane</t>
        </is>
      </c>
      <c r="J11" s="10" t="inlineStr">
        <is>
          <t>Walsall</t>
        </is>
      </c>
      <c r="K11" s="10" t="inlineStr">
        <is>
          <t>WS2 8TF</t>
        </is>
      </c>
      <c r="L11" s="10" t="inlineStr">
        <is>
          <t>01922 633561</t>
        </is>
      </c>
      <c r="M11" s="10" t="inlineStr"/>
      <c r="N11" s="10" t="inlineStr"/>
      <c r="O11" s="10" t="inlineStr">
        <is>
          <t>https://www.bestwaywholesale.co.uk/depots/Bestway-Walsall</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Website Found</t>
        </is>
      </c>
      <c r="Z11" s="10" t="inlineStr">
        <is>
          <t>High</t>
        </is>
      </c>
      <c r="AA11" s="10" t="inlineStr">
        <is>
          <t>Partially Verified</t>
        </is>
      </c>
      <c r="AB11" s="10" t="inlineStr">
        <is>
          <t>https://www.bestwaywholesale.co.uk/depots/Bestway-Walsall</t>
        </is>
      </c>
    </row>
    <row r="12">
      <c r="A12" s="5" t="inlineStr">
        <is>
          <t>UK-000704</t>
        </is>
      </c>
      <c r="B12" s="5" t="inlineStr">
        <is>
          <t>CAMPBELLSP-01</t>
        </is>
      </c>
      <c r="C12" s="5" t="inlineStr">
        <is>
          <t>Campbells Prime Meat</t>
        </is>
      </c>
      <c r="D12" s="5" t="inlineStr">
        <is>
          <t>Campbells Cash &amp; Carry</t>
        </is>
      </c>
      <c r="E12" s="5" t="inlineStr">
        <is>
          <t>Cash &amp; Carry</t>
        </is>
      </c>
      <c r="F12" s="5" t="inlineStr">
        <is>
          <t>Meat &amp; foodservice cash &amp; carry / wholesale</t>
        </is>
      </c>
      <c r="G12" s="5" t="inlineStr">
        <is>
          <t>Regional Chain</t>
        </is>
      </c>
      <c r="H12" s="5" t="inlineStr">
        <is>
          <t>1</t>
        </is>
      </c>
      <c r="I12" s="5" t="inlineStr">
        <is>
          <t>Sighthill Industrial Estate</t>
        </is>
      </c>
      <c r="J12" s="5" t="inlineStr">
        <is>
          <t>Edinburgh</t>
        </is>
      </c>
      <c r="K12" s="5" t="inlineStr">
        <is>
          <t>EH11 4BP</t>
        </is>
      </c>
      <c r="L12" s="5" t="inlineStr">
        <is>
          <t>0131 442 4999</t>
        </is>
      </c>
      <c r="M12" s="5" t="inlineStr"/>
      <c r="N12" s="5" t="inlineStr"/>
      <c r="O12" s="5" t="inlineStr">
        <is>
          <t>https://www.campbellsmeat.com</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Website Found</t>
        </is>
      </c>
      <c r="Z12" s="5" t="inlineStr">
        <is>
          <t>Medium</t>
        </is>
      </c>
      <c r="AA12" s="5" t="inlineStr">
        <is>
          <t>Requires Verification</t>
        </is>
      </c>
      <c r="AB12" s="5" t="inlineStr">
        <is>
          <t>https://edinburgh.cylex-uk.co.uk/company/campbells-cash---carry-17079450.html</t>
        </is>
      </c>
    </row>
    <row r="13">
      <c r="A13" s="10" t="inlineStr">
        <is>
          <t>UK-000552</t>
        </is>
      </c>
      <c r="B13" s="10" t="inlineStr">
        <is>
          <t>DHAMECHAFO-01</t>
        </is>
      </c>
      <c r="C13" s="10" t="inlineStr">
        <is>
          <t>Dhamecha Foods</t>
        </is>
      </c>
      <c r="D13" s="10" t="inlineStr">
        <is>
          <t>Dhamecha Cash &amp; Carry (Wembley)</t>
        </is>
      </c>
      <c r="E13" s="10" t="inlineStr">
        <is>
          <t>Cash &amp; Carry</t>
        </is>
      </c>
      <c r="F13" s="10" t="inlineStr"/>
      <c r="G13" s="10" t="inlineStr">
        <is>
          <t>Regional Chain</t>
        </is>
      </c>
      <c r="H13" s="10" t="inlineStr">
        <is>
          <t>1</t>
        </is>
      </c>
      <c r="I13" s="10" t="inlineStr">
        <is>
          <t>First Way</t>
        </is>
      </c>
      <c r="J13" s="10" t="inlineStr">
        <is>
          <t>Wembley</t>
        </is>
      </c>
      <c r="K13" s="10" t="inlineStr">
        <is>
          <t>HA9 0TU</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Not Found</t>
        </is>
      </c>
      <c r="Y13" s="10" t="inlineStr">
        <is>
          <t>Not Found</t>
        </is>
      </c>
      <c r="Z13" s="10" t="inlineStr">
        <is>
          <t>Medium</t>
        </is>
      </c>
      <c r="AA13" s="10" t="inlineStr">
        <is>
          <t>Requires Verification</t>
        </is>
      </c>
      <c r="AB13" s="10" t="inlineStr">
        <is>
          <t>https://www.yell.com/biz/dhamecha-cash-and-carry-wembley-3748600/</t>
        </is>
      </c>
    </row>
    <row r="14">
      <c r="A14" s="5" t="inlineStr">
        <is>
          <t>UK-000424</t>
        </is>
      </c>
      <c r="B14" s="5" t="inlineStr">
        <is>
          <t>EASTENDFOO-01</t>
        </is>
      </c>
      <c r="C14" s="5" t="inlineStr">
        <is>
          <t>East End Foods PLC</t>
        </is>
      </c>
      <c r="D14" s="5" t="inlineStr">
        <is>
          <t>East End Foods (West Bromwich)</t>
        </is>
      </c>
      <c r="E14" s="5" t="inlineStr">
        <is>
          <t>Cash &amp; Carry</t>
        </is>
      </c>
      <c r="F14" s="5" t="inlineStr">
        <is>
          <t>Cash &amp; carry / world food wholesaler</t>
        </is>
      </c>
      <c r="G14" s="5" t="inlineStr">
        <is>
          <t>Regional Chain</t>
        </is>
      </c>
      <c r="H14" s="5" t="inlineStr">
        <is>
          <t>1</t>
        </is>
      </c>
      <c r="I14" s="5" t="inlineStr"/>
      <c r="J14" s="5" t="inlineStr">
        <is>
          <t>West Bromwich</t>
        </is>
      </c>
      <c r="K14" s="5" t="inlineStr">
        <is>
          <t>B71 4EA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Medium</t>
        </is>
      </c>
      <c r="AA14" s="5" t="inlineStr">
        <is>
          <t>Requires Verification</t>
        </is>
      </c>
      <c r="AB14" s="5" t="inlineStr">
        <is>
          <t>https://www.192.com/atoz/business/west-bromwich-b71/cash-and-carry-wholesalers/east-end-foods/0f373c9585cc38569ca90e77514ccba5124f5435/ml/</t>
        </is>
      </c>
    </row>
    <row r="15">
      <c r="A15" s="10" t="inlineStr">
        <is>
          <t>UK-000707</t>
        </is>
      </c>
      <c r="B15" s="10" t="inlineStr">
        <is>
          <t>FOODPLUS-01</t>
        </is>
      </c>
      <c r="C15" s="10" t="inlineStr">
        <is>
          <t>Food Plus</t>
        </is>
      </c>
      <c r="D15" s="10" t="inlineStr">
        <is>
          <t>Food Plus (Polski Sklep Wawel)</t>
        </is>
      </c>
      <c r="E15" s="10" t="inlineStr">
        <is>
          <t>Independent Supermarket</t>
        </is>
      </c>
      <c r="F15" s="10" t="inlineStr">
        <is>
          <t>Polish / international grocery</t>
        </is>
      </c>
      <c r="G15" s="10" t="inlineStr">
        <is>
          <t>Franchise / Symbol Group</t>
        </is>
      </c>
      <c r="H15" s="10" t="inlineStr">
        <is>
          <t>1</t>
        </is>
      </c>
      <c r="I15" s="10" t="inlineStr"/>
      <c r="J15" s="10" t="inlineStr">
        <is>
          <t>Birkenhead</t>
        </is>
      </c>
      <c r="K15" s="10" t="inlineStr">
        <is>
          <t>CH41 2QQ</t>
        </is>
      </c>
      <c r="L15" s="10" t="inlineStr"/>
      <c r="M15" s="10" t="inlineStr"/>
      <c r="N15" s="10" t="inlineStr"/>
      <c r="O15" s="10" t="inlineStr">
        <is>
          <t>https://www.foodplus.eu/</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Website Found</t>
        </is>
      </c>
      <c r="Z15" s="10" t="inlineStr">
        <is>
          <t>Low</t>
        </is>
      </c>
      <c r="AA15" s="10" t="inlineStr">
        <is>
          <t>Requires Verification</t>
        </is>
      </c>
      <c r="AB15" s="10" t="inlineStr">
        <is>
          <t>https://www.foodplus.eu/en/products/food-plus-polski-sklep-wawel-ch41-2qq-birkenhead</t>
        </is>
      </c>
    </row>
    <row r="16">
      <c r="A16" s="5" t="inlineStr">
        <is>
          <t>UK-000199</t>
        </is>
      </c>
      <c r="B16" s="5" t="inlineStr">
        <is>
          <t>FOODPLUS-02</t>
        </is>
      </c>
      <c r="C16" s="5" t="inlineStr">
        <is>
          <t>Food Plus</t>
        </is>
      </c>
      <c r="D16" s="5" t="inlineStr">
        <is>
          <t>Food Plus Hexthorpe (Polski Sklep)</t>
        </is>
      </c>
      <c r="E16" s="5" t="inlineStr">
        <is>
          <t>Independent Supermarket</t>
        </is>
      </c>
      <c r="F16" s="5" t="inlineStr">
        <is>
          <t>Polish / European grocery store</t>
        </is>
      </c>
      <c r="G16" s="5" t="inlineStr">
        <is>
          <t>Franchise / Symbol Group</t>
        </is>
      </c>
      <c r="H16" s="5" t="inlineStr">
        <is>
          <t>1</t>
        </is>
      </c>
      <c r="I16" s="5" t="inlineStr"/>
      <c r="J16" s="5" t="inlineStr">
        <is>
          <t>Doncaster</t>
        </is>
      </c>
      <c r="K16" s="5" t="inlineStr">
        <is>
          <t>DN4 0BD</t>
        </is>
      </c>
      <c r="L16" s="5" t="inlineStr"/>
      <c r="M16" s="5" t="inlineStr"/>
      <c r="N16" s="5" t="inlineStr"/>
      <c r="O16" s="5" t="inlineStr">
        <is>
          <t>https://www.foodplus.eu/</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Not Found</t>
        </is>
      </c>
      <c r="Y16" s="5" t="inlineStr">
        <is>
          <t>Website Found</t>
        </is>
      </c>
      <c r="Z16" s="5" t="inlineStr">
        <is>
          <t>Low</t>
        </is>
      </c>
      <c r="AA16" s="5" t="inlineStr">
        <is>
          <t>Requires Verification</t>
        </is>
      </c>
      <c r="AB16" s="5" t="inlineStr">
        <is>
          <t>https://www.foodplus.eu/en/map/food-plus-polski-sklep-hexthorpe-dn4-0bd-doncaster</t>
        </is>
      </c>
    </row>
    <row r="17">
      <c r="A17" s="10" t="inlineStr">
        <is>
          <t>UK-000200</t>
        </is>
      </c>
      <c r="B17" s="10" t="inlineStr">
        <is>
          <t>FOODPLUS-03</t>
        </is>
      </c>
      <c r="C17" s="10" t="inlineStr">
        <is>
          <t>Food Plus</t>
        </is>
      </c>
      <c r="D17" s="10" t="inlineStr">
        <is>
          <t>Food Plus Rotherham (Polski Sklep)</t>
        </is>
      </c>
      <c r="E17" s="10" t="inlineStr">
        <is>
          <t>Independent Supermarket</t>
        </is>
      </c>
      <c r="F17" s="10" t="inlineStr">
        <is>
          <t>Polish / European grocery store</t>
        </is>
      </c>
      <c r="G17" s="10" t="inlineStr">
        <is>
          <t>Franchise / Symbol Group</t>
        </is>
      </c>
      <c r="H17" s="10" t="inlineStr">
        <is>
          <t>1</t>
        </is>
      </c>
      <c r="I17" s="10" t="inlineStr"/>
      <c r="J17" s="10" t="inlineStr">
        <is>
          <t>Rotherham</t>
        </is>
      </c>
      <c r="K17" s="10" t="inlineStr"/>
      <c r="L17" s="10" t="inlineStr"/>
      <c r="M17" s="10" t="inlineStr"/>
      <c r="N17" s="10" t="inlineStr"/>
      <c r="O17" s="10" t="inlineStr">
        <is>
          <t>https://www.foodplus.eu/</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Website Found</t>
        </is>
      </c>
      <c r="Z17" s="10" t="inlineStr">
        <is>
          <t>Low</t>
        </is>
      </c>
      <c r="AA17" s="10" t="inlineStr">
        <is>
          <t>Requires Verification</t>
        </is>
      </c>
      <c r="AB17" s="10" t="inlineStr">
        <is>
          <t>https://www.yorkshire.com/rotherham/shopping/grocers</t>
        </is>
      </c>
    </row>
    <row r="18">
      <c r="A18" s="5" t="inlineStr">
        <is>
          <t>UK-000430</t>
        </is>
      </c>
      <c r="B18" s="5" t="inlineStr">
        <is>
          <t>HYPERAMAPL-01</t>
        </is>
      </c>
      <c r="C18" s="5" t="inlineStr">
        <is>
          <t>Hyperama PLC</t>
        </is>
      </c>
      <c r="D18" s="5" t="inlineStr">
        <is>
          <t>Hyperama Wholesale West Bromwich</t>
        </is>
      </c>
      <c r="E18" s="5" t="inlineStr">
        <is>
          <t>Cash &amp; Carry</t>
        </is>
      </c>
      <c r="F18" s="5" t="inlineStr">
        <is>
          <t>Cash &amp; carry wholesaler</t>
        </is>
      </c>
      <c r="G18" s="5" t="inlineStr">
        <is>
          <t>Regional Chain</t>
        </is>
      </c>
      <c r="H18" s="5" t="inlineStr">
        <is>
          <t>1</t>
        </is>
      </c>
      <c r="I18" s="5" t="inlineStr"/>
      <c r="J18" s="5" t="inlineStr">
        <is>
          <t>West Bromwich</t>
        </is>
      </c>
      <c r="K18" s="5" t="inlineStr">
        <is>
          <t>B70</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Not Found</t>
        </is>
      </c>
      <c r="Y18" s="5" t="inlineStr">
        <is>
          <t>Not Found</t>
        </is>
      </c>
      <c r="Z18" s="5" t="inlineStr">
        <is>
          <t>Medium</t>
        </is>
      </c>
      <c r="AA18" s="5" t="inlineStr">
        <is>
          <t>Requires Verification</t>
        </is>
      </c>
      <c r="AB18" s="5" t="inlineStr">
        <is>
          <t>https://www.yell.com/biz/hyperama-wholesale-west-bromwich-1694009/</t>
        </is>
      </c>
    </row>
    <row r="19">
      <c r="A19" s="10" t="inlineStr">
        <is>
          <t>UK-000708</t>
        </is>
      </c>
      <c r="B19" s="10" t="inlineStr">
        <is>
          <t>JWFILSHILL-01</t>
        </is>
      </c>
      <c r="C19" s="10" t="inlineStr">
        <is>
          <t>J.W. Filshill Ltd</t>
        </is>
      </c>
      <c r="D19" s="10" t="inlineStr">
        <is>
          <t>J.W. Filshill Ltd</t>
        </is>
      </c>
      <c r="E19" s="10" t="inlineStr">
        <is>
          <t>Cash &amp; Carry</t>
        </is>
      </c>
      <c r="F19" s="10" t="inlineStr">
        <is>
          <t>Wholesale distributor and cash &amp; carry (KeyStore symbol group)</t>
        </is>
      </c>
      <c r="G19" s="10" t="inlineStr">
        <is>
          <t>Regional Chain</t>
        </is>
      </c>
      <c r="H19" s="10" t="inlineStr">
        <is>
          <t>1</t>
        </is>
      </c>
      <c r="I19" s="10" t="inlineStr">
        <is>
          <t>201 Ainslie Avenue</t>
        </is>
      </c>
      <c r="J19" s="10" t="inlineStr">
        <is>
          <t>Glasgow</t>
        </is>
      </c>
      <c r="K19" s="10" t="inlineStr">
        <is>
          <t>G52 4HE</t>
        </is>
      </c>
      <c r="L19" s="10" t="inlineStr">
        <is>
          <t>0141 883 7071</t>
        </is>
      </c>
      <c r="M19" s="10" t="inlineStr"/>
      <c r="N19" s="10" t="inlineStr"/>
      <c r="O19" s="10" t="inlineStr">
        <is>
          <t>https://www.filshill.co.uk/</t>
        </is>
      </c>
      <c r="P19" s="10" t="inlineStr">
        <is>
          <t>https://www.facebook.com/filshill/</t>
        </is>
      </c>
      <c r="Q19" s="10" t="inlineStr"/>
      <c r="R19" s="10" t="inlineStr"/>
      <c r="S19" s="10" t="inlineStr"/>
      <c r="T19" s="10" t="inlineStr"/>
      <c r="U19" s="10" t="inlineStr"/>
      <c r="V19" s="10" t="inlineStr">
        <is>
          <t>High</t>
        </is>
      </c>
      <c r="W19" s="10" t="inlineStr">
        <is>
          <t>Multi-site retailer; Core relevant category; Active website; Social presence</t>
        </is>
      </c>
      <c r="X19" s="10" t="inlineStr">
        <is>
          <t>Verified directory</t>
        </is>
      </c>
      <c r="Y19" s="10" t="inlineStr">
        <is>
          <t>Website Found</t>
        </is>
      </c>
      <c r="Z19" s="10" t="inlineStr">
        <is>
          <t>Medium</t>
        </is>
      </c>
      <c r="AA19" s="10" t="inlineStr">
        <is>
          <t>Requires Verification</t>
        </is>
      </c>
      <c r="AB19" s="10" t="inlineStr">
        <is>
          <t>https://www.filshill.co.uk/about/</t>
        </is>
      </c>
    </row>
    <row r="20">
      <c r="A20" s="5" t="inlineStr">
        <is>
          <t>UK-000709</t>
        </is>
      </c>
      <c r="B20" s="5" t="inlineStr">
        <is>
          <t>LOCAVORECI-01</t>
        </is>
      </c>
      <c r="C20" s="5" t="inlineStr">
        <is>
          <t>Locavore CIC</t>
        </is>
      </c>
      <c r="D20" s="5" t="inlineStr">
        <is>
          <t>Locavore (Govanhill)</t>
        </is>
      </c>
      <c r="E20" s="5" t="inlineStr">
        <is>
          <t>Independent Supermarket</t>
        </is>
      </c>
      <c r="F20" s="5" t="inlineStr">
        <is>
          <t>Organic / local produce grocery (CIC)</t>
        </is>
      </c>
      <c r="G20" s="5" t="inlineStr">
        <is>
          <t>Multi-Site Independent</t>
        </is>
      </c>
      <c r="H20" s="5" t="inlineStr">
        <is>
          <t>2</t>
        </is>
      </c>
      <c r="I20" s="5" t="inlineStr">
        <is>
          <t>349 Victoria Road</t>
        </is>
      </c>
      <c r="J20" s="5" t="inlineStr">
        <is>
          <t>Glasgow</t>
        </is>
      </c>
      <c r="K20" s="5" t="inlineStr">
        <is>
          <t>G42 7SA</t>
        </is>
      </c>
      <c r="L20" s="5" t="inlineStr">
        <is>
          <t>0141 378 1680</t>
        </is>
      </c>
      <c r="M20" s="5" t="inlineStr"/>
      <c r="N20" s="5" t="inlineStr"/>
      <c r="O20" s="5" t="inlineStr">
        <is>
          <t>https://www.locavore.scot/</t>
        </is>
      </c>
      <c r="P20" s="5" t="inlineStr">
        <is>
          <t>https://www.facebook.com/LocavoreCIC/</t>
        </is>
      </c>
      <c r="Q20" s="5" t="inlineStr"/>
      <c r="R20" s="5" t="inlineStr"/>
      <c r="S20" s="5" t="inlineStr"/>
      <c r="T20" s="5" t="inlineStr"/>
      <c r="U20" s="5" t="inlineStr"/>
      <c r="V20" s="5" t="inlineStr">
        <is>
          <t>High</t>
        </is>
      </c>
      <c r="W20" s="5" t="inlineStr">
        <is>
          <t>Multi-site retailer; Independent retailer; Relevant category; Active website; Social presence</t>
        </is>
      </c>
      <c r="X20" s="5" t="inlineStr">
        <is>
          <t>Verified directory</t>
        </is>
      </c>
      <c r="Y20" s="5" t="inlineStr">
        <is>
          <t>Website Found</t>
        </is>
      </c>
      <c r="Z20" s="5" t="inlineStr">
        <is>
          <t>Medium</t>
        </is>
      </c>
      <c r="AA20" s="5" t="inlineStr">
        <is>
          <t>Requires Verification</t>
        </is>
      </c>
      <c r="AB20" s="5" t="inlineStr">
        <is>
          <t>https://www.locavore.scot/farm-shop</t>
        </is>
      </c>
    </row>
    <row r="21">
      <c r="A21" s="10" t="inlineStr">
        <is>
          <t>UK-000310</t>
        </is>
      </c>
      <c r="B21" s="10" t="inlineStr">
        <is>
          <t>MANCHESTER-01</t>
        </is>
      </c>
      <c r="C21" s="10" t="inlineStr">
        <is>
          <t>Manchester Super Stores</t>
        </is>
      </c>
      <c r="D21" s="10" t="inlineStr">
        <is>
          <t>Manchester Super Stores (Longsight)</t>
        </is>
      </c>
      <c r="E21" s="10" t="inlineStr">
        <is>
          <t>Independent Supermarket</t>
        </is>
      </c>
      <c r="F21" s="10" t="inlineStr">
        <is>
          <t>Asian/ethnic food supermarket (halal)</t>
        </is>
      </c>
      <c r="G21" s="10" t="inlineStr">
        <is>
          <t>Multi-Site Independent</t>
        </is>
      </c>
      <c r="H21" s="10" t="inlineStr">
        <is>
          <t>3</t>
        </is>
      </c>
      <c r="I21" s="10" t="inlineStr">
        <is>
          <t>536-538 Stockport Road</t>
        </is>
      </c>
      <c r="J21" s="10" t="inlineStr">
        <is>
          <t>Manchester</t>
        </is>
      </c>
      <c r="K21" s="10" t="inlineStr">
        <is>
          <t>M12 4JJ</t>
        </is>
      </c>
      <c r="L21" s="10" t="inlineStr">
        <is>
          <t>0161 721 4495</t>
        </is>
      </c>
      <c r="M21" s="10" t="inlineStr"/>
      <c r="N21" s="10" t="inlineStr"/>
      <c r="O21" s="10" t="inlineStr">
        <is>
          <t>https://manchestersuperstores.co.uk/</t>
        </is>
      </c>
      <c r="P21" s="10" t="inlineStr">
        <is>
          <t>https://www.facebook.com/Manchestersuperstores/</t>
        </is>
      </c>
      <c r="Q21" s="10" t="inlineStr"/>
      <c r="R21" s="10" t="inlineStr"/>
      <c r="S21" s="10" t="inlineStr"/>
      <c r="T21" s="10" t="inlineStr"/>
      <c r="U21" s="10" t="inlineStr"/>
      <c r="V21" s="10" t="inlineStr">
        <is>
          <t>High</t>
        </is>
      </c>
      <c r="W21" s="10" t="inlineStr">
        <is>
          <t>Multi-site retailer; Independent retailer; Relevant category; Active website; Social presence</t>
        </is>
      </c>
      <c r="X21" s="10" t="inlineStr">
        <is>
          <t>Verified directory</t>
        </is>
      </c>
      <c r="Y21" s="10" t="inlineStr">
        <is>
          <t>Website Found</t>
        </is>
      </c>
      <c r="Z21" s="10" t="inlineStr">
        <is>
          <t>Medium</t>
        </is>
      </c>
      <c r="AA21" s="10" t="inlineStr">
        <is>
          <t>Requires Verification</t>
        </is>
      </c>
      <c r="AB21" s="10" t="inlineStr">
        <is>
          <t>https://manchestersuperstores.co.uk/store-locations/manchester-super-stores-in-longsight/</t>
        </is>
      </c>
    </row>
    <row r="22">
      <c r="A22" s="5" t="inlineStr">
        <is>
          <t>UK-000311</t>
        </is>
      </c>
      <c r="B22" s="5" t="inlineStr">
        <is>
          <t>MANCHESTER-02</t>
        </is>
      </c>
      <c r="C22" s="5" t="inlineStr">
        <is>
          <t>Manchester Super Stores</t>
        </is>
      </c>
      <c r="D22" s="5" t="inlineStr">
        <is>
          <t>Manchester Super Stores (Rusholme)</t>
        </is>
      </c>
      <c r="E22" s="5" t="inlineStr">
        <is>
          <t>Independent Supermarket</t>
        </is>
      </c>
      <c r="F22" s="5" t="inlineStr">
        <is>
          <t>Asian/ethnic food supermarket (halal)</t>
        </is>
      </c>
      <c r="G22" s="5" t="inlineStr">
        <is>
          <t>Multi-Site Independent</t>
        </is>
      </c>
      <c r="H22" s="5" t="inlineStr">
        <is>
          <t>3</t>
        </is>
      </c>
      <c r="I22" s="5" t="inlineStr">
        <is>
          <t>132-142 Wilmslow Road</t>
        </is>
      </c>
      <c r="J22" s="5" t="inlineStr">
        <is>
          <t>Manchester</t>
        </is>
      </c>
      <c r="K22" s="5" t="inlineStr">
        <is>
          <t>M14 5AH</t>
        </is>
      </c>
      <c r="L22" s="5" t="inlineStr">
        <is>
          <t>0161 224 5899</t>
        </is>
      </c>
      <c r="M22" s="5" t="inlineStr"/>
      <c r="N22" s="5" t="inlineStr"/>
      <c r="O22" s="5" t="inlineStr">
        <is>
          <t>https://manchestersuperstores.co.uk/</t>
        </is>
      </c>
      <c r="P22" s="5" t="inlineStr">
        <is>
          <t>https://www.facebook.com/Manchestersuperstores/</t>
        </is>
      </c>
      <c r="Q22" s="5" t="inlineStr"/>
      <c r="R22" s="5" t="inlineStr"/>
      <c r="S22" s="5" t="inlineStr"/>
      <c r="T22" s="5" t="inlineStr"/>
      <c r="U22" s="5" t="inlineStr"/>
      <c r="V22" s="5" t="inlineStr">
        <is>
          <t>High</t>
        </is>
      </c>
      <c r="W22" s="5" t="inlineStr">
        <is>
          <t>Multi-site retailer; Independent retailer; Relevant category; Active website; Social presence</t>
        </is>
      </c>
      <c r="X22" s="5" t="inlineStr">
        <is>
          <t>Verified directory</t>
        </is>
      </c>
      <c r="Y22" s="5" t="inlineStr">
        <is>
          <t>Website Found</t>
        </is>
      </c>
      <c r="Z22" s="5" t="inlineStr">
        <is>
          <t>Medium</t>
        </is>
      </c>
      <c r="AA22" s="5" t="inlineStr">
        <is>
          <t>Requires Verification</t>
        </is>
      </c>
      <c r="AB22" s="5" t="inlineStr">
        <is>
          <t>https://manchestersuperstores.co.uk/store-locations/manchester-super-stores-in-rusholme/</t>
        </is>
      </c>
    </row>
    <row r="23">
      <c r="A23" s="10" t="inlineStr">
        <is>
          <t>WY-0017</t>
        </is>
      </c>
      <c r="B23" s="10" t="inlineStr">
        <is>
          <t>MANCHESTER-03</t>
        </is>
      </c>
      <c r="C23" s="10" t="inlineStr">
        <is>
          <t>Manchester Super Stores</t>
        </is>
      </c>
      <c r="D23" s="10" t="inlineStr">
        <is>
          <t>Manchester Superstore (Wakefield)</t>
        </is>
      </c>
      <c r="E23" s="10" t="inlineStr">
        <is>
          <t>Independent Supermarket</t>
        </is>
      </c>
      <c r="F23" s="10" t="inlineStr">
        <is>
          <t>Ethnic / Asian supermarket with halal meat</t>
        </is>
      </c>
      <c r="G23" s="10" t="inlineStr">
        <is>
          <t>Regional Chain</t>
        </is>
      </c>
      <c r="H23" s="10" t="inlineStr"/>
      <c r="I23" s="10" t="inlineStr">
        <is>
          <t>38 Park Lodge Lane</t>
        </is>
      </c>
      <c r="J23" s="10" t="inlineStr">
        <is>
          <t>Wakefield</t>
        </is>
      </c>
      <c r="K23" s="10" t="inlineStr">
        <is>
          <t>WF1 4NL</t>
        </is>
      </c>
      <c r="L23" s="10" t="inlineStr">
        <is>
          <t>01924 369105</t>
        </is>
      </c>
      <c r="M23" s="10" t="inlineStr"/>
      <c r="N23" s="10" t="inlineStr"/>
      <c r="O23" s="10" t="inlineStr">
        <is>
          <t>https://manchestersuperstores.co.uk/store-locations/manchester-super-stores-in-wakefield/</t>
        </is>
      </c>
      <c r="P23" s="10" t="inlineStr">
        <is>
          <t>https://www.facebook.com/p/Manchester-superstore-100067793681757/</t>
        </is>
      </c>
      <c r="Q23" s="10" t="inlineStr"/>
      <c r="R23" s="10" t="inlineStr"/>
      <c r="S23" s="10" t="inlineStr"/>
      <c r="T23" s="10" t="inlineStr">
        <is>
          <t>08447369</t>
        </is>
      </c>
      <c r="U23" s="10" t="inlineStr"/>
      <c r="V23" s="10" t="inlineStr">
        <is>
          <t>Medium</t>
        </is>
      </c>
      <c r="W23" s="10" t="inlineStr">
        <is>
          <t>Multi-site retailer; Relevant category; Active website; Social presence</t>
        </is>
      </c>
      <c r="X23" s="10" t="inlineStr">
        <is>
          <t>Verified directory</t>
        </is>
      </c>
      <c r="Y23" s="10" t="inlineStr">
        <is>
          <t>Website Found</t>
        </is>
      </c>
      <c r="Z23" s="10" t="inlineStr">
        <is>
          <t>Medium</t>
        </is>
      </c>
      <c r="AA23" s="10" t="inlineStr">
        <is>
          <t>Requires Verification</t>
        </is>
      </c>
      <c r="AB23" s="10" t="inlineStr">
        <is>
          <t>https://manchestersuperstores.co.uk/store-locations/manchester-super-stores-in-wakefield/</t>
        </is>
      </c>
    </row>
    <row r="24">
      <c r="A24" s="5" t="inlineStr">
        <is>
          <t>WY-0018</t>
        </is>
      </c>
      <c r="B24" s="5" t="inlineStr">
        <is>
          <t>MANCHESTER-04</t>
        </is>
      </c>
      <c r="C24" s="5" t="inlineStr">
        <is>
          <t>Manchester Super Stores</t>
        </is>
      </c>
      <c r="D24" s="5" t="inlineStr">
        <is>
          <t>Manchester Superstore Bradford</t>
        </is>
      </c>
      <c r="E24" s="5" t="inlineStr">
        <is>
          <t>Independent Supermarket</t>
        </is>
      </c>
      <c r="F24" s="5" t="inlineStr">
        <is>
          <t>Asian / halal superstore</t>
        </is>
      </c>
      <c r="G24" s="5" t="inlineStr">
        <is>
          <t>Multi-Site Independent</t>
        </is>
      </c>
      <c r="H24" s="5" t="inlineStr"/>
      <c r="I24" s="5" t="inlineStr">
        <is>
          <t>Florence Street</t>
        </is>
      </c>
      <c r="J24" s="5" t="inlineStr">
        <is>
          <t>Bradford</t>
        </is>
      </c>
      <c r="K24" s="5" t="inlineStr">
        <is>
          <t>BD3 8EX</t>
        </is>
      </c>
      <c r="L24" s="5" t="inlineStr">
        <is>
          <t>01274 668800</t>
        </is>
      </c>
      <c r="M24" s="5" t="inlineStr">
        <is>
          <t>mssbradford01@gmail.com</t>
        </is>
      </c>
      <c r="N24" s="5" t="inlineStr"/>
      <c r="O24" s="5" t="inlineStr">
        <is>
          <t>https://manchestersuperstores.co.uk/store-locations/manchester-super-stores-in-bradford/</t>
        </is>
      </c>
      <c r="P24" s="5" t="inlineStr">
        <is>
          <t>https://www.facebook.com/p/Manchester-SuperStore-Bradford-100066139307711/</t>
        </is>
      </c>
      <c r="Q24" s="5" t="inlineStr"/>
      <c r="R24" s="5" t="inlineStr"/>
      <c r="S24" s="5" t="inlineStr"/>
      <c r="T24" s="5" t="inlineStr"/>
      <c r="U24" s="5" t="inlineStr"/>
      <c r="V24" s="5" t="inlineStr">
        <is>
          <t>High</t>
        </is>
      </c>
      <c r="W24" s="5" t="inlineStr">
        <is>
          <t>Multi-site retailer; Independent retailer; Relevant category; Public email available; Active website; Social presence</t>
        </is>
      </c>
      <c r="X24" s="5" t="inlineStr">
        <is>
          <t>Verified directory</t>
        </is>
      </c>
      <c r="Y24" s="5" t="inlineStr">
        <is>
          <t>Website Found</t>
        </is>
      </c>
      <c r="Z24" s="5" t="inlineStr">
        <is>
          <t>Medium</t>
        </is>
      </c>
      <c r="AA24" s="5" t="inlineStr">
        <is>
          <t>Partially Verified</t>
        </is>
      </c>
      <c r="AB24" s="5" t="inlineStr">
        <is>
          <t>https://manchestersuperstores.co.uk/store-locations/manchester-super-stores-in-bradford/</t>
        </is>
      </c>
    </row>
    <row r="25">
      <c r="A25" s="10" t="inlineStr">
        <is>
          <t>WY-0019</t>
        </is>
      </c>
      <c r="B25" s="10" t="inlineStr">
        <is>
          <t>MULLACO-01</t>
        </is>
      </c>
      <c r="C25" s="10" t="inlineStr">
        <is>
          <t>Mullaco</t>
        </is>
      </c>
      <c r="D25" s="10" t="inlineStr">
        <is>
          <t>Mullaco (Batley)</t>
        </is>
      </c>
      <c r="E25" s="10" t="inlineStr">
        <is>
          <t>Independent Supermarket</t>
        </is>
      </c>
      <c r="F25" s="10" t="inlineStr">
        <is>
          <t>Asian and continental world foods store</t>
        </is>
      </c>
      <c r="G25" s="10" t="inlineStr">
        <is>
          <t>Regional Chain</t>
        </is>
      </c>
      <c r="H25" s="10" t="inlineStr">
        <is>
          <t>3</t>
        </is>
      </c>
      <c r="I25" s="10" t="inlineStr">
        <is>
          <t>35 Oxford Street</t>
        </is>
      </c>
      <c r="J25" s="10" t="inlineStr">
        <is>
          <t>Batley</t>
        </is>
      </c>
      <c r="K25" s="10" t="inlineStr">
        <is>
          <t>WF17 7PJ</t>
        </is>
      </c>
      <c r="L25" s="10" t="inlineStr">
        <is>
          <t>01924 939128</t>
        </is>
      </c>
      <c r="M25" s="10" t="inlineStr"/>
      <c r="N25" s="10" t="inlineStr"/>
      <c r="O25" s="10" t="inlineStr">
        <is>
          <t>https://mullaco.co.uk/</t>
        </is>
      </c>
      <c r="P25" s="10" t="inlineStr">
        <is>
          <t>https://www.facebook.com/mullaco.supermarket/</t>
        </is>
      </c>
      <c r="Q25" s="10" t="inlineStr">
        <is>
          <t>https://www.instagram.com/mullacosupermarket/</t>
        </is>
      </c>
      <c r="R25" s="10" t="inlineStr"/>
      <c r="S25" s="10" t="inlineStr"/>
      <c r="T25" s="10" t="inlineStr"/>
      <c r="U25" s="10" t="inlineStr"/>
      <c r="V25" s="10" t="inlineStr">
        <is>
          <t>Medium</t>
        </is>
      </c>
      <c r="W25" s="10" t="inlineStr">
        <is>
          <t>Multi-site retailer; Relevant category; Active website; Social presence</t>
        </is>
      </c>
      <c r="X25" s="10" t="inlineStr">
        <is>
          <t>Verified directory</t>
        </is>
      </c>
      <c r="Y25" s="10" t="inlineStr">
        <is>
          <t>Website Found</t>
        </is>
      </c>
      <c r="Z25" s="10" t="inlineStr">
        <is>
          <t>Medium</t>
        </is>
      </c>
      <c r="AA25" s="10" t="inlineStr">
        <is>
          <t>Requires Verification</t>
        </is>
      </c>
      <c r="AB25" s="10" t="inlineStr">
        <is>
          <t>https://mullaco.co.uk/contact-us/</t>
        </is>
      </c>
    </row>
    <row r="26">
      <c r="A26" s="5" t="inlineStr">
        <is>
          <t>WY-0021</t>
        </is>
      </c>
      <c r="B26" s="5" t="inlineStr">
        <is>
          <t>MULLACO-03</t>
        </is>
      </c>
      <c r="C26" s="5" t="inlineStr">
        <is>
          <t>Mullaco</t>
        </is>
      </c>
      <c r="D26" s="5" t="inlineStr">
        <is>
          <t>Mullaco Supermarket (Dewsbury)</t>
        </is>
      </c>
      <c r="E26" s="5" t="inlineStr">
        <is>
          <t>Independent Supermarket</t>
        </is>
      </c>
      <c r="F26" s="5" t="inlineStr">
        <is>
          <t>Asian and continental world foods supermarket</t>
        </is>
      </c>
      <c r="G26" s="5" t="inlineStr">
        <is>
          <t>Regional Chain</t>
        </is>
      </c>
      <c r="H26" s="5" t="inlineStr">
        <is>
          <t>3</t>
        </is>
      </c>
      <c r="I26" s="5" t="inlineStr">
        <is>
          <t>Mullaco Retail Park, Slaithwaite Road</t>
        </is>
      </c>
      <c r="J26" s="5" t="inlineStr">
        <is>
          <t>Dewsbury</t>
        </is>
      </c>
      <c r="K26" s="5" t="inlineStr">
        <is>
          <t>WF12 0AA</t>
        </is>
      </c>
      <c r="L26" s="5" t="inlineStr">
        <is>
          <t>01924 465909</t>
        </is>
      </c>
      <c r="M26" s="5" t="inlineStr"/>
      <c r="N26" s="5" t="inlineStr"/>
      <c r="O26" s="5" t="inlineStr">
        <is>
          <t>https://mullaco.co.uk/</t>
        </is>
      </c>
      <c r="P26" s="5" t="inlineStr">
        <is>
          <t>https://www.facebook.com/mullaco.supermarket/</t>
        </is>
      </c>
      <c r="Q26" s="5" t="inlineStr">
        <is>
          <t>https://www.instagram.com/mullacosupermarket/</t>
        </is>
      </c>
      <c r="R26" s="5" t="inlineStr"/>
      <c r="S26" s="5" t="inlineStr"/>
      <c r="T26" s="5" t="inlineStr">
        <is>
          <t>06629345</t>
        </is>
      </c>
      <c r="U26" s="5" t="inlineStr"/>
      <c r="V26" s="5" t="inlineStr">
        <is>
          <t>Medium</t>
        </is>
      </c>
      <c r="W26" s="5" t="inlineStr">
        <is>
          <t>Multi-site retailer; Relevant category; Active website; Social presence</t>
        </is>
      </c>
      <c r="X26" s="5" t="inlineStr">
        <is>
          <t>Verified directory</t>
        </is>
      </c>
      <c r="Y26" s="5" t="inlineStr">
        <is>
          <t>Website Found</t>
        </is>
      </c>
      <c r="Z26" s="5" t="inlineStr">
        <is>
          <t>Medium</t>
        </is>
      </c>
      <c r="AA26" s="5" t="inlineStr">
        <is>
          <t>Requires Verification</t>
        </is>
      </c>
      <c r="AB26" s="5" t="inlineStr">
        <is>
          <t>https://mullaco.co.uk/contact-us/</t>
        </is>
      </c>
    </row>
    <row r="27">
      <c r="A27" s="10" t="inlineStr">
        <is>
          <t>UK-000433</t>
        </is>
      </c>
      <c r="B27" s="10" t="inlineStr">
        <is>
          <t>MWANAKAFRE-01</t>
        </is>
      </c>
      <c r="C27" s="10" t="inlineStr">
        <is>
          <t>Mwanaka Fresh Farm Foods</t>
        </is>
      </c>
      <c r="D27" s="10" t="inlineStr">
        <is>
          <t>Mwanaka Fresh Farm Foods</t>
        </is>
      </c>
      <c r="E27" s="10" t="inlineStr">
        <is>
          <t>Independent Supermarket</t>
        </is>
      </c>
      <c r="F27" s="10" t="inlineStr">
        <is>
          <t>African / international grocery</t>
        </is>
      </c>
      <c r="G27" s="10" t="inlineStr">
        <is>
          <t>Multi-Site Independent</t>
        </is>
      </c>
      <c r="H27" s="10" t="inlineStr">
        <is>
          <t>2</t>
        </is>
      </c>
      <c r="I27" s="10" t="inlineStr">
        <is>
          <t>Mwanaka Farm Supermarket, 19-20 Vicarage Place</t>
        </is>
      </c>
      <c r="J27" s="10" t="inlineStr">
        <is>
          <t>Walsall</t>
        </is>
      </c>
      <c r="K27" s="10" t="inlineStr">
        <is>
          <t>WS1 3NA</t>
        </is>
      </c>
      <c r="L27" s="10" t="inlineStr">
        <is>
          <t>0808 502 2711</t>
        </is>
      </c>
      <c r="M27" s="10" t="inlineStr">
        <is>
          <t>mail@mwanakafreshfarmfoods.com</t>
        </is>
      </c>
      <c r="N27" s="10" t="inlineStr"/>
      <c r="O27" s="10" t="inlineStr">
        <is>
          <t>https://mwanakafreshfarmfoods.com/</t>
        </is>
      </c>
      <c r="P27" s="10" t="inlineStr"/>
      <c r="Q27" s="10" t="inlineStr"/>
      <c r="R27" s="10" t="inlineStr"/>
      <c r="S27" s="10" t="inlineStr"/>
      <c r="T27" s="10" t="inlineStr"/>
      <c r="U27" s="10" t="inlineStr"/>
      <c r="V27" s="10" t="inlineStr">
        <is>
          <t>High</t>
        </is>
      </c>
      <c r="W27" s="10" t="inlineStr">
        <is>
          <t>Multi-site retailer; Independent retailer; Relevant category; Public email available; Active website; Phone verified on official website</t>
        </is>
      </c>
      <c r="X27" s="10" t="inlineStr">
        <is>
          <t>Verified on official website</t>
        </is>
      </c>
      <c r="Y27" s="10" t="inlineStr">
        <is>
          <t>Publicly Listed</t>
        </is>
      </c>
      <c r="Z27" s="10" t="inlineStr">
        <is>
          <t>High</t>
        </is>
      </c>
      <c r="AA27" s="10" t="inlineStr">
        <is>
          <t>Partially Verified</t>
        </is>
      </c>
      <c r="AB27" s="10" t="inlineStr">
        <is>
          <t>https://mwanakafreshfarmfoods.com/pages/contact</t>
        </is>
      </c>
    </row>
    <row r="28">
      <c r="A28" s="5" t="inlineStr">
        <is>
          <t>UK-000559</t>
        </is>
      </c>
      <c r="B28" s="5" t="inlineStr">
        <is>
          <t>QUALITYFOO-01</t>
        </is>
      </c>
      <c r="C28" s="5" t="inlineStr">
        <is>
          <t>Quality Foods</t>
        </is>
      </c>
      <c r="D28" s="5" t="inlineStr">
        <is>
          <t>Quality Foods</t>
        </is>
      </c>
      <c r="E28" s="5" t="inlineStr">
        <is>
          <t>Independent Supermarket</t>
        </is>
      </c>
      <c r="F28" s="5" t="inlineStr">
        <is>
          <t>South Asian / world food supermarket</t>
        </is>
      </c>
      <c r="G28" s="5" t="inlineStr">
        <is>
          <t>Multi-Site Independent</t>
        </is>
      </c>
      <c r="H28" s="5" t="inlineStr">
        <is>
          <t>2</t>
        </is>
      </c>
      <c r="I28" s="5" t="inlineStr">
        <is>
          <t>47-61 South Road</t>
        </is>
      </c>
      <c r="J28" s="5" t="inlineStr">
        <is>
          <t>Southall</t>
        </is>
      </c>
      <c r="K28" s="5" t="inlineStr">
        <is>
          <t>UB1 1SQ</t>
        </is>
      </c>
      <c r="L28" s="5" t="inlineStr">
        <is>
          <t>020 8571 6966</t>
        </is>
      </c>
      <c r="M28" s="5" t="inlineStr"/>
      <c r="N28" s="5" t="inlineStr"/>
      <c r="O28" s="5" t="inlineStr">
        <is>
          <t>https://www.qualityfoodsonline.com</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Verified directory</t>
        </is>
      </c>
      <c r="Y28" s="5" t="inlineStr">
        <is>
          <t>Not Found</t>
        </is>
      </c>
      <c r="Z28" s="5" t="inlineStr">
        <is>
          <t>Medium</t>
        </is>
      </c>
      <c r="AA28" s="5" t="inlineStr">
        <is>
          <t>Partially Verified</t>
        </is>
      </c>
      <c r="AB28" s="5" t="inlineStr">
        <is>
          <t>https://www.qualityfoodsonline.com/pages/shops</t>
        </is>
      </c>
    </row>
    <row r="29">
      <c r="A29" s="10" t="inlineStr">
        <is>
          <t>UK-000560</t>
        </is>
      </c>
      <c r="B29" s="10" t="inlineStr">
        <is>
          <t>QUALITYFOO-02</t>
        </is>
      </c>
      <c r="C29" s="10" t="inlineStr">
        <is>
          <t>Quality Foods</t>
        </is>
      </c>
      <c r="D29" s="10" t="inlineStr">
        <is>
          <t>Quality Foods (Ilford)</t>
        </is>
      </c>
      <c r="E29" s="10" t="inlineStr">
        <is>
          <t>Independent Supermarket</t>
        </is>
      </c>
      <c r="F29" s="10" t="inlineStr">
        <is>
          <t>Asian / world-food supermarket</t>
        </is>
      </c>
      <c r="G29" s="10" t="inlineStr">
        <is>
          <t>Multi-Site Independent</t>
        </is>
      </c>
      <c r="H29" s="10" t="inlineStr">
        <is>
          <t>1</t>
        </is>
      </c>
      <c r="I29" s="10" t="inlineStr">
        <is>
          <t>135 High Road</t>
        </is>
      </c>
      <c r="J29" s="10" t="inlineStr">
        <is>
          <t>Ilford</t>
        </is>
      </c>
      <c r="K29" s="10" t="inlineStr">
        <is>
          <t>IG1 1DE</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Medium</t>
        </is>
      </c>
      <c r="AA29" s="10" t="inlineStr">
        <is>
          <t>Requires Verification</t>
        </is>
      </c>
      <c r="AB29" s="10" t="inlineStr">
        <is>
          <t>https://www.yell.com/biz/quality-foods-ilford-364548/</t>
        </is>
      </c>
    </row>
    <row r="30">
      <c r="A30" s="5" t="inlineStr">
        <is>
          <t>UK-000724</t>
        </is>
      </c>
      <c r="B30" s="5" t="inlineStr">
        <is>
          <t>SAKALIMITE-01</t>
        </is>
      </c>
      <c r="C30" s="5" t="inlineStr">
        <is>
          <t>Saka Limited</t>
        </is>
      </c>
      <c r="D30" s="5" t="inlineStr">
        <is>
          <t>New Delhi Cash &amp; Carry</t>
        </is>
      </c>
      <c r="E30" s="5" t="inlineStr">
        <is>
          <t>Cash &amp; Carry</t>
        </is>
      </c>
      <c r="F30" s="5" t="inlineStr">
        <is>
          <t>Grocery &amp; catering wholesaler</t>
        </is>
      </c>
      <c r="G30" s="5" t="inlineStr">
        <is>
          <t>Independent</t>
        </is>
      </c>
      <c r="H30" s="5" t="inlineStr">
        <is>
          <t>1</t>
        </is>
      </c>
      <c r="I30" s="5" t="inlineStr">
        <is>
          <t>Saka House, Green Lane</t>
        </is>
      </c>
      <c r="J30" s="5" t="inlineStr">
        <is>
          <t>Liverpool</t>
        </is>
      </c>
      <c r="K30" s="5" t="inlineStr">
        <is>
          <t>L13 7JN</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Core relevant category</t>
        </is>
      </c>
      <c r="X30" s="5" t="inlineStr">
        <is>
          <t>Not Found</t>
        </is>
      </c>
      <c r="Y30" s="5" t="inlineStr">
        <is>
          <t>Not Found</t>
        </is>
      </c>
      <c r="Z30" s="5" t="inlineStr">
        <is>
          <t>Medium</t>
        </is>
      </c>
      <c r="AA30" s="5" t="inlineStr">
        <is>
          <t>Requires Verification</t>
        </is>
      </c>
      <c r="AB30" s="5" t="inlineStr">
        <is>
          <t>https://www.yell.com/biz/saka-new-delhi-cash-and-carry-liverpool-7373342/</t>
        </is>
      </c>
    </row>
    <row r="31">
      <c r="A31" s="10" t="inlineStr">
        <is>
          <t>WY-0026</t>
        </is>
      </c>
      <c r="B31" s="10" t="inlineStr">
        <is>
          <t>SINGKEEFOO-01</t>
        </is>
      </c>
      <c r="C31" s="10" t="inlineStr">
        <is>
          <t>Sing Kee Foods (Sing-Ying Group)</t>
        </is>
      </c>
      <c r="D31" s="10" t="inlineStr">
        <is>
          <t>Sing Kee Foods (Sheepscar)</t>
        </is>
      </c>
      <c r="E31" s="10" t="inlineStr">
        <is>
          <t>Independent Supermarket</t>
        </is>
      </c>
      <c r="F31" s="10" t="inlineStr">
        <is>
          <t>Chinese / Oriental supermarket and catering supplier</t>
        </is>
      </c>
      <c r="G31" s="10" t="inlineStr">
        <is>
          <t>Multi-Site Independent</t>
        </is>
      </c>
      <c r="H31" s="10" t="inlineStr">
        <is>
          <t>2</t>
        </is>
      </c>
      <c r="I31" s="10" t="inlineStr">
        <is>
          <t>Sing Yang Building, 30-36 Cross Stamford Street</t>
        </is>
      </c>
      <c r="J31" s="10" t="inlineStr">
        <is>
          <t>Leeds</t>
        </is>
      </c>
      <c r="K31" s="10" t="inlineStr">
        <is>
          <t>LS7 1BA</t>
        </is>
      </c>
      <c r="L31" s="10" t="inlineStr">
        <is>
          <t>0113 898 0168</t>
        </is>
      </c>
      <c r="M31" s="10" t="inlineStr"/>
      <c r="N31" s="10" t="inlineStr">
        <is>
          <t>wholesale@singkeefoods.co.uk</t>
        </is>
      </c>
      <c r="O31" s="10" t="inlineStr">
        <is>
          <t>https://singkeefoods.co.uk/gb/</t>
        </is>
      </c>
      <c r="P31" s="10" t="inlineStr">
        <is>
          <t>https://www.facebook.com/singkee.chinesesupermarket/</t>
        </is>
      </c>
      <c r="Q31" s="10" t="inlineStr"/>
      <c r="R31" s="10" t="inlineStr"/>
      <c r="S31" s="10" t="inlineStr"/>
      <c r="T31" s="10" t="inlineStr">
        <is>
          <t>04025779</t>
        </is>
      </c>
      <c r="U31" s="10" t="inlineStr"/>
      <c r="V31" s="10" t="inlineStr">
        <is>
          <t>High</t>
        </is>
      </c>
      <c r="W31" s="10" t="inlineStr">
        <is>
          <t>Multi-site retailer; Independent retailer; Relevant category; Public trade/sales contact; Active website; Social presence</t>
        </is>
      </c>
      <c r="X31" s="10" t="inlineStr">
        <is>
          <t>Verified directory</t>
        </is>
      </c>
      <c r="Y31" s="10" t="inlineStr">
        <is>
          <t>Website Found</t>
        </is>
      </c>
      <c r="Z31" s="10" t="inlineStr">
        <is>
          <t>Medium</t>
        </is>
      </c>
      <c r="AA31" s="10" t="inlineStr">
        <is>
          <t>Partially Verified</t>
        </is>
      </c>
      <c r="AB31" s="10" t="inlineStr">
        <is>
          <t>https://singkeefoods.com/gb/contact-us</t>
        </is>
      </c>
    </row>
    <row r="32">
      <c r="A32" s="5" t="inlineStr">
        <is>
          <t>WY-0027</t>
        </is>
      </c>
      <c r="B32" s="5" t="inlineStr">
        <is>
          <t>SINGKEEFOO-02</t>
        </is>
      </c>
      <c r="C32" s="5" t="inlineStr">
        <is>
          <t>Sing Kee Foods (Sing-Ying Group)</t>
        </is>
      </c>
      <c r="D32" s="5" t="inlineStr">
        <is>
          <t>Sing Kee Oriental Supermarket (Merrion Centre)</t>
        </is>
      </c>
      <c r="E32" s="5" t="inlineStr">
        <is>
          <t>Independent Supermarket</t>
        </is>
      </c>
      <c r="F32" s="5" t="inlineStr">
        <is>
          <t>Chinese / Oriental supermarket</t>
        </is>
      </c>
      <c r="G32" s="5" t="inlineStr">
        <is>
          <t>Multi-Site Independent</t>
        </is>
      </c>
      <c r="H32" s="5" t="inlineStr">
        <is>
          <t>2</t>
        </is>
      </c>
      <c r="I32" s="5" t="inlineStr">
        <is>
          <t>26-28 Woodhouse Lane, Merrion Centre</t>
        </is>
      </c>
      <c r="J32" s="5" t="inlineStr">
        <is>
          <t>Leeds</t>
        </is>
      </c>
      <c r="K32" s="5" t="inlineStr">
        <is>
          <t>LS2 8LX</t>
        </is>
      </c>
      <c r="L32" s="5" t="inlineStr"/>
      <c r="M32" s="5" t="inlineStr"/>
      <c r="N32" s="5" t="inlineStr"/>
      <c r="O32" s="5" t="inlineStr">
        <is>
          <t>https://singkeefoods.co.uk/gb/</t>
        </is>
      </c>
      <c r="P32" s="5" t="inlineStr">
        <is>
          <t>https://www.facebook.com/SingKeeLeedsCentre/</t>
        </is>
      </c>
      <c r="Q32" s="5" t="inlineStr"/>
      <c r="R32" s="5" t="inlineStr"/>
      <c r="S32" s="5" t="inlineStr"/>
      <c r="T32" s="5" t="inlineStr"/>
      <c r="U32" s="5" t="inlineStr"/>
      <c r="V32" s="5" t="inlineStr">
        <is>
          <t>High</t>
        </is>
      </c>
      <c r="W32" s="5" t="inlineStr">
        <is>
          <t>Multi-site retailer; Independent retailer; Relevant category; Active website; Social presence</t>
        </is>
      </c>
      <c r="X32" s="5" t="inlineStr">
        <is>
          <t>Not Found</t>
        </is>
      </c>
      <c r="Y32" s="5" t="inlineStr">
        <is>
          <t>Website Found</t>
        </is>
      </c>
      <c r="Z32" s="5" t="inlineStr">
        <is>
          <t>Medium</t>
        </is>
      </c>
      <c r="AA32" s="5" t="inlineStr">
        <is>
          <t>Requires Verification</t>
        </is>
      </c>
      <c r="AB32" s="5" t="inlineStr">
        <is>
          <t>https://singkeefoods.co.uk/gb/stores</t>
        </is>
      </c>
    </row>
    <row r="33">
      <c r="A33" s="10" t="inlineStr">
        <is>
          <t>WY-0029</t>
        </is>
      </c>
      <c r="B33" s="10" t="inlineStr">
        <is>
          <t>TBCASHCARR-01</t>
        </is>
      </c>
      <c r="C33" s="10" t="inlineStr">
        <is>
          <t>TB Cash &amp; Carry</t>
        </is>
      </c>
      <c r="D33" s="10" t="inlineStr">
        <is>
          <t>TB Cash &amp; Carry (Bradford)</t>
        </is>
      </c>
      <c r="E33" s="10" t="inlineStr">
        <is>
          <t>Cash &amp; Carry</t>
        </is>
      </c>
      <c r="F33" s="10" t="inlineStr">
        <is>
          <t>Confectionery, soft drinks, crisps &amp; snacks wholesaler</t>
        </is>
      </c>
      <c r="G33" s="10" t="inlineStr">
        <is>
          <t>Multi-Site Independent</t>
        </is>
      </c>
      <c r="H33" s="10" t="inlineStr">
        <is>
          <t>2</t>
        </is>
      </c>
      <c r="I33" s="10" t="inlineStr">
        <is>
          <t>91 Legrams Lane</t>
        </is>
      </c>
      <c r="J33" s="10" t="inlineStr">
        <is>
          <t>Bradford</t>
        </is>
      </c>
      <c r="K33" s="10" t="inlineStr">
        <is>
          <t>BD7 1NH</t>
        </is>
      </c>
      <c r="L33" s="10" t="inlineStr">
        <is>
          <t>01274 740555</t>
        </is>
      </c>
      <c r="M33" s="10" t="inlineStr">
        <is>
          <t>info@tbcashandcarry.co.uk</t>
        </is>
      </c>
      <c r="N33" s="10" t="inlineStr"/>
      <c r="O33" s="10" t="inlineStr">
        <is>
          <t>https://tbcashandcarry.co.uk/</t>
        </is>
      </c>
      <c r="P33" s="10" t="inlineStr">
        <is>
          <t>https://www.facebook.com/p/TB-Cash-Carry-100077147298501/</t>
        </is>
      </c>
      <c r="Q33" s="10" t="inlineStr"/>
      <c r="R33" s="10" t="inlineStr"/>
      <c r="S33" s="10" t="inlineStr"/>
      <c r="T33" s="10" t="inlineStr"/>
      <c r="U33" s="10" t="inlineStr"/>
      <c r="V33" s="10" t="inlineStr">
        <is>
          <t>High</t>
        </is>
      </c>
      <c r="W33" s="10" t="inlineStr">
        <is>
          <t>Multi-site retailer; Independent retailer; Core relevant category; Public email available; Active website; Social presence</t>
        </is>
      </c>
      <c r="X33" s="10" t="inlineStr">
        <is>
          <t>Verified directory</t>
        </is>
      </c>
      <c r="Y33" s="10" t="inlineStr">
        <is>
          <t>Unverified</t>
        </is>
      </c>
      <c r="Z33" s="10" t="inlineStr">
        <is>
          <t>Medium</t>
        </is>
      </c>
      <c r="AA33" s="10" t="inlineStr">
        <is>
          <t>Verified (website + Companies House)</t>
        </is>
      </c>
      <c r="AB33" s="10" t="inlineStr">
        <is>
          <t>https://tbcashandcarry.co.uk/</t>
        </is>
      </c>
    </row>
    <row r="34">
      <c r="A34" s="5" t="inlineStr">
        <is>
          <t>WY-0030</t>
        </is>
      </c>
      <c r="B34" s="5" t="inlineStr">
        <is>
          <t>TBCASHCARR-02</t>
        </is>
      </c>
      <c r="C34" s="5" t="inlineStr">
        <is>
          <t>TB Cash &amp; Carry</t>
        </is>
      </c>
      <c r="D34" s="5" t="inlineStr">
        <is>
          <t>TB Cash &amp; Carry (Leeds)</t>
        </is>
      </c>
      <c r="E34" s="5" t="inlineStr">
        <is>
          <t>Cash &amp; Carry</t>
        </is>
      </c>
      <c r="F34" s="5" t="inlineStr">
        <is>
          <t>Confectionery, soft drinks, crisps &amp; snacks wholesaler</t>
        </is>
      </c>
      <c r="G34" s="5" t="inlineStr">
        <is>
          <t>Multi-Site Independent</t>
        </is>
      </c>
      <c r="H34" s="5" t="inlineStr">
        <is>
          <t>2</t>
        </is>
      </c>
      <c r="I34" s="5" t="inlineStr">
        <is>
          <t>90 Gelderd Road</t>
        </is>
      </c>
      <c r="J34" s="5" t="inlineStr">
        <is>
          <t>Leeds</t>
        </is>
      </c>
      <c r="K34" s="5" t="inlineStr">
        <is>
          <t>LS12 6HD</t>
        </is>
      </c>
      <c r="L34" s="5" t="inlineStr">
        <is>
          <t>0113 245 1454</t>
        </is>
      </c>
      <c r="M34" s="5" t="inlineStr">
        <is>
          <t>info@tbcashandcarry.co.uk</t>
        </is>
      </c>
      <c r="N34" s="5" t="inlineStr"/>
      <c r="O34" s="5" t="inlineStr">
        <is>
          <t>https://tbcashandcarry.co.uk/</t>
        </is>
      </c>
      <c r="P34" s="5" t="inlineStr">
        <is>
          <t>https://www.facebook.com/p/TB-Cash-Carry-100064390671766/</t>
        </is>
      </c>
      <c r="Q34" s="5" t="inlineStr"/>
      <c r="R34" s="5" t="inlineStr"/>
      <c r="S34" s="5" t="inlineStr"/>
      <c r="T34" s="5" t="inlineStr"/>
      <c r="U34" s="5" t="inlineStr"/>
      <c r="V34" s="5" t="inlineStr">
        <is>
          <t>High</t>
        </is>
      </c>
      <c r="W34" s="5" t="inlineStr">
        <is>
          <t>Multi-site retailer; Independent retailer; Core relevant category; Public email available; Active website; Social presence</t>
        </is>
      </c>
      <c r="X34" s="5" t="inlineStr">
        <is>
          <t>Verified directory</t>
        </is>
      </c>
      <c r="Y34" s="5" t="inlineStr">
        <is>
          <t>Unverified</t>
        </is>
      </c>
      <c r="Z34" s="5" t="inlineStr">
        <is>
          <t>Medium</t>
        </is>
      </c>
      <c r="AA34" s="5" t="inlineStr">
        <is>
          <t>Verified (website + Companies House)</t>
        </is>
      </c>
      <c r="AB34" s="5" t="inlineStr">
        <is>
          <t>https://tbcashandcarry.co.uk/</t>
        </is>
      </c>
    </row>
    <row r="35">
      <c r="A35" s="10" t="inlineStr">
        <is>
          <t>UK-000561</t>
        </is>
      </c>
      <c r="B35" s="10" t="inlineStr">
        <is>
          <t>TURKISHFOO-01</t>
        </is>
      </c>
      <c r="C35" s="10" t="inlineStr">
        <is>
          <t>Turkish Food Centre</t>
        </is>
      </c>
      <c r="D35" s="10" t="inlineStr">
        <is>
          <t>Turkish Food Centre (Edmonton)</t>
        </is>
      </c>
      <c r="E35" s="10" t="inlineStr">
        <is>
          <t>Independent Supermarket</t>
        </is>
      </c>
      <c r="F35" s="10" t="inlineStr">
        <is>
          <t>Turkish / world-food supermarket</t>
        </is>
      </c>
      <c r="G35" s="10" t="inlineStr">
        <is>
          <t>Multi-Site Independent</t>
        </is>
      </c>
      <c r="H35" s="10" t="inlineStr">
        <is>
          <t>1</t>
        </is>
      </c>
      <c r="I35" s="10" t="inlineStr"/>
      <c r="J35" s="10" t="inlineStr">
        <is>
          <t>Edmonton</t>
        </is>
      </c>
      <c r="K35" s="10" t="inlineStr">
        <is>
          <t>N9</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https://www.yell.com/biz/turkish-food-centre-edmondton-london-487834/</t>
        </is>
      </c>
    </row>
    <row r="36">
      <c r="A36" s="5" t="inlineStr">
        <is>
          <t>UK-000727</t>
        </is>
      </c>
      <c r="B36" s="5" t="inlineStr">
        <is>
          <t>UNITEDWHOL-01</t>
        </is>
      </c>
      <c r="C36" s="5" t="inlineStr">
        <is>
          <t>United Wholesale (Scotland) Ltd</t>
        </is>
      </c>
      <c r="D36" s="5" t="inlineStr">
        <is>
          <t>United Wholesale (Scotland) Ltd - Maxwell Road</t>
        </is>
      </c>
      <c r="E36" s="5" t="inlineStr">
        <is>
          <t>Cash &amp; Carry</t>
        </is>
      </c>
      <c r="F36" s="5" t="inlineStr">
        <is>
          <t>Grocery cash and carry wholesaler</t>
        </is>
      </c>
      <c r="G36" s="5" t="inlineStr">
        <is>
          <t>Regional Chain</t>
        </is>
      </c>
      <c r="H36" s="5" t="inlineStr">
        <is>
          <t>3</t>
        </is>
      </c>
      <c r="I36" s="5" t="inlineStr">
        <is>
          <t>164-166 Maxwell Road</t>
        </is>
      </c>
      <c r="J36" s="5" t="inlineStr">
        <is>
          <t>Glasgow</t>
        </is>
      </c>
      <c r="K36" s="5" t="inlineStr">
        <is>
          <t>G41 1SS</t>
        </is>
      </c>
      <c r="L36" s="5" t="inlineStr">
        <is>
          <t>0141 429 0909</t>
        </is>
      </c>
      <c r="M36" s="5" t="inlineStr"/>
      <c r="N36" s="5" t="inlineStr"/>
      <c r="O36" s="5" t="inlineStr">
        <is>
          <t>https://uniteduk.co.uk/</t>
        </is>
      </c>
      <c r="P36" s="5" t="inlineStr"/>
      <c r="Q36" s="5" t="inlineStr"/>
      <c r="R36" s="5" t="inlineStr"/>
      <c r="S36" s="5" t="inlineStr"/>
      <c r="T36" s="5" t="inlineStr"/>
      <c r="U36" s="5" t="inlineStr"/>
      <c r="V36" s="5" t="inlineStr">
        <is>
          <t>High</t>
        </is>
      </c>
      <c r="W36" s="5" t="inlineStr">
        <is>
          <t>Multi-site retailer; Core relevant category; Active website; Social presence</t>
        </is>
      </c>
      <c r="X36" s="5" t="inlineStr">
        <is>
          <t>Verified directory</t>
        </is>
      </c>
      <c r="Y36" s="5" t="inlineStr">
        <is>
          <t>Website Found</t>
        </is>
      </c>
      <c r="Z36" s="5" t="inlineStr">
        <is>
          <t>High</t>
        </is>
      </c>
      <c r="AA36" s="5" t="inlineStr">
        <is>
          <t>Requires Verification</t>
        </is>
      </c>
      <c r="AB36" s="5" t="inlineStr">
        <is>
          <t>https://uniteduk.co.uk/about-united-cash-and-carry-wholesale-glasgow/</t>
        </is>
      </c>
    </row>
    <row r="37">
      <c r="A37" s="10" t="inlineStr">
        <is>
          <t>UK-000728</t>
        </is>
      </c>
      <c r="B37" s="10" t="inlineStr">
        <is>
          <t>UNITEDWHOL-02</t>
        </is>
      </c>
      <c r="C37" s="10" t="inlineStr">
        <is>
          <t>United Wholesale (Scotland) Ltd</t>
        </is>
      </c>
      <c r="D37" s="10" t="inlineStr">
        <is>
          <t>United Wholesale (Scotland) Ltd - Queenslie</t>
        </is>
      </c>
      <c r="E37" s="10" t="inlineStr">
        <is>
          <t>Cash &amp; Carry</t>
        </is>
      </c>
      <c r="F37" s="10" t="inlineStr">
        <is>
          <t>Grocery cash and carry wholesaler</t>
        </is>
      </c>
      <c r="G37" s="10" t="inlineStr">
        <is>
          <t>Regional Chain</t>
        </is>
      </c>
      <c r="H37" s="10" t="inlineStr">
        <is>
          <t>3</t>
        </is>
      </c>
      <c r="I37" s="10" t="inlineStr">
        <is>
          <t>110 Easter Queenslie Road</t>
        </is>
      </c>
      <c r="J37" s="10" t="inlineStr">
        <is>
          <t>Glasgow</t>
        </is>
      </c>
      <c r="K37" s="10" t="inlineStr">
        <is>
          <t>G33 4UL</t>
        </is>
      </c>
      <c r="L37" s="10" t="inlineStr"/>
      <c r="M37" s="10" t="inlineStr"/>
      <c r="N37" s="10" t="inlineStr"/>
      <c r="O37" s="10" t="inlineStr">
        <is>
          <t>https://uniteduk.co.uk/</t>
        </is>
      </c>
      <c r="P37" s="10" t="inlineStr"/>
      <c r="Q37" s="10" t="inlineStr"/>
      <c r="R37" s="10" t="inlineStr"/>
      <c r="S37" s="10" t="inlineStr"/>
      <c r="T37" s="10" t="inlineStr"/>
      <c r="U37" s="10" t="inlineStr"/>
      <c r="V37" s="10" t="inlineStr">
        <is>
          <t>Medium</t>
        </is>
      </c>
      <c r="W37" s="10" t="inlineStr">
        <is>
          <t>Multi-site retailer; Core relevant category; Active website</t>
        </is>
      </c>
      <c r="X37" s="10" t="inlineStr">
        <is>
          <t>Not Found</t>
        </is>
      </c>
      <c r="Y37" s="10" t="inlineStr">
        <is>
          <t>Website Found</t>
        </is>
      </c>
      <c r="Z37" s="10" t="inlineStr">
        <is>
          <t>Medium</t>
        </is>
      </c>
      <c r="AA37" s="10" t="inlineStr">
        <is>
          <t>Requires Verification</t>
        </is>
      </c>
      <c r="AB37" s="10" t="inlineStr">
        <is>
          <t>https://unitedwholesalescotland.wordpress.com/our-depots/</t>
        </is>
      </c>
    </row>
    <row r="38">
      <c r="A38" s="5" t="inlineStr">
        <is>
          <t>UK-000328</t>
        </is>
      </c>
      <c r="B38" s="5" t="inlineStr">
        <is>
          <t>WORLDWIDEF-01</t>
        </is>
      </c>
      <c r="C38" s="5" t="inlineStr">
        <is>
          <t>Worldwide Foods</t>
        </is>
      </c>
      <c r="D38" s="5" t="inlineStr">
        <is>
          <t>Worldwide Foods (Cheetham Hill)</t>
        </is>
      </c>
      <c r="E38" s="5" t="inlineStr">
        <is>
          <t>Independent Supermarket</t>
        </is>
      </c>
      <c r="F38" s="5" t="inlineStr">
        <is>
          <t>World/ethnic food supermarket (halal)</t>
        </is>
      </c>
      <c r="G38" s="5" t="inlineStr">
        <is>
          <t>Multi-Site Independent</t>
        </is>
      </c>
      <c r="H38" s="5" t="inlineStr">
        <is>
          <t>4</t>
        </is>
      </c>
      <c r="I38" s="5" t="inlineStr">
        <is>
          <t>Crescent Road</t>
        </is>
      </c>
      <c r="J38" s="5" t="inlineStr">
        <is>
          <t>Manchester</t>
        </is>
      </c>
      <c r="K38" s="5" t="inlineStr">
        <is>
          <t>M8 9JX</t>
        </is>
      </c>
      <c r="L38" s="5" t="inlineStr">
        <is>
          <t>0161 740 2690</t>
        </is>
      </c>
      <c r="M38" s="5" t="inlineStr"/>
      <c r="N38" s="5" t="inlineStr"/>
      <c r="O38" s="5" t="inlineStr">
        <is>
          <t>https://worldwidefoods.co.uk/</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Verified directory</t>
        </is>
      </c>
      <c r="Y38" s="5" t="inlineStr">
        <is>
          <t>Website Found</t>
        </is>
      </c>
      <c r="Z38" s="5" t="inlineStr">
        <is>
          <t>Medium</t>
        </is>
      </c>
      <c r="AA38" s="5" t="inlineStr">
        <is>
          <t>Requires Verification</t>
        </is>
      </c>
      <c r="AB38" s="5" t="inlineStr">
        <is>
          <t>https://worldwidefoods.co.uk/locations/</t>
        </is>
      </c>
    </row>
    <row r="39">
      <c r="A39" s="10" t="inlineStr">
        <is>
          <t>UK-000329</t>
        </is>
      </c>
      <c r="B39" s="10" t="inlineStr">
        <is>
          <t>WORLDWIDEF-02</t>
        </is>
      </c>
      <c r="C39" s="10" t="inlineStr">
        <is>
          <t>Worldwide Foods</t>
        </is>
      </c>
      <c r="D39" s="10" t="inlineStr">
        <is>
          <t>Worldwide Foods (Longsight)</t>
        </is>
      </c>
      <c r="E39" s="10" t="inlineStr">
        <is>
          <t>Independent Supermarket</t>
        </is>
      </c>
      <c r="F39" s="10" t="inlineStr">
        <is>
          <t>World/ethnic food supermarket (halal)</t>
        </is>
      </c>
      <c r="G39" s="10" t="inlineStr">
        <is>
          <t>Multi-Site Independent</t>
        </is>
      </c>
      <c r="H39" s="10" t="inlineStr">
        <is>
          <t>4</t>
        </is>
      </c>
      <c r="I39" s="10" t="inlineStr">
        <is>
          <t>24 Slade Lane</t>
        </is>
      </c>
      <c r="J39" s="10" t="inlineStr">
        <is>
          <t>Manchester</t>
        </is>
      </c>
      <c r="K39" s="10" t="inlineStr">
        <is>
          <t>M13 0QE</t>
        </is>
      </c>
      <c r="L39" s="10" t="inlineStr">
        <is>
          <t>0161 256 2985</t>
        </is>
      </c>
      <c r="M39" s="10" t="inlineStr"/>
      <c r="N39" s="10" t="inlineStr"/>
      <c r="O39" s="10" t="inlineStr">
        <is>
          <t>https://worldwidefoods.co.uk/</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Verified directory</t>
        </is>
      </c>
      <c r="Y39" s="10" t="inlineStr">
        <is>
          <t>Website Found</t>
        </is>
      </c>
      <c r="Z39" s="10" t="inlineStr">
        <is>
          <t>Medium</t>
        </is>
      </c>
      <c r="AA39" s="10" t="inlineStr">
        <is>
          <t>Requires Verification</t>
        </is>
      </c>
      <c r="AB39" s="10" t="inlineStr">
        <is>
          <t>https://www.bigreddirectory.com/worldwide-foods-manchester-longsight</t>
        </is>
      </c>
    </row>
    <row r="40">
      <c r="A40" s="5" t="inlineStr">
        <is>
          <t>UK-000330</t>
        </is>
      </c>
      <c r="B40" s="5" t="inlineStr">
        <is>
          <t>WORLDWIDEF-03</t>
        </is>
      </c>
      <c r="C40" s="5" t="inlineStr">
        <is>
          <t>Worldwide Foods</t>
        </is>
      </c>
      <c r="D40" s="5" t="inlineStr">
        <is>
          <t>Worldwide Foods (Old Trafford)</t>
        </is>
      </c>
      <c r="E40" s="5" t="inlineStr">
        <is>
          <t>Independent Supermarket</t>
        </is>
      </c>
      <c r="F40" s="5" t="inlineStr">
        <is>
          <t>World/ethnic food supermarket (halal)</t>
        </is>
      </c>
      <c r="G40" s="5" t="inlineStr">
        <is>
          <t>Multi-Site Independent</t>
        </is>
      </c>
      <c r="H40" s="5" t="inlineStr">
        <is>
          <t>4</t>
        </is>
      </c>
      <c r="I40" s="5" t="inlineStr">
        <is>
          <t>2 Tennis Street</t>
        </is>
      </c>
      <c r="J40" s="5" t="inlineStr">
        <is>
          <t>Manchester</t>
        </is>
      </c>
      <c r="K40" s="5" t="inlineStr">
        <is>
          <t>M16 0LH</t>
        </is>
      </c>
      <c r="L40" s="5" t="inlineStr"/>
      <c r="M40" s="5" t="inlineStr"/>
      <c r="N40" s="5" t="inlineStr"/>
      <c r="O40" s="5" t="inlineStr">
        <is>
          <t>https://worldwidefoods.co.uk/</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Website Found</t>
        </is>
      </c>
      <c r="Z40" s="5" t="inlineStr">
        <is>
          <t>Low</t>
        </is>
      </c>
      <c r="AA40" s="5" t="inlineStr">
        <is>
          <t>Requires Verification</t>
        </is>
      </c>
      <c r="AB40" s="5" t="inlineStr">
        <is>
          <t>https://worldwidefoods.co.uk/locations/</t>
        </is>
      </c>
    </row>
    <row r="41">
      <c r="A41" s="10" t="inlineStr">
        <is>
          <t>UK-000331</t>
        </is>
      </c>
      <c r="B41" s="10" t="inlineStr">
        <is>
          <t>WORLDWIDEF-04</t>
        </is>
      </c>
      <c r="C41" s="10" t="inlineStr">
        <is>
          <t>Worldwide Foods</t>
        </is>
      </c>
      <c r="D41" s="10" t="inlineStr">
        <is>
          <t>Worldwide Foods (Rusholme)</t>
        </is>
      </c>
      <c r="E41" s="10" t="inlineStr">
        <is>
          <t>Independent Supermarket</t>
        </is>
      </c>
      <c r="F41" s="10" t="inlineStr">
        <is>
          <t>World/ethnic food supermarket (halal)</t>
        </is>
      </c>
      <c r="G41" s="10" t="inlineStr">
        <is>
          <t>Multi-Site Independent</t>
        </is>
      </c>
      <c r="H41" s="10" t="inlineStr">
        <is>
          <t>4</t>
        </is>
      </c>
      <c r="I41" s="10" t="inlineStr">
        <is>
          <t>401 Great Western Street</t>
        </is>
      </c>
      <c r="J41" s="10" t="inlineStr">
        <is>
          <t>Manchester</t>
        </is>
      </c>
      <c r="K41" s="10" t="inlineStr">
        <is>
          <t>M14 4AH</t>
        </is>
      </c>
      <c r="L41" s="10" t="inlineStr">
        <is>
          <t>0161 248 6727</t>
        </is>
      </c>
      <c r="M41" s="10" t="inlineStr"/>
      <c r="N41" s="10" t="inlineStr"/>
      <c r="O41" s="10" t="inlineStr">
        <is>
          <t>https://worldwidefoods.co.uk/</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Verified directory</t>
        </is>
      </c>
      <c r="Y41" s="10" t="inlineStr">
        <is>
          <t>Website Found</t>
        </is>
      </c>
      <c r="Z41" s="10" t="inlineStr">
        <is>
          <t>Medium</t>
        </is>
      </c>
      <c r="AA41" s="10" t="inlineStr">
        <is>
          <t>Requires Verification</t>
        </is>
      </c>
      <c r="AB41" s="10" t="inlineStr">
        <is>
          <t>https://worldwidefoods.co.uk/worldwide-manchester-rusholme/</t>
        </is>
      </c>
    </row>
    <row r="42">
      <c r="A42" s="5" t="inlineStr">
        <is>
          <t>WY-0044</t>
        </is>
      </c>
      <c r="B42" s="5" t="inlineStr">
        <is>
          <t>WORLDWIDEF-01</t>
        </is>
      </c>
      <c r="C42" s="5" t="inlineStr">
        <is>
          <t>Worldwide Foods Group</t>
        </is>
      </c>
      <c r="D42" s="5" t="inlineStr">
        <is>
          <t>Worldwide Foods Bradford (Great Horton Road)</t>
        </is>
      </c>
      <c r="E42" s="5" t="inlineStr">
        <is>
          <t>Independent Supermarket</t>
        </is>
      </c>
      <c r="F42" s="5" t="inlineStr">
        <is>
          <t>Halal / world food supermarket</t>
        </is>
      </c>
      <c r="G42" s="5" t="inlineStr">
        <is>
          <t>Regional Chain</t>
        </is>
      </c>
      <c r="H42" s="5" t="inlineStr"/>
      <c r="I42" s="5" t="inlineStr">
        <is>
          <t>607 Great Horton Road</t>
        </is>
      </c>
      <c r="J42" s="5" t="inlineStr">
        <is>
          <t>Bradford</t>
        </is>
      </c>
      <c r="K42" s="5" t="inlineStr">
        <is>
          <t>BD7 4ED</t>
        </is>
      </c>
      <c r="L42" s="5" t="inlineStr">
        <is>
          <t>01274 572661</t>
        </is>
      </c>
      <c r="M42" s="5" t="inlineStr">
        <is>
          <t>info@worldwidefoods.co.uk</t>
        </is>
      </c>
      <c r="N42" s="5" t="inlineStr"/>
      <c r="O42" s="5" t="inlineStr">
        <is>
          <t>https://worldwidefoods.co.uk/</t>
        </is>
      </c>
      <c r="P42" s="5" t="inlineStr">
        <is>
          <t>https://www.facebook.com/worldwidefoods/</t>
        </is>
      </c>
      <c r="Q42" s="5" t="inlineStr"/>
      <c r="R42" s="5" t="inlineStr"/>
      <c r="S42" s="5" t="inlineStr"/>
      <c r="T42" s="5" t="inlineStr">
        <is>
          <t>04179487</t>
        </is>
      </c>
      <c r="U42" s="5" t="inlineStr"/>
      <c r="V42" s="5" t="inlineStr">
        <is>
          <t>High</t>
        </is>
      </c>
      <c r="W42" s="5" t="inlineStr">
        <is>
          <t>Multi-site retailer; Relevant category; Public email available; Active website; Social presence</t>
        </is>
      </c>
      <c r="X42" s="5" t="inlineStr">
        <is>
          <t>Verified directory</t>
        </is>
      </c>
      <c r="Y42" s="5" t="inlineStr">
        <is>
          <t>Website Found</t>
        </is>
      </c>
      <c r="Z42" s="5" t="inlineStr">
        <is>
          <t>Medium</t>
        </is>
      </c>
      <c r="AA42" s="5" t="inlineStr">
        <is>
          <t>Partially Verified</t>
        </is>
      </c>
      <c r="AB42" s="5" t="inlineStr">
        <is>
          <t>https://worldwidefoods.co.uk/worldwide-bradford-great-horton-road/</t>
        </is>
      </c>
    </row>
    <row r="43">
      <c r="A43" s="10" t="inlineStr">
        <is>
          <t>WY-0045</t>
        </is>
      </c>
      <c r="B43" s="10" t="inlineStr">
        <is>
          <t>WORLDWIDEF-02</t>
        </is>
      </c>
      <c r="C43" s="10" t="inlineStr">
        <is>
          <t>Worldwide Foods Group</t>
        </is>
      </c>
      <c r="D43" s="10" t="inlineStr">
        <is>
          <t>Worldwide Foods Bradford (Leeds Road)</t>
        </is>
      </c>
      <c r="E43" s="10" t="inlineStr">
        <is>
          <t>Independent Supermarket</t>
        </is>
      </c>
      <c r="F43" s="10" t="inlineStr">
        <is>
          <t>Halal / world food supermarket (24 hours)</t>
        </is>
      </c>
      <c r="G43" s="10" t="inlineStr">
        <is>
          <t>Regional Chain</t>
        </is>
      </c>
      <c r="H43" s="10" t="inlineStr"/>
      <c r="I43" s="10" t="inlineStr">
        <is>
          <t>1001 Leeds Road</t>
        </is>
      </c>
      <c r="J43" s="10" t="inlineStr">
        <is>
          <t>Bradford</t>
        </is>
      </c>
      <c r="K43" s="10" t="inlineStr">
        <is>
          <t>BD3 7NH</t>
        </is>
      </c>
      <c r="L43" s="10" t="inlineStr">
        <is>
          <t>01274 656638</t>
        </is>
      </c>
      <c r="M43" s="10" t="inlineStr"/>
      <c r="N43" s="10" t="inlineStr"/>
      <c r="O43" s="10" t="inlineStr">
        <is>
          <t>https://worldwidefoods.co.uk/</t>
        </is>
      </c>
      <c r="P43" s="10" t="inlineStr">
        <is>
          <t>https://www.facebook.com/worldwidefoods/</t>
        </is>
      </c>
      <c r="Q43" s="10" t="inlineStr"/>
      <c r="R43" s="10" t="inlineStr"/>
      <c r="S43" s="10" t="inlineStr"/>
      <c r="T43" s="10" t="inlineStr">
        <is>
          <t>04179487</t>
        </is>
      </c>
      <c r="U43" s="10" t="inlineStr"/>
      <c r="V43" s="10" t="inlineStr">
        <is>
          <t>Medium</t>
        </is>
      </c>
      <c r="W43" s="10" t="inlineStr">
        <is>
          <t>Multi-site retailer; Relevant category; Active website; Social presence</t>
        </is>
      </c>
      <c r="X43" s="10" t="inlineStr">
        <is>
          <t>Verified directory</t>
        </is>
      </c>
      <c r="Y43" s="10" t="inlineStr">
        <is>
          <t>Website Found</t>
        </is>
      </c>
      <c r="Z43" s="10" t="inlineStr">
        <is>
          <t>Medium</t>
        </is>
      </c>
      <c r="AA43" s="10" t="inlineStr">
        <is>
          <t>Partially Verified</t>
        </is>
      </c>
      <c r="AB43" s="10" t="inlineStr">
        <is>
          <t>https://worldwidefoods.co.uk/worldwide-bradford-leeds-road/</t>
        </is>
      </c>
    </row>
    <row r="44">
      <c r="A44" s="5" t="inlineStr">
        <is>
          <t>WY-0046</t>
        </is>
      </c>
      <c r="B44" s="5" t="inlineStr">
        <is>
          <t>WORLDWIDEF-03</t>
        </is>
      </c>
      <c r="C44" s="5" t="inlineStr">
        <is>
          <t>Worldwide Foods Group</t>
        </is>
      </c>
      <c r="D44" s="5" t="inlineStr">
        <is>
          <t>Worldwide Foods Bradford (Woodhead Road)</t>
        </is>
      </c>
      <c r="E44" s="5" t="inlineStr">
        <is>
          <t>Independent Supermarket</t>
        </is>
      </c>
      <c r="F44" s="5" t="inlineStr">
        <is>
          <t>Halal / world food supermarket</t>
        </is>
      </c>
      <c r="G44" s="5" t="inlineStr">
        <is>
          <t>Regional Chain</t>
        </is>
      </c>
      <c r="H44" s="5" t="inlineStr"/>
      <c r="I44" s="5" t="inlineStr">
        <is>
          <t>Woodhead Road</t>
        </is>
      </c>
      <c r="J44" s="5" t="inlineStr">
        <is>
          <t>Bradford</t>
        </is>
      </c>
      <c r="K44" s="5" t="inlineStr"/>
      <c r="L44" s="5" t="inlineStr"/>
      <c r="M44" s="5" t="inlineStr"/>
      <c r="N44" s="5" t="inlineStr"/>
      <c r="O44" s="5" t="inlineStr">
        <is>
          <t>https://worldwidefoods.co.uk/</t>
        </is>
      </c>
      <c r="P44" s="5" t="inlineStr">
        <is>
          <t>https://www.facebook.com/worldwidefoods/</t>
        </is>
      </c>
      <c r="Q44" s="5" t="inlineStr"/>
      <c r="R44" s="5" t="inlineStr"/>
      <c r="S44" s="5" t="inlineStr"/>
      <c r="T44" s="5" t="inlineStr">
        <is>
          <t>04179487</t>
        </is>
      </c>
      <c r="U44" s="5" t="inlineStr"/>
      <c r="V44" s="5" t="inlineStr">
        <is>
          <t>Medium</t>
        </is>
      </c>
      <c r="W44" s="5" t="inlineStr">
        <is>
          <t>Multi-site retailer; Relevant category; Active website; Social presence</t>
        </is>
      </c>
      <c r="X44" s="5" t="inlineStr">
        <is>
          <t>Not Found</t>
        </is>
      </c>
      <c r="Y44" s="5" t="inlineStr">
        <is>
          <t>Website Found</t>
        </is>
      </c>
      <c r="Z44" s="5" t="inlineStr">
        <is>
          <t>Low</t>
        </is>
      </c>
      <c r="AA44" s="5" t="inlineStr">
        <is>
          <t>Partially Verified</t>
        </is>
      </c>
      <c r="AB44" s="5" t="inlineStr">
        <is>
          <t>https://worldwidefoods.co.uk/locations/</t>
        </is>
      </c>
    </row>
    <row r="45">
      <c r="A45" s="10" t="inlineStr">
        <is>
          <t>UK-000332</t>
        </is>
      </c>
      <c r="B45" s="10" t="inlineStr">
        <is>
          <t>WORLDWIDEF-01</t>
        </is>
      </c>
      <c r="C45" s="10" t="inlineStr">
        <is>
          <t>Worldwide Foodstores</t>
        </is>
      </c>
      <c r="D45" s="10" t="inlineStr">
        <is>
          <t>Worldwide Foods Rochdale</t>
        </is>
      </c>
      <c r="E45" s="10" t="inlineStr">
        <is>
          <t>Independent Supermarket</t>
        </is>
      </c>
      <c r="F45" s="10" t="inlineStr">
        <is>
          <t>Ethnic / world foods supermarket</t>
        </is>
      </c>
      <c r="G45" s="10" t="inlineStr">
        <is>
          <t>Multi-Site Independent</t>
        </is>
      </c>
      <c r="H45" s="10" t="inlineStr">
        <is>
          <t>1</t>
        </is>
      </c>
      <c r="I45" s="10" t="inlineStr">
        <is>
          <t>Lower Tweedale Street</t>
        </is>
      </c>
      <c r="J45" s="10" t="inlineStr">
        <is>
          <t>Rochdale</t>
        </is>
      </c>
      <c r="K45" s="10" t="inlineStr">
        <is>
          <t>OL11 1HG</t>
        </is>
      </c>
      <c r="L45" s="10" t="inlineStr"/>
      <c r="M45" s="10" t="inlineStr"/>
      <c r="N45" s="10" t="inlineStr"/>
      <c r="O45" s="10" t="inlineStr">
        <is>
          <t>https://worldwidefoods.co.uk/worldwide-rochdale/</t>
        </is>
      </c>
      <c r="P45" s="10" t="inlineStr"/>
      <c r="Q45" s="10" t="inlineStr"/>
      <c r="R45" s="10" t="inlineStr"/>
      <c r="S45" s="10" t="inlineStr"/>
      <c r="T45" s="10" t="inlineStr">
        <is>
          <t>04065792</t>
        </is>
      </c>
      <c r="U45" s="10" t="inlineStr"/>
      <c r="V45" s="10" t="inlineStr">
        <is>
          <t>Medium</t>
        </is>
      </c>
      <c r="W45" s="10" t="inlineStr">
        <is>
          <t>Multi-site retailer; Independent retailer; Relevant category; Active website</t>
        </is>
      </c>
      <c r="X45" s="10" t="inlineStr">
        <is>
          <t>Not Found</t>
        </is>
      </c>
      <c r="Y45" s="10" t="inlineStr">
        <is>
          <t>Website Found</t>
        </is>
      </c>
      <c r="Z45" s="10" t="inlineStr">
        <is>
          <t>Medium</t>
        </is>
      </c>
      <c r="AA45" s="10" t="inlineStr">
        <is>
          <t>Partially Verified</t>
        </is>
      </c>
      <c r="AB45" s="10" t="inlineStr">
        <is>
          <t>https://worldwidefoods.co.uk/worldwide-rochdale/</t>
        </is>
      </c>
    </row>
    <row r="46">
      <c r="A46" s="5" t="inlineStr">
        <is>
          <t>UK-000226</t>
        </is>
      </c>
      <c r="B46" s="5" t="inlineStr">
        <is>
          <t>YORKSHIREA-01</t>
        </is>
      </c>
      <c r="C46" s="5" t="inlineStr">
        <is>
          <t>Yorkshire Agricultural Society</t>
        </is>
      </c>
      <c r="D46" s="5" t="inlineStr">
        <is>
          <t>Fodder</t>
        </is>
      </c>
      <c r="E46" s="5" t="inlineStr">
        <is>
          <t>Independent Supermarket</t>
        </is>
      </c>
      <c r="F46" s="5" t="inlineStr">
        <is>
          <t>Farm shop, food hall &amp; cafe</t>
        </is>
      </c>
      <c r="G46" s="5" t="inlineStr">
        <is>
          <t>Independent</t>
        </is>
      </c>
      <c r="H46" s="5" t="inlineStr">
        <is>
          <t>1</t>
        </is>
      </c>
      <c r="I46" s="5" t="inlineStr">
        <is>
          <t>Great Yorkshire Showground</t>
        </is>
      </c>
      <c r="J46" s="5" t="inlineStr">
        <is>
          <t>Harrogate</t>
        </is>
      </c>
      <c r="K46" s="5" t="inlineStr">
        <is>
          <t>HG2 8NZ</t>
        </is>
      </c>
      <c r="L46" s="5" t="inlineStr">
        <is>
          <t>01423 546111</t>
        </is>
      </c>
      <c r="M46" s="5" t="inlineStr">
        <is>
          <t>enquiries@fodder.co.uk</t>
        </is>
      </c>
      <c r="N46" s="5" t="inlineStr"/>
      <c r="O46" s="5" t="inlineStr">
        <is>
          <t>https://fodder.co.uk/</t>
        </is>
      </c>
      <c r="P46" s="5" t="inlineStr"/>
      <c r="Q46" s="5" t="inlineStr"/>
      <c r="R46" s="5" t="inlineStr"/>
      <c r="S46" s="5" t="inlineStr"/>
      <c r="T46" s="5" t="inlineStr"/>
      <c r="U46" s="5" t="inlineStr"/>
      <c r="V46" s="5" t="inlineStr">
        <is>
          <t>High</t>
        </is>
      </c>
      <c r="W46" s="5" t="inlineStr">
        <is>
          <t>Multi-site retailer; Independent retailer; Relevant category; Public email available; Active website; Phone verified on official website</t>
        </is>
      </c>
      <c r="X46" s="5" t="inlineStr">
        <is>
          <t>Verified on official website</t>
        </is>
      </c>
      <c r="Y46" s="5" t="inlineStr">
        <is>
          <t>Publicly Listed</t>
        </is>
      </c>
      <c r="Z46" s="5" t="inlineStr">
        <is>
          <t>Medium</t>
        </is>
      </c>
      <c r="AA46" s="5" t="inlineStr">
        <is>
          <t>Requires Verification</t>
        </is>
      </c>
      <c r="AB46" s="5" t="inlineStr">
        <is>
          <t>https://fodder.co.uk/</t>
        </is>
      </c>
    </row>
    <row r="47">
      <c r="A47" s="10" t="inlineStr">
        <is>
          <t>UK-000568</t>
        </is>
      </c>
      <c r="B47" s="10" t="inlineStr">
        <is>
          <t>UK-000568-01</t>
        </is>
      </c>
      <c r="C47" s="10" t="inlineStr"/>
      <c r="D47" s="10" t="inlineStr">
        <is>
          <t>A Cash &amp; Carry</t>
        </is>
      </c>
      <c r="E47" s="10" t="inlineStr">
        <is>
          <t>Cash &amp; Carry</t>
        </is>
      </c>
      <c r="F47" s="10" t="inlineStr">
        <is>
          <t>Wholesale cash &amp; carry</t>
        </is>
      </c>
      <c r="G47" s="10" t="inlineStr">
        <is>
          <t>Independent</t>
        </is>
      </c>
      <c r="H47" s="10" t="inlineStr">
        <is>
          <t>1</t>
        </is>
      </c>
      <c r="I47" s="10" t="inlineStr">
        <is>
          <t>10a Carlton Terrace, Green Street</t>
        </is>
      </c>
      <c r="J47" s="10" t="inlineStr">
        <is>
          <t>Upton Park</t>
        </is>
      </c>
      <c r="K47" s="10" t="inlineStr">
        <is>
          <t>E7 8LH</t>
        </is>
      </c>
      <c r="L47" s="10" t="inlineStr">
        <is>
          <t>020 8471 7722</t>
        </is>
      </c>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Verified directory</t>
        </is>
      </c>
      <c r="Y47" s="10" t="inlineStr">
        <is>
          <t>Not Found</t>
        </is>
      </c>
      <c r="Z47" s="10" t="inlineStr">
        <is>
          <t>Medium</t>
        </is>
      </c>
      <c r="AA47" s="10" t="inlineStr">
        <is>
          <t>Requires Verification</t>
        </is>
      </c>
      <c r="AB47" s="10" t="inlineStr">
        <is>
          <t>https://www.yell.com/s/cash+and+carry-london+borough+of+newham.html</t>
        </is>
      </c>
    </row>
    <row r="48">
      <c r="A48" s="5" t="inlineStr">
        <is>
          <t>UK-000569</t>
        </is>
      </c>
      <c r="B48" s="5" t="inlineStr">
        <is>
          <t>UK-000569-01</t>
        </is>
      </c>
      <c r="C48" s="5" t="inlineStr"/>
      <c r="D48" s="5" t="inlineStr">
        <is>
          <t>A K S U Food Centre</t>
        </is>
      </c>
      <c r="E48" s="5" t="inlineStr">
        <is>
          <t>Independent Supermarket</t>
        </is>
      </c>
      <c r="F48" s="5" t="inlineStr">
        <is>
          <t>Turkish / world-food supermarket</t>
        </is>
      </c>
      <c r="G48" s="5" t="inlineStr">
        <is>
          <t>Independent</t>
        </is>
      </c>
      <c r="H48" s="5" t="inlineStr">
        <is>
          <t>1</t>
        </is>
      </c>
      <c r="I48" s="5" t="inlineStr"/>
      <c r="J48" s="5" t="inlineStr">
        <is>
          <t>Palmers Green</t>
        </is>
      </c>
      <c r="K48" s="5" t="inlineStr">
        <is>
          <t>N13 6JU</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https://www.192.com/atoz/business/london-n13/supermarkets/a-k-s-u-food-centre/650ad9767a1cc003a2d7c86973b2b2e67b5e7976/ml/</t>
        </is>
      </c>
    </row>
    <row r="49">
      <c r="A49" s="10" t="inlineStr">
        <is>
          <t>UK-000333</t>
        </is>
      </c>
      <c r="B49" s="10" t="inlineStr">
        <is>
          <t>UK-000333-01</t>
        </is>
      </c>
      <c r="C49" s="10" t="inlineStr"/>
      <c r="D49" s="10" t="inlineStr">
        <is>
          <t>A S M Cash &amp; Carry</t>
        </is>
      </c>
      <c r="E49" s="10" t="inlineStr">
        <is>
          <t>Cash &amp; Carry</t>
        </is>
      </c>
      <c r="F49" s="10" t="inlineStr">
        <is>
          <t>Asian grocery wholesale</t>
        </is>
      </c>
      <c r="G49" s="10" t="inlineStr">
        <is>
          <t>Independent</t>
        </is>
      </c>
      <c r="H49" s="10" t="inlineStr">
        <is>
          <t>1</t>
        </is>
      </c>
      <c r="I49" s="10" t="inlineStr">
        <is>
          <t>75-83 Oldham Road</t>
        </is>
      </c>
      <c r="J49" s="10" t="inlineStr">
        <is>
          <t>Ashton-under-Lyne</t>
        </is>
      </c>
      <c r="K49" s="10" t="inlineStr">
        <is>
          <t>OL6 7DF</t>
        </is>
      </c>
      <c r="L49" s="10" t="inlineStr">
        <is>
          <t>0161 339 4744</t>
        </is>
      </c>
      <c r="M49" s="10" t="inlineStr"/>
      <c r="N49" s="10" t="inlineStr"/>
      <c r="O49" s="10" t="inlineStr"/>
      <c r="P49" s="10" t="inlineStr"/>
      <c r="Q49" s="10" t="inlineStr"/>
      <c r="R49" s="10" t="inlineStr"/>
      <c r="S49" s="10" t="inlineStr"/>
      <c r="T49" s="10" t="inlineStr"/>
      <c r="U49" s="10" t="inlineStr"/>
      <c r="V49" s="10" t="inlineStr">
        <is>
          <t>Medium</t>
        </is>
      </c>
      <c r="W49" s="10" t="inlineStr">
        <is>
          <t>Independent retailer; Core relevant category</t>
        </is>
      </c>
      <c r="X49" s="10" t="inlineStr">
        <is>
          <t>Verified directory</t>
        </is>
      </c>
      <c r="Y49" s="10" t="inlineStr">
        <is>
          <t>Not Found</t>
        </is>
      </c>
      <c r="Z49" s="10" t="inlineStr">
        <is>
          <t>Medium</t>
        </is>
      </c>
      <c r="AA49" s="10" t="inlineStr">
        <is>
          <t>Requires Verification</t>
        </is>
      </c>
      <c r="AB49" s="10" t="inlineStr">
        <is>
          <t>https://www.thomsonlocal.com/search/supermarkets/tameside/a-s-m-cash-carry/1150471/01613394744</t>
        </is>
      </c>
    </row>
    <row r="50">
      <c r="A50" s="5" t="inlineStr">
        <is>
          <t>UK-000334</t>
        </is>
      </c>
      <c r="B50" s="5" t="inlineStr">
        <is>
          <t>UK-000334-01</t>
        </is>
      </c>
      <c r="C50" s="5" t="inlineStr"/>
      <c r="D50" s="5" t="inlineStr">
        <is>
          <t>ADZ Food Distribution Ltd</t>
        </is>
      </c>
      <c r="E50" s="5" t="inlineStr">
        <is>
          <t>Cash &amp; Carry</t>
        </is>
      </c>
      <c r="F50" s="5" t="inlineStr">
        <is>
          <t>Wholesale food distribution</t>
        </is>
      </c>
      <c r="G50" s="5" t="inlineStr">
        <is>
          <t>Independent</t>
        </is>
      </c>
      <c r="H50" s="5" t="inlineStr">
        <is>
          <t>1</t>
        </is>
      </c>
      <c r="I50" s="5" t="inlineStr">
        <is>
          <t>Unit 3, Cambrian Business Park</t>
        </is>
      </c>
      <c r="J50" s="5" t="inlineStr">
        <is>
          <t>Bolton</t>
        </is>
      </c>
      <c r="K50" s="5" t="inlineStr">
        <is>
          <t>BL3 6JF</t>
        </is>
      </c>
      <c r="L50" s="5" t="inlineStr">
        <is>
          <t>01204 365573</t>
        </is>
      </c>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Verified directory</t>
        </is>
      </c>
      <c r="Y50" s="5" t="inlineStr">
        <is>
          <t>Not Found</t>
        </is>
      </c>
      <c r="Z50" s="5" t="inlineStr">
        <is>
          <t>Low</t>
        </is>
      </c>
      <c r="AA50" s="5" t="inlineStr">
        <is>
          <t>Requires Verification</t>
        </is>
      </c>
      <c r="AB50" s="5" t="inlineStr">
        <is>
          <t>https://adz-food-distribution-ltd.wheree.com/</t>
        </is>
      </c>
    </row>
    <row r="51">
      <c r="A51" s="10" t="inlineStr">
        <is>
          <t>UK-000452</t>
        </is>
      </c>
      <c r="B51" s="10" t="inlineStr">
        <is>
          <t>UK-000452-01</t>
        </is>
      </c>
      <c r="C51" s="10" t="inlineStr"/>
      <c r="D51" s="10" t="inlineStr">
        <is>
          <t>AT Wholesale Ltd</t>
        </is>
      </c>
      <c r="E51" s="10" t="inlineStr">
        <is>
          <t>Cash &amp; Carry</t>
        </is>
      </c>
      <c r="F51" s="10" t="inlineStr">
        <is>
          <t>Grocery wholesale</t>
        </is>
      </c>
      <c r="G51" s="10" t="inlineStr">
        <is>
          <t>Independent</t>
        </is>
      </c>
      <c r="H51" s="10" t="inlineStr">
        <is>
          <t>1</t>
        </is>
      </c>
      <c r="I51" s="10" t="inlineStr">
        <is>
          <t>Unit 13 Webner Estate</t>
        </is>
      </c>
      <c r="J51" s="10" t="inlineStr">
        <is>
          <t>Wolverhampton</t>
        </is>
      </c>
      <c r="K51" s="10" t="inlineStr"/>
      <c r="L51" s="10" t="inlineStr">
        <is>
          <t>07939 332902</t>
        </is>
      </c>
      <c r="M51" s="10" t="inlineStr">
        <is>
          <t>admin@atwholesale.uk</t>
        </is>
      </c>
      <c r="N51" s="10" t="inlineStr"/>
      <c r="O51" s="10" t="inlineStr"/>
      <c r="P51" s="10" t="inlineStr">
        <is>
          <t>https://www.facebook.com/100092335630510</t>
        </is>
      </c>
      <c r="Q51" s="10" t="inlineStr"/>
      <c r="R51" s="10" t="inlineStr"/>
      <c r="S51" s="10" t="inlineStr"/>
      <c r="T51" s="10" t="inlineStr"/>
      <c r="U51" s="10" t="inlineStr"/>
      <c r="V51" s="10" t="inlineStr">
        <is>
          <t>Medium</t>
        </is>
      </c>
      <c r="W51" s="10" t="inlineStr">
        <is>
          <t>Independent retailer; Core relevant category; Public email available; Social presence</t>
        </is>
      </c>
      <c r="X51" s="10" t="inlineStr">
        <is>
          <t>Verified directory</t>
        </is>
      </c>
      <c r="Y51" s="10" t="inlineStr">
        <is>
          <t>Publicly Listed</t>
        </is>
      </c>
      <c r="Z51" s="10" t="inlineStr">
        <is>
          <t>Medium</t>
        </is>
      </c>
      <c r="AA51" s="10" t="inlineStr">
        <is>
          <t>Requires Verification</t>
        </is>
      </c>
      <c r="AB51" s="10" t="inlineStr">
        <is>
          <t>https://www.yell.com/biz/at-wholesale-ltd-wolverhampton-10672948/</t>
        </is>
      </c>
    </row>
    <row r="52">
      <c r="A52" s="5" t="inlineStr">
        <is>
          <t>UK-000571</t>
        </is>
      </c>
      <c r="B52" s="5" t="inlineStr">
        <is>
          <t>UK-000571-01</t>
        </is>
      </c>
      <c r="C52" s="5" t="inlineStr"/>
      <c r="D52" s="5" t="inlineStr">
        <is>
          <t>Adil Cash &amp; Carry</t>
        </is>
      </c>
      <c r="E52" s="5" t="inlineStr">
        <is>
          <t>Cash &amp; Carry</t>
        </is>
      </c>
      <c r="F52" s="5" t="inlineStr">
        <is>
          <t>Wholesale cash &amp; carry</t>
        </is>
      </c>
      <c r="G52" s="5" t="inlineStr">
        <is>
          <t>Independent</t>
        </is>
      </c>
      <c r="H52" s="5" t="inlineStr">
        <is>
          <t>1</t>
        </is>
      </c>
      <c r="I52" s="5" t="inlineStr">
        <is>
          <t>824 High Road</t>
        </is>
      </c>
      <c r="J52" s="5" t="inlineStr">
        <is>
          <t>Leyton</t>
        </is>
      </c>
      <c r="K52" s="5" t="inlineStr">
        <is>
          <t>E10 6AE</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Not Found</t>
        </is>
      </c>
      <c r="Y52" s="5" t="inlineStr">
        <is>
          <t>Not Found</t>
        </is>
      </c>
      <c r="Z52" s="5" t="inlineStr">
        <is>
          <t>Low</t>
        </is>
      </c>
      <c r="AA52" s="5" t="inlineStr">
        <is>
          <t>Requires Verification</t>
        </is>
      </c>
      <c r="AB52" s="5" t="inlineStr">
        <is>
          <t>https://www.yell.com/s/grocers+and+convenience+stores-edmonton-north+london.html</t>
        </is>
      </c>
    </row>
    <row r="53">
      <c r="A53" s="10" t="inlineStr">
        <is>
          <t>UK-000336</t>
        </is>
      </c>
      <c r="B53" s="10" t="inlineStr">
        <is>
          <t>UK-000336-01</t>
        </is>
      </c>
      <c r="C53" s="10" t="inlineStr"/>
      <c r="D53" s="10" t="inlineStr">
        <is>
          <t>Ahmed Bros Oldham</t>
        </is>
      </c>
      <c r="E53" s="10" t="inlineStr">
        <is>
          <t>Cash &amp; Carry</t>
        </is>
      </c>
      <c r="F53" s="10" t="inlineStr">
        <is>
          <t>Food &amp; catering wholesale</t>
        </is>
      </c>
      <c r="G53" s="10" t="inlineStr">
        <is>
          <t>Independent</t>
        </is>
      </c>
      <c r="H53" s="10" t="inlineStr">
        <is>
          <t>1</t>
        </is>
      </c>
      <c r="I53" s="10" t="inlineStr"/>
      <c r="J53" s="10" t="inlineStr">
        <is>
          <t>Chadderton</t>
        </is>
      </c>
      <c r="K53" s="10" t="inlineStr"/>
      <c r="L53" s="10" t="inlineStr"/>
      <c r="M53" s="10" t="inlineStr"/>
      <c r="N53" s="10" t="inlineStr"/>
      <c r="O53" s="10" t="inlineStr">
        <is>
          <t>https://abfood.co.uk/</t>
        </is>
      </c>
      <c r="P53" s="10" t="inlineStr"/>
      <c r="Q53" s="10" t="inlineStr"/>
      <c r="R53" s="10" t="inlineStr"/>
      <c r="S53" s="10" t="inlineStr"/>
      <c r="T53" s="10" t="inlineStr"/>
      <c r="U53" s="10" t="inlineStr"/>
      <c r="V53" s="10" t="inlineStr">
        <is>
          <t>Medium</t>
        </is>
      </c>
      <c r="W53" s="10" t="inlineStr">
        <is>
          <t>Independent retailer; Core relevant category; Active website</t>
        </is>
      </c>
      <c r="X53" s="10" t="inlineStr">
        <is>
          <t>Not Found</t>
        </is>
      </c>
      <c r="Y53" s="10" t="inlineStr">
        <is>
          <t>Website Found</t>
        </is>
      </c>
      <c r="Z53" s="10" t="inlineStr">
        <is>
          <t>Low</t>
        </is>
      </c>
      <c r="AA53" s="10" t="inlineStr">
        <is>
          <t>Requires Verification</t>
        </is>
      </c>
      <c r="AB53" s="10" t="inlineStr">
        <is>
          <t>https://abfood.co.uk/</t>
        </is>
      </c>
    </row>
    <row r="54">
      <c r="A54" s="5" t="inlineStr">
        <is>
          <t>UK-000234</t>
        </is>
      </c>
      <c r="B54" s="5" t="inlineStr">
        <is>
          <t>UK-000234-01</t>
        </is>
      </c>
      <c r="C54" s="5" t="inlineStr"/>
      <c r="D54" s="5" t="inlineStr">
        <is>
          <t>Ainsty Farm Shop</t>
        </is>
      </c>
      <c r="E54" s="5" t="inlineStr">
        <is>
          <t>Independent Supermarket</t>
        </is>
      </c>
      <c r="F54" s="5" t="inlineStr">
        <is>
          <t>Farm shop, butchery, bakery &amp; deli</t>
        </is>
      </c>
      <c r="G54" s="5" t="inlineStr">
        <is>
          <t>Independent</t>
        </is>
      </c>
      <c r="H54" s="5" t="inlineStr">
        <is>
          <t>1</t>
        </is>
      </c>
      <c r="I54" s="5" t="inlineStr">
        <is>
          <t>York Road</t>
        </is>
      </c>
      <c r="J54" s="5" t="inlineStr">
        <is>
          <t>York</t>
        </is>
      </c>
      <c r="K54" s="5" t="inlineStr">
        <is>
          <t>YO26 8EQ</t>
        </is>
      </c>
      <c r="L54" s="5" t="inlineStr">
        <is>
          <t>01423 331897</t>
        </is>
      </c>
      <c r="M54" s="5" t="inlineStr"/>
      <c r="N54" s="5" t="inlineStr"/>
      <c r="O54" s="5" t="inlineStr">
        <is>
          <t>https://www.ainstyfarmshop.co.uk/home.html</t>
        </is>
      </c>
      <c r="P54" s="5" t="inlineStr"/>
      <c r="Q54" s="5" t="inlineStr"/>
      <c r="R54" s="5" t="inlineStr">
        <is>
          <t>Stuart and Lily Beaton</t>
        </is>
      </c>
      <c r="S54" s="5" t="inlineStr">
        <is>
          <t>Owners</t>
        </is>
      </c>
      <c r="T54" s="5" t="inlineStr"/>
      <c r="U54" s="5" t="inlineStr"/>
      <c r="V54" s="5" t="inlineStr">
        <is>
          <t>Medium</t>
        </is>
      </c>
      <c r="W54" s="5" t="inlineStr">
        <is>
          <t>Independent retailer; Relevant category; Active website; Phone verified on official website</t>
        </is>
      </c>
      <c r="X54" s="5" t="inlineStr">
        <is>
          <t>Verified on official website</t>
        </is>
      </c>
      <c r="Y54" s="5" t="inlineStr">
        <is>
          <t>Website Found</t>
        </is>
      </c>
      <c r="Z54" s="5" t="inlineStr">
        <is>
          <t>Medium</t>
        </is>
      </c>
      <c r="AA54" s="5" t="inlineStr">
        <is>
          <t>Requires Verification</t>
        </is>
      </c>
      <c r="AB54" s="5" t="inlineStr">
        <is>
          <t>https://www.ainstyfarmshop.co.uk/home.html</t>
        </is>
      </c>
    </row>
    <row r="55">
      <c r="A55" s="10" t="inlineStr">
        <is>
          <t>WY-0049</t>
        </is>
      </c>
      <c r="B55" s="10" t="inlineStr">
        <is>
          <t>WY-0049-01</t>
        </is>
      </c>
      <c r="C55" s="10" t="inlineStr"/>
      <c r="D55" s="10" t="inlineStr">
        <is>
          <t>Al-Falah Supermarket</t>
        </is>
      </c>
      <c r="E55" s="10" t="inlineStr">
        <is>
          <t>Independent Supermarket</t>
        </is>
      </c>
      <c r="F55" s="10" t="inlineStr">
        <is>
          <t>Halal / international supermarket</t>
        </is>
      </c>
      <c r="G55" s="10" t="inlineStr">
        <is>
          <t>Independent</t>
        </is>
      </c>
      <c r="H55" s="10" t="inlineStr">
        <is>
          <t>1</t>
        </is>
      </c>
      <c r="I55" s="10" t="inlineStr">
        <is>
          <t>150 Manningham Lane</t>
        </is>
      </c>
      <c r="J55" s="10" t="inlineStr">
        <is>
          <t>Bradford</t>
        </is>
      </c>
      <c r="K55" s="10" t="inlineStr"/>
      <c r="L55" s="10" t="inlineStr"/>
      <c r="M55" s="10" t="inlineStr"/>
      <c r="N55" s="10" t="inlineStr"/>
      <c r="O55" s="10" t="inlineStr"/>
      <c r="P55" s="10" t="inlineStr">
        <is>
          <t>https://www.facebook.com/alfalahbradford/</t>
        </is>
      </c>
      <c r="Q55" s="10" t="inlineStr"/>
      <c r="R55" s="10" t="inlineStr"/>
      <c r="S55" s="10" t="inlineStr"/>
      <c r="T55" s="10" t="inlineStr"/>
      <c r="U55" s="10" t="inlineStr"/>
      <c r="V55" s="10" t="inlineStr">
        <is>
          <t>Medium</t>
        </is>
      </c>
      <c r="W55" s="10" t="inlineStr">
        <is>
          <t>Independent retailer; Relevant category; Social presence</t>
        </is>
      </c>
      <c r="X55" s="10" t="inlineStr">
        <is>
          <t>Not Found</t>
        </is>
      </c>
      <c r="Y55" s="10" t="inlineStr">
        <is>
          <t>Not Found</t>
        </is>
      </c>
      <c r="Z55" s="10" t="inlineStr">
        <is>
          <t>Medium</t>
        </is>
      </c>
      <c r="AA55" s="10" t="inlineStr">
        <is>
          <t>Requires Verification</t>
        </is>
      </c>
      <c r="AB55" s="10" t="inlineStr">
        <is>
          <t>https://www.facebook.com/alfalahbradford/</t>
        </is>
      </c>
    </row>
    <row r="56">
      <c r="A56" s="5" t="inlineStr">
        <is>
          <t>UK-000337</t>
        </is>
      </c>
      <c r="B56" s="5" t="inlineStr">
        <is>
          <t>UK-000337-01</t>
        </is>
      </c>
      <c r="C56" s="5" t="inlineStr"/>
      <c r="D56" s="5" t="inlineStr">
        <is>
          <t>Al-Rayan Supermarket</t>
        </is>
      </c>
      <c r="E56" s="5" t="inlineStr">
        <is>
          <t>Independent Supermarket</t>
        </is>
      </c>
      <c r="F56" s="5" t="inlineStr">
        <is>
          <t>Middle Eastern / Asian grocery</t>
        </is>
      </c>
      <c r="G56" s="5" t="inlineStr">
        <is>
          <t>Independent</t>
        </is>
      </c>
      <c r="H56" s="5" t="inlineStr">
        <is>
          <t>1</t>
        </is>
      </c>
      <c r="I56" s="5" t="inlineStr">
        <is>
          <t>110 Drake Street</t>
        </is>
      </c>
      <c r="J56" s="5" t="inlineStr">
        <is>
          <t>Rochdale</t>
        </is>
      </c>
      <c r="K56" s="5" t="inlineStr">
        <is>
          <t>OL16 1PN</t>
        </is>
      </c>
      <c r="L56" s="5" t="inlineStr">
        <is>
          <t>01706 521215</t>
        </is>
      </c>
      <c r="M56" s="5" t="inlineStr"/>
      <c r="N56" s="5" t="inlineStr"/>
      <c r="O56" s="5" t="inlineStr"/>
      <c r="P56" s="5" t="inlineStr">
        <is>
          <t>https://www.facebook.com/p/Al-Rayan-Supermarket-100063796310037/</t>
        </is>
      </c>
      <c r="Q56" s="5" t="inlineStr"/>
      <c r="R56" s="5" t="inlineStr"/>
      <c r="S56" s="5" t="inlineStr"/>
      <c r="T56" s="5" t="inlineStr"/>
      <c r="U56" s="5" t="inlineStr"/>
      <c r="V56" s="5" t="inlineStr">
        <is>
          <t>Medium</t>
        </is>
      </c>
      <c r="W56" s="5" t="inlineStr">
        <is>
          <t>Independent retailer; Relevant category; Social presence</t>
        </is>
      </c>
      <c r="X56" s="5" t="inlineStr">
        <is>
          <t>Verified directory</t>
        </is>
      </c>
      <c r="Y56" s="5" t="inlineStr">
        <is>
          <t>Not Found</t>
        </is>
      </c>
      <c r="Z56" s="5" t="inlineStr">
        <is>
          <t>Medium</t>
        </is>
      </c>
      <c r="AA56" s="5" t="inlineStr">
        <is>
          <t>Requires Verification</t>
        </is>
      </c>
      <c r="AB56" s="5" t="inlineStr">
        <is>
          <t>https://www.chamberofcommerce.uk/business-directory/england/rochdale/supermarket/1513384-al-rayan-supermarket</t>
        </is>
      </c>
    </row>
    <row r="57">
      <c r="A57" s="10" t="inlineStr">
        <is>
          <t>UK-000573</t>
        </is>
      </c>
      <c r="B57" s="10" t="inlineStr">
        <is>
          <t>UK-000573-01</t>
        </is>
      </c>
      <c r="C57" s="10" t="inlineStr"/>
      <c r="D57" s="10" t="inlineStr">
        <is>
          <t>Al-Sultan Supermarket</t>
        </is>
      </c>
      <c r="E57" s="10" t="inlineStr">
        <is>
          <t>Independent Supermarket</t>
        </is>
      </c>
      <c r="F57" s="10" t="inlineStr">
        <is>
          <t>Middle Eastern grocery &amp; supermarket</t>
        </is>
      </c>
      <c r="G57" s="10" t="inlineStr">
        <is>
          <t>Independent</t>
        </is>
      </c>
      <c r="H57" s="10" t="inlineStr">
        <is>
          <t>1</t>
        </is>
      </c>
      <c r="I57" s="10" t="inlineStr">
        <is>
          <t>460 Edgware Road</t>
        </is>
      </c>
      <c r="J57" s="10" t="inlineStr">
        <is>
          <t>London</t>
        </is>
      </c>
      <c r="K57" s="10" t="inlineStr">
        <is>
          <t>W2 1EJ</t>
        </is>
      </c>
      <c r="L57" s="10" t="inlineStr">
        <is>
          <t>020 7589 8614</t>
        </is>
      </c>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Verified directory</t>
        </is>
      </c>
      <c r="Y57" s="10" t="inlineStr">
        <is>
          <t>Not Found</t>
        </is>
      </c>
      <c r="Z57" s="10" t="inlineStr">
        <is>
          <t>Low</t>
        </is>
      </c>
      <c r="AA57" s="10" t="inlineStr">
        <is>
          <t>Requires Verification</t>
        </is>
      </c>
      <c r="AB57" s="10" t="inlineStr">
        <is>
          <t>https://www.yell.com/s/convenience+stores-edgware+road+tube-paddington.html</t>
        </is>
      </c>
    </row>
    <row r="58">
      <c r="A58" s="5" t="inlineStr">
        <is>
          <t>UK-000575</t>
        </is>
      </c>
      <c r="B58" s="5" t="inlineStr">
        <is>
          <t>UK-000575-01</t>
        </is>
      </c>
      <c r="C58" s="5" t="inlineStr"/>
      <c r="D58" s="5" t="inlineStr">
        <is>
          <t>All Drinks Cash &amp; Carry Ltd</t>
        </is>
      </c>
      <c r="E58" s="5" t="inlineStr">
        <is>
          <t>Cash &amp; Carry</t>
        </is>
      </c>
      <c r="F58" s="5" t="inlineStr">
        <is>
          <t>Drinks wholesaler</t>
        </is>
      </c>
      <c r="G58" s="5" t="inlineStr">
        <is>
          <t>Independent</t>
        </is>
      </c>
      <c r="H58" s="5" t="inlineStr">
        <is>
          <t>1</t>
        </is>
      </c>
      <c r="I58" s="5" t="inlineStr">
        <is>
          <t>North Hyde House</t>
        </is>
      </c>
      <c r="J58" s="5" t="inlineStr">
        <is>
          <t>Southall</t>
        </is>
      </c>
      <c r="K58" s="5" t="inlineStr">
        <is>
          <t>UB2 5NS</t>
        </is>
      </c>
      <c r="L58" s="5" t="inlineStr">
        <is>
          <t>020 8893 6000</t>
        </is>
      </c>
      <c r="M58" s="5" t="inlineStr"/>
      <c r="N58" s="5" t="inlineStr"/>
      <c r="O58" s="5" t="inlineStr">
        <is>
          <t>https://all-drinks.co.uk</t>
        </is>
      </c>
      <c r="P58" s="5" t="inlineStr"/>
      <c r="Q58" s="5" t="inlineStr"/>
      <c r="R58" s="5" t="inlineStr"/>
      <c r="S58" s="5" t="inlineStr"/>
      <c r="T58" s="5" t="inlineStr">
        <is>
          <t>10267733</t>
        </is>
      </c>
      <c r="U58" s="5" t="inlineStr"/>
      <c r="V58" s="5" t="inlineStr">
        <is>
          <t>Medium</t>
        </is>
      </c>
      <c r="W58" s="5" t="inlineStr">
        <is>
          <t>Independent retailer; Core relevant category; Active website; Phone verified on official website</t>
        </is>
      </c>
      <c r="X58" s="5" t="inlineStr">
        <is>
          <t>Verified on official website</t>
        </is>
      </c>
      <c r="Y58" s="5" t="inlineStr">
        <is>
          <t>Not Found</t>
        </is>
      </c>
      <c r="Z58" s="5" t="inlineStr">
        <is>
          <t>High</t>
        </is>
      </c>
      <c r="AA58" s="5" t="inlineStr">
        <is>
          <t>Verified (website + Companies House)</t>
        </is>
      </c>
      <c r="AB58" s="5" t="inlineStr">
        <is>
          <t>https://all-drinks.co.uk/contact/</t>
        </is>
      </c>
    </row>
    <row r="59">
      <c r="A59" s="10" t="inlineStr">
        <is>
          <t>UK-000578</t>
        </is>
      </c>
      <c r="B59" s="10" t="inlineStr">
        <is>
          <t>UK-000578-01</t>
        </is>
      </c>
      <c r="C59" s="10" t="inlineStr"/>
      <c r="D59" s="10" t="inlineStr">
        <is>
          <t>Anglo Asian Cash &amp; Carry Ltd</t>
        </is>
      </c>
      <c r="E59" s="10" t="inlineStr">
        <is>
          <t>Cash &amp; Carry</t>
        </is>
      </c>
      <c r="F59" s="10" t="inlineStr"/>
      <c r="G59" s="10" t="inlineStr">
        <is>
          <t>Independent</t>
        </is>
      </c>
      <c r="H59" s="10" t="inlineStr">
        <is>
          <t>1</t>
        </is>
      </c>
      <c r="I59" s="10" t="inlineStr">
        <is>
          <t>539 High Road</t>
        </is>
      </c>
      <c r="J59" s="10" t="inlineStr">
        <is>
          <t>Wembley</t>
        </is>
      </c>
      <c r="K59" s="10" t="inlineStr">
        <is>
          <t>HA0 2DJ</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Not Found</t>
        </is>
      </c>
      <c r="Y59" s="10" t="inlineStr">
        <is>
          <t>Not Found</t>
        </is>
      </c>
      <c r="Z59" s="10" t="inlineStr">
        <is>
          <t>Low</t>
        </is>
      </c>
      <c r="AA59" s="10" t="inlineStr">
        <is>
          <t>Requires Verification</t>
        </is>
      </c>
      <c r="AB59" s="10" t="inlineStr">
        <is>
          <t>https://www.yell.com/biz/anglo-asian-cash-and-carry-ltd-wembley-3390439/</t>
        </is>
      </c>
    </row>
    <row r="60">
      <c r="A60" s="5" t="inlineStr">
        <is>
          <t>UK-000339</t>
        </is>
      </c>
      <c r="B60" s="5" t="inlineStr">
        <is>
          <t>UK-000339-01</t>
        </is>
      </c>
      <c r="C60" s="5" t="inlineStr"/>
      <c r="D60" s="5" t="inlineStr">
        <is>
          <t>Arif Grocers</t>
        </is>
      </c>
      <c r="E60" s="5" t="inlineStr">
        <is>
          <t>Independent Supermarket</t>
        </is>
      </c>
      <c r="F60" s="5" t="inlineStr">
        <is>
          <t>Asian grocery</t>
        </is>
      </c>
      <c r="G60" s="5" t="inlineStr">
        <is>
          <t>Independent</t>
        </is>
      </c>
      <c r="H60" s="5" t="inlineStr">
        <is>
          <t>1</t>
        </is>
      </c>
      <c r="I60" s="5" t="inlineStr">
        <is>
          <t>49 Ramsey Street</t>
        </is>
      </c>
      <c r="J60" s="5" t="inlineStr">
        <is>
          <t>Rochdale</t>
        </is>
      </c>
      <c r="K60" s="5" t="inlineStr">
        <is>
          <t>OL16 2BX</t>
        </is>
      </c>
      <c r="L60" s="5" t="inlineStr"/>
      <c r="M60" s="5" t="inlineStr"/>
      <c r="N60" s="5" t="inlineStr"/>
      <c r="O60" s="5" t="inlineStr"/>
      <c r="P60" s="5" t="inlineStr"/>
      <c r="Q60" s="5" t="inlineStr">
        <is>
          <t>https://www.instagram.com/arifgrocers/</t>
        </is>
      </c>
      <c r="R60" s="5" t="inlineStr"/>
      <c r="S60" s="5" t="inlineStr"/>
      <c r="T60" s="5" t="inlineStr"/>
      <c r="U60" s="5" t="inlineStr"/>
      <c r="V60" s="5" t="inlineStr">
        <is>
          <t>Medium</t>
        </is>
      </c>
      <c r="W60" s="5" t="inlineStr">
        <is>
          <t>Independent retailer; Relevant category; Social presence</t>
        </is>
      </c>
      <c r="X60" s="5" t="inlineStr">
        <is>
          <t>Not Found</t>
        </is>
      </c>
      <c r="Y60" s="5" t="inlineStr">
        <is>
          <t>Not Found</t>
        </is>
      </c>
      <c r="Z60" s="5" t="inlineStr">
        <is>
          <t>Low</t>
        </is>
      </c>
      <c r="AA60" s="5" t="inlineStr">
        <is>
          <t>Requires Verification</t>
        </is>
      </c>
      <c r="AB60" s="5" t="inlineStr">
        <is>
          <t>https://www.instagram.com/arifgrocers/</t>
        </is>
      </c>
    </row>
    <row r="61">
      <c r="A61" s="10" t="inlineStr">
        <is>
          <t>WY-0052</t>
        </is>
      </c>
      <c r="B61" s="10" t="inlineStr">
        <is>
          <t>WY-0052-01</t>
        </is>
      </c>
      <c r="C61" s="10" t="inlineStr"/>
      <c r="D61" s="10" t="inlineStr">
        <is>
          <t>Asia Foods</t>
        </is>
      </c>
      <c r="E61" s="10" t="inlineStr">
        <is>
          <t>Independent Supermarket</t>
        </is>
      </c>
      <c r="F61" s="10" t="inlineStr">
        <is>
          <t>Asian grocery and halal meat store</t>
        </is>
      </c>
      <c r="G61" s="10" t="inlineStr">
        <is>
          <t>Independent</t>
        </is>
      </c>
      <c r="H61" s="10" t="inlineStr">
        <is>
          <t>1</t>
        </is>
      </c>
      <c r="I61" s="10" t="inlineStr">
        <is>
          <t>97-99 Yews Hill Road</t>
        </is>
      </c>
      <c r="J61" s="10" t="inlineStr">
        <is>
          <t>Huddersfield</t>
        </is>
      </c>
      <c r="K61" s="10" t="inlineStr">
        <is>
          <t>HD1 3SG</t>
        </is>
      </c>
      <c r="L61" s="10" t="inlineStr">
        <is>
          <t>01484 514828</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https://asia-foods-huddersfield.edan.io/</t>
        </is>
      </c>
    </row>
    <row r="62">
      <c r="A62" s="5" t="inlineStr">
        <is>
          <t>UK-000342</t>
        </is>
      </c>
      <c r="B62" s="5" t="inlineStr">
        <is>
          <t>UK-000342-01</t>
        </is>
      </c>
      <c r="C62" s="5" t="inlineStr"/>
      <c r="D62" s="5" t="inlineStr">
        <is>
          <t>Aytac Foods Distribution</t>
        </is>
      </c>
      <c r="E62" s="5" t="inlineStr">
        <is>
          <t>Cash &amp; Carry</t>
        </is>
      </c>
      <c r="F62" s="5" t="inlineStr">
        <is>
          <t>Restaurant wholesale</t>
        </is>
      </c>
      <c r="G62" s="5" t="inlineStr">
        <is>
          <t>Independent</t>
        </is>
      </c>
      <c r="H62" s="5" t="inlineStr">
        <is>
          <t>1</t>
        </is>
      </c>
      <c r="I62" s="5" t="inlineStr">
        <is>
          <t>Unit 1, Whitelands Road</t>
        </is>
      </c>
      <c r="J62" s="5" t="inlineStr">
        <is>
          <t>Ashton-under-Lyne</t>
        </is>
      </c>
      <c r="K62" s="5" t="inlineStr">
        <is>
          <t>OL6 6UX</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Low</t>
        </is>
      </c>
      <c r="AA62" s="5" t="inlineStr">
        <is>
          <t>Requires Verification</t>
        </is>
      </c>
      <c r="AB62" s="5" t="inlineStr">
        <is>
          <t>https://ashton-under-lyne.cylex-uk.co.uk/company/aytac-foods-distribution-ltd---cash---carry---restaurant-wholesaler-27682099.html</t>
        </is>
      </c>
    </row>
    <row r="63">
      <c r="A63" s="10" t="inlineStr">
        <is>
          <t>WY-0055</t>
        </is>
      </c>
      <c r="B63" s="10" t="inlineStr">
        <is>
          <t>WY-0055-01</t>
        </is>
      </c>
      <c r="C63" s="10" t="inlineStr"/>
      <c r="D63" s="10" t="inlineStr">
        <is>
          <t>BGC Wholesale</t>
        </is>
      </c>
      <c r="E63" s="10" t="inlineStr">
        <is>
          <t>Cash &amp; Carry</t>
        </is>
      </c>
      <c r="F63" s="10" t="inlineStr">
        <is>
          <t>Greeting cards, gifts &amp; retail sundries wholesaler</t>
        </is>
      </c>
      <c r="G63" s="10" t="inlineStr">
        <is>
          <t>Independent</t>
        </is>
      </c>
      <c r="H63" s="10" t="inlineStr">
        <is>
          <t>1</t>
        </is>
      </c>
      <c r="I63" s="10" t="inlineStr">
        <is>
          <t>12 Roydsdale Way</t>
        </is>
      </c>
      <c r="J63" s="10" t="inlineStr">
        <is>
          <t>Bradford</t>
        </is>
      </c>
      <c r="K63" s="10" t="inlineStr">
        <is>
          <t>BD4 6SE</t>
        </is>
      </c>
      <c r="L63" s="10" t="inlineStr">
        <is>
          <t>01274 651059</t>
        </is>
      </c>
      <c r="M63" s="10" t="inlineStr"/>
      <c r="N63" s="10" t="inlineStr"/>
      <c r="O63" s="10" t="inlineStr">
        <is>
          <t>https://bgcwholesale.com/locations/bradford</t>
        </is>
      </c>
      <c r="P63" s="10" t="inlineStr"/>
      <c r="Q63" s="10" t="inlineStr"/>
      <c r="R63" s="10" t="inlineStr"/>
      <c r="S63" s="10" t="inlineStr"/>
      <c r="T63" s="10" t="inlineStr">
        <is>
          <t>12428420</t>
        </is>
      </c>
      <c r="U63" s="10" t="inlineStr"/>
      <c r="V63" s="10" t="inlineStr">
        <is>
          <t>Medium</t>
        </is>
      </c>
      <c r="W63" s="10" t="inlineStr">
        <is>
          <t>Independent retailer; Core relevant category; Active website</t>
        </is>
      </c>
      <c r="X63" s="10" t="inlineStr">
        <is>
          <t>Verified directory</t>
        </is>
      </c>
      <c r="Y63" s="10" t="inlineStr">
        <is>
          <t>Website Found</t>
        </is>
      </c>
      <c r="Z63" s="10" t="inlineStr">
        <is>
          <t>Medium</t>
        </is>
      </c>
      <c r="AA63" s="10" t="inlineStr">
        <is>
          <t>Partially Verified</t>
        </is>
      </c>
      <c r="AB63" s="10" t="inlineStr">
        <is>
          <t>https://find-and-update.company-information.service.gov.uk/company/12428420/officers</t>
        </is>
      </c>
    </row>
    <row r="64">
      <c r="A64" s="5" t="inlineStr">
        <is>
          <t>UK-000345</t>
        </is>
      </c>
      <c r="B64" s="5" t="inlineStr">
        <is>
          <t>UK-000345-01</t>
        </is>
      </c>
      <c r="C64" s="5" t="inlineStr"/>
      <c r="D64" s="5" t="inlineStr">
        <is>
          <t>Bargain Brand Food</t>
        </is>
      </c>
      <c r="E64" s="5" t="inlineStr">
        <is>
          <t>Independent Supermarket</t>
        </is>
      </c>
      <c r="F64" s="5" t="inlineStr">
        <is>
          <t>Discount grocery</t>
        </is>
      </c>
      <c r="G64" s="5" t="inlineStr">
        <is>
          <t>Independent</t>
        </is>
      </c>
      <c r="H64" s="5" t="inlineStr">
        <is>
          <t>1</t>
        </is>
      </c>
      <c r="I64" s="5" t="inlineStr">
        <is>
          <t>Unit 32A, Grand Arcade Shopping Centre</t>
        </is>
      </c>
      <c r="J64" s="5" t="inlineStr">
        <is>
          <t>Wigan</t>
        </is>
      </c>
      <c r="K64" s="5" t="inlineStr">
        <is>
          <t>WN1 1BH</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https://bargain-brand-food.wheree.com/</t>
        </is>
      </c>
    </row>
    <row r="65">
      <c r="A65" s="10" t="inlineStr">
        <is>
          <t>UK-000237</t>
        </is>
      </c>
      <c r="B65" s="10" t="inlineStr">
        <is>
          <t>UK-000237-01</t>
        </is>
      </c>
      <c r="C65" s="10" t="inlineStr"/>
      <c r="D65" s="10" t="inlineStr">
        <is>
          <t>Bargains Cash &amp; Carry Ltd</t>
        </is>
      </c>
      <c r="E65" s="10" t="inlineStr">
        <is>
          <t>Cash &amp; Carry</t>
        </is>
      </c>
      <c r="F65" s="10" t="inlineStr">
        <is>
          <t>Cash &amp; carry wholesaler</t>
        </is>
      </c>
      <c r="G65" s="10" t="inlineStr">
        <is>
          <t>Independent</t>
        </is>
      </c>
      <c r="H65" s="10" t="inlineStr">
        <is>
          <t>1</t>
        </is>
      </c>
      <c r="I65" s="10" t="inlineStr"/>
      <c r="J65" s="10" t="inlineStr">
        <is>
          <t>Sheffield</t>
        </is>
      </c>
      <c r="K65" s="10" t="inlineStr"/>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https://sheffield.cylex-uk.co.uk/company/bargains-cash---carry-ltd-27419816.html</t>
        </is>
      </c>
    </row>
    <row r="66">
      <c r="A66" s="5" t="inlineStr">
        <is>
          <t>UK-000580</t>
        </is>
      </c>
      <c r="B66" s="5" t="inlineStr">
        <is>
          <t>UK-000580-01</t>
        </is>
      </c>
      <c r="C66" s="5" t="inlineStr"/>
      <c r="D66" s="5" t="inlineStr">
        <is>
          <t>Barraka Shop</t>
        </is>
      </c>
      <c r="E66" s="5" t="inlineStr">
        <is>
          <t>Independent Supermarket</t>
        </is>
      </c>
      <c r="F66" s="5" t="inlineStr">
        <is>
          <t>African / world food store</t>
        </is>
      </c>
      <c r="G66" s="5" t="inlineStr">
        <is>
          <t>Independent</t>
        </is>
      </c>
      <c r="H66" s="5" t="inlineStr">
        <is>
          <t>1</t>
        </is>
      </c>
      <c r="I66" s="5" t="inlineStr">
        <is>
          <t>215 Deptford High Street</t>
        </is>
      </c>
      <c r="J66" s="5" t="inlineStr">
        <is>
          <t>London</t>
        </is>
      </c>
      <c r="K66" s="5" t="inlineStr">
        <is>
          <t>SE8 3NT</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https://www.yell.com/biz/barraka-shop-london-901765630/</t>
        </is>
      </c>
    </row>
    <row r="67">
      <c r="A67" s="10" t="inlineStr">
        <is>
          <t>WY-0059</t>
        </is>
      </c>
      <c r="B67" s="10" t="inlineStr">
        <is>
          <t>WY-0059-01</t>
        </is>
      </c>
      <c r="C67" s="10" t="inlineStr"/>
      <c r="D67" s="10" t="inlineStr">
        <is>
          <t>Barry's Cash &amp; Carry</t>
        </is>
      </c>
      <c r="E67" s="10" t="inlineStr">
        <is>
          <t>Cash &amp; Carry</t>
        </is>
      </c>
      <c r="F67" s="10" t="inlineStr">
        <is>
          <t>Clearance food and drink cash &amp; carry (open to trade and public)</t>
        </is>
      </c>
      <c r="G67" s="10" t="inlineStr">
        <is>
          <t>Independent</t>
        </is>
      </c>
      <c r="H67" s="10" t="inlineStr">
        <is>
          <t>1</t>
        </is>
      </c>
      <c r="I67" s="10" t="inlineStr">
        <is>
          <t>163 King Cross Road</t>
        </is>
      </c>
      <c r="J67" s="10" t="inlineStr">
        <is>
          <t>Halifax</t>
        </is>
      </c>
      <c r="K67" s="10" t="inlineStr">
        <is>
          <t>HX1 3LN</t>
        </is>
      </c>
      <c r="L67" s="10" t="inlineStr">
        <is>
          <t>01422 646060</t>
        </is>
      </c>
      <c r="M67" s="10" t="inlineStr">
        <is>
          <t>info@cutpricebarrys.co.uk</t>
        </is>
      </c>
      <c r="N67" s="10" t="inlineStr"/>
      <c r="O67" s="10" t="inlineStr">
        <is>
          <t>http://www.cutpricebarrys.co.uk/</t>
        </is>
      </c>
      <c r="P67" s="10" t="inlineStr">
        <is>
          <t>https://www.facebook.com/p/Barrys-Cash-Carry-61550239916577/</t>
        </is>
      </c>
      <c r="Q67" s="10" t="inlineStr">
        <is>
          <t>https://www.instagram.com/barryscashandcarry/</t>
        </is>
      </c>
      <c r="R67" s="10" t="inlineStr"/>
      <c r="S67" s="10" t="inlineStr"/>
      <c r="T67" s="10" t="inlineStr">
        <is>
          <t>11123434</t>
        </is>
      </c>
      <c r="U67" s="10" t="inlineStr">
        <is>
          <t>Active - Active proposal to strike off</t>
        </is>
      </c>
      <c r="V67" s="10" t="inlineStr">
        <is>
          <t>High</t>
        </is>
      </c>
      <c r="W67" s="10" t="inlineStr">
        <is>
          <t>Independent retailer; Core relevant category; Public email available; Active website; Social presence</t>
        </is>
      </c>
      <c r="X67" s="10" t="inlineStr">
        <is>
          <t>Verified directory</t>
        </is>
      </c>
      <c r="Y67" s="10" t="inlineStr">
        <is>
          <t>Unverified</t>
        </is>
      </c>
      <c r="Z67" s="10" t="inlineStr">
        <is>
          <t>Medium</t>
        </is>
      </c>
      <c r="AA67" s="10" t="inlineStr">
        <is>
          <t>Partially Verified</t>
        </is>
      </c>
      <c r="AB67" s="10" t="inlineStr">
        <is>
          <t>https://cutpricebarrys.co.uk/barrys-cash-and-carry/</t>
        </is>
      </c>
    </row>
    <row r="68">
      <c r="A68" s="5" t="inlineStr">
        <is>
          <t>UK-000455</t>
        </is>
      </c>
      <c r="B68" s="5" t="inlineStr">
        <is>
          <t>UK-000455-01</t>
        </is>
      </c>
      <c r="C68" s="5" t="inlineStr"/>
      <c r="D68" s="5" t="inlineStr">
        <is>
          <t>Bearwood International Supermarket</t>
        </is>
      </c>
      <c r="E68" s="5" t="inlineStr">
        <is>
          <t>Independent Supermarket</t>
        </is>
      </c>
      <c r="F68" s="5" t="inlineStr">
        <is>
          <t>International / world food supermarket</t>
        </is>
      </c>
      <c r="G68" s="5" t="inlineStr">
        <is>
          <t>Independent</t>
        </is>
      </c>
      <c r="H68" s="5" t="inlineStr">
        <is>
          <t>1</t>
        </is>
      </c>
      <c r="I68" s="5" t="inlineStr">
        <is>
          <t>Bearwood Road</t>
        </is>
      </c>
      <c r="J68" s="5" t="inlineStr">
        <is>
          <t>Smethwick</t>
        </is>
      </c>
      <c r="K68" s="5" t="inlineStr"/>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Medium</t>
        </is>
      </c>
      <c r="AA68" s="5" t="inlineStr">
        <is>
          <t>Requires Verification</t>
        </is>
      </c>
      <c r="AB68" s="5" t="inlineStr">
        <is>
          <t>https://www.yelp.com/biz/bearwood-international-supermarket-smethwick</t>
        </is>
      </c>
    </row>
    <row r="69">
      <c r="A69" s="10" t="inlineStr">
        <is>
          <t>WY-0063</t>
        </is>
      </c>
      <c r="B69" s="10" t="inlineStr">
        <is>
          <t>WY-0063-01</t>
        </is>
      </c>
      <c r="C69" s="10" t="inlineStr"/>
      <c r="D69" s="10" t="inlineStr">
        <is>
          <t>Best Choice Wholesale</t>
        </is>
      </c>
      <c r="E69" s="10" t="inlineStr">
        <is>
          <t>Cash &amp; Carry</t>
        </is>
      </c>
      <c r="F69" s="10" t="inlineStr">
        <is>
          <t>General cash &amp; carry supplying convenience retailers</t>
        </is>
      </c>
      <c r="G69" s="10" t="inlineStr">
        <is>
          <t>Independent</t>
        </is>
      </c>
      <c r="H69" s="10" t="inlineStr">
        <is>
          <t>1</t>
        </is>
      </c>
      <c r="I69" s="10" t="inlineStr">
        <is>
          <t>Unit 5, Sheepscar House, Sheepscar Street South</t>
        </is>
      </c>
      <c r="J69" s="10" t="inlineStr">
        <is>
          <t>Leeds</t>
        </is>
      </c>
      <c r="K69" s="10" t="inlineStr">
        <is>
          <t>LS7 1AD</t>
        </is>
      </c>
      <c r="L69" s="10" t="inlineStr">
        <is>
          <t>0113 531 6345</t>
        </is>
      </c>
      <c r="M69" s="10" t="inlineStr">
        <is>
          <t>info@bestchoicewholesale.co.uk</t>
        </is>
      </c>
      <c r="N69" s="10" t="inlineStr"/>
      <c r="O69" s="10" t="inlineStr">
        <is>
          <t>https://www.bestchoicewholesale.co.uk/</t>
        </is>
      </c>
      <c r="P69" s="10" t="inlineStr"/>
      <c r="Q69" s="10" t="inlineStr"/>
      <c r="R69" s="10" t="inlineStr"/>
      <c r="S69" s="10" t="inlineStr"/>
      <c r="T69" s="10" t="inlineStr"/>
      <c r="U69" s="10" t="inlineStr"/>
      <c r="V69" s="10" t="inlineStr">
        <is>
          <t>High</t>
        </is>
      </c>
      <c r="W69" s="10" t="inlineStr">
        <is>
          <t>Independent retailer; Core relevant category; Public email available; Active website; Phone verified on official website</t>
        </is>
      </c>
      <c r="X69" s="10" t="inlineStr">
        <is>
          <t>Verified on official website</t>
        </is>
      </c>
      <c r="Y69" s="10" t="inlineStr">
        <is>
          <t>Publicly Listed</t>
        </is>
      </c>
      <c r="Z69" s="10" t="inlineStr">
        <is>
          <t>Medium</t>
        </is>
      </c>
      <c r="AA69" s="10" t="inlineStr">
        <is>
          <t>Requires Verification</t>
        </is>
      </c>
      <c r="AB69" s="10" t="inlineStr">
        <is>
          <t>https://www.bestchoicewholesale.co.uk/contact-us/</t>
        </is>
      </c>
    </row>
    <row r="70">
      <c r="A70" s="5" t="inlineStr">
        <is>
          <t>UK-000581</t>
        </is>
      </c>
      <c r="B70" s="5" t="inlineStr">
        <is>
          <t>UK-000581-01</t>
        </is>
      </c>
      <c r="C70" s="5" t="inlineStr"/>
      <c r="D70" s="5" t="inlineStr">
        <is>
          <t>Best Foods</t>
        </is>
      </c>
      <c r="E70" s="5" t="inlineStr">
        <is>
          <t>Independent Supermarket</t>
        </is>
      </c>
      <c r="F70" s="5" t="inlineStr">
        <is>
          <t>World food supermarket</t>
        </is>
      </c>
      <c r="G70" s="5" t="inlineStr">
        <is>
          <t>Independent</t>
        </is>
      </c>
      <c r="H70" s="5" t="inlineStr">
        <is>
          <t>1</t>
        </is>
      </c>
      <c r="I70" s="5" t="inlineStr">
        <is>
          <t>13 Ealing Road</t>
        </is>
      </c>
      <c r="J70" s="5" t="inlineStr">
        <is>
          <t>Wembley</t>
        </is>
      </c>
      <c r="K70" s="5" t="inlineStr">
        <is>
          <t>HA0 4AA</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https://www.yell.com/biz/best-foods-wembley-9412662/</t>
        </is>
      </c>
    </row>
    <row r="71">
      <c r="A71" s="10" t="inlineStr">
        <is>
          <t>UK-000238</t>
        </is>
      </c>
      <c r="B71" s="10" t="inlineStr">
        <is>
          <t>UK-000238-01</t>
        </is>
      </c>
      <c r="C71" s="10" t="inlineStr"/>
      <c r="D71" s="10" t="inlineStr">
        <is>
          <t>Beverley International Foods</t>
        </is>
      </c>
      <c r="E71" s="10" t="inlineStr">
        <is>
          <t>Independent Supermarket</t>
        </is>
      </c>
      <c r="F71" s="10" t="inlineStr">
        <is>
          <t>International / Polish foods supermarket</t>
        </is>
      </c>
      <c r="G71" s="10" t="inlineStr">
        <is>
          <t>Independent</t>
        </is>
      </c>
      <c r="H71" s="10" t="inlineStr">
        <is>
          <t>1</t>
        </is>
      </c>
      <c r="I71" s="10" t="inlineStr">
        <is>
          <t>Beverley Road</t>
        </is>
      </c>
      <c r="J71" s="10" t="inlineStr">
        <is>
          <t>Kingston upon Hull</t>
        </is>
      </c>
      <c r="K71" s="10" t="inlineStr"/>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https://www.yorkshire.com/hull/shopping/supermarkets/beverley-international-foods</t>
        </is>
      </c>
    </row>
    <row r="72">
      <c r="A72" s="5" t="inlineStr">
        <is>
          <t>UK-000583</t>
        </is>
      </c>
      <c r="B72" s="5" t="inlineStr">
        <is>
          <t>UK-000583-01</t>
        </is>
      </c>
      <c r="C72" s="5" t="inlineStr"/>
      <c r="D72" s="5" t="inlineStr">
        <is>
          <t>Beyond Cash &amp; Carry</t>
        </is>
      </c>
      <c r="E72" s="5" t="inlineStr">
        <is>
          <t>Cash &amp; Carry</t>
        </is>
      </c>
      <c r="F72" s="5" t="inlineStr">
        <is>
          <t>Wholesale cash &amp; carry</t>
        </is>
      </c>
      <c r="G72" s="5" t="inlineStr">
        <is>
          <t>Independent</t>
        </is>
      </c>
      <c r="H72" s="5" t="inlineStr">
        <is>
          <t>1</t>
        </is>
      </c>
      <c r="I72" s="5" t="inlineStr">
        <is>
          <t>513 Katherine Road</t>
        </is>
      </c>
      <c r="J72" s="5" t="inlineStr">
        <is>
          <t>East Ham</t>
        </is>
      </c>
      <c r="K72" s="5" t="inlineStr">
        <is>
          <t>E7 8DR</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Not Found</t>
        </is>
      </c>
      <c r="Y72" s="5" t="inlineStr">
        <is>
          <t>Not Found</t>
        </is>
      </c>
      <c r="Z72" s="5" t="inlineStr">
        <is>
          <t>Low</t>
        </is>
      </c>
      <c r="AA72" s="5" t="inlineStr">
        <is>
          <t>Requires Verification</t>
        </is>
      </c>
      <c r="AB72" s="5" t="inlineStr">
        <is>
          <t>https://www.yell.com/s/cash+and+carry-london+borough+of+newham.html</t>
        </is>
      </c>
    </row>
    <row r="73">
      <c r="A73" s="10" t="inlineStr">
        <is>
          <t>UK-000584</t>
        </is>
      </c>
      <c r="B73" s="10" t="inlineStr">
        <is>
          <t>UK-000584-01</t>
        </is>
      </c>
      <c r="C73" s="10" t="inlineStr"/>
      <c r="D73" s="10" t="inlineStr">
        <is>
          <t>Bims African Food Store Ltd</t>
        </is>
      </c>
      <c r="E73" s="10" t="inlineStr">
        <is>
          <t>Independent Supermarket</t>
        </is>
      </c>
      <c r="F73" s="10" t="inlineStr">
        <is>
          <t>African / world food store</t>
        </is>
      </c>
      <c r="G73" s="10" t="inlineStr">
        <is>
          <t>Independent</t>
        </is>
      </c>
      <c r="H73" s="10" t="inlineStr">
        <is>
          <t>1</t>
        </is>
      </c>
      <c r="I73" s="10" t="inlineStr">
        <is>
          <t>102 Rye Lane</t>
        </is>
      </c>
      <c r="J73" s="10" t="inlineStr">
        <is>
          <t>London</t>
        </is>
      </c>
      <c r="K73" s="10" t="inlineStr">
        <is>
          <t>SE15 4RZ</t>
        </is>
      </c>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https://www.yell.com/biz/bims-african-food-store-ltd-london-6667038/</t>
        </is>
      </c>
    </row>
    <row r="74">
      <c r="A74" s="5" t="inlineStr">
        <is>
          <t>UK-000586</t>
        </is>
      </c>
      <c r="B74" s="5" t="inlineStr">
        <is>
          <t>UK-000586-01</t>
        </is>
      </c>
      <c r="C74" s="5" t="inlineStr"/>
      <c r="D74" s="5" t="inlineStr">
        <is>
          <t>Bondor Bazar</t>
        </is>
      </c>
      <c r="E74" s="5" t="inlineStr">
        <is>
          <t>Independent Supermarket</t>
        </is>
      </c>
      <c r="F74" s="5" t="inlineStr">
        <is>
          <t>World-food supermarket (meat &amp; seafood)</t>
        </is>
      </c>
      <c r="G74" s="5" t="inlineStr">
        <is>
          <t>Independent</t>
        </is>
      </c>
      <c r="H74" s="5" t="inlineStr">
        <is>
          <t>1</t>
        </is>
      </c>
      <c r="I74" s="5" t="inlineStr">
        <is>
          <t>130 Green Street</t>
        </is>
      </c>
      <c r="J74" s="5" t="inlineStr">
        <is>
          <t>Forest Gate</t>
        </is>
      </c>
      <c r="K74" s="5" t="inlineStr">
        <is>
          <t>E7 8JQ</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https://london.cylex-uk.co.uk/upton-park/grocery%20stores.html</t>
        </is>
      </c>
    </row>
    <row r="75">
      <c r="A75" s="10" t="inlineStr">
        <is>
          <t>UK-000239</t>
        </is>
      </c>
      <c r="B75" s="10" t="inlineStr">
        <is>
          <t>UK-000239-01</t>
        </is>
      </c>
      <c r="C75" s="10" t="inlineStr"/>
      <c r="D75" s="10" t="inlineStr">
        <is>
          <t>CK Fast Food Suppliers</t>
        </is>
      </c>
      <c r="E75" s="10" t="inlineStr">
        <is>
          <t>Cash &amp; Carry</t>
        </is>
      </c>
      <c r="F75" s="10" t="inlineStr">
        <is>
          <t>Foodservice wholesale</t>
        </is>
      </c>
      <c r="G75" s="10" t="inlineStr">
        <is>
          <t>Independent</t>
        </is>
      </c>
      <c r="H75" s="10" t="inlineStr">
        <is>
          <t>1</t>
        </is>
      </c>
      <c r="I75" s="10" t="inlineStr">
        <is>
          <t>70 Northumberland Avenue</t>
        </is>
      </c>
      <c r="J75" s="10" t="inlineStr">
        <is>
          <t>Kingston upon Hull</t>
        </is>
      </c>
      <c r="K75" s="10" t="inlineStr"/>
      <c r="L75" s="10" t="inlineStr"/>
      <c r="M75" s="10" t="inlineStr"/>
      <c r="N75" s="10" t="inlineStr"/>
      <c r="O75" s="10" t="inlineStr">
        <is>
          <t>https://www.ckfastfoods.com</t>
        </is>
      </c>
      <c r="P75" s="10" t="inlineStr"/>
      <c r="Q75" s="10" t="inlineStr"/>
      <c r="R75" s="10" t="inlineStr"/>
      <c r="S75" s="10" t="inlineStr"/>
      <c r="T75" s="10" t="inlineStr"/>
      <c r="U75" s="10" t="inlineStr"/>
      <c r="V75" s="10" t="inlineStr">
        <is>
          <t>Medium</t>
        </is>
      </c>
      <c r="W75" s="10" t="inlineStr">
        <is>
          <t>Independent retailer; Core relevant category; Active website</t>
        </is>
      </c>
      <c r="X75" s="10" t="inlineStr">
        <is>
          <t>Not Found</t>
        </is>
      </c>
      <c r="Y75" s="10" t="inlineStr">
        <is>
          <t>Not Found</t>
        </is>
      </c>
      <c r="Z75" s="10" t="inlineStr">
        <is>
          <t>Low</t>
        </is>
      </c>
      <c r="AA75" s="10" t="inlineStr">
        <is>
          <t>Partially Verified</t>
        </is>
      </c>
      <c r="AB75" s="10" t="inlineStr">
        <is>
          <t>https://www.ckfastfoods.com/categories</t>
        </is>
      </c>
    </row>
    <row r="76">
      <c r="A76" s="5" t="inlineStr">
        <is>
          <t>UK-000459</t>
        </is>
      </c>
      <c r="B76" s="5" t="inlineStr">
        <is>
          <t>UK-000459-01</t>
        </is>
      </c>
      <c r="C76" s="5" t="inlineStr"/>
      <c r="D76" s="5" t="inlineStr">
        <is>
          <t>Caspian Foods Cash &amp; Carry Limited</t>
        </is>
      </c>
      <c r="E76" s="5" t="inlineStr">
        <is>
          <t>Cash &amp; Carry</t>
        </is>
      </c>
      <c r="F76" s="5" t="inlineStr">
        <is>
          <t>Food &amp; drink wholesaler</t>
        </is>
      </c>
      <c r="G76" s="5" t="inlineStr">
        <is>
          <t>Independent</t>
        </is>
      </c>
      <c r="H76" s="5" t="inlineStr">
        <is>
          <t>1</t>
        </is>
      </c>
      <c r="I76" s="5" t="inlineStr">
        <is>
          <t>Unit 4 Port Hope Road</t>
        </is>
      </c>
      <c r="J76" s="5" t="inlineStr">
        <is>
          <t>Birmingham</t>
        </is>
      </c>
      <c r="K76" s="5" t="inlineStr">
        <is>
          <t>B11 1JS</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Independent retailer; Core relevant category</t>
        </is>
      </c>
      <c r="X76" s="5" t="inlineStr">
        <is>
          <t>Not Found</t>
        </is>
      </c>
      <c r="Y76" s="5" t="inlineStr">
        <is>
          <t>Not Found</t>
        </is>
      </c>
      <c r="Z76" s="5" t="inlineStr">
        <is>
          <t>Low</t>
        </is>
      </c>
      <c r="AA76" s="5" t="inlineStr">
        <is>
          <t>Requires Verification</t>
        </is>
      </c>
      <c r="AB76" s="5" t="inlineStr">
        <is>
          <t>https://www.dnb.com/business-directory/company-profiles.caspian_foods_cash__carry_limited.a9cb3ac91cc8fd94e3ed5a2abf28a59b.html</t>
        </is>
      </c>
    </row>
    <row r="77">
      <c r="A77" s="10" t="inlineStr">
        <is>
          <t>UK-000240</t>
        </is>
      </c>
      <c r="B77" s="10" t="inlineStr">
        <is>
          <t>UK-000240-01</t>
        </is>
      </c>
      <c r="C77" s="10" t="inlineStr"/>
      <c r="D77" s="10" t="inlineStr">
        <is>
          <t>Chong Wah Oriental Supermarket</t>
        </is>
      </c>
      <c r="E77" s="10" t="inlineStr">
        <is>
          <t>Independent Supermarket</t>
        </is>
      </c>
      <c r="F77" s="10" t="inlineStr">
        <is>
          <t>Asian / oriental supermarket</t>
        </is>
      </c>
      <c r="G77" s="10" t="inlineStr">
        <is>
          <t>Independent</t>
        </is>
      </c>
      <c r="H77" s="10" t="inlineStr">
        <is>
          <t>1</t>
        </is>
      </c>
      <c r="I77" s="10" t="inlineStr">
        <is>
          <t>Union Street</t>
        </is>
      </c>
      <c r="J77" s="10" t="inlineStr">
        <is>
          <t>Kingston upon Hull</t>
        </is>
      </c>
      <c r="K77" s="10" t="inlineStr"/>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https://www.yorkshire.com/hull/shopping/supermarkets/chong-wah-oriental-supermarket</t>
        </is>
      </c>
    </row>
    <row r="78">
      <c r="A78" s="5" t="inlineStr">
        <is>
          <t>UK-000595</t>
        </is>
      </c>
      <c r="B78" s="5" t="inlineStr">
        <is>
          <t>UK-000595-01</t>
        </is>
      </c>
      <c r="C78" s="5" t="inlineStr"/>
      <c r="D78" s="5" t="inlineStr">
        <is>
          <t>Diu Supermarket</t>
        </is>
      </c>
      <c r="E78" s="5" t="inlineStr">
        <is>
          <t>Independent Supermarket</t>
        </is>
      </c>
      <c r="F78" s="5" t="inlineStr">
        <is>
          <t>South Asian / world food supermarket</t>
        </is>
      </c>
      <c r="G78" s="5" t="inlineStr">
        <is>
          <t>Independent</t>
        </is>
      </c>
      <c r="H78" s="5" t="inlineStr">
        <is>
          <t>1</t>
        </is>
      </c>
      <c r="I78" s="5" t="inlineStr">
        <is>
          <t>93-95 Ealing Road</t>
        </is>
      </c>
      <c r="J78" s="5" t="inlineStr">
        <is>
          <t>Wembley</t>
        </is>
      </c>
      <c r="K78" s="5" t="inlineStr">
        <is>
          <t>HA0 4TA</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https://www.yell.com/s/supermarkets-wembley.html</t>
        </is>
      </c>
    </row>
    <row r="79">
      <c r="A79" s="10" t="inlineStr">
        <is>
          <t>UK-000596</t>
        </is>
      </c>
      <c r="B79" s="10" t="inlineStr">
        <is>
          <t>UK-000596-01</t>
        </is>
      </c>
      <c r="C79" s="10" t="inlineStr"/>
      <c r="D79" s="10" t="inlineStr">
        <is>
          <t>Dostlar Ltd</t>
        </is>
      </c>
      <c r="E79" s="10" t="inlineStr">
        <is>
          <t>Independent Supermarket</t>
        </is>
      </c>
      <c r="F79" s="10" t="inlineStr">
        <is>
          <t>Turkish / world-food supermarket</t>
        </is>
      </c>
      <c r="G79" s="10" t="inlineStr">
        <is>
          <t>Independent</t>
        </is>
      </c>
      <c r="H79" s="10" t="inlineStr">
        <is>
          <t>1</t>
        </is>
      </c>
      <c r="I79" s="10" t="inlineStr">
        <is>
          <t>425-427 Green Lanes</t>
        </is>
      </c>
      <c r="J79" s="10" t="inlineStr">
        <is>
          <t>Harringay</t>
        </is>
      </c>
      <c r="K79" s="10" t="inlineStr">
        <is>
          <t>N4 1EY</t>
        </is>
      </c>
      <c r="L79" s="10" t="inlineStr">
        <is>
          <t>020 8340 9134</t>
        </is>
      </c>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Verified directory</t>
        </is>
      </c>
      <c r="Y79" s="10" t="inlineStr">
        <is>
          <t>Not Found</t>
        </is>
      </c>
      <c r="Z79" s="10" t="inlineStr">
        <is>
          <t>Medium</t>
        </is>
      </c>
      <c r="AA79" s="10" t="inlineStr">
        <is>
          <t>Requires Verification</t>
        </is>
      </c>
      <c r="AB79" s="10" t="inlineStr">
        <is>
          <t>https://www.yell.com/s/turkish+supermarket-london+borough+of+haringey.html</t>
        </is>
      </c>
    </row>
    <row r="80">
      <c r="A80" s="5" t="inlineStr">
        <is>
          <t>UK-000355</t>
        </is>
      </c>
      <c r="B80" s="5" t="inlineStr">
        <is>
          <t>UK-000355-01</t>
        </is>
      </c>
      <c r="C80" s="5" t="inlineStr"/>
      <c r="D80" s="5" t="inlineStr">
        <is>
          <t>Draycott Trading Cash &amp; Carry</t>
        </is>
      </c>
      <c r="E80" s="5" t="inlineStr">
        <is>
          <t>Cash &amp; Carry</t>
        </is>
      </c>
      <c r="F80" s="5" t="inlineStr">
        <is>
          <t>Wholesale cash and carry</t>
        </is>
      </c>
      <c r="G80" s="5" t="inlineStr">
        <is>
          <t>Independent</t>
        </is>
      </c>
      <c r="H80" s="5" t="inlineStr">
        <is>
          <t>1</t>
        </is>
      </c>
      <c r="I80" s="5" t="inlineStr">
        <is>
          <t>Draycott Street East</t>
        </is>
      </c>
      <c r="J80" s="5" t="inlineStr">
        <is>
          <t>Bolton</t>
        </is>
      </c>
      <c r="K80" s="5" t="inlineStr">
        <is>
          <t>BL1 8DS</t>
        </is>
      </c>
      <c r="L80" s="5" t="inlineStr">
        <is>
          <t>01204 387779</t>
        </is>
      </c>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Verified directory</t>
        </is>
      </c>
      <c r="Y80" s="5" t="inlineStr">
        <is>
          <t>Not Found</t>
        </is>
      </c>
      <c r="Z80" s="5" t="inlineStr">
        <is>
          <t>Low</t>
        </is>
      </c>
      <c r="AA80" s="5" t="inlineStr">
        <is>
          <t>Requires Verification</t>
        </is>
      </c>
      <c r="AB80" s="5" t="inlineStr">
        <is>
          <t>https://nextdoor.co.uk/pages/draycott-trading-cash-carry/</t>
        </is>
      </c>
    </row>
    <row r="81">
      <c r="A81" s="10" t="inlineStr">
        <is>
          <t>UK-000600</t>
        </is>
      </c>
      <c r="B81" s="10" t="inlineStr">
        <is>
          <t>UK-000600-01</t>
        </is>
      </c>
      <c r="C81" s="10" t="inlineStr"/>
      <c r="D81" s="10" t="inlineStr">
        <is>
          <t>Edmonton Supermarket</t>
        </is>
      </c>
      <c r="E81" s="10" t="inlineStr">
        <is>
          <t>Independent Supermarket</t>
        </is>
      </c>
      <c r="F81" s="10" t="inlineStr">
        <is>
          <t>World-food supermarket (24hr)</t>
        </is>
      </c>
      <c r="G81" s="10" t="inlineStr">
        <is>
          <t>Independent</t>
        </is>
      </c>
      <c r="H81" s="10" t="inlineStr">
        <is>
          <t>1</t>
        </is>
      </c>
      <c r="I81" s="10" t="inlineStr">
        <is>
          <t>321 Fore Street</t>
        </is>
      </c>
      <c r="J81" s="10" t="inlineStr">
        <is>
          <t>Edmonton</t>
        </is>
      </c>
      <c r="K81" s="10" t="inlineStr">
        <is>
          <t>N9 0PD</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https://www.yell.com/s/grocers+and+convenience+stores-edmonton-north+london.html</t>
        </is>
      </c>
    </row>
    <row r="82">
      <c r="A82" s="5" t="inlineStr">
        <is>
          <t>UK-000771</t>
        </is>
      </c>
      <c r="B82" s="5" t="inlineStr">
        <is>
          <t>UK-000771-01</t>
        </is>
      </c>
      <c r="C82" s="5" t="inlineStr"/>
      <c r="D82" s="5" t="inlineStr">
        <is>
          <t>Elite Wholesale</t>
        </is>
      </c>
      <c r="E82" s="5" t="inlineStr">
        <is>
          <t>Cash &amp; Carry</t>
        </is>
      </c>
      <c r="F82" s="5" t="inlineStr">
        <is>
          <t>Independent cash &amp; carry wholesaler</t>
        </is>
      </c>
      <c r="G82" s="5" t="inlineStr">
        <is>
          <t>Independent</t>
        </is>
      </c>
      <c r="H82" s="5" t="inlineStr">
        <is>
          <t>1</t>
        </is>
      </c>
      <c r="I82" s="5" t="inlineStr"/>
      <c r="J82" s="5" t="inlineStr">
        <is>
          <t>Edinburgh</t>
        </is>
      </c>
      <c r="K82" s="5" t="inlineStr">
        <is>
          <t>EH7 5RS</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https://www.192.com/atoz/business/edinburgh-eh7/cash-and-carry-wholesalers/elite-wholesale/5e5495a162d31d863ca424ed90b18654b0a965af/ml/</t>
        </is>
      </c>
    </row>
    <row r="83">
      <c r="A83" s="10" t="inlineStr">
        <is>
          <t>UK-000471</t>
        </is>
      </c>
      <c r="B83" s="10" t="inlineStr">
        <is>
          <t>UK-000471-01</t>
        </is>
      </c>
      <c r="C83" s="10" t="inlineStr"/>
      <c r="D83" s="10" t="inlineStr">
        <is>
          <t>F B Supermarket</t>
        </is>
      </c>
      <c r="E83" s="10" t="inlineStr">
        <is>
          <t>Independent Supermarket</t>
        </is>
      </c>
      <c r="F83" s="10" t="inlineStr">
        <is>
          <t>Halal / international grocery &amp; meat</t>
        </is>
      </c>
      <c r="G83" s="10" t="inlineStr">
        <is>
          <t>Independent</t>
        </is>
      </c>
      <c r="H83" s="10" t="inlineStr">
        <is>
          <t>1</t>
        </is>
      </c>
      <c r="I83" s="10" t="inlineStr">
        <is>
          <t>78-82 Milton Street</t>
        </is>
      </c>
      <c r="J83" s="10" t="inlineStr">
        <is>
          <t>Walsall</t>
        </is>
      </c>
      <c r="K83" s="10" t="inlineStr">
        <is>
          <t>WS1 4JT</t>
        </is>
      </c>
      <c r="L83" s="10" t="inlineStr">
        <is>
          <t>01922 640177</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Medium</t>
        </is>
      </c>
      <c r="AA83" s="10" t="inlineStr">
        <is>
          <t>Requires Verification</t>
        </is>
      </c>
      <c r="AB83" s="10" t="inlineStr">
        <is>
          <t>https://www.yell.com/biz/f-b-supermarket-walsall-1579799/</t>
        </is>
      </c>
    </row>
    <row r="84">
      <c r="A84" s="5" t="inlineStr">
        <is>
          <t>UK-000604</t>
        </is>
      </c>
      <c r="B84" s="5" t="inlineStr">
        <is>
          <t>UK-000604-01</t>
        </is>
      </c>
      <c r="C84" s="5" t="inlineStr"/>
      <c r="D84" s="5" t="inlineStr">
        <is>
          <t>Falcon Supermarket Ltd</t>
        </is>
      </c>
      <c r="E84" s="5" t="inlineStr">
        <is>
          <t>Independent Supermarket</t>
        </is>
      </c>
      <c r="F84" s="5" t="inlineStr">
        <is>
          <t>World-food supermarket</t>
        </is>
      </c>
      <c r="G84" s="5" t="inlineStr">
        <is>
          <t>Independent</t>
        </is>
      </c>
      <c r="H84" s="5" t="inlineStr">
        <is>
          <t>1</t>
        </is>
      </c>
      <c r="I84" s="5" t="inlineStr"/>
      <c r="J84" s="5" t="inlineStr">
        <is>
          <t>Barking</t>
        </is>
      </c>
      <c r="K84" s="5" t="inlineStr">
        <is>
          <t>IG11 8AG</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https://www.192.com/atoz/business/barking-ig11/convenience-stores/falcon-supermarket-ltd/d207ce31292b5e7e5310b42c3d9b883c0af23641/comp/</t>
        </is>
      </c>
    </row>
    <row r="85">
      <c r="A85" s="10" t="inlineStr">
        <is>
          <t>WY-0084</t>
        </is>
      </c>
      <c r="B85" s="10" t="inlineStr">
        <is>
          <t>WY-0084-01</t>
        </is>
      </c>
      <c r="C85" s="10" t="inlineStr"/>
      <c r="D85" s="10" t="inlineStr">
        <is>
          <t>FilFoods Filipino Store</t>
        </is>
      </c>
      <c r="E85" s="10" t="inlineStr">
        <is>
          <t>Independent Supermarket</t>
        </is>
      </c>
      <c r="F85" s="10" t="inlineStr">
        <is>
          <t>Filipino supermarket</t>
        </is>
      </c>
      <c r="G85" s="10" t="inlineStr">
        <is>
          <t>Independent</t>
        </is>
      </c>
      <c r="H85" s="10" t="inlineStr">
        <is>
          <t>1</t>
        </is>
      </c>
      <c r="I85" s="10" t="inlineStr">
        <is>
          <t>46b Harehills Road</t>
        </is>
      </c>
      <c r="J85" s="10" t="inlineStr">
        <is>
          <t>Leeds</t>
        </is>
      </c>
      <c r="K85" s="10" t="inlineStr">
        <is>
          <t>LS8 5PB</t>
        </is>
      </c>
      <c r="L85" s="10" t="inlineStr">
        <is>
          <t>0113 440 1031</t>
        </is>
      </c>
      <c r="M85" s="10" t="inlineStr"/>
      <c r="N85" s="10" t="inlineStr"/>
      <c r="O85" s="10" t="inlineStr"/>
      <c r="P85" s="10" t="inlineStr">
        <is>
          <t>https://www.facebook.com/FilFoods/</t>
        </is>
      </c>
      <c r="Q85" s="10" t="inlineStr"/>
      <c r="R85" s="10" t="inlineStr"/>
      <c r="S85" s="10" t="inlineStr"/>
      <c r="T85" s="10" t="inlineStr"/>
      <c r="U85" s="10" t="inlineStr"/>
      <c r="V85" s="10" t="inlineStr">
        <is>
          <t>Medium</t>
        </is>
      </c>
      <c r="W85" s="10" t="inlineStr">
        <is>
          <t>Independent retailer; Relevant category; Social presence</t>
        </is>
      </c>
      <c r="X85" s="10" t="inlineStr">
        <is>
          <t>Verified directory</t>
        </is>
      </c>
      <c r="Y85" s="10" t="inlineStr">
        <is>
          <t>Not Found</t>
        </is>
      </c>
      <c r="Z85" s="10" t="inlineStr">
        <is>
          <t>Medium</t>
        </is>
      </c>
      <c r="AA85" s="10" t="inlineStr">
        <is>
          <t>Requires Verification</t>
        </is>
      </c>
      <c r="AB85" s="10" t="inlineStr">
        <is>
          <t>https://www.yell.com/biz/filfoods-filipino-store-leeds-8549203/</t>
        </is>
      </c>
    </row>
    <row r="86">
      <c r="A86" s="5" t="inlineStr">
        <is>
          <t>UK-000248</t>
        </is>
      </c>
      <c r="B86" s="5" t="inlineStr">
        <is>
          <t>UK-000248-01</t>
        </is>
      </c>
      <c r="C86" s="5" t="inlineStr"/>
      <c r="D86" s="5" t="inlineStr">
        <is>
          <t>Food Plus (Babylon Supermarket 7)</t>
        </is>
      </c>
      <c r="E86" s="5" t="inlineStr">
        <is>
          <t>Independent Supermarket</t>
        </is>
      </c>
      <c r="F86" s="5" t="inlineStr">
        <is>
          <t>Polish / world foods store</t>
        </is>
      </c>
      <c r="G86" s="5" t="inlineStr">
        <is>
          <t>Independent</t>
        </is>
      </c>
      <c r="H86" s="5" t="inlineStr">
        <is>
          <t>1</t>
        </is>
      </c>
      <c r="I86" s="5" t="inlineStr"/>
      <c r="J86" s="5" t="inlineStr">
        <is>
          <t>Kingston upon Hull</t>
        </is>
      </c>
      <c r="K86" s="5" t="inlineStr">
        <is>
          <t>HU3 4BJ</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https://www.foodplus.eu/en/products/food-plus-babylon-supermarket-7-hu3-4bj-kingston-upon-hull</t>
        </is>
      </c>
    </row>
    <row r="87">
      <c r="A87" s="10" t="inlineStr">
        <is>
          <t>UK-000775</t>
        </is>
      </c>
      <c r="B87" s="10" t="inlineStr">
        <is>
          <t>UK-000775-01</t>
        </is>
      </c>
      <c r="C87" s="10" t="inlineStr"/>
      <c r="D87" s="10" t="inlineStr">
        <is>
          <t>Food World</t>
        </is>
      </c>
      <c r="E87" s="10" t="inlineStr">
        <is>
          <t>Independent Supermarket</t>
        </is>
      </c>
      <c r="F87" s="10" t="inlineStr">
        <is>
          <t>World-food / grocery store</t>
        </is>
      </c>
      <c r="G87" s="10" t="inlineStr">
        <is>
          <t>Independent</t>
        </is>
      </c>
      <c r="H87" s="10" t="inlineStr">
        <is>
          <t>1</t>
        </is>
      </c>
      <c r="I87" s="10" t="inlineStr">
        <is>
          <t>165 Whitefield Road</t>
        </is>
      </c>
      <c r="J87" s="10" t="inlineStr">
        <is>
          <t>Liverpool</t>
        </is>
      </c>
      <c r="K87" s="10" t="inlineStr">
        <is>
          <t>L6 5DB</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https://www.yell.com/biz/foodworld-liverpool-7634386/</t>
        </is>
      </c>
    </row>
    <row r="88">
      <c r="A88" s="5" t="inlineStr">
        <is>
          <t>UK-000776</t>
        </is>
      </c>
      <c r="B88" s="5" t="inlineStr">
        <is>
          <t>UK-000776-01</t>
        </is>
      </c>
      <c r="C88" s="5" t="inlineStr"/>
      <c r="D88" s="5" t="inlineStr">
        <is>
          <t>Foodasia Hypermart</t>
        </is>
      </c>
      <c r="E88" s="5" t="inlineStr">
        <is>
          <t>Independent Supermarket</t>
        </is>
      </c>
      <c r="F88" s="5" t="inlineStr">
        <is>
          <t>World foods superstore</t>
        </is>
      </c>
      <c r="G88" s="5" t="inlineStr">
        <is>
          <t>Independent</t>
        </is>
      </c>
      <c r="H88" s="5" t="inlineStr">
        <is>
          <t>1</t>
        </is>
      </c>
      <c r="I88" s="5" t="inlineStr">
        <is>
          <t>101 Centre Street</t>
        </is>
      </c>
      <c r="J88" s="5" t="inlineStr">
        <is>
          <t>Glasgow</t>
        </is>
      </c>
      <c r="K88" s="5" t="inlineStr">
        <is>
          <t>G5 8BU</t>
        </is>
      </c>
      <c r="L88" s="5" t="inlineStr"/>
      <c r="M88" s="5" t="inlineStr"/>
      <c r="N88" s="5" t="inlineStr"/>
      <c r="O88" s="5" t="inlineStr">
        <is>
          <t>https://foodasiaonline.com/</t>
        </is>
      </c>
      <c r="P88" s="5" t="inlineStr">
        <is>
          <t>https://www.facebook.com/foodasiaglasgow/</t>
        </is>
      </c>
      <c r="Q88" s="5" t="inlineStr">
        <is>
          <t>https://www.instagram.com/foodasiascotland/</t>
        </is>
      </c>
      <c r="R88" s="5" t="inlineStr"/>
      <c r="S88" s="5" t="inlineStr"/>
      <c r="T88" s="5" t="inlineStr"/>
      <c r="U88" s="5" t="inlineStr"/>
      <c r="V88" s="5" t="inlineStr">
        <is>
          <t>Medium</t>
        </is>
      </c>
      <c r="W88" s="5" t="inlineStr">
        <is>
          <t>Independent retailer; Relevant category; Active website; Social presence</t>
        </is>
      </c>
      <c r="X88" s="5" t="inlineStr">
        <is>
          <t>Not Found</t>
        </is>
      </c>
      <c r="Y88" s="5" t="inlineStr">
        <is>
          <t>Website Found</t>
        </is>
      </c>
      <c r="Z88" s="5" t="inlineStr">
        <is>
          <t>Medium</t>
        </is>
      </c>
      <c r="AA88" s="5" t="inlineStr">
        <is>
          <t>Requires Verification</t>
        </is>
      </c>
      <c r="AB88" s="5" t="inlineStr">
        <is>
          <t>https://foodasiaonline.com/</t>
        </is>
      </c>
    </row>
    <row r="89">
      <c r="A89" s="10" t="inlineStr">
        <is>
          <t>WY-0086</t>
        </is>
      </c>
      <c r="B89" s="10" t="inlineStr">
        <is>
          <t>WY-0086-01</t>
        </is>
      </c>
      <c r="C89" s="10" t="inlineStr"/>
      <c r="D89" s="10" t="inlineStr">
        <is>
          <t>FreshCo Wakefield</t>
        </is>
      </c>
      <c r="E89" s="10" t="inlineStr">
        <is>
          <t>Independent Supermarket</t>
        </is>
      </c>
      <c r="F89" s="10" t="inlineStr">
        <is>
          <t>Halal / world foods supermarket with Turkish restaurant and cafe</t>
        </is>
      </c>
      <c r="G89" s="10" t="inlineStr">
        <is>
          <t>Independent</t>
        </is>
      </c>
      <c r="H89" s="10" t="inlineStr">
        <is>
          <t>1</t>
        </is>
      </c>
      <c r="I89" s="10" t="inlineStr">
        <is>
          <t>St Andrews Hall, Upper Warrengate</t>
        </is>
      </c>
      <c r="J89" s="10" t="inlineStr">
        <is>
          <t>Wakefield</t>
        </is>
      </c>
      <c r="K89" s="10" t="inlineStr">
        <is>
          <t>WF1 4JZ</t>
        </is>
      </c>
      <c r="L89" s="10" t="inlineStr">
        <is>
          <t>01924 781869</t>
        </is>
      </c>
      <c r="M89" s="10" t="inlineStr">
        <is>
          <t>Hoa1@hotmail.co.uk</t>
        </is>
      </c>
      <c r="N89" s="10" t="inlineStr"/>
      <c r="O89" s="10" t="inlineStr">
        <is>
          <t>https://freshcowakefield.com</t>
        </is>
      </c>
      <c r="P89" s="10" t="inlineStr">
        <is>
          <t>https://www.facebook.com/FreshCoWakefield/</t>
        </is>
      </c>
      <c r="Q89" s="10" t="inlineStr"/>
      <c r="R89" s="10" t="inlineStr">
        <is>
          <t>Aras Ali</t>
        </is>
      </c>
      <c r="S89" s="10" t="inlineStr">
        <is>
          <t>Owner</t>
        </is>
      </c>
      <c r="T89" s="10" t="inlineStr">
        <is>
          <t>13746881</t>
        </is>
      </c>
      <c r="U89" s="10" t="inlineStr">
        <is>
          <t>Active</t>
        </is>
      </c>
      <c r="V89" s="10" t="inlineStr">
        <is>
          <t>Medium</t>
        </is>
      </c>
      <c r="W89" s="10" t="inlineStr">
        <is>
          <t>Independent retailer; Relevant category; Public email available; Active website; Social presence</t>
        </is>
      </c>
      <c r="X89" s="10" t="inlineStr">
        <is>
          <t>Verified directory</t>
        </is>
      </c>
      <c r="Y89" s="10" t="inlineStr">
        <is>
          <t>Website Found</t>
        </is>
      </c>
      <c r="Z89" s="10" t="inlineStr">
        <is>
          <t>Medium</t>
        </is>
      </c>
      <c r="AA89" s="10" t="inlineStr">
        <is>
          <t>Partially Verified</t>
        </is>
      </c>
      <c r="AB89" s="10" t="inlineStr">
        <is>
          <t>https://freshcowakefield.com/restaurant</t>
        </is>
      </c>
    </row>
    <row r="90">
      <c r="A90" s="5" t="inlineStr">
        <is>
          <t>UK-000249</t>
        </is>
      </c>
      <c r="B90" s="5" t="inlineStr">
        <is>
          <t>UK-000249-01</t>
        </is>
      </c>
      <c r="C90" s="5" t="inlineStr"/>
      <c r="D90" s="5" t="inlineStr">
        <is>
          <t>Freshco Cash &amp; Carry</t>
        </is>
      </c>
      <c r="E90" s="5" t="inlineStr">
        <is>
          <t>Cash &amp; Carry</t>
        </is>
      </c>
      <c r="F90" s="5" t="inlineStr">
        <is>
          <t>Wholesale cash &amp; carry / supermarket</t>
        </is>
      </c>
      <c r="G90" s="5" t="inlineStr">
        <is>
          <t>Independent</t>
        </is>
      </c>
      <c r="H90" s="5" t="inlineStr">
        <is>
          <t>1</t>
        </is>
      </c>
      <c r="I90" s="5" t="inlineStr">
        <is>
          <t>185-201 Spring Bank</t>
        </is>
      </c>
      <c r="J90" s="5" t="inlineStr">
        <is>
          <t>Kingston upon Hull</t>
        </is>
      </c>
      <c r="K90" s="5" t="inlineStr">
        <is>
          <t>HU3 1LP</t>
        </is>
      </c>
      <c r="L90" s="5" t="inlineStr"/>
      <c r="M90" s="5" t="inlineStr"/>
      <c r="N90" s="5" t="inlineStr"/>
      <c r="O90" s="5" t="inlineStr">
        <is>
          <t>https://freshcocashcarry.co.uk</t>
        </is>
      </c>
      <c r="P90" s="5" t="inlineStr">
        <is>
          <t>https://www.facebook.com/p/Feshco-cashcarry-limited-61556302407551/</t>
        </is>
      </c>
      <c r="Q90" s="5" t="inlineStr"/>
      <c r="R90" s="5" t="inlineStr"/>
      <c r="S90" s="5" t="inlineStr"/>
      <c r="T90" s="5" t="inlineStr">
        <is>
          <t>14599796</t>
        </is>
      </c>
      <c r="U90" s="5" t="inlineStr">
        <is>
          <t>Active</t>
        </is>
      </c>
      <c r="V90" s="5" t="inlineStr">
        <is>
          <t>Medium</t>
        </is>
      </c>
      <c r="W90" s="5" t="inlineStr">
        <is>
          <t>Independent retailer; Core relevant category; Active website; Social presence</t>
        </is>
      </c>
      <c r="X90" s="5" t="inlineStr">
        <is>
          <t>Not Found</t>
        </is>
      </c>
      <c r="Y90" s="5" t="inlineStr">
        <is>
          <t>Not Found</t>
        </is>
      </c>
      <c r="Z90" s="5" t="inlineStr">
        <is>
          <t>Medium</t>
        </is>
      </c>
      <c r="AA90" s="5" t="inlineStr">
        <is>
          <t>Verified (website + Companies House)</t>
        </is>
      </c>
      <c r="AB90" s="5" t="inlineStr">
        <is>
          <t>https://freshcocashcarry.co.uk/</t>
        </is>
      </c>
    </row>
    <row r="91">
      <c r="A91" s="10" t="inlineStr">
        <is>
          <t>UK-000610</t>
        </is>
      </c>
      <c r="B91" s="10" t="inlineStr">
        <is>
          <t>UK-000610-01</t>
        </is>
      </c>
      <c r="C91" s="10" t="inlineStr"/>
      <c r="D91" s="10" t="inlineStr">
        <is>
          <t>Ganapathy Cash &amp; Carry</t>
        </is>
      </c>
      <c r="E91" s="10" t="inlineStr">
        <is>
          <t>Cash &amp; Carry</t>
        </is>
      </c>
      <c r="F91" s="10" t="inlineStr"/>
      <c r="G91" s="10" t="inlineStr">
        <is>
          <t>Independent</t>
        </is>
      </c>
      <c r="H91" s="10" t="inlineStr">
        <is>
          <t>1</t>
        </is>
      </c>
      <c r="I91" s="10" t="inlineStr">
        <is>
          <t>34-38 Ealing Road</t>
        </is>
      </c>
      <c r="J91" s="10" t="inlineStr">
        <is>
          <t>Wembley</t>
        </is>
      </c>
      <c r="K91" s="10" t="inlineStr">
        <is>
          <t>HA0 4TL</t>
        </is>
      </c>
      <c r="L91" s="10" t="inlineStr">
        <is>
          <t>020 8900 0100</t>
        </is>
      </c>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Verified directory</t>
        </is>
      </c>
      <c r="Y91" s="10" t="inlineStr">
        <is>
          <t>Not Found</t>
        </is>
      </c>
      <c r="Z91" s="10" t="inlineStr">
        <is>
          <t>Medium</t>
        </is>
      </c>
      <c r="AA91" s="10" t="inlineStr">
        <is>
          <t>Requires Verification</t>
        </is>
      </c>
      <c r="AB91" s="10" t="inlineStr">
        <is>
          <t>https://www.yell.com/biz/ganapathy-cash-and-carry-wembley-5472445/</t>
        </is>
      </c>
    </row>
    <row r="92">
      <c r="A92" s="5" t="inlineStr">
        <is>
          <t>UK-000359</t>
        </is>
      </c>
      <c r="B92" s="5" t="inlineStr">
        <is>
          <t>UK-000359-01</t>
        </is>
      </c>
      <c r="C92" s="5" t="inlineStr"/>
      <c r="D92" s="5" t="inlineStr">
        <is>
          <t>Global Food Ashton</t>
        </is>
      </c>
      <c r="E92" s="5" t="inlineStr">
        <is>
          <t>Cash &amp; Carry</t>
        </is>
      </c>
      <c r="F92" s="5" t="inlineStr">
        <is>
          <t>Food wholesale</t>
        </is>
      </c>
      <c r="G92" s="5" t="inlineStr">
        <is>
          <t>Independent</t>
        </is>
      </c>
      <c r="H92" s="5" t="inlineStr">
        <is>
          <t>1</t>
        </is>
      </c>
      <c r="I92" s="5" t="inlineStr">
        <is>
          <t>Unit 2-5 Union Garage</t>
        </is>
      </c>
      <c r="J92" s="5" t="inlineStr">
        <is>
          <t>Ashton-under-Lyne</t>
        </is>
      </c>
      <c r="K92" s="5" t="inlineStr">
        <is>
          <t>OL6 6HL</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https://www.yell.com/biz/global-food-ashton-ashton-under-lyne-8490812/</t>
        </is>
      </c>
    </row>
    <row r="93">
      <c r="A93" s="10" t="inlineStr">
        <is>
          <t>UK-000778</t>
        </is>
      </c>
      <c r="B93" s="10" t="inlineStr">
        <is>
          <t>UK-000778-01</t>
        </is>
      </c>
      <c r="C93" s="10" t="inlineStr"/>
      <c r="D93" s="10" t="inlineStr">
        <is>
          <t>Granby Supermarkets</t>
        </is>
      </c>
      <c r="E93" s="10" t="inlineStr">
        <is>
          <t>Independent Supermarket</t>
        </is>
      </c>
      <c r="F93" s="10" t="inlineStr">
        <is>
          <t>World-food / international supermarket</t>
        </is>
      </c>
      <c r="G93" s="10" t="inlineStr">
        <is>
          <t>Independent</t>
        </is>
      </c>
      <c r="H93" s="10" t="inlineStr">
        <is>
          <t>1</t>
        </is>
      </c>
      <c r="I93" s="10" t="inlineStr">
        <is>
          <t>83 Granby Street</t>
        </is>
      </c>
      <c r="J93" s="10" t="inlineStr">
        <is>
          <t>Liverpool</t>
        </is>
      </c>
      <c r="K93" s="10" t="inlineStr">
        <is>
          <t>L8 2US</t>
        </is>
      </c>
      <c r="L93" s="10" t="inlineStr">
        <is>
          <t>0151 709 7732</t>
        </is>
      </c>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Verified directory</t>
        </is>
      </c>
      <c r="Y93" s="10" t="inlineStr">
        <is>
          <t>Not Found</t>
        </is>
      </c>
      <c r="Z93" s="10" t="inlineStr">
        <is>
          <t>Low</t>
        </is>
      </c>
      <c r="AA93" s="10" t="inlineStr">
        <is>
          <t>Requires Verification</t>
        </is>
      </c>
      <c r="AB93" s="10" t="inlineStr">
        <is>
          <t>https://www.yell.com/biz/granby-supermarkets-liverpool-8906587/</t>
        </is>
      </c>
    </row>
    <row r="94">
      <c r="A94" s="5" t="inlineStr">
        <is>
          <t>UK-000473</t>
        </is>
      </c>
      <c r="B94" s="5" t="inlineStr">
        <is>
          <t>UK-000473-01</t>
        </is>
      </c>
      <c r="C94" s="5" t="inlineStr"/>
      <c r="D94" s="5" t="inlineStr">
        <is>
          <t>Green Supermarket</t>
        </is>
      </c>
      <c r="E94" s="5" t="inlineStr">
        <is>
          <t>Independent Supermarket</t>
        </is>
      </c>
      <c r="F94" s="5" t="inlineStr">
        <is>
          <t>Halal / world food supermarket</t>
        </is>
      </c>
      <c r="G94" s="5" t="inlineStr">
        <is>
          <t>Independent</t>
        </is>
      </c>
      <c r="H94" s="5" t="inlineStr">
        <is>
          <t>1</t>
        </is>
      </c>
      <c r="I94" s="5" t="inlineStr">
        <is>
          <t>325 Washwood Heath Road</t>
        </is>
      </c>
      <c r="J94" s="5" t="inlineStr">
        <is>
          <t>Birmingham</t>
        </is>
      </c>
      <c r="K94" s="5" t="inlineStr">
        <is>
          <t>B8 2XJ</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https://birmingham.ukintouch.com/supermarket/green-supermarket/</t>
        </is>
      </c>
    </row>
    <row r="95">
      <c r="A95" s="10" t="inlineStr">
        <is>
          <t>WY-0093</t>
        </is>
      </c>
      <c r="B95" s="10" t="inlineStr">
        <is>
          <t>WY-0093-01</t>
        </is>
      </c>
      <c r="C95" s="10" t="inlineStr"/>
      <c r="D95" s="10" t="inlineStr">
        <is>
          <t>Halal Sweets Company</t>
        </is>
      </c>
      <c r="E95" s="10" t="inlineStr">
        <is>
          <t>Cash &amp; Carry</t>
        </is>
      </c>
      <c r="F95" s="10" t="inlineStr">
        <is>
          <t>Sweets &amp; snacks wholesaler / cash &amp; carry</t>
        </is>
      </c>
      <c r="G95" s="10" t="inlineStr">
        <is>
          <t>Independent</t>
        </is>
      </c>
      <c r="H95" s="10" t="inlineStr">
        <is>
          <t>1</t>
        </is>
      </c>
      <c r="I95" s="10" t="inlineStr"/>
      <c r="J95" s="10" t="inlineStr">
        <is>
          <t>Bradford</t>
        </is>
      </c>
      <c r="K95" s="10" t="inlineStr"/>
      <c r="L95" s="10" t="inlineStr"/>
      <c r="M95" s="10" t="inlineStr">
        <is>
          <t>support@halalsweetscompany.co.uk</t>
        </is>
      </c>
      <c r="N95" s="10" t="inlineStr"/>
      <c r="O95" s="10" t="inlineStr">
        <is>
          <t>https://halalsweets.company.site/</t>
        </is>
      </c>
      <c r="P95" s="10" t="inlineStr">
        <is>
          <t>https://www.facebook.com/halalsweetscompany/</t>
        </is>
      </c>
      <c r="Q95" s="10" t="inlineStr"/>
      <c r="R95" s="10" t="inlineStr"/>
      <c r="S95" s="10" t="inlineStr"/>
      <c r="T95" s="10" t="inlineStr"/>
      <c r="U95" s="10" t="inlineStr"/>
      <c r="V95" s="10" t="inlineStr">
        <is>
          <t>High</t>
        </is>
      </c>
      <c r="W95" s="10" t="inlineStr">
        <is>
          <t>Independent retailer; Core relevant category; Public email available; Active website; Social presence</t>
        </is>
      </c>
      <c r="X95" s="10" t="inlineStr">
        <is>
          <t>Not Found</t>
        </is>
      </c>
      <c r="Y95" s="10" t="inlineStr">
        <is>
          <t>Website Found</t>
        </is>
      </c>
      <c r="Z95" s="10" t="inlineStr">
        <is>
          <t>Medium</t>
        </is>
      </c>
      <c r="AA95" s="10" t="inlineStr">
        <is>
          <t>Partially Verified</t>
        </is>
      </c>
      <c r="AB95" s="10" t="inlineStr">
        <is>
          <t>https://halalsweets.company.site/</t>
        </is>
      </c>
    </row>
    <row r="96">
      <c r="A96" s="5" t="inlineStr">
        <is>
          <t>WY-0094</t>
        </is>
      </c>
      <c r="B96" s="5" t="inlineStr">
        <is>
          <t>WY-0094-01</t>
        </is>
      </c>
      <c r="C96" s="5" t="inlineStr"/>
      <c r="D96" s="5" t="inlineStr">
        <is>
          <t>Hang Sing Hong</t>
        </is>
      </c>
      <c r="E96" s="5" t="inlineStr">
        <is>
          <t>Independent Supermarket</t>
        </is>
      </c>
      <c r="F96" s="5" t="inlineStr">
        <is>
          <t>Chinese / Oriental supermarket</t>
        </is>
      </c>
      <c r="G96" s="5" t="inlineStr">
        <is>
          <t>Independent</t>
        </is>
      </c>
      <c r="H96" s="5" t="inlineStr">
        <is>
          <t>1</t>
        </is>
      </c>
      <c r="I96" s="5" t="inlineStr">
        <is>
          <t>117-119 Vicar Lane</t>
        </is>
      </c>
      <c r="J96" s="5" t="inlineStr">
        <is>
          <t>Leeds</t>
        </is>
      </c>
      <c r="K96" s="5" t="inlineStr">
        <is>
          <t>LS1 6PJ</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Medium</t>
        </is>
      </c>
      <c r="AA96" s="5" t="inlineStr">
        <is>
          <t>Requires Verification</t>
        </is>
      </c>
      <c r="AB96" s="5" t="inlineStr">
        <is>
          <t>https://www.yelp.co.uk/biz/hang-sing-hong-leeds-2</t>
        </is>
      </c>
    </row>
    <row r="97">
      <c r="A97" s="10" t="inlineStr">
        <is>
          <t>UK-000253</t>
        </is>
      </c>
      <c r="B97" s="10" t="inlineStr">
        <is>
          <t>UK-000253-01</t>
        </is>
      </c>
      <c r="C97" s="10" t="inlineStr"/>
      <c r="D97" s="10" t="inlineStr">
        <is>
          <t>Haris&amp;Co Supermarket</t>
        </is>
      </c>
      <c r="E97" s="10" t="inlineStr">
        <is>
          <t>Independent Supermarket</t>
        </is>
      </c>
      <c r="F97" s="10" t="inlineStr">
        <is>
          <t>International / world foods supermarket</t>
        </is>
      </c>
      <c r="G97" s="10" t="inlineStr">
        <is>
          <t>Independent</t>
        </is>
      </c>
      <c r="H97" s="10" t="inlineStr">
        <is>
          <t>1</t>
        </is>
      </c>
      <c r="I97" s="10" t="inlineStr">
        <is>
          <t>Terry Street</t>
        </is>
      </c>
      <c r="J97" s="10" t="inlineStr">
        <is>
          <t>Kingston upon Hull</t>
        </is>
      </c>
      <c r="K97" s="10" t="inlineStr">
        <is>
          <t>HU3 1TY</t>
        </is>
      </c>
      <c r="L97" s="10" t="inlineStr"/>
      <c r="M97" s="10" t="inlineStr"/>
      <c r="N97" s="10" t="inlineStr"/>
      <c r="O97" s="10" t="inlineStr">
        <is>
          <t>https://harrisandco.vercel.app</t>
        </is>
      </c>
      <c r="P97" s="10" t="inlineStr"/>
      <c r="Q97" s="10" t="inlineStr"/>
      <c r="R97" s="10" t="inlineStr"/>
      <c r="S97" s="10" t="inlineStr"/>
      <c r="T97" s="10" t="inlineStr"/>
      <c r="U97" s="10" t="inlineStr"/>
      <c r="V97" s="10" t="inlineStr">
        <is>
          <t>Medium</t>
        </is>
      </c>
      <c r="W97" s="10" t="inlineStr">
        <is>
          <t>Independent retailer; Relevant category; Active website</t>
        </is>
      </c>
      <c r="X97" s="10" t="inlineStr">
        <is>
          <t>Not Found</t>
        </is>
      </c>
      <c r="Y97" s="10" t="inlineStr">
        <is>
          <t>Not Found</t>
        </is>
      </c>
      <c r="Z97" s="10" t="inlineStr">
        <is>
          <t>Medium</t>
        </is>
      </c>
      <c r="AA97" s="10" t="inlineStr">
        <is>
          <t>Partially Verified</t>
        </is>
      </c>
      <c r="AB97" s="10" t="inlineStr">
        <is>
          <t>https://harrisandco.vercel.app/</t>
        </is>
      </c>
    </row>
    <row r="98">
      <c r="A98" s="5" t="inlineStr">
        <is>
          <t>UK-000781</t>
        </is>
      </c>
      <c r="B98" s="5" t="inlineStr">
        <is>
          <t>UK-000781-01</t>
        </is>
      </c>
      <c r="C98" s="5" t="inlineStr"/>
      <c r="D98" s="5" t="inlineStr">
        <is>
          <t>Hing Sing Chinese Supermarket</t>
        </is>
      </c>
      <c r="E98" s="5" t="inlineStr">
        <is>
          <t>Independent Supermarket</t>
        </is>
      </c>
      <c r="F98" s="5" t="inlineStr">
        <is>
          <t>Chinese / Asian world-food supermarket</t>
        </is>
      </c>
      <c r="G98" s="5" t="inlineStr">
        <is>
          <t>Independent</t>
        </is>
      </c>
      <c r="H98" s="5" t="inlineStr">
        <is>
          <t>1</t>
        </is>
      </c>
      <c r="I98" s="5" t="inlineStr">
        <is>
          <t>310 Leith Walk</t>
        </is>
      </c>
      <c r="J98" s="5" t="inlineStr">
        <is>
          <t>Edinburgh</t>
        </is>
      </c>
      <c r="K98" s="5" t="inlineStr">
        <is>
          <t>EH6 5BU</t>
        </is>
      </c>
      <c r="L98" s="5" t="inlineStr">
        <is>
          <t>0131 554 4333</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Medium</t>
        </is>
      </c>
      <c r="AA98" s="5" t="inlineStr">
        <is>
          <t>Requires Verification</t>
        </is>
      </c>
      <c r="AB98" s="5" t="inlineStr">
        <is>
          <t>https://www.yell.com/biz/hing-sing-chinese-supermarket-ltd-edinburgh-725922/</t>
        </is>
      </c>
    </row>
    <row r="99">
      <c r="A99" s="10" t="inlineStr">
        <is>
          <t>UK-000479</t>
        </is>
      </c>
      <c r="B99" s="10" t="inlineStr">
        <is>
          <t>UK-000479-01</t>
        </is>
      </c>
      <c r="C99" s="10" t="inlineStr"/>
      <c r="D99" s="10" t="inlineStr">
        <is>
          <t>Home From Home Foods</t>
        </is>
      </c>
      <c r="E99" s="10" t="inlineStr">
        <is>
          <t>Independent Supermarket</t>
        </is>
      </c>
      <c r="F99" s="10" t="inlineStr">
        <is>
          <t>Afro-Caribbean grocery</t>
        </is>
      </c>
      <c r="G99" s="10" t="inlineStr">
        <is>
          <t>Independent</t>
        </is>
      </c>
      <c r="H99" s="10" t="inlineStr">
        <is>
          <t>1</t>
        </is>
      </c>
      <c r="I99" s="10" t="inlineStr">
        <is>
          <t>6 Worcester Street</t>
        </is>
      </c>
      <c r="J99" s="10" t="inlineStr">
        <is>
          <t>Wolverhampton</t>
        </is>
      </c>
      <c r="K99" s="10" t="inlineStr">
        <is>
          <t>WV2 4LD</t>
        </is>
      </c>
      <c r="L99" s="10" t="inlineStr">
        <is>
          <t>01902 421200</t>
        </is>
      </c>
      <c r="M99" s="10" t="inlineStr"/>
      <c r="N99" s="10" t="inlineStr"/>
      <c r="O99" s="10" t="inlineStr">
        <is>
          <t>https://www.homefromhomefoods.com/</t>
        </is>
      </c>
      <c r="P99" s="10" t="inlineStr">
        <is>
          <t>https://www.facebook.com/HOMEFROMHOME.caribbeanfoods/</t>
        </is>
      </c>
      <c r="Q99" s="10" t="inlineStr">
        <is>
          <t>https://www.instagram.com/homefromhomefoods/</t>
        </is>
      </c>
      <c r="R99" s="10" t="inlineStr"/>
      <c r="S99" s="10" t="inlineStr"/>
      <c r="T99" s="10" t="inlineStr"/>
      <c r="U99" s="10" t="inlineStr"/>
      <c r="V99" s="10" t="inlineStr">
        <is>
          <t>Medium</t>
        </is>
      </c>
      <c r="W99" s="10" t="inlineStr">
        <is>
          <t>Independent retailer; Relevant category; Active website; Social presence; Phone verified on official website</t>
        </is>
      </c>
      <c r="X99" s="10" t="inlineStr">
        <is>
          <t>Verified on official website</t>
        </is>
      </c>
      <c r="Y99" s="10" t="inlineStr">
        <is>
          <t>Website Found</t>
        </is>
      </c>
      <c r="Z99" s="10" t="inlineStr">
        <is>
          <t>High</t>
        </is>
      </c>
      <c r="AA99" s="10" t="inlineStr">
        <is>
          <t>Partially Verified</t>
        </is>
      </c>
      <c r="AB99" s="10" t="inlineStr">
        <is>
          <t>https://www.homefromhomefoods.com/wolverhampton-shop</t>
        </is>
      </c>
    </row>
    <row r="100">
      <c r="A100" s="5" t="inlineStr">
        <is>
          <t>UK-000363</t>
        </is>
      </c>
      <c r="B100" s="5" t="inlineStr">
        <is>
          <t>UK-000363-01</t>
        </is>
      </c>
      <c r="C100" s="5" t="inlineStr"/>
      <c r="D100" s="5" t="inlineStr">
        <is>
          <t>Hussain &amp; Sons Cash &amp; Carry Oldham</t>
        </is>
      </c>
      <c r="E100" s="5" t="inlineStr">
        <is>
          <t>Cash &amp; Carry</t>
        </is>
      </c>
      <c r="F100" s="5" t="inlineStr"/>
      <c r="G100" s="5" t="inlineStr">
        <is>
          <t>Independent</t>
        </is>
      </c>
      <c r="H100" s="5" t="inlineStr">
        <is>
          <t>1</t>
        </is>
      </c>
      <c r="I100" s="5" t="inlineStr"/>
      <c r="J100" s="5" t="inlineStr">
        <is>
          <t>Oldham</t>
        </is>
      </c>
      <c r="K100" s="5" t="inlineStr"/>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https://www.oldham.co.uk/listing/1073132-Hussain-Sons-Cash-Carry/</t>
        </is>
      </c>
    </row>
    <row r="101">
      <c r="A101" s="10" t="inlineStr">
        <is>
          <t>WY-0099</t>
        </is>
      </c>
      <c r="B101" s="10" t="inlineStr">
        <is>
          <t>WY-0099-01</t>
        </is>
      </c>
      <c r="C101" s="10" t="inlineStr"/>
      <c r="D101" s="10" t="inlineStr">
        <is>
          <t>International Foods</t>
        </is>
      </c>
      <c r="E101" s="10" t="inlineStr">
        <is>
          <t>Independent Supermarket</t>
        </is>
      </c>
      <c r="F101" s="10" t="inlineStr">
        <is>
          <t>South Asian supermarket with halal meat</t>
        </is>
      </c>
      <c r="G101" s="10" t="inlineStr">
        <is>
          <t>Independent</t>
        </is>
      </c>
      <c r="H101" s="10" t="inlineStr">
        <is>
          <t>1</t>
        </is>
      </c>
      <c r="I101" s="10" t="inlineStr">
        <is>
          <t>166 Harehills Lane</t>
        </is>
      </c>
      <c r="J101" s="10" t="inlineStr">
        <is>
          <t>Leeds</t>
        </is>
      </c>
      <c r="K101" s="10" t="inlineStr">
        <is>
          <t>LS8 5JP</t>
        </is>
      </c>
      <c r="L101" s="10" t="inlineStr"/>
      <c r="M101" s="10" t="inlineStr"/>
      <c r="N101" s="10" t="inlineStr"/>
      <c r="O101" s="10" t="inlineStr"/>
      <c r="P101" s="10" t="inlineStr"/>
      <c r="Q101" s="10" t="inlineStr"/>
      <c r="R101" s="10" t="inlineStr"/>
      <c r="S101" s="10" t="inlineStr"/>
      <c r="T101" s="10" t="inlineStr">
        <is>
          <t>09552908</t>
        </is>
      </c>
      <c r="U101" s="10" t="inlineStr"/>
      <c r="V101" s="10" t="inlineStr">
        <is>
          <t>Low</t>
        </is>
      </c>
      <c r="W101" s="10" t="inlineStr">
        <is>
          <t>Independent retailer; Relevant category</t>
        </is>
      </c>
      <c r="X101" s="10" t="inlineStr">
        <is>
          <t>Not Found</t>
        </is>
      </c>
      <c r="Y101" s="10" t="inlineStr">
        <is>
          <t>Not Found</t>
        </is>
      </c>
      <c r="Z101" s="10" t="inlineStr">
        <is>
          <t>Medium</t>
        </is>
      </c>
      <c r="AA101" s="10" t="inlineStr">
        <is>
          <t>Partially Verified</t>
        </is>
      </c>
      <c r="AB101" s="10" t="inlineStr">
        <is>
          <t>https://find-and-update.company-information.service.gov.uk/company/09552908</t>
        </is>
      </c>
    </row>
    <row r="102">
      <c r="A102" s="5" t="inlineStr">
        <is>
          <t>UK-000785</t>
        </is>
      </c>
      <c r="B102" s="5" t="inlineStr">
        <is>
          <t>UK-000785-01</t>
        </is>
      </c>
      <c r="C102" s="5" t="inlineStr"/>
      <c r="D102" s="5" t="inlineStr">
        <is>
          <t>J B Halal Superstore</t>
        </is>
      </c>
      <c r="E102" s="5" t="inlineStr">
        <is>
          <t>Independent Supermarket</t>
        </is>
      </c>
      <c r="F102" s="5" t="inlineStr">
        <is>
          <t>Halal / world-food superstore</t>
        </is>
      </c>
      <c r="G102" s="5" t="inlineStr">
        <is>
          <t>Independent</t>
        </is>
      </c>
      <c r="H102" s="5" t="inlineStr">
        <is>
          <t>1</t>
        </is>
      </c>
      <c r="I102" s="5" t="inlineStr"/>
      <c r="J102" s="5" t="inlineStr">
        <is>
          <t>Liverpool</t>
        </is>
      </c>
      <c r="K102" s="5" t="inlineStr">
        <is>
          <t>L15 0EF</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https://www.yell.com/biz/j-b-halal-superstore-liverpool-6176751/</t>
        </is>
      </c>
    </row>
    <row r="103">
      <c r="A103" s="10" t="inlineStr">
        <is>
          <t>UK-000616</t>
        </is>
      </c>
      <c r="B103" s="10" t="inlineStr">
        <is>
          <t>UK-000616-01</t>
        </is>
      </c>
      <c r="C103" s="10" t="inlineStr"/>
      <c r="D103" s="10" t="inlineStr">
        <is>
          <t>Jalaram Supermarket</t>
        </is>
      </c>
      <c r="E103" s="10" t="inlineStr">
        <is>
          <t>Independent Supermarket</t>
        </is>
      </c>
      <c r="F103" s="10" t="inlineStr">
        <is>
          <t>South Asian / world food supermarket</t>
        </is>
      </c>
      <c r="G103" s="10" t="inlineStr">
        <is>
          <t>Independent</t>
        </is>
      </c>
      <c r="H103" s="10" t="inlineStr">
        <is>
          <t>1</t>
        </is>
      </c>
      <c r="I103" s="10" t="inlineStr">
        <is>
          <t>93-95 Ealing Road</t>
        </is>
      </c>
      <c r="J103" s="10" t="inlineStr">
        <is>
          <t>Wembley</t>
        </is>
      </c>
      <c r="K103" s="10" t="inlineStr">
        <is>
          <t>HA0 4TA</t>
        </is>
      </c>
      <c r="L103" s="10" t="inlineStr">
        <is>
          <t>020 8900 1141</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Medium</t>
        </is>
      </c>
      <c r="AA103" s="10" t="inlineStr">
        <is>
          <t>Requires Verification</t>
        </is>
      </c>
      <c r="AB103" s="10" t="inlineStr">
        <is>
          <t>https://www.yell.com/s/supermarkets-wembley.html</t>
        </is>
      </c>
    </row>
    <row r="104">
      <c r="A104" s="5" t="inlineStr">
        <is>
          <t>WY-0100</t>
        </is>
      </c>
      <c r="B104" s="5" t="inlineStr">
        <is>
          <t>WY-0100-01</t>
        </is>
      </c>
      <c r="C104" s="5" t="inlineStr"/>
      <c r="D104" s="5" t="inlineStr">
        <is>
          <t>Javid Supermarket</t>
        </is>
      </c>
      <c r="E104" s="5" t="inlineStr">
        <is>
          <t>Independent Supermarket</t>
        </is>
      </c>
      <c r="F104" s="5" t="inlineStr">
        <is>
          <t>Halal, Asian, Caribbean and world foods supermarket</t>
        </is>
      </c>
      <c r="G104" s="5" t="inlineStr">
        <is>
          <t>Independent</t>
        </is>
      </c>
      <c r="H104" s="5" t="inlineStr">
        <is>
          <t>1</t>
        </is>
      </c>
      <c r="I104" s="5" t="inlineStr">
        <is>
          <t>177-179 Bradford Road</t>
        </is>
      </c>
      <c r="J104" s="5" t="inlineStr">
        <is>
          <t>Huddersfield</t>
        </is>
      </c>
      <c r="K104" s="5" t="inlineStr">
        <is>
          <t>HD1 6EQ</t>
        </is>
      </c>
      <c r="L104" s="5" t="inlineStr">
        <is>
          <t>01484 517411</t>
        </is>
      </c>
      <c r="M104" s="5" t="inlineStr">
        <is>
          <t>contact@javidsupermarket.co.uk</t>
        </is>
      </c>
      <c r="N104" s="5" t="inlineStr"/>
      <c r="O104" s="5" t="inlineStr">
        <is>
          <t>https://www.javidsupermarket.co.uk/</t>
        </is>
      </c>
      <c r="P104" s="5" t="inlineStr"/>
      <c r="Q104" s="5" t="inlineStr">
        <is>
          <t>https://www.instagram.com/javidsupermarket/</t>
        </is>
      </c>
      <c r="R104" s="5" t="inlineStr"/>
      <c r="S104" s="5" t="inlineStr"/>
      <c r="T104" s="5" t="inlineStr"/>
      <c r="U104" s="5" t="inlineStr"/>
      <c r="V104" s="5" t="inlineStr">
        <is>
          <t>Medium</t>
        </is>
      </c>
      <c r="W104" s="5" t="inlineStr">
        <is>
          <t>Independent retailer; Relevant category; Public email available; Active website; Social presence</t>
        </is>
      </c>
      <c r="X104" s="5" t="inlineStr">
        <is>
          <t>Verified directory</t>
        </is>
      </c>
      <c r="Y104" s="5" t="inlineStr">
        <is>
          <t>Publicly Listed</t>
        </is>
      </c>
      <c r="Z104" s="5" t="inlineStr">
        <is>
          <t>Medium</t>
        </is>
      </c>
      <c r="AA104" s="5" t="inlineStr">
        <is>
          <t>Requires Verification</t>
        </is>
      </c>
      <c r="AB104" s="5" t="inlineStr">
        <is>
          <t>https://www.javidsupermarket.co.uk/contact/</t>
        </is>
      </c>
    </row>
    <row r="105">
      <c r="A105" s="10" t="inlineStr">
        <is>
          <t>UK-000617</t>
        </is>
      </c>
      <c r="B105" s="10" t="inlineStr">
        <is>
          <t>UK-000617-01</t>
        </is>
      </c>
      <c r="C105" s="10" t="inlineStr"/>
      <c r="D105" s="10" t="inlineStr">
        <is>
          <t>Jeens Cash &amp; Carry</t>
        </is>
      </c>
      <c r="E105" s="10" t="inlineStr">
        <is>
          <t>Cash &amp; Carry</t>
        </is>
      </c>
      <c r="F105" s="10" t="inlineStr"/>
      <c r="G105" s="10" t="inlineStr">
        <is>
          <t>Independent</t>
        </is>
      </c>
      <c r="H105" s="10" t="inlineStr">
        <is>
          <t>1</t>
        </is>
      </c>
      <c r="I105" s="10" t="inlineStr">
        <is>
          <t>306 Harrow Road</t>
        </is>
      </c>
      <c r="J105" s="10" t="inlineStr">
        <is>
          <t>Wembley</t>
        </is>
      </c>
      <c r="K105" s="10" t="inlineStr">
        <is>
          <t>HA9 6LL</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Independent retailer; Core relevant category</t>
        </is>
      </c>
      <c r="X105" s="10" t="inlineStr">
        <is>
          <t>Not Found</t>
        </is>
      </c>
      <c r="Y105" s="10" t="inlineStr">
        <is>
          <t>Not Found</t>
        </is>
      </c>
      <c r="Z105" s="10" t="inlineStr">
        <is>
          <t>Low</t>
        </is>
      </c>
      <c r="AA105" s="10" t="inlineStr">
        <is>
          <t>Requires Verification</t>
        </is>
      </c>
      <c r="AB105" s="10" t="inlineStr">
        <is>
          <t>https://www.yell.com/biz/jeens-cash-and-carry-wembley-5361307/</t>
        </is>
      </c>
    </row>
    <row r="106">
      <c r="A106" s="5" t="inlineStr">
        <is>
          <t>UK-000261</t>
        </is>
      </c>
      <c r="B106" s="5" t="inlineStr">
        <is>
          <t>UK-000261-01</t>
        </is>
      </c>
      <c r="C106" s="5" t="inlineStr"/>
      <c r="D106" s="5" t="inlineStr">
        <is>
          <t>Kaplan Fast Food Cash &amp; Carry</t>
        </is>
      </c>
      <c r="E106" s="5" t="inlineStr">
        <is>
          <t>Cash &amp; Carry</t>
        </is>
      </c>
      <c r="F106" s="5" t="inlineStr">
        <is>
          <t>Foodservice wholesale</t>
        </is>
      </c>
      <c r="G106" s="5" t="inlineStr">
        <is>
          <t>Independent</t>
        </is>
      </c>
      <c r="H106" s="5" t="inlineStr">
        <is>
          <t>1</t>
        </is>
      </c>
      <c r="I106" s="5" t="inlineStr">
        <is>
          <t>7 Flinton Street</t>
        </is>
      </c>
      <c r="J106" s="5" t="inlineStr">
        <is>
          <t>Kingston upon Hull</t>
        </is>
      </c>
      <c r="K106" s="5" t="inlineStr"/>
      <c r="L106" s="5" t="inlineStr"/>
      <c r="M106" s="5" t="inlineStr"/>
      <c r="N106" s="5" t="inlineStr"/>
      <c r="O106" s="5" t="inlineStr"/>
      <c r="P106" s="5" t="inlineStr">
        <is>
          <t>https://www.facebook.com/people/Kaplan-Fast-Food-Cash-Carry/61558997515973/</t>
        </is>
      </c>
      <c r="Q106" s="5" t="inlineStr"/>
      <c r="R106" s="5" t="inlineStr"/>
      <c r="S106" s="5" t="inlineStr"/>
      <c r="T106" s="5" t="inlineStr"/>
      <c r="U106" s="5" t="inlineStr"/>
      <c r="V106" s="5" t="inlineStr">
        <is>
          <t>Medium</t>
        </is>
      </c>
      <c r="W106" s="5" t="inlineStr">
        <is>
          <t>Independent retailer; Core relevant category; Social presence</t>
        </is>
      </c>
      <c r="X106" s="5" t="inlineStr">
        <is>
          <t>Not Found</t>
        </is>
      </c>
      <c r="Y106" s="5" t="inlineStr">
        <is>
          <t>Not Found</t>
        </is>
      </c>
      <c r="Z106" s="5" t="inlineStr">
        <is>
          <t>Low</t>
        </is>
      </c>
      <c r="AA106" s="5" t="inlineStr">
        <is>
          <t>Requires Verification</t>
        </is>
      </c>
      <c r="AB106" s="5" t="inlineStr">
        <is>
          <t>https://www.facebook.com/people/Kaplan-Fast-Food-Cash-Carry/61558997515973/</t>
        </is>
      </c>
    </row>
    <row r="107">
      <c r="A107" s="10" t="inlineStr">
        <is>
          <t>UK-000485</t>
        </is>
      </c>
      <c r="B107" s="10" t="inlineStr">
        <is>
          <t>UK-000485-01</t>
        </is>
      </c>
      <c r="C107" s="10" t="inlineStr"/>
      <c r="D107" s="10" t="inlineStr">
        <is>
          <t>Kartar Wholesale Cash &amp; Carry</t>
        </is>
      </c>
      <c r="E107" s="10" t="inlineStr">
        <is>
          <t>Cash &amp; Carry</t>
        </is>
      </c>
      <c r="F107" s="10" t="inlineStr">
        <is>
          <t>Wholesale cash &amp; carry</t>
        </is>
      </c>
      <c r="G107" s="10" t="inlineStr">
        <is>
          <t>Independent</t>
        </is>
      </c>
      <c r="H107" s="10" t="inlineStr">
        <is>
          <t>1</t>
        </is>
      </c>
      <c r="I107" s="10" t="inlineStr">
        <is>
          <t>2 Hay Hall Road</t>
        </is>
      </c>
      <c r="J107" s="10" t="inlineStr">
        <is>
          <t>Birmingham</t>
        </is>
      </c>
      <c r="K107" s="10" t="inlineStr">
        <is>
          <t>B11 2AU</t>
        </is>
      </c>
      <c r="L107" s="10" t="inlineStr"/>
      <c r="M107" s="10" t="inlineStr"/>
      <c r="N107" s="10" t="inlineStr"/>
      <c r="O107" s="10" t="inlineStr">
        <is>
          <t>https://kartarcc.com/</t>
        </is>
      </c>
      <c r="P107" s="10" t="inlineStr"/>
      <c r="Q107" s="10" t="inlineStr"/>
      <c r="R107" s="10" t="inlineStr"/>
      <c r="S107" s="10" t="inlineStr"/>
      <c r="T107" s="10" t="inlineStr"/>
      <c r="U107" s="10" t="inlineStr"/>
      <c r="V107" s="10" t="inlineStr">
        <is>
          <t>Medium</t>
        </is>
      </c>
      <c r="W107" s="10" t="inlineStr">
        <is>
          <t>Independent retailer; Core relevant category; Active website</t>
        </is>
      </c>
      <c r="X107" s="10" t="inlineStr">
        <is>
          <t>Not Found</t>
        </is>
      </c>
      <c r="Y107" s="10" t="inlineStr">
        <is>
          <t>Website Found</t>
        </is>
      </c>
      <c r="Z107" s="10" t="inlineStr">
        <is>
          <t>Medium</t>
        </is>
      </c>
      <c r="AA107" s="10" t="inlineStr">
        <is>
          <t>Requires Verification</t>
        </is>
      </c>
      <c r="AB107" s="10" t="inlineStr">
        <is>
          <t>https://kartarcc.com/</t>
        </is>
      </c>
    </row>
    <row r="108">
      <c r="A108" s="5" t="inlineStr">
        <is>
          <t>WY-0106</t>
        </is>
      </c>
      <c r="B108" s="5" t="inlineStr">
        <is>
          <t>WY-0106-01</t>
        </is>
      </c>
      <c r="C108" s="5" t="inlineStr"/>
      <c r="D108" s="5" t="inlineStr">
        <is>
          <t>Khadim Supersave</t>
        </is>
      </c>
      <c r="E108" s="5" t="inlineStr">
        <is>
          <t>Independent Supermarket</t>
        </is>
      </c>
      <c r="F108" s="5" t="inlineStr">
        <is>
          <t>Halal grocery store</t>
        </is>
      </c>
      <c r="G108" s="5" t="inlineStr">
        <is>
          <t>Independent</t>
        </is>
      </c>
      <c r="H108" s="5" t="inlineStr">
        <is>
          <t>1</t>
        </is>
      </c>
      <c r="I108" s="5" t="inlineStr">
        <is>
          <t>1 Blacker Road</t>
        </is>
      </c>
      <c r="J108" s="5" t="inlineStr">
        <is>
          <t>Huddersfield</t>
        </is>
      </c>
      <c r="K108" s="5" t="inlineStr">
        <is>
          <t>HD1 5HU</t>
        </is>
      </c>
      <c r="L108" s="5" t="inlineStr">
        <is>
          <t>01484 360513</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Medium</t>
        </is>
      </c>
      <c r="AA108" s="5" t="inlineStr">
        <is>
          <t>Requires Verification</t>
        </is>
      </c>
      <c r="AB108" s="5" t="inlineStr">
        <is>
          <t>https://no-divide.co.uk/khadim-supersave/</t>
        </is>
      </c>
    </row>
    <row r="109">
      <c r="A109" s="10" t="inlineStr">
        <is>
          <t>UK-000626</t>
        </is>
      </c>
      <c r="B109" s="10" t="inlineStr">
        <is>
          <t>UK-000626-01</t>
        </is>
      </c>
      <c r="C109" s="10" t="inlineStr"/>
      <c r="D109" s="10" t="inlineStr">
        <is>
          <t>Lauries Afro Caribbean Food Centre</t>
        </is>
      </c>
      <c r="E109" s="10" t="inlineStr">
        <is>
          <t>Independent Supermarket</t>
        </is>
      </c>
      <c r="F109" s="10" t="inlineStr">
        <is>
          <t>Afro-Caribbean food store</t>
        </is>
      </c>
      <c r="G109" s="10" t="inlineStr">
        <is>
          <t>Independent</t>
        </is>
      </c>
      <c r="H109" s="10" t="inlineStr">
        <is>
          <t>1</t>
        </is>
      </c>
      <c r="I109" s="10" t="inlineStr">
        <is>
          <t>86 Deptford High Street</t>
        </is>
      </c>
      <c r="J109" s="10" t="inlineStr">
        <is>
          <t>London</t>
        </is>
      </c>
      <c r="K109" s="10" t="inlineStr">
        <is>
          <t>SE8 4RG</t>
        </is>
      </c>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Low</t>
        </is>
      </c>
      <c r="AA109" s="10" t="inlineStr">
        <is>
          <t>Requires Verification</t>
        </is>
      </c>
      <c r="AB109" s="10" t="inlineStr">
        <is>
          <t>https://www.yell.com/biz/lauries-afro-caribbean-food-centre-london-7946211/</t>
        </is>
      </c>
    </row>
    <row r="110">
      <c r="A110" s="5" t="inlineStr">
        <is>
          <t>UK-000487</t>
        </is>
      </c>
      <c r="B110" s="5" t="inlineStr">
        <is>
          <t>UK-000487-01</t>
        </is>
      </c>
      <c r="C110" s="5" t="inlineStr"/>
      <c r="D110" s="5" t="inlineStr">
        <is>
          <t>Lewis Food Wholesalers Ltd</t>
        </is>
      </c>
      <c r="E110" s="5" t="inlineStr">
        <is>
          <t>Cash &amp; Carry</t>
        </is>
      </c>
      <c r="F110" s="5" t="inlineStr">
        <is>
          <t>Grocery &amp; food cash &amp; carry</t>
        </is>
      </c>
      <c r="G110" s="5" t="inlineStr">
        <is>
          <t>Independent</t>
        </is>
      </c>
      <c r="H110" s="5" t="inlineStr">
        <is>
          <t>1</t>
        </is>
      </c>
      <c r="I110" s="5" t="inlineStr">
        <is>
          <t>Unit 1 Trading Estate, Kelvin Way</t>
        </is>
      </c>
      <c r="J110" s="5" t="inlineStr">
        <is>
          <t>West Bromwich</t>
        </is>
      </c>
      <c r="K110" s="5" t="inlineStr">
        <is>
          <t>B70 7TN</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Not Found</t>
        </is>
      </c>
      <c r="Y110" s="5" t="inlineStr">
        <is>
          <t>Not Found</t>
        </is>
      </c>
      <c r="Z110" s="5" t="inlineStr">
        <is>
          <t>Medium</t>
        </is>
      </c>
      <c r="AA110" s="5" t="inlineStr">
        <is>
          <t>Requires Verification</t>
        </is>
      </c>
      <c r="AB110" s="5" t="inlineStr">
        <is>
          <t>https://www.yell.com/biz/lewis-food-wholesalers-west-bromwich-1583979/</t>
        </is>
      </c>
    </row>
    <row r="111">
      <c r="A111" s="10" t="inlineStr">
        <is>
          <t>UK-000627</t>
        </is>
      </c>
      <c r="B111" s="10" t="inlineStr">
        <is>
          <t>UK-000627-01</t>
        </is>
      </c>
      <c r="C111" s="10" t="inlineStr"/>
      <c r="D111" s="10" t="inlineStr">
        <is>
          <t>Lewisham Best Food Supermarket</t>
        </is>
      </c>
      <c r="E111" s="10" t="inlineStr">
        <is>
          <t>Independent Supermarket</t>
        </is>
      </c>
      <c r="F111" s="10" t="inlineStr">
        <is>
          <t>World food supermarket</t>
        </is>
      </c>
      <c r="G111" s="10" t="inlineStr">
        <is>
          <t>Independent</t>
        </is>
      </c>
      <c r="H111" s="10" t="inlineStr">
        <is>
          <t>1</t>
        </is>
      </c>
      <c r="I111" s="10" t="inlineStr"/>
      <c r="J111" s="10" t="inlineStr">
        <is>
          <t>London</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https://www.yell.com/biz/lewisham-best-food-supermarket-london-9473572/</t>
        </is>
      </c>
    </row>
    <row r="112">
      <c r="A112" s="5" t="inlineStr">
        <is>
          <t>UK-000488</t>
        </is>
      </c>
      <c r="B112" s="5" t="inlineStr">
        <is>
          <t>UK-000488-01</t>
        </is>
      </c>
      <c r="C112" s="5" t="inlineStr"/>
      <c r="D112" s="5" t="inlineStr">
        <is>
          <t>Lioncroft Wholesale Ltd</t>
        </is>
      </c>
      <c r="E112" s="5" t="inlineStr">
        <is>
          <t>Cash &amp; Carry</t>
        </is>
      </c>
      <c r="F112" s="5" t="inlineStr">
        <is>
          <t>Food &amp; drink wholesaler / cash &amp; carry</t>
        </is>
      </c>
      <c r="G112" s="5" t="inlineStr">
        <is>
          <t>Independent</t>
        </is>
      </c>
      <c r="H112" s="5" t="inlineStr">
        <is>
          <t>1</t>
        </is>
      </c>
      <c r="I112" s="5" t="inlineStr"/>
      <c r="J112" s="5" t="inlineStr">
        <is>
          <t>Birmingham</t>
        </is>
      </c>
      <c r="K112" s="5" t="inlineStr"/>
      <c r="L112" s="5" t="inlineStr"/>
      <c r="M112" s="5" t="inlineStr"/>
      <c r="N112" s="5" t="inlineStr"/>
      <c r="O112" s="5" t="inlineStr">
        <is>
          <t>https://lioncroftwholesale.co.uk/</t>
        </is>
      </c>
      <c r="P112" s="5" t="inlineStr"/>
      <c r="Q112" s="5" t="inlineStr"/>
      <c r="R112" s="5" t="inlineStr"/>
      <c r="S112" s="5" t="inlineStr"/>
      <c r="T112" s="5" t="inlineStr"/>
      <c r="U112" s="5" t="inlineStr"/>
      <c r="V112" s="5" t="inlineStr">
        <is>
          <t>Medium</t>
        </is>
      </c>
      <c r="W112" s="5" t="inlineStr">
        <is>
          <t>Independent retailer; Core relevant category; Active website</t>
        </is>
      </c>
      <c r="X112" s="5" t="inlineStr">
        <is>
          <t>Not Found</t>
        </is>
      </c>
      <c r="Y112" s="5" t="inlineStr">
        <is>
          <t>Website Found</t>
        </is>
      </c>
      <c r="Z112" s="5" t="inlineStr">
        <is>
          <t>Low</t>
        </is>
      </c>
      <c r="AA112" s="5" t="inlineStr">
        <is>
          <t>Requires Verification</t>
        </is>
      </c>
      <c r="AB112" s="5" t="inlineStr">
        <is>
          <t>https://lioncroftwholesale.co.uk/</t>
        </is>
      </c>
    </row>
    <row r="113">
      <c r="A113" s="10" t="inlineStr">
        <is>
          <t>UK-000794</t>
        </is>
      </c>
      <c r="B113" s="10" t="inlineStr">
        <is>
          <t>UK-000794-01</t>
        </is>
      </c>
      <c r="C113" s="10" t="inlineStr"/>
      <c r="D113" s="10" t="inlineStr">
        <is>
          <t>Liverpool 8 Superstore</t>
        </is>
      </c>
      <c r="E113" s="10" t="inlineStr">
        <is>
          <t>Independent Supermarket</t>
        </is>
      </c>
      <c r="F113" s="10" t="inlineStr">
        <is>
          <t>World-food / international superstore</t>
        </is>
      </c>
      <c r="G113" s="10" t="inlineStr">
        <is>
          <t>Independent</t>
        </is>
      </c>
      <c r="H113" s="10" t="inlineStr">
        <is>
          <t>1</t>
        </is>
      </c>
      <c r="I113" s="10" t="inlineStr">
        <is>
          <t>129 Lodge Lane</t>
        </is>
      </c>
      <c r="J113" s="10" t="inlineStr">
        <is>
          <t>Liverpool</t>
        </is>
      </c>
      <c r="K113" s="10" t="inlineStr">
        <is>
          <t>L8 0QF</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https://confidentials.com/liverpool/counter-culture-the-liverpool-8-superstore</t>
        </is>
      </c>
    </row>
    <row r="114">
      <c r="A114" s="5" t="inlineStr">
        <is>
          <t>UK-000796</t>
        </is>
      </c>
      <c r="B114" s="5" t="inlineStr">
        <is>
          <t>UK-000796-01</t>
        </is>
      </c>
      <c r="C114" s="5" t="inlineStr"/>
      <c r="D114" s="5" t="inlineStr">
        <is>
          <t>Loon Fung</t>
        </is>
      </c>
      <c r="E114" s="5" t="inlineStr">
        <is>
          <t>Independent Supermarket</t>
        </is>
      </c>
      <c r="F114" s="5" t="inlineStr">
        <is>
          <t>Chinese world-food supermarket</t>
        </is>
      </c>
      <c r="G114" s="5" t="inlineStr">
        <is>
          <t>Independent</t>
        </is>
      </c>
      <c r="H114" s="5" t="inlineStr">
        <is>
          <t>1</t>
        </is>
      </c>
      <c r="I114" s="5" t="inlineStr">
        <is>
          <t>201 Leith Walk</t>
        </is>
      </c>
      <c r="J114" s="5" t="inlineStr">
        <is>
          <t>Edinburgh</t>
        </is>
      </c>
      <c r="K114" s="5" t="inlineStr">
        <is>
          <t>EH6 8NX</t>
        </is>
      </c>
      <c r="L114" s="5" t="inlineStr">
        <is>
          <t>0131 555 1098</t>
        </is>
      </c>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Verified directory</t>
        </is>
      </c>
      <c r="Y114" s="5" t="inlineStr">
        <is>
          <t>Not Found</t>
        </is>
      </c>
      <c r="Z114" s="5" t="inlineStr">
        <is>
          <t>Medium</t>
        </is>
      </c>
      <c r="AA114" s="5" t="inlineStr">
        <is>
          <t>Requires Verification</t>
        </is>
      </c>
      <c r="AB114" s="5" t="inlineStr">
        <is>
          <t>https://www.yell.com/s/asian+supermarkets-edinburgh.html</t>
        </is>
      </c>
    </row>
    <row r="115">
      <c r="A115" s="10" t="inlineStr">
        <is>
          <t>UK-000490</t>
        </is>
      </c>
      <c r="B115" s="10" t="inlineStr">
        <is>
          <t>UK-000490-01</t>
        </is>
      </c>
      <c r="C115" s="10" t="inlineStr"/>
      <c r="D115" s="10" t="inlineStr">
        <is>
          <t>M &amp; T Supermarket Ltd</t>
        </is>
      </c>
      <c r="E115" s="10" t="inlineStr">
        <is>
          <t>Independent Supermarket</t>
        </is>
      </c>
      <c r="F115" s="10" t="inlineStr">
        <is>
          <t>Ethnic / international grocery</t>
        </is>
      </c>
      <c r="G115" s="10" t="inlineStr">
        <is>
          <t>Independent</t>
        </is>
      </c>
      <c r="H115" s="10" t="inlineStr">
        <is>
          <t>1</t>
        </is>
      </c>
      <c r="I115" s="10" t="inlineStr">
        <is>
          <t>147-157 Caldmore Road</t>
        </is>
      </c>
      <c r="J115" s="10" t="inlineStr">
        <is>
          <t>Walsall</t>
        </is>
      </c>
      <c r="K115" s="10" t="inlineStr">
        <is>
          <t>WS1 3RF</t>
        </is>
      </c>
      <c r="L115" s="10" t="inlineStr">
        <is>
          <t>01922 620607</t>
        </is>
      </c>
      <c r="M115" s="10" t="inlineStr"/>
      <c r="N115" s="10" t="inlineStr"/>
      <c r="O115" s="10" t="inlineStr"/>
      <c r="P115" s="10" t="inlineStr">
        <is>
          <t>https://www.facebook.com/mandtsupermarket/</t>
        </is>
      </c>
      <c r="Q115" s="10" t="inlineStr"/>
      <c r="R115" s="10" t="inlineStr"/>
      <c r="S115" s="10" t="inlineStr"/>
      <c r="T115" s="10" t="inlineStr"/>
      <c r="U115" s="10" t="inlineStr"/>
      <c r="V115" s="10" t="inlineStr">
        <is>
          <t>Medium</t>
        </is>
      </c>
      <c r="W115" s="10" t="inlineStr">
        <is>
          <t>Independent retailer; Relevant category; Social presence</t>
        </is>
      </c>
      <c r="X115" s="10" t="inlineStr">
        <is>
          <t>Verified directory</t>
        </is>
      </c>
      <c r="Y115" s="10" t="inlineStr">
        <is>
          <t>Not Found</t>
        </is>
      </c>
      <c r="Z115" s="10" t="inlineStr">
        <is>
          <t>Medium</t>
        </is>
      </c>
      <c r="AA115" s="10" t="inlineStr">
        <is>
          <t>Requires Verification</t>
        </is>
      </c>
      <c r="AB115" s="10" t="inlineStr">
        <is>
          <t>https://www.yell.com/biz/m-and-t-supermarket-ltd-walsall-5024939/</t>
        </is>
      </c>
    </row>
    <row r="116">
      <c r="A116" s="5" t="inlineStr">
        <is>
          <t>UK-000799</t>
        </is>
      </c>
      <c r="B116" s="5" t="inlineStr">
        <is>
          <t>UK-000799-01</t>
        </is>
      </c>
      <c r="C116" s="5" t="inlineStr"/>
      <c r="D116" s="5" t="inlineStr">
        <is>
          <t>Makkah Halal Meats And Delhi Ltd</t>
        </is>
      </c>
      <c r="E116" s="5" t="inlineStr">
        <is>
          <t>Independent Supermarket</t>
        </is>
      </c>
      <c r="F116" s="5" t="inlineStr">
        <is>
          <t>Halal grocery / butcher</t>
        </is>
      </c>
      <c r="G116" s="5" t="inlineStr">
        <is>
          <t>Independent</t>
        </is>
      </c>
      <c r="H116" s="5" t="inlineStr">
        <is>
          <t>1</t>
        </is>
      </c>
      <c r="I116" s="5" t="inlineStr">
        <is>
          <t>142 Granby Street</t>
        </is>
      </c>
      <c r="J116" s="5" t="inlineStr">
        <is>
          <t>Liverpool</t>
        </is>
      </c>
      <c r="K116" s="5" t="inlineStr">
        <is>
          <t>L8 2XA</t>
        </is>
      </c>
      <c r="L116" s="5" t="inlineStr"/>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Not Found</t>
        </is>
      </c>
      <c r="Y116" s="5" t="inlineStr">
        <is>
          <t>Not Found</t>
        </is>
      </c>
      <c r="Z116" s="5" t="inlineStr">
        <is>
          <t>Low</t>
        </is>
      </c>
      <c r="AA116" s="5" t="inlineStr">
        <is>
          <t>Requires Verification</t>
        </is>
      </c>
      <c r="AB116" s="5" t="inlineStr">
        <is>
          <t>https://liverpool.cylex-uk.co.uk/company/makkah-halal-meats-and-delhi-ltd-20583923.html</t>
        </is>
      </c>
    </row>
    <row r="117">
      <c r="A117" s="10" t="inlineStr">
        <is>
          <t>UK-000631</t>
        </is>
      </c>
      <c r="B117" s="10" t="inlineStr">
        <is>
          <t>UK-000631-01</t>
        </is>
      </c>
      <c r="C117" s="10" t="inlineStr"/>
      <c r="D117" s="10" t="inlineStr">
        <is>
          <t>Malar Supermarket</t>
        </is>
      </c>
      <c r="E117" s="10" t="inlineStr">
        <is>
          <t>Independent Supermarket</t>
        </is>
      </c>
      <c r="F117" s="10" t="inlineStr">
        <is>
          <t>South Asian / Sri Lankan world food</t>
        </is>
      </c>
      <c r="G117" s="10" t="inlineStr">
        <is>
          <t>Independent</t>
        </is>
      </c>
      <c r="H117" s="10" t="inlineStr">
        <is>
          <t>1</t>
        </is>
      </c>
      <c r="I117" s="10" t="inlineStr">
        <is>
          <t>543 High Road</t>
        </is>
      </c>
      <c r="J117" s="10" t="inlineStr">
        <is>
          <t>Wembley</t>
        </is>
      </c>
      <c r="K117" s="10" t="inlineStr">
        <is>
          <t>HA0 2DJ</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https://www.yell.com/biz/malar-supermarket-wembley-10906329/</t>
        </is>
      </c>
    </row>
    <row r="118">
      <c r="A118" s="5" t="inlineStr">
        <is>
          <t>UK-000369</t>
        </is>
      </c>
      <c r="B118" s="5" t="inlineStr">
        <is>
          <t>UK-000369-01</t>
        </is>
      </c>
      <c r="C118" s="5" t="inlineStr"/>
      <c r="D118" s="5" t="inlineStr">
        <is>
          <t>Marfast &amp; Co Ltd (Cheetham Hill)</t>
        </is>
      </c>
      <c r="E118" s="5" t="inlineStr">
        <is>
          <t>Cash &amp; Carry</t>
        </is>
      </c>
      <c r="F118" s="5" t="inlineStr">
        <is>
          <t>Grocery &amp; food wholesale cash &amp; carry</t>
        </is>
      </c>
      <c r="G118" s="5" t="inlineStr">
        <is>
          <t>Independent</t>
        </is>
      </c>
      <c r="H118" s="5" t="inlineStr">
        <is>
          <t>1</t>
        </is>
      </c>
      <c r="I118" s="5" t="inlineStr">
        <is>
          <t>30 Broughton Street</t>
        </is>
      </c>
      <c r="J118" s="5" t="inlineStr">
        <is>
          <t>Manchester</t>
        </is>
      </c>
      <c r="K118" s="5" t="inlineStr">
        <is>
          <t>M8 8NN</t>
        </is>
      </c>
      <c r="L118" s="5" t="inlineStr">
        <is>
          <t>0161 833 0024</t>
        </is>
      </c>
      <c r="M118" s="5" t="inlineStr"/>
      <c r="N118" s="5" t="inlineStr"/>
      <c r="O118" s="5" t="inlineStr">
        <is>
          <t>https://marfast.co.uk/</t>
        </is>
      </c>
      <c r="P118" s="5" t="inlineStr"/>
      <c r="Q118" s="5" t="inlineStr"/>
      <c r="R118" s="5" t="inlineStr"/>
      <c r="S118" s="5" t="inlineStr"/>
      <c r="T118" s="5" t="inlineStr"/>
      <c r="U118" s="5" t="inlineStr"/>
      <c r="V118" s="5" t="inlineStr">
        <is>
          <t>Medium</t>
        </is>
      </c>
      <c r="W118" s="5" t="inlineStr">
        <is>
          <t>Independent retailer; Core relevant category; Active website</t>
        </is>
      </c>
      <c r="X118" s="5" t="inlineStr">
        <is>
          <t>Verified directory</t>
        </is>
      </c>
      <c r="Y118" s="5" t="inlineStr">
        <is>
          <t>Website Found</t>
        </is>
      </c>
      <c r="Z118" s="5" t="inlineStr">
        <is>
          <t>Medium</t>
        </is>
      </c>
      <c r="AA118" s="5" t="inlineStr">
        <is>
          <t>Requires Verification</t>
        </is>
      </c>
      <c r="AB118" s="5" t="inlineStr">
        <is>
          <t>https://marfast.co.uk/cashandcarry</t>
        </is>
      </c>
    </row>
    <row r="119">
      <c r="A119" s="10" t="inlineStr">
        <is>
          <t>UK-000803</t>
        </is>
      </c>
      <c r="B119" s="10" t="inlineStr">
        <is>
          <t>UK-000803-01</t>
        </is>
      </c>
      <c r="C119" s="10" t="inlineStr"/>
      <c r="D119" s="10" t="inlineStr">
        <is>
          <t>Minar Superstore &amp; Halal Meat Shop</t>
        </is>
      </c>
      <c r="E119" s="10" t="inlineStr">
        <is>
          <t>Independent Supermarket</t>
        </is>
      </c>
      <c r="F119" s="10" t="inlineStr">
        <is>
          <t>World food / halal grocery supermarket</t>
        </is>
      </c>
      <c r="G119" s="10" t="inlineStr">
        <is>
          <t>Independent</t>
        </is>
      </c>
      <c r="H119" s="10" t="inlineStr">
        <is>
          <t>1</t>
        </is>
      </c>
      <c r="I119" s="10" t="inlineStr">
        <is>
          <t>313-317 Maxwell Road</t>
        </is>
      </c>
      <c r="J119" s="10" t="inlineStr">
        <is>
          <t>Glasgow</t>
        </is>
      </c>
      <c r="K119" s="10" t="inlineStr">
        <is>
          <t>G41 1TD</t>
        </is>
      </c>
      <c r="L119" s="10" t="inlineStr">
        <is>
          <t>0141 429 4348</t>
        </is>
      </c>
      <c r="M119" s="10" t="inlineStr"/>
      <c r="N119" s="10" t="inlineStr"/>
      <c r="O119" s="10" t="inlineStr"/>
      <c r="P119" s="10" t="inlineStr">
        <is>
          <t>https://www.facebook.com/p/Minar-Superstore-Maxwell-Road-Glasgow-100068677794891/</t>
        </is>
      </c>
      <c r="Q119" s="10" t="inlineStr"/>
      <c r="R119" s="10" t="inlineStr"/>
      <c r="S119" s="10" t="inlineStr"/>
      <c r="T119" s="10" t="inlineStr">
        <is>
          <t>SC662637</t>
        </is>
      </c>
      <c r="U119" s="10" t="inlineStr"/>
      <c r="V119" s="10" t="inlineStr">
        <is>
          <t>Medium</t>
        </is>
      </c>
      <c r="W119" s="10" t="inlineStr">
        <is>
          <t>Independent retailer; Relevant category; Social presence</t>
        </is>
      </c>
      <c r="X119" s="10" t="inlineStr">
        <is>
          <t>Verified directory</t>
        </is>
      </c>
      <c r="Y119" s="10" t="inlineStr">
        <is>
          <t>Not Found</t>
        </is>
      </c>
      <c r="Z119" s="10" t="inlineStr">
        <is>
          <t>High</t>
        </is>
      </c>
      <c r="AA119" s="10" t="inlineStr">
        <is>
          <t>Requires Verification</t>
        </is>
      </c>
      <c r="AB119" s="10" t="inlineStr">
        <is>
          <t>https://find-and-update.company-information.service.gov.uk/company/SC662637</t>
        </is>
      </c>
    </row>
    <row r="120">
      <c r="A120" s="5" t="inlineStr">
        <is>
          <t>UK-000494</t>
        </is>
      </c>
      <c r="B120" s="5" t="inlineStr">
        <is>
          <t>UK-000494-01</t>
        </is>
      </c>
      <c r="C120" s="5" t="inlineStr"/>
      <c r="D120" s="5" t="inlineStr">
        <is>
          <t>Monmore Confectionery (Midlands) Ltd</t>
        </is>
      </c>
      <c r="E120" s="5" t="inlineStr">
        <is>
          <t>Cash &amp; Carry</t>
        </is>
      </c>
      <c r="F120" s="5" t="inlineStr">
        <is>
          <t>Confectionery &amp; soft drinks wholesale</t>
        </is>
      </c>
      <c r="G120" s="5" t="inlineStr">
        <is>
          <t>Independent</t>
        </is>
      </c>
      <c r="H120" s="5" t="inlineStr">
        <is>
          <t>1</t>
        </is>
      </c>
      <c r="I120" s="5" t="inlineStr">
        <is>
          <t>Unit 7 Phoenix Industrial Estate</t>
        </is>
      </c>
      <c r="J120" s="5" t="inlineStr">
        <is>
          <t>Bilston</t>
        </is>
      </c>
      <c r="K120" s="5" t="inlineStr">
        <is>
          <t>WV14 0PR</t>
        </is>
      </c>
      <c r="L120" s="5" t="inlineStr">
        <is>
          <t>01902 403336</t>
        </is>
      </c>
      <c r="M120" s="5" t="inlineStr"/>
      <c r="N120" s="5" t="inlineStr"/>
      <c r="O120" s="5" t="inlineStr">
        <is>
          <t>https://www.monmoreconfectionery.co.uk/</t>
        </is>
      </c>
      <c r="P120" s="5" t="inlineStr"/>
      <c r="Q120" s="5" t="inlineStr"/>
      <c r="R120" s="5" t="inlineStr"/>
      <c r="S120" s="5" t="inlineStr"/>
      <c r="T120" s="5" t="inlineStr">
        <is>
          <t>04449605</t>
        </is>
      </c>
      <c r="U120" s="5" t="inlineStr"/>
      <c r="V120" s="5" t="inlineStr">
        <is>
          <t>Medium</t>
        </is>
      </c>
      <c r="W120" s="5" t="inlineStr">
        <is>
          <t>Independent retailer; Core relevant category; Active website; Phone verified on official website</t>
        </is>
      </c>
      <c r="X120" s="5" t="inlineStr">
        <is>
          <t>Verified on official website</t>
        </is>
      </c>
      <c r="Y120" s="5" t="inlineStr">
        <is>
          <t>Website Found</t>
        </is>
      </c>
      <c r="Z120" s="5" t="inlineStr">
        <is>
          <t>High</t>
        </is>
      </c>
      <c r="AA120" s="5" t="inlineStr">
        <is>
          <t>Verified (website + Companies House)</t>
        </is>
      </c>
      <c r="AB120" s="5" t="inlineStr">
        <is>
          <t>https://www.monmoreconfectionery.co.uk/cash-carry</t>
        </is>
      </c>
    </row>
    <row r="121">
      <c r="A121" s="10" t="inlineStr">
        <is>
          <t>UK-000266</t>
        </is>
      </c>
      <c r="B121" s="10" t="inlineStr">
        <is>
          <t>UK-000266-01</t>
        </is>
      </c>
      <c r="C121" s="10" t="inlineStr"/>
      <c r="D121" s="10" t="inlineStr">
        <is>
          <t>Ninnsi</t>
        </is>
      </c>
      <c r="E121" s="10" t="inlineStr">
        <is>
          <t>Independent Supermarket</t>
        </is>
      </c>
      <c r="F121" s="10" t="inlineStr">
        <is>
          <t>Oriental / Asian store</t>
        </is>
      </c>
      <c r="G121" s="10" t="inlineStr">
        <is>
          <t>Independent</t>
        </is>
      </c>
      <c r="H121" s="10" t="inlineStr">
        <is>
          <t>1</t>
        </is>
      </c>
      <c r="I121" s="10" t="inlineStr"/>
      <c r="J121" s="10" t="inlineStr">
        <is>
          <t>Kingston upon Hull</t>
        </is>
      </c>
      <c r="K121" s="10" t="inlineStr"/>
      <c r="L121" s="10" t="inlineStr"/>
      <c r="M121" s="10" t="inlineStr"/>
      <c r="N121" s="10" t="inlineStr"/>
      <c r="O121" s="10" t="inlineStr">
        <is>
          <t>https://ninnsi.co.uk</t>
        </is>
      </c>
      <c r="P121" s="10" t="inlineStr"/>
      <c r="Q121" s="10" t="inlineStr"/>
      <c r="R121" s="10" t="inlineStr"/>
      <c r="S121" s="10" t="inlineStr"/>
      <c r="T121" s="10" t="inlineStr"/>
      <c r="U121" s="10" t="inlineStr"/>
      <c r="V121" s="10" t="inlineStr">
        <is>
          <t>Medium</t>
        </is>
      </c>
      <c r="W121" s="10" t="inlineStr">
        <is>
          <t>Independent retailer; Relevant category; Active website</t>
        </is>
      </c>
      <c r="X121" s="10" t="inlineStr">
        <is>
          <t>Not Found</t>
        </is>
      </c>
      <c r="Y121" s="10" t="inlineStr">
        <is>
          <t>Not Found</t>
        </is>
      </c>
      <c r="Z121" s="10" t="inlineStr">
        <is>
          <t>Low</t>
        </is>
      </c>
      <c r="AA121" s="10" t="inlineStr">
        <is>
          <t>Partially Verified</t>
        </is>
      </c>
      <c r="AB121" s="10" t="inlineStr">
        <is>
          <t>https://ninnsi.co.uk/</t>
        </is>
      </c>
    </row>
    <row r="122">
      <c r="A122" s="5" t="inlineStr">
        <is>
          <t>UK-000639</t>
        </is>
      </c>
      <c r="B122" s="5" t="inlineStr">
        <is>
          <t>UK-000639-01</t>
        </is>
      </c>
      <c r="C122" s="5" t="inlineStr"/>
      <c r="D122" s="5" t="inlineStr">
        <is>
          <t>Nita Cash and Carry</t>
        </is>
      </c>
      <c r="E122" s="5" t="inlineStr">
        <is>
          <t>Cash &amp; Carry</t>
        </is>
      </c>
      <c r="F122" s="5" t="inlineStr"/>
      <c r="G122" s="5" t="inlineStr">
        <is>
          <t>Independent</t>
        </is>
      </c>
      <c r="H122" s="5" t="inlineStr">
        <is>
          <t>1</t>
        </is>
      </c>
      <c r="I122" s="5" t="inlineStr">
        <is>
          <t>137-139 Ealing Road</t>
        </is>
      </c>
      <c r="J122" s="5" t="inlineStr">
        <is>
          <t>Wembley</t>
        </is>
      </c>
      <c r="K122" s="5" t="inlineStr">
        <is>
          <t>HA0 4BP</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https://www.yell.com/biz/nita-cash-and-carry-wembley-518432/</t>
        </is>
      </c>
    </row>
    <row r="123">
      <c r="A123" s="10" t="inlineStr">
        <is>
          <t>UK-000378</t>
        </is>
      </c>
      <c r="B123" s="10" t="inlineStr">
        <is>
          <t>UK-000378-01</t>
        </is>
      </c>
      <c r="C123" s="10" t="inlineStr"/>
      <c r="D123" s="10" t="inlineStr">
        <is>
          <t>Oldham Cash and Carry</t>
        </is>
      </c>
      <c r="E123" s="10" t="inlineStr">
        <is>
          <t>Cash &amp; Carry</t>
        </is>
      </c>
      <c r="F123" s="10" t="inlineStr"/>
      <c r="G123" s="10" t="inlineStr">
        <is>
          <t>Independent</t>
        </is>
      </c>
      <c r="H123" s="10" t="inlineStr">
        <is>
          <t>1</t>
        </is>
      </c>
      <c r="I123" s="10" t="inlineStr">
        <is>
          <t>304 Lees Road</t>
        </is>
      </c>
      <c r="J123" s="10" t="inlineStr">
        <is>
          <t>Oldham</t>
        </is>
      </c>
      <c r="K123" s="10" t="inlineStr">
        <is>
          <t>OL4 1NZ</t>
        </is>
      </c>
      <c r="L123" s="10" t="inlineStr"/>
      <c r="M123" s="10" t="inlineStr"/>
      <c r="N123" s="10" t="inlineStr"/>
      <c r="O123" s="10" t="inlineStr"/>
      <c r="P123" s="10" t="inlineStr"/>
      <c r="Q123" s="10" t="inlineStr"/>
      <c r="R123" s="10" t="inlineStr"/>
      <c r="S123" s="10" t="inlineStr"/>
      <c r="T123" s="10" t="inlineStr">
        <is>
          <t>17379179</t>
        </is>
      </c>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Partially Verified</t>
        </is>
      </c>
      <c r="AB123" s="10" t="inlineStr">
        <is>
          <t>https://find-and-update.company-information.service.gov.uk/company/17379179</t>
        </is>
      </c>
    </row>
    <row r="124">
      <c r="A124" s="5" t="inlineStr">
        <is>
          <t>UK-000641</t>
        </is>
      </c>
      <c r="B124" s="5" t="inlineStr">
        <is>
          <t>UK-000641-01</t>
        </is>
      </c>
      <c r="C124" s="5" t="inlineStr"/>
      <c r="D124" s="5" t="inlineStr">
        <is>
          <t>Onur Supermarket</t>
        </is>
      </c>
      <c r="E124" s="5" t="inlineStr">
        <is>
          <t>Independent Supermarket</t>
        </is>
      </c>
      <c r="F124" s="5" t="inlineStr">
        <is>
          <t>Turkish / world-food supermarket</t>
        </is>
      </c>
      <c r="G124" s="5" t="inlineStr">
        <is>
          <t>Independent</t>
        </is>
      </c>
      <c r="H124" s="5" t="inlineStr">
        <is>
          <t>1</t>
        </is>
      </c>
      <c r="I124" s="5" t="inlineStr">
        <is>
          <t>90 Leytonstone Road</t>
        </is>
      </c>
      <c r="J124" s="5" t="inlineStr">
        <is>
          <t>Stratford</t>
        </is>
      </c>
      <c r="K124" s="5" t="inlineStr">
        <is>
          <t>E15 1TQ</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https://london.cylex-uk.co.uk/stratford/retail%20shops.html</t>
        </is>
      </c>
    </row>
    <row r="125">
      <c r="A125" s="10" t="inlineStr">
        <is>
          <t>UK-000809</t>
        </is>
      </c>
      <c r="B125" s="10" t="inlineStr">
        <is>
          <t>UK-000809-01</t>
        </is>
      </c>
      <c r="C125" s="10" t="inlineStr"/>
      <c r="D125" s="10" t="inlineStr">
        <is>
          <t>PCY Oriental</t>
        </is>
      </c>
      <c r="E125" s="10" t="inlineStr">
        <is>
          <t>Independent Supermarket</t>
        </is>
      </c>
      <c r="F125" s="10" t="inlineStr">
        <is>
          <t>Pan-Asian world-food supermarket</t>
        </is>
      </c>
      <c r="G125" s="10" t="inlineStr">
        <is>
          <t>Independent</t>
        </is>
      </c>
      <c r="H125" s="10" t="inlineStr">
        <is>
          <t>1</t>
        </is>
      </c>
      <c r="I125" s="10" t="inlineStr"/>
      <c r="J125" s="10" t="inlineStr">
        <is>
          <t>Edinburgh</t>
        </is>
      </c>
      <c r="K125" s="10" t="inlineStr"/>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https://edinburgh.cylex-uk.co.uk/company/pcy-oriental-27594347.html</t>
        </is>
      </c>
    </row>
    <row r="126">
      <c r="A126" s="5" t="inlineStr">
        <is>
          <t>WY-0130</t>
        </is>
      </c>
      <c r="B126" s="5" t="inlineStr">
        <is>
          <t>WY-0130-01</t>
        </is>
      </c>
      <c r="C126" s="5" t="inlineStr"/>
      <c r="D126" s="5" t="inlineStr">
        <is>
          <t>Pakeezah Superstore</t>
        </is>
      </c>
      <c r="E126" s="5" t="inlineStr">
        <is>
          <t>Independent Supermarket</t>
        </is>
      </c>
      <c r="F126" s="5" t="inlineStr">
        <is>
          <t>Asian / halal superstore with curry counter</t>
        </is>
      </c>
      <c r="G126" s="5" t="inlineStr">
        <is>
          <t>Independent</t>
        </is>
      </c>
      <c r="H126" s="5" t="inlineStr">
        <is>
          <t>1</t>
        </is>
      </c>
      <c r="I126" s="5" t="inlineStr">
        <is>
          <t>91 Edderthorpe Street</t>
        </is>
      </c>
      <c r="J126" s="5" t="inlineStr">
        <is>
          <t>Bradford</t>
        </is>
      </c>
      <c r="K126" s="5" t="inlineStr">
        <is>
          <t>BD3 9UD</t>
        </is>
      </c>
      <c r="L126" s="5" t="inlineStr">
        <is>
          <t>01274 739500</t>
        </is>
      </c>
      <c r="M126" s="5" t="inlineStr">
        <is>
          <t>info@pakeezah.com</t>
        </is>
      </c>
      <c r="N126" s="5" t="inlineStr"/>
      <c r="O126" s="5" t="inlineStr">
        <is>
          <t>https://www.pakeezah.com/</t>
        </is>
      </c>
      <c r="P126" s="5" t="inlineStr">
        <is>
          <t>https://www.facebook.com/PakeezahGourmet/</t>
        </is>
      </c>
      <c r="Q126" s="5" t="inlineStr"/>
      <c r="R126" s="5" t="inlineStr"/>
      <c r="S126" s="5" t="inlineStr"/>
      <c r="T126" s="5" t="inlineStr"/>
      <c r="U126" s="5" t="inlineStr"/>
      <c r="V126" s="5" t="inlineStr">
        <is>
          <t>Medium</t>
        </is>
      </c>
      <c r="W126" s="5" t="inlineStr">
        <is>
          <t>Independent retailer; Relevant category; Public email available; Active website; Social presence</t>
        </is>
      </c>
      <c r="X126" s="5" t="inlineStr">
        <is>
          <t>Verified directory</t>
        </is>
      </c>
      <c r="Y126" s="5" t="inlineStr">
        <is>
          <t>Website Found</t>
        </is>
      </c>
      <c r="Z126" s="5" t="inlineStr">
        <is>
          <t>Medium</t>
        </is>
      </c>
      <c r="AA126" s="5" t="inlineStr">
        <is>
          <t>Partially Verified</t>
        </is>
      </c>
      <c r="AB126" s="5" t="inlineStr">
        <is>
          <t>https://www.thomsonlocal.com/search/supermarkets/bradford-keighley-skipton/pakeezah/1241547/01274739500</t>
        </is>
      </c>
    </row>
    <row r="127">
      <c r="A127" s="10" t="inlineStr">
        <is>
          <t>UK-000643</t>
        </is>
      </c>
      <c r="B127" s="10" t="inlineStr">
        <is>
          <t>UK-000643-01</t>
        </is>
      </c>
      <c r="C127" s="10" t="inlineStr"/>
      <c r="D127" s="10" t="inlineStr">
        <is>
          <t>Pearl Supermarket</t>
        </is>
      </c>
      <c r="E127" s="10" t="inlineStr">
        <is>
          <t>Independent Supermarket</t>
        </is>
      </c>
      <c r="F127" s="10" t="inlineStr">
        <is>
          <t>World food supermarket</t>
        </is>
      </c>
      <c r="G127" s="10" t="inlineStr">
        <is>
          <t>Independent</t>
        </is>
      </c>
      <c r="H127" s="10" t="inlineStr">
        <is>
          <t>1</t>
        </is>
      </c>
      <c r="I127" s="10" t="inlineStr"/>
      <c r="J127" s="10" t="inlineStr">
        <is>
          <t>Wembley</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Low</t>
        </is>
      </c>
      <c r="AA127" s="10" t="inlineStr">
        <is>
          <t>Requires Verification</t>
        </is>
      </c>
      <c r="AB127" s="10" t="inlineStr">
        <is>
          <t>https://www.yell.com/biz/pearl-supermarket-wembley-5970807/</t>
        </is>
      </c>
    </row>
    <row r="128">
      <c r="A128" s="5" t="inlineStr">
        <is>
          <t>UK-000644</t>
        </is>
      </c>
      <c r="B128" s="5" t="inlineStr">
        <is>
          <t>UK-000644-01</t>
        </is>
      </c>
      <c r="C128" s="5" t="inlineStr"/>
      <c r="D128" s="5" t="inlineStr">
        <is>
          <t>Peckham Afro Foods Ltd</t>
        </is>
      </c>
      <c r="E128" s="5" t="inlineStr">
        <is>
          <t>Independent Supermarket</t>
        </is>
      </c>
      <c r="F128" s="5" t="inlineStr">
        <is>
          <t>African food store / butcher</t>
        </is>
      </c>
      <c r="G128" s="5" t="inlineStr">
        <is>
          <t>Independent</t>
        </is>
      </c>
      <c r="H128" s="5" t="inlineStr">
        <is>
          <t>1</t>
        </is>
      </c>
      <c r="I128" s="5" t="inlineStr">
        <is>
          <t>71 Rye Lane</t>
        </is>
      </c>
      <c r="J128" s="5" t="inlineStr">
        <is>
          <t>London</t>
        </is>
      </c>
      <c r="K128" s="5" t="inlineStr">
        <is>
          <t>SE15 5EX</t>
        </is>
      </c>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https://www.yell.com/biz/peckham-afro-foods-ltd-london-10823812/</t>
        </is>
      </c>
    </row>
    <row r="129">
      <c r="A129" s="10" t="inlineStr">
        <is>
          <t>UK-000379</t>
        </is>
      </c>
      <c r="B129" s="10" t="inlineStr">
        <is>
          <t>UK-000379-01</t>
        </is>
      </c>
      <c r="C129" s="10" t="inlineStr"/>
      <c r="D129" s="10" t="inlineStr">
        <is>
          <t>Peerless Stores Limited</t>
        </is>
      </c>
      <c r="E129" s="10" t="inlineStr">
        <is>
          <t>Independent Supermarket</t>
        </is>
      </c>
      <c r="F129" s="10" t="inlineStr">
        <is>
          <t>African, Caribbean and Asian grocery</t>
        </is>
      </c>
      <c r="G129" s="10" t="inlineStr">
        <is>
          <t>Independent</t>
        </is>
      </c>
      <c r="H129" s="10" t="inlineStr">
        <is>
          <t>1</t>
        </is>
      </c>
      <c r="I129" s="10" t="inlineStr">
        <is>
          <t>6 Jaxons Court</t>
        </is>
      </c>
      <c r="J129" s="10" t="inlineStr">
        <is>
          <t>Wigan</t>
        </is>
      </c>
      <c r="K129" s="10" t="inlineStr">
        <is>
          <t>WN1 1LR</t>
        </is>
      </c>
      <c r="L129" s="10" t="inlineStr">
        <is>
          <t>07951 816502</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Medium</t>
        </is>
      </c>
      <c r="AA129" s="10" t="inlineStr">
        <is>
          <t>Requires Verification</t>
        </is>
      </c>
      <c r="AB129" s="10" t="inlineStr">
        <is>
          <t>https://businessdirectory.wigan.gov.uk/business/peerless-stores-limited</t>
        </is>
      </c>
    </row>
    <row r="130">
      <c r="A130" s="5" t="inlineStr">
        <is>
          <t>WY-0135</t>
        </is>
      </c>
      <c r="B130" s="5" t="inlineStr">
        <is>
          <t>WY-0135-01</t>
        </is>
      </c>
      <c r="C130" s="5" t="inlineStr"/>
      <c r="D130" s="5" t="inlineStr">
        <is>
          <t>Premier Wholesale Cash &amp; Carry</t>
        </is>
      </c>
      <c r="E130" s="5" t="inlineStr">
        <is>
          <t>Cash &amp; Carry</t>
        </is>
      </c>
      <c r="F130" s="5" t="inlineStr">
        <is>
          <t>General cash and carry wholesaler</t>
        </is>
      </c>
      <c r="G130" s="5" t="inlineStr">
        <is>
          <t>Independent</t>
        </is>
      </c>
      <c r="H130" s="5" t="inlineStr">
        <is>
          <t>1</t>
        </is>
      </c>
      <c r="I130" s="5" t="inlineStr">
        <is>
          <t>Clough Lane</t>
        </is>
      </c>
      <c r="J130" s="5" t="inlineStr">
        <is>
          <t>Huddersfield</t>
        </is>
      </c>
      <c r="K130" s="5" t="inlineStr">
        <is>
          <t>HD1 4UW</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https://www.yell.com/biz/premier-wholesale-cash-and-carry-huddersfield-943025/</t>
        </is>
      </c>
    </row>
    <row r="131">
      <c r="A131" s="10" t="inlineStr">
        <is>
          <t>UK-000646</t>
        </is>
      </c>
      <c r="B131" s="10" t="inlineStr">
        <is>
          <t>UK-000646-01</t>
        </is>
      </c>
      <c r="C131" s="10" t="inlineStr"/>
      <c r="D131" s="10" t="inlineStr">
        <is>
          <t>Prince Cash &amp; Carry Ltd</t>
        </is>
      </c>
      <c r="E131" s="10" t="inlineStr">
        <is>
          <t>Cash &amp; Carry</t>
        </is>
      </c>
      <c r="F131" s="10" t="inlineStr"/>
      <c r="G131" s="10" t="inlineStr">
        <is>
          <t>Independent</t>
        </is>
      </c>
      <c r="H131" s="10" t="inlineStr">
        <is>
          <t>1</t>
        </is>
      </c>
      <c r="I131" s="10" t="inlineStr">
        <is>
          <t>Unit 4 Grand Union Enterprise Park</t>
        </is>
      </c>
      <c r="J131" s="10" t="inlineStr">
        <is>
          <t>Southall</t>
        </is>
      </c>
      <c r="K131" s="10" t="inlineStr">
        <is>
          <t>UB2 4EX</t>
        </is>
      </c>
      <c r="L131" s="10" t="inlineStr">
        <is>
          <t>020 8574 0892</t>
        </is>
      </c>
      <c r="M131" s="10" t="inlineStr"/>
      <c r="N131" s="10" t="inlineStr"/>
      <c r="O131" s="10" t="inlineStr">
        <is>
          <t>https://www.princecashandcarry.com</t>
        </is>
      </c>
      <c r="P131" s="10" t="inlineStr"/>
      <c r="Q131" s="10" t="inlineStr"/>
      <c r="R131" s="10" t="inlineStr"/>
      <c r="S131" s="10" t="inlineStr"/>
      <c r="T131" s="10" t="inlineStr">
        <is>
          <t>06811397</t>
        </is>
      </c>
      <c r="U131" s="10" t="inlineStr"/>
      <c r="V131" s="10" t="inlineStr">
        <is>
          <t>Medium</t>
        </is>
      </c>
      <c r="W131" s="10" t="inlineStr">
        <is>
          <t>Independent retailer; Core relevant category; Active website</t>
        </is>
      </c>
      <c r="X131" s="10" t="inlineStr">
        <is>
          <t>Verified directory</t>
        </is>
      </c>
      <c r="Y131" s="10" t="inlineStr">
        <is>
          <t>Not Found</t>
        </is>
      </c>
      <c r="Z131" s="10" t="inlineStr">
        <is>
          <t>Medium</t>
        </is>
      </c>
      <c r="AA131" s="10" t="inlineStr">
        <is>
          <t>Verified (website + Companies House)</t>
        </is>
      </c>
      <c r="AB131" s="10" t="inlineStr">
        <is>
          <t>https://www.princecashandcarry.com/</t>
        </is>
      </c>
    </row>
    <row r="132">
      <c r="A132" s="5" t="inlineStr">
        <is>
          <t>UK-000811</t>
        </is>
      </c>
      <c r="B132" s="5" t="inlineStr">
        <is>
          <t>UK-000811-01</t>
        </is>
      </c>
      <c r="C132" s="5" t="inlineStr"/>
      <c r="D132" s="5" t="inlineStr">
        <is>
          <t>Roots, Fruits &amp; Flowers</t>
        </is>
      </c>
      <c r="E132" s="5" t="inlineStr">
        <is>
          <t>Independent Supermarket</t>
        </is>
      </c>
      <c r="F132" s="5" t="inlineStr">
        <is>
          <t>Wholefoods / greengrocer / deli</t>
        </is>
      </c>
      <c r="G132" s="5" t="inlineStr">
        <is>
          <t>Independent</t>
        </is>
      </c>
      <c r="H132" s="5" t="inlineStr">
        <is>
          <t>1</t>
        </is>
      </c>
      <c r="I132" s="5" t="inlineStr">
        <is>
          <t>455 Great Western Road</t>
        </is>
      </c>
      <c r="J132" s="5" t="inlineStr">
        <is>
          <t>Glasgow</t>
        </is>
      </c>
      <c r="K132" s="5" t="inlineStr">
        <is>
          <t>G12 8HH</t>
        </is>
      </c>
      <c r="L132" s="5" t="inlineStr">
        <is>
          <t>0141 334 3530</t>
        </is>
      </c>
      <c r="M132" s="5" t="inlineStr"/>
      <c r="N132" s="5" t="inlineStr"/>
      <c r="O132" s="5" t="inlineStr">
        <is>
          <t>https://www.rootsfruitsandflowers.com/</t>
        </is>
      </c>
      <c r="P132" s="5" t="inlineStr"/>
      <c r="Q132" s="5" t="inlineStr"/>
      <c r="R132" s="5" t="inlineStr"/>
      <c r="S132" s="5" t="inlineStr"/>
      <c r="T132" s="5" t="inlineStr">
        <is>
          <t>SC380017</t>
        </is>
      </c>
      <c r="U132" s="5" t="inlineStr"/>
      <c r="V132" s="5" t="inlineStr">
        <is>
          <t>Medium</t>
        </is>
      </c>
      <c r="W132" s="5" t="inlineStr">
        <is>
          <t>Independent retailer; Relevant category; Active website</t>
        </is>
      </c>
      <c r="X132" s="5" t="inlineStr">
        <is>
          <t>Verified directory</t>
        </is>
      </c>
      <c r="Y132" s="5" t="inlineStr">
        <is>
          <t>Website Found</t>
        </is>
      </c>
      <c r="Z132" s="5" t="inlineStr">
        <is>
          <t>High</t>
        </is>
      </c>
      <c r="AA132" s="5" t="inlineStr">
        <is>
          <t>Requires Verification</t>
        </is>
      </c>
      <c r="AB132" s="5" t="inlineStr">
        <is>
          <t>https://www.rootsfruitsandflowers.com/pages/contact-opening-hours</t>
        </is>
      </c>
    </row>
    <row r="133">
      <c r="A133" s="10" t="inlineStr">
        <is>
          <t>UK-000650</t>
        </is>
      </c>
      <c r="B133" s="10" t="inlineStr">
        <is>
          <t>UK-000650-01</t>
        </is>
      </c>
      <c r="C133" s="10" t="inlineStr"/>
      <c r="D133" s="10" t="inlineStr">
        <is>
          <t>S.S. Supermarket</t>
        </is>
      </c>
      <c r="E133" s="10" t="inlineStr">
        <is>
          <t>Independent Supermarket</t>
        </is>
      </c>
      <c r="F133" s="10" t="inlineStr">
        <is>
          <t>World-food supermarket</t>
        </is>
      </c>
      <c r="G133" s="10" t="inlineStr">
        <is>
          <t>Independent</t>
        </is>
      </c>
      <c r="H133" s="10" t="inlineStr">
        <is>
          <t>1</t>
        </is>
      </c>
      <c r="I133" s="10" t="inlineStr">
        <is>
          <t>243-245 Ilford Lane</t>
        </is>
      </c>
      <c r="J133" s="10" t="inlineStr">
        <is>
          <t>Ilford</t>
        </is>
      </c>
      <c r="K133" s="10" t="inlineStr">
        <is>
          <t>IG1 2SB</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Medium</t>
        </is>
      </c>
      <c r="AA133" s="10" t="inlineStr">
        <is>
          <t>Requires Verification</t>
        </is>
      </c>
      <c r="AB133" s="10" t="inlineStr">
        <is>
          <t>https://ilford.cylex-uk.co.uk/company/s-s-supermarket-13379555.html</t>
        </is>
      </c>
    </row>
    <row r="134">
      <c r="A134" s="5" t="inlineStr">
        <is>
          <t>UK-000508</t>
        </is>
      </c>
      <c r="B134" s="5" t="inlineStr">
        <is>
          <t>UK-000508-01</t>
        </is>
      </c>
      <c r="C134" s="5" t="inlineStr"/>
      <c r="D134" s="5" t="inlineStr">
        <is>
          <t>SR Catering Ltd</t>
        </is>
      </c>
      <c r="E134" s="5" t="inlineStr">
        <is>
          <t>Cash &amp; Carry</t>
        </is>
      </c>
      <c r="F134" s="5" t="inlineStr">
        <is>
          <t>Catering &amp; foodservice wholesale</t>
        </is>
      </c>
      <c r="G134" s="5" t="inlineStr">
        <is>
          <t>Independent</t>
        </is>
      </c>
      <c r="H134" s="5" t="inlineStr">
        <is>
          <t>1</t>
        </is>
      </c>
      <c r="I134" s="5" t="inlineStr">
        <is>
          <t>Rathore House, Culwell Trading Estate</t>
        </is>
      </c>
      <c r="J134" s="5" t="inlineStr">
        <is>
          <t>Wolverhampton</t>
        </is>
      </c>
      <c r="K134" s="5" t="inlineStr">
        <is>
          <t>WV10 0PG</t>
        </is>
      </c>
      <c r="L134" s="5" t="inlineStr">
        <is>
          <t>01902 456430</t>
        </is>
      </c>
      <c r="M134" s="5" t="inlineStr"/>
      <c r="N134" s="5" t="inlineStr"/>
      <c r="O134" s="5" t="inlineStr">
        <is>
          <t>https://srcateringltd.co.uk/</t>
        </is>
      </c>
      <c r="P134" s="5" t="inlineStr"/>
      <c r="Q134" s="5" t="inlineStr"/>
      <c r="R134" s="5" t="inlineStr"/>
      <c r="S134" s="5" t="inlineStr"/>
      <c r="T134" s="5" t="inlineStr">
        <is>
          <t>08536715</t>
        </is>
      </c>
      <c r="U134" s="5" t="inlineStr"/>
      <c r="V134" s="5" t="inlineStr">
        <is>
          <t>Medium</t>
        </is>
      </c>
      <c r="W134" s="5" t="inlineStr">
        <is>
          <t>Independent retailer; Core relevant category; Active website</t>
        </is>
      </c>
      <c r="X134" s="5" t="inlineStr">
        <is>
          <t>Verified directory</t>
        </is>
      </c>
      <c r="Y134" s="5" t="inlineStr">
        <is>
          <t>Website Found</t>
        </is>
      </c>
      <c r="Z134" s="5" t="inlineStr">
        <is>
          <t>High</t>
        </is>
      </c>
      <c r="AA134" s="5" t="inlineStr">
        <is>
          <t>Verified (website + Companies House)</t>
        </is>
      </c>
      <c r="AB134" s="5" t="inlineStr">
        <is>
          <t>https://find-and-update.company-information.service.gov.uk/company/08536715</t>
        </is>
      </c>
    </row>
    <row r="135">
      <c r="A135" s="10" t="inlineStr">
        <is>
          <t>UK-000275</t>
        </is>
      </c>
      <c r="B135" s="10" t="inlineStr">
        <is>
          <t>UK-000275-01</t>
        </is>
      </c>
      <c r="C135" s="10" t="inlineStr"/>
      <c r="D135" s="10" t="inlineStr">
        <is>
          <t>Sako Polish Shop Doncaster</t>
        </is>
      </c>
      <c r="E135" s="10" t="inlineStr">
        <is>
          <t>Independent Supermarket</t>
        </is>
      </c>
      <c r="F135" s="10" t="inlineStr">
        <is>
          <t>Polish / European grocery store</t>
        </is>
      </c>
      <c r="G135" s="10" t="inlineStr">
        <is>
          <t>Independent</t>
        </is>
      </c>
      <c r="H135" s="10" t="inlineStr">
        <is>
          <t>1</t>
        </is>
      </c>
      <c r="I135" s="10" t="inlineStr">
        <is>
          <t>40 Duke Street</t>
        </is>
      </c>
      <c r="J135" s="10" t="inlineStr">
        <is>
          <t>Doncaster</t>
        </is>
      </c>
      <c r="K135" s="10" t="inlineStr"/>
      <c r="L135" s="10" t="inlineStr"/>
      <c r="M135" s="10" t="inlineStr"/>
      <c r="N135" s="10" t="inlineStr"/>
      <c r="O135" s="10" t="inlineStr">
        <is>
          <t>https://sakomarket.com/</t>
        </is>
      </c>
      <c r="P135" s="10" t="inlineStr"/>
      <c r="Q135" s="10" t="inlineStr"/>
      <c r="R135" s="10" t="inlineStr"/>
      <c r="S135" s="10" t="inlineStr"/>
      <c r="T135" s="10" t="inlineStr"/>
      <c r="U135" s="10" t="inlineStr"/>
      <c r="V135" s="10" t="inlineStr">
        <is>
          <t>Medium</t>
        </is>
      </c>
      <c r="W135" s="10" t="inlineStr">
        <is>
          <t>Independent retailer; Relevant category; Active website</t>
        </is>
      </c>
      <c r="X135" s="10" t="inlineStr">
        <is>
          <t>Not Found</t>
        </is>
      </c>
      <c r="Y135" s="10" t="inlineStr">
        <is>
          <t>Website Found</t>
        </is>
      </c>
      <c r="Z135" s="10" t="inlineStr">
        <is>
          <t>Low</t>
        </is>
      </c>
      <c r="AA135" s="10" t="inlineStr">
        <is>
          <t>Requires Verification</t>
        </is>
      </c>
      <c r="AB135" s="10" t="inlineStr">
        <is>
          <t>https://bippermedia.com/uk/st/england/south-yorkshire/doncaster/grocery-store/sako-polish-shop-doncaster-doncaster/</t>
        </is>
      </c>
    </row>
    <row r="136">
      <c r="A136" s="5" t="inlineStr">
        <is>
          <t>UK-000654</t>
        </is>
      </c>
      <c r="B136" s="5" t="inlineStr">
        <is>
          <t>UK-000654-01</t>
        </is>
      </c>
      <c r="C136" s="5" t="inlineStr"/>
      <c r="D136" s="5" t="inlineStr">
        <is>
          <t>Sameer Bazaar Cash &amp; Carry</t>
        </is>
      </c>
      <c r="E136" s="5" t="inlineStr">
        <is>
          <t>Cash &amp; Carry</t>
        </is>
      </c>
      <c r="F136" s="5" t="inlineStr">
        <is>
          <t>Wholesale cash &amp; carry / world foods</t>
        </is>
      </c>
      <c r="G136" s="5" t="inlineStr">
        <is>
          <t>Independent</t>
        </is>
      </c>
      <c r="H136" s="5" t="inlineStr">
        <is>
          <t>1</t>
        </is>
      </c>
      <c r="I136" s="5" t="inlineStr">
        <is>
          <t>354-356 Green Street</t>
        </is>
      </c>
      <c r="J136" s="5" t="inlineStr">
        <is>
          <t>Upton Park</t>
        </is>
      </c>
      <c r="K136" s="5" t="inlineStr">
        <is>
          <t>E13 9AP</t>
        </is>
      </c>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Not Found</t>
        </is>
      </c>
      <c r="Y136" s="5" t="inlineStr">
        <is>
          <t>Not Found</t>
        </is>
      </c>
      <c r="Z136" s="5" t="inlineStr">
        <is>
          <t>Low</t>
        </is>
      </c>
      <c r="AA136" s="5" t="inlineStr">
        <is>
          <t>Requires Verification</t>
        </is>
      </c>
      <c r="AB136" s="5" t="inlineStr">
        <is>
          <t>https://london.cylex-uk.co.uk/upton-park/grocery%20stores.html</t>
        </is>
      </c>
    </row>
    <row r="137">
      <c r="A137" s="10" t="inlineStr">
        <is>
          <t>UK-000509</t>
        </is>
      </c>
      <c r="B137" s="10" t="inlineStr">
        <is>
          <t>UK-000509-01</t>
        </is>
      </c>
      <c r="C137" s="10" t="inlineStr"/>
      <c r="D137" s="10" t="inlineStr">
        <is>
          <t>Samis Wholesale Cash &amp; Carry</t>
        </is>
      </c>
      <c r="E137" s="10" t="inlineStr">
        <is>
          <t>Cash &amp; Carry</t>
        </is>
      </c>
      <c r="F137" s="10" t="inlineStr">
        <is>
          <t>Wholesale cash &amp; carry</t>
        </is>
      </c>
      <c r="G137" s="10" t="inlineStr">
        <is>
          <t>Independent</t>
        </is>
      </c>
      <c r="H137" s="10" t="inlineStr">
        <is>
          <t>1</t>
        </is>
      </c>
      <c r="I137" s="10" t="inlineStr">
        <is>
          <t>82-89 Cecil Street</t>
        </is>
      </c>
      <c r="J137" s="10" t="inlineStr">
        <is>
          <t>Birmingham</t>
        </is>
      </c>
      <c r="K137" s="10" t="inlineStr">
        <is>
          <t>B19 3SU</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https://www.192.com/atoz/business/birmingham-b19/cash-and-carry-wholesalers/samis-wholesale-cash-carry/6080ff65ef1c18fecbf50d53bfba449b89d2db3f/ml/</t>
        </is>
      </c>
    </row>
    <row r="138">
      <c r="A138" s="5" t="inlineStr">
        <is>
          <t>WY-0143</t>
        </is>
      </c>
      <c r="B138" s="5" t="inlineStr">
        <is>
          <t>WY-0143-01</t>
        </is>
      </c>
      <c r="C138" s="5" t="inlineStr"/>
      <c r="D138" s="5" t="inlineStr">
        <is>
          <t>SaveCo Cash &amp; Carry Bradford</t>
        </is>
      </c>
      <c r="E138" s="5" t="inlineStr">
        <is>
          <t>Cash &amp; Carry</t>
        </is>
      </c>
      <c r="F138" s="5" t="inlineStr">
        <is>
          <t>Halal supermarket &amp; food cash and carry</t>
        </is>
      </c>
      <c r="G138" s="5" t="inlineStr">
        <is>
          <t>Independent</t>
        </is>
      </c>
      <c r="H138" s="5" t="inlineStr">
        <is>
          <t>1</t>
        </is>
      </c>
      <c r="I138" s="5" t="inlineStr">
        <is>
          <t>Carter Gear Works, Thornbury Road</t>
        </is>
      </c>
      <c r="J138" s="5" t="inlineStr">
        <is>
          <t>Bradford</t>
        </is>
      </c>
      <c r="K138" s="5" t="inlineStr">
        <is>
          <t>BD3 8HE</t>
        </is>
      </c>
      <c r="L138" s="5" t="inlineStr">
        <is>
          <t>01274 665555</t>
        </is>
      </c>
      <c r="M138" s="5" t="inlineStr"/>
      <c r="N138" s="5" t="inlineStr"/>
      <c r="O138" s="5" t="inlineStr">
        <is>
          <t>https://savecobradford.co.uk/</t>
        </is>
      </c>
      <c r="P138" s="5" t="inlineStr">
        <is>
          <t>https://www.facebook.com/savecobradford/</t>
        </is>
      </c>
      <c r="Q138" s="5" t="inlineStr"/>
      <c r="R138" s="5" t="inlineStr"/>
      <c r="S138" s="5" t="inlineStr"/>
      <c r="T138" s="5" t="inlineStr"/>
      <c r="U138" s="5" t="inlineStr"/>
      <c r="V138" s="5" t="inlineStr">
        <is>
          <t>Medium</t>
        </is>
      </c>
      <c r="W138" s="5" t="inlineStr">
        <is>
          <t>Independent retailer; Core relevant category; Active website; Social presence</t>
        </is>
      </c>
      <c r="X138" s="5" t="inlineStr">
        <is>
          <t>Verified directory</t>
        </is>
      </c>
      <c r="Y138" s="5" t="inlineStr">
        <is>
          <t>Website Found</t>
        </is>
      </c>
      <c r="Z138" s="5" t="inlineStr">
        <is>
          <t>Medium</t>
        </is>
      </c>
      <c r="AA138" s="5" t="inlineStr">
        <is>
          <t>Requires Verification</t>
        </is>
      </c>
      <c r="AB138" s="5" t="inlineStr">
        <is>
          <t>https://savecobradford.co.uk/</t>
        </is>
      </c>
    </row>
    <row r="139">
      <c r="A139" s="10" t="inlineStr">
        <is>
          <t>UK-000511</t>
        </is>
      </c>
      <c r="B139" s="10" t="inlineStr">
        <is>
          <t>UK-000511-01</t>
        </is>
      </c>
      <c r="C139" s="10" t="inlineStr"/>
      <c r="D139" s="10" t="inlineStr">
        <is>
          <t>Savemore Cash &amp; Carry</t>
        </is>
      </c>
      <c r="E139" s="10" t="inlineStr">
        <is>
          <t>Cash &amp; Carry</t>
        </is>
      </c>
      <c r="F139" s="10" t="inlineStr">
        <is>
          <t>Grocery &amp; household wholesale</t>
        </is>
      </c>
      <c r="G139" s="10" t="inlineStr">
        <is>
          <t>Independent</t>
        </is>
      </c>
      <c r="H139" s="10" t="inlineStr">
        <is>
          <t>1</t>
        </is>
      </c>
      <c r="I139" s="10" t="inlineStr">
        <is>
          <t>Unit 3 Executive House</t>
        </is>
      </c>
      <c r="J139" s="10" t="inlineStr">
        <is>
          <t>Wolverhampton</t>
        </is>
      </c>
      <c r="K139" s="10" t="inlineStr">
        <is>
          <t>WV11 3DU</t>
        </is>
      </c>
      <c r="L139" s="10" t="inlineStr">
        <is>
          <t>07440 590515</t>
        </is>
      </c>
      <c r="M139" s="10" t="inlineStr"/>
      <c r="N139" s="10" t="inlineStr"/>
      <c r="O139" s="10" t="inlineStr"/>
      <c r="P139" s="10" t="inlineStr">
        <is>
          <t>https://www.facebook.com/p/Savemore-Cash-Carry-61569850526377/</t>
        </is>
      </c>
      <c r="Q139" s="10" t="inlineStr"/>
      <c r="R139" s="10" t="inlineStr"/>
      <c r="S139" s="10" t="inlineStr"/>
      <c r="T139" s="10" t="inlineStr"/>
      <c r="U139" s="10" t="inlineStr"/>
      <c r="V139" s="10" t="inlineStr">
        <is>
          <t>Medium</t>
        </is>
      </c>
      <c r="W139" s="10" t="inlineStr">
        <is>
          <t>Independent retailer; Core relevant category; Social presence</t>
        </is>
      </c>
      <c r="X139" s="10" t="inlineStr">
        <is>
          <t>Verified directory</t>
        </is>
      </c>
      <c r="Y139" s="10" t="inlineStr">
        <is>
          <t>Not Found</t>
        </is>
      </c>
      <c r="Z139" s="10" t="inlineStr">
        <is>
          <t>Medium</t>
        </is>
      </c>
      <c r="AA139" s="10" t="inlineStr">
        <is>
          <t>Requires Verification</t>
        </is>
      </c>
      <c r="AB139" s="10" t="inlineStr">
        <is>
          <t>https://www.facebook.com/61569850526377/posts/save-more-cash-carry-unit-3-executive-house-patrick-gregory-road-wv11-3duhello-s/122134189754661684/</t>
        </is>
      </c>
    </row>
    <row r="140">
      <c r="A140" s="5" t="inlineStr">
        <is>
          <t>UK-000513</t>
        </is>
      </c>
      <c r="B140" s="5" t="inlineStr">
        <is>
          <t>UK-000513-01</t>
        </is>
      </c>
      <c r="C140" s="5" t="inlineStr"/>
      <c r="D140" s="5" t="inlineStr">
        <is>
          <t>Sekhon Supermarket Ltd</t>
        </is>
      </c>
      <c r="E140" s="5" t="inlineStr">
        <is>
          <t>Independent Supermarket</t>
        </is>
      </c>
      <c r="F140" s="5" t="inlineStr">
        <is>
          <t>Asian / international grocery</t>
        </is>
      </c>
      <c r="G140" s="5" t="inlineStr">
        <is>
          <t>Independent</t>
        </is>
      </c>
      <c r="H140" s="5" t="inlineStr">
        <is>
          <t>1</t>
        </is>
      </c>
      <c r="I140" s="5" t="inlineStr">
        <is>
          <t>67 Lowe Street</t>
        </is>
      </c>
      <c r="J140" s="5" t="inlineStr">
        <is>
          <t>Wolverhampton</t>
        </is>
      </c>
      <c r="K140" s="5" t="inlineStr">
        <is>
          <t>WV6 0QG</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https://www.wolverhampton.co.uk/supermarkets/</t>
        </is>
      </c>
    </row>
    <row r="141">
      <c r="A141" s="10" t="inlineStr">
        <is>
          <t>WY-0145</t>
        </is>
      </c>
      <c r="B141" s="10" t="inlineStr">
        <is>
          <t>WY-0145-01</t>
        </is>
      </c>
      <c r="C141" s="10" t="inlineStr"/>
      <c r="D141" s="10" t="inlineStr">
        <is>
          <t>Shans Supermarket</t>
        </is>
      </c>
      <c r="E141" s="10" t="inlineStr">
        <is>
          <t>Independent Supermarket</t>
        </is>
      </c>
      <c r="F141" s="10" t="inlineStr">
        <is>
          <t>Multicultural halal supermarket</t>
        </is>
      </c>
      <c r="G141" s="10" t="inlineStr">
        <is>
          <t>Independent</t>
        </is>
      </c>
      <c r="H141" s="10" t="inlineStr">
        <is>
          <t>1</t>
        </is>
      </c>
      <c r="I141" s="10" t="inlineStr">
        <is>
          <t>Alice Street</t>
        </is>
      </c>
      <c r="J141" s="10" t="inlineStr">
        <is>
          <t>Keighley</t>
        </is>
      </c>
      <c r="K141" s="10" t="inlineStr"/>
      <c r="L141" s="10" t="inlineStr">
        <is>
          <t>01535 667889</t>
        </is>
      </c>
      <c r="M141" s="10" t="inlineStr"/>
      <c r="N141" s="10" t="inlineStr"/>
      <c r="O141" s="10" t="inlineStr"/>
      <c r="P141" s="10" t="inlineStr">
        <is>
          <t>https://www.facebook.com/ShansSupermarket/</t>
        </is>
      </c>
      <c r="Q141" s="10" t="inlineStr"/>
      <c r="R141" s="10" t="inlineStr"/>
      <c r="S141" s="10" t="inlineStr"/>
      <c r="T141" s="10" t="inlineStr"/>
      <c r="U141" s="10" t="inlineStr"/>
      <c r="V141" s="10" t="inlineStr">
        <is>
          <t>Medium</t>
        </is>
      </c>
      <c r="W141" s="10" t="inlineStr">
        <is>
          <t>Independent retailer; Relevant category; Social presence</t>
        </is>
      </c>
      <c r="X141" s="10" t="inlineStr">
        <is>
          <t>Verified directory</t>
        </is>
      </c>
      <c r="Y141" s="10" t="inlineStr">
        <is>
          <t>Not Found</t>
        </is>
      </c>
      <c r="Z141" s="10" t="inlineStr">
        <is>
          <t>Medium</t>
        </is>
      </c>
      <c r="AA141" s="10" t="inlineStr">
        <is>
          <t>Requires Verification</t>
        </is>
      </c>
      <c r="AB141" s="10" t="inlineStr">
        <is>
          <t>https://www.facebook.com/ShansSupermarket/</t>
        </is>
      </c>
    </row>
    <row r="142">
      <c r="A142" s="5" t="inlineStr">
        <is>
          <t>UK-000657</t>
        </is>
      </c>
      <c r="B142" s="5" t="inlineStr">
        <is>
          <t>UK-000657-01</t>
        </is>
      </c>
      <c r="C142" s="5" t="inlineStr"/>
      <c r="D142" s="5" t="inlineStr">
        <is>
          <t>Silverpoint Cash &amp; Carry Ltd</t>
        </is>
      </c>
      <c r="E142" s="5" t="inlineStr">
        <is>
          <t>Cash &amp; Carry</t>
        </is>
      </c>
      <c r="F142" s="5" t="inlineStr">
        <is>
          <t>Wholesale cash &amp; carry</t>
        </is>
      </c>
      <c r="G142" s="5" t="inlineStr">
        <is>
          <t>Independent</t>
        </is>
      </c>
      <c r="H142" s="5" t="inlineStr">
        <is>
          <t>1</t>
        </is>
      </c>
      <c r="I142" s="5" t="inlineStr">
        <is>
          <t>370a-370d Romford Road</t>
        </is>
      </c>
      <c r="J142" s="5" t="inlineStr">
        <is>
          <t>Forest Gate</t>
        </is>
      </c>
      <c r="K142" s="5" t="inlineStr">
        <is>
          <t>E7 8BF</t>
        </is>
      </c>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Not Found</t>
        </is>
      </c>
      <c r="Y142" s="5" t="inlineStr">
        <is>
          <t>Not Found</t>
        </is>
      </c>
      <c r="Z142" s="5" t="inlineStr">
        <is>
          <t>Low</t>
        </is>
      </c>
      <c r="AA142" s="5" t="inlineStr">
        <is>
          <t>Requires Verification</t>
        </is>
      </c>
      <c r="AB142" s="5" t="inlineStr">
        <is>
          <t>https://www.yell.com/s/cash+and+carry-london+borough+of+newham.html</t>
        </is>
      </c>
    </row>
    <row r="143">
      <c r="A143" s="10" t="inlineStr">
        <is>
          <t>UK-000662</t>
        </is>
      </c>
      <c r="B143" s="10" t="inlineStr">
        <is>
          <t>UK-000662-01</t>
        </is>
      </c>
      <c r="C143" s="10" t="inlineStr"/>
      <c r="D143" s="10" t="inlineStr">
        <is>
          <t>Spicebazar</t>
        </is>
      </c>
      <c r="E143" s="10" t="inlineStr">
        <is>
          <t>Independent Supermarket</t>
        </is>
      </c>
      <c r="F143" s="10" t="inlineStr">
        <is>
          <t>Indian / world-food supermarket</t>
        </is>
      </c>
      <c r="G143" s="10" t="inlineStr">
        <is>
          <t>Independent</t>
        </is>
      </c>
      <c r="H143" s="10" t="inlineStr">
        <is>
          <t>1</t>
        </is>
      </c>
      <c r="I143" s="10" t="inlineStr">
        <is>
          <t>110 Cranbrook Road</t>
        </is>
      </c>
      <c r="J143" s="10" t="inlineStr">
        <is>
          <t>Ilford</t>
        </is>
      </c>
      <c r="K143" s="10" t="inlineStr">
        <is>
          <t>IG1 4LZ</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https://ilford.cylex-uk.co.uk/grocery-stores/</t>
        </is>
      </c>
    </row>
    <row r="144">
      <c r="A144" s="5" t="inlineStr">
        <is>
          <t>UK-000279</t>
        </is>
      </c>
      <c r="B144" s="5" t="inlineStr">
        <is>
          <t>UK-000279-01</t>
        </is>
      </c>
      <c r="C144" s="5" t="inlineStr"/>
      <c r="D144" s="5" t="inlineStr">
        <is>
          <t>Sprouts Supermarket</t>
        </is>
      </c>
      <c r="E144" s="5" t="inlineStr">
        <is>
          <t>Independent Supermarket</t>
        </is>
      </c>
      <c r="F144" s="5" t="inlineStr">
        <is>
          <t>International / South Asian &amp; Caribbean supermarket</t>
        </is>
      </c>
      <c r="G144" s="5" t="inlineStr">
        <is>
          <t>Independent</t>
        </is>
      </c>
      <c r="H144" s="5" t="inlineStr">
        <is>
          <t>1</t>
        </is>
      </c>
      <c r="I144" s="5" t="inlineStr">
        <is>
          <t>174 Wellgate</t>
        </is>
      </c>
      <c r="J144" s="5" t="inlineStr">
        <is>
          <t>Rotherham</t>
        </is>
      </c>
      <c r="K144" s="5" t="inlineStr">
        <is>
          <t>S60 2PE</t>
        </is>
      </c>
      <c r="L144" s="5" t="inlineStr">
        <is>
          <t>01709 839980</t>
        </is>
      </c>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Verified directory</t>
        </is>
      </c>
      <c r="Y144" s="5" t="inlineStr">
        <is>
          <t>Not Found</t>
        </is>
      </c>
      <c r="Z144" s="5" t="inlineStr">
        <is>
          <t>Medium</t>
        </is>
      </c>
      <c r="AA144" s="5" t="inlineStr">
        <is>
          <t>Requires Verification</t>
        </is>
      </c>
      <c r="AB144" s="5" t="inlineStr">
        <is>
          <t>https://www.thomsonlocal.com/search/supermarkets/rotherham/sprouts-supermarket/3066529/01709839980</t>
        </is>
      </c>
    </row>
    <row r="145">
      <c r="A145" s="10" t="inlineStr">
        <is>
          <t>UK-000516</t>
        </is>
      </c>
      <c r="B145" s="10" t="inlineStr">
        <is>
          <t>UK-000516-01</t>
        </is>
      </c>
      <c r="C145" s="10" t="inlineStr"/>
      <c r="D145" s="10" t="inlineStr">
        <is>
          <t>Star Supermarket</t>
        </is>
      </c>
      <c r="E145" s="10" t="inlineStr">
        <is>
          <t>Independent Supermarket</t>
        </is>
      </c>
      <c r="F145" s="10" t="inlineStr">
        <is>
          <t>Asian / world food supermarket</t>
        </is>
      </c>
      <c r="G145" s="10" t="inlineStr">
        <is>
          <t>Independent</t>
        </is>
      </c>
      <c r="H145" s="10" t="inlineStr">
        <is>
          <t>1</t>
        </is>
      </c>
      <c r="I145" s="10" t="inlineStr">
        <is>
          <t>Tollgate Shopping Centre</t>
        </is>
      </c>
      <c r="J145" s="10" t="inlineStr">
        <is>
          <t>Smethwick</t>
        </is>
      </c>
      <c r="K145" s="10" t="inlineStr"/>
      <c r="L145" s="10" t="inlineStr"/>
      <c r="M145" s="10" t="inlineStr"/>
      <c r="N145" s="10" t="inlineStr"/>
      <c r="O145" s="10" t="inlineStr"/>
      <c r="P145" s="10" t="inlineStr"/>
      <c r="Q145" s="10" t="inlineStr">
        <is>
          <t>https://www.instagram.com/starsupermarket_birmingham/</t>
        </is>
      </c>
      <c r="R145" s="10" t="inlineStr"/>
      <c r="S145" s="10" t="inlineStr"/>
      <c r="T145" s="10" t="inlineStr"/>
      <c r="U145" s="10" t="inlineStr"/>
      <c r="V145" s="10" t="inlineStr">
        <is>
          <t>Medium</t>
        </is>
      </c>
      <c r="W145" s="10" t="inlineStr">
        <is>
          <t>Independent retailer; Relevant category; Social presence</t>
        </is>
      </c>
      <c r="X145" s="10" t="inlineStr">
        <is>
          <t>Not Found</t>
        </is>
      </c>
      <c r="Y145" s="10" t="inlineStr">
        <is>
          <t>Not Found</t>
        </is>
      </c>
      <c r="Z145" s="10" t="inlineStr">
        <is>
          <t>Medium</t>
        </is>
      </c>
      <c r="AA145" s="10" t="inlineStr">
        <is>
          <t>Requires Verification</t>
        </is>
      </c>
      <c r="AB145" s="10" t="inlineStr">
        <is>
          <t>https://www.instagram.com/starsupermarket_birmingham/</t>
        </is>
      </c>
    </row>
    <row r="146">
      <c r="A146" s="5" t="inlineStr">
        <is>
          <t>WY-0156</t>
        </is>
      </c>
      <c r="B146" s="5" t="inlineStr">
        <is>
          <t>WY-0156-01</t>
        </is>
      </c>
      <c r="C146" s="5" t="inlineStr"/>
      <c r="D146" s="5" t="inlineStr">
        <is>
          <t>Suki's Cash &amp; Carry</t>
        </is>
      </c>
      <c r="E146" s="5" t="inlineStr">
        <is>
          <t>Cash &amp; Carry</t>
        </is>
      </c>
      <c r="F146" s="5" t="inlineStr">
        <is>
          <t>Household goods, partyware, toys &amp; disposables wholesaler</t>
        </is>
      </c>
      <c r="G146" s="5" t="inlineStr">
        <is>
          <t>Independent</t>
        </is>
      </c>
      <c r="H146" s="5" t="inlineStr">
        <is>
          <t>1</t>
        </is>
      </c>
      <c r="I146" s="5" t="inlineStr">
        <is>
          <t>Garnett Street</t>
        </is>
      </c>
      <c r="J146" s="5" t="inlineStr">
        <is>
          <t>Bradford</t>
        </is>
      </c>
      <c r="K146" s="5" t="inlineStr">
        <is>
          <t>BD3 9HN</t>
        </is>
      </c>
      <c r="L146" s="5" t="inlineStr">
        <is>
          <t>01274 736093</t>
        </is>
      </c>
      <c r="M146" s="5" t="inlineStr"/>
      <c r="N146" s="5" t="inlineStr"/>
      <c r="O146" s="5" t="inlineStr">
        <is>
          <t>https://sukiscashandcarry.co.uk/</t>
        </is>
      </c>
      <c r="P146" s="5" t="inlineStr">
        <is>
          <t>https://www.facebook.com/sukiscashandcarry/</t>
        </is>
      </c>
      <c r="Q146" s="5" t="inlineStr">
        <is>
          <t>https://www.instagram.com/sukiscashandcarrybradford/</t>
        </is>
      </c>
      <c r="R146" s="5" t="inlineStr"/>
      <c r="S146" s="5" t="inlineStr"/>
      <c r="T146" s="5" t="inlineStr"/>
      <c r="U146" s="5" t="inlineStr"/>
      <c r="V146" s="5" t="inlineStr">
        <is>
          <t>Medium</t>
        </is>
      </c>
      <c r="W146" s="5" t="inlineStr">
        <is>
          <t>Independent retailer; Core relevant category; Active website; Social presence</t>
        </is>
      </c>
      <c r="X146" s="5" t="inlineStr">
        <is>
          <t>Verified directory</t>
        </is>
      </c>
      <c r="Y146" s="5" t="inlineStr">
        <is>
          <t>Website Found</t>
        </is>
      </c>
      <c r="Z146" s="5" t="inlineStr">
        <is>
          <t>Medium</t>
        </is>
      </c>
      <c r="AA146" s="5" t="inlineStr">
        <is>
          <t>Partially Verified</t>
        </is>
      </c>
      <c r="AB146" s="5" t="inlineStr">
        <is>
          <t>https://sukiscashandcarry.co.uk/</t>
        </is>
      </c>
    </row>
    <row r="147">
      <c r="A147" s="10" t="inlineStr">
        <is>
          <t>UK-000280</t>
        </is>
      </c>
      <c r="B147" s="10" t="inlineStr">
        <is>
          <t>UK-000280-01</t>
        </is>
      </c>
      <c r="C147" s="10" t="inlineStr"/>
      <c r="D147" s="10" t="inlineStr">
        <is>
          <t>TLC (Top Lines Catering Supplies)</t>
        </is>
      </c>
      <c r="E147" s="10" t="inlineStr">
        <is>
          <t>Cash &amp; Carry</t>
        </is>
      </c>
      <c r="F147" s="10" t="inlineStr">
        <is>
          <t>Catering cash &amp; carry / wholesaler</t>
        </is>
      </c>
      <c r="G147" s="10" t="inlineStr">
        <is>
          <t>Independent</t>
        </is>
      </c>
      <c r="H147" s="10" t="inlineStr">
        <is>
          <t>1</t>
        </is>
      </c>
      <c r="I147" s="10" t="inlineStr">
        <is>
          <t>21a Kimberley Street</t>
        </is>
      </c>
      <c r="J147" s="10" t="inlineStr">
        <is>
          <t>Sheffield</t>
        </is>
      </c>
      <c r="K147" s="10" t="inlineStr">
        <is>
          <t>S9 3WX</t>
        </is>
      </c>
      <c r="L147" s="10" t="inlineStr">
        <is>
          <t>0114 261 9999</t>
        </is>
      </c>
      <c r="M147" s="10" t="inlineStr"/>
      <c r="N147" s="10" t="inlineStr"/>
      <c r="O147" s="10" t="inlineStr">
        <is>
          <t>https://www.tlcfoods.com/</t>
        </is>
      </c>
      <c r="P147" s="10" t="inlineStr">
        <is>
          <t>https://www.facebook.com/tlcsheffield/</t>
        </is>
      </c>
      <c r="Q147" s="10" t="inlineStr"/>
      <c r="R147" s="10" t="inlineStr"/>
      <c r="S147" s="10" t="inlineStr"/>
      <c r="T147" s="10" t="inlineStr"/>
      <c r="U147" s="10" t="inlineStr"/>
      <c r="V147" s="10" t="inlineStr">
        <is>
          <t>Medium</t>
        </is>
      </c>
      <c r="W147" s="10" t="inlineStr">
        <is>
          <t>Independent retailer; Core relevant category; Active website; Social presence</t>
        </is>
      </c>
      <c r="X147" s="10" t="inlineStr">
        <is>
          <t>Verified directory</t>
        </is>
      </c>
      <c r="Y147" s="10" t="inlineStr">
        <is>
          <t>Website Found</t>
        </is>
      </c>
      <c r="Z147" s="10" t="inlineStr">
        <is>
          <t>Medium</t>
        </is>
      </c>
      <c r="AA147" s="10" t="inlineStr">
        <is>
          <t>Requires Verification</t>
        </is>
      </c>
      <c r="AB147" s="10" t="inlineStr">
        <is>
          <t>https://www.tlcfoods.com/info/how-to-find-us</t>
        </is>
      </c>
    </row>
    <row r="148">
      <c r="A148" s="5" t="inlineStr">
        <is>
          <t>UK-000822</t>
        </is>
      </c>
      <c r="B148" s="5" t="inlineStr">
        <is>
          <t>UK-000822-01</t>
        </is>
      </c>
      <c r="C148" s="5" t="inlineStr"/>
      <c r="D148" s="5" t="inlineStr">
        <is>
          <t>Taste of Poland</t>
        </is>
      </c>
      <c r="E148" s="5" t="inlineStr">
        <is>
          <t>Independent Supermarket</t>
        </is>
      </c>
      <c r="F148" s="5" t="inlineStr">
        <is>
          <t>Polish world-food grocery</t>
        </is>
      </c>
      <c r="G148" s="5" t="inlineStr">
        <is>
          <t>Independent</t>
        </is>
      </c>
      <c r="H148" s="5" t="inlineStr">
        <is>
          <t>1</t>
        </is>
      </c>
      <c r="I148" s="5" t="inlineStr"/>
      <c r="J148" s="5" t="inlineStr">
        <is>
          <t>Edinburgh</t>
        </is>
      </c>
      <c r="K148" s="5" t="inlineStr"/>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https://edinburgh.cylex-uk.co.uk/company/taste-of-poland-27505910.html</t>
        </is>
      </c>
    </row>
    <row r="149">
      <c r="A149" s="10" t="inlineStr">
        <is>
          <t>WY-0158</t>
        </is>
      </c>
      <c r="B149" s="10" t="inlineStr">
        <is>
          <t>WY-0158-01</t>
        </is>
      </c>
      <c r="C149" s="10" t="inlineStr"/>
      <c r="D149" s="10" t="inlineStr">
        <is>
          <t>Thali Outlet</t>
        </is>
      </c>
      <c r="E149" s="10" t="inlineStr">
        <is>
          <t>Cash &amp; Carry</t>
        </is>
      </c>
      <c r="F149" s="10" t="inlineStr">
        <is>
          <t>Trade cash &amp; carry - food packaging, disposables and cleaning products</t>
        </is>
      </c>
      <c r="G149" s="10" t="inlineStr">
        <is>
          <t>Independent</t>
        </is>
      </c>
      <c r="H149" s="10" t="inlineStr">
        <is>
          <t>1</t>
        </is>
      </c>
      <c r="I149" s="10" t="inlineStr">
        <is>
          <t>Meanwood Buildings, 277a Meanwood Road</t>
        </is>
      </c>
      <c r="J149" s="10" t="inlineStr">
        <is>
          <t>Leeds</t>
        </is>
      </c>
      <c r="K149" s="10" t="inlineStr">
        <is>
          <t>LS7 2JD</t>
        </is>
      </c>
      <c r="L149" s="10" t="inlineStr">
        <is>
          <t>0113 394 8000</t>
        </is>
      </c>
      <c r="M149" s="10" t="inlineStr">
        <is>
          <t>sales@thalioutlet.com</t>
        </is>
      </c>
      <c r="N149" s="10" t="inlineStr">
        <is>
          <t>sales@thalioutlet.com</t>
        </is>
      </c>
      <c r="O149" s="10" t="inlineStr">
        <is>
          <t>https://www.thalioutlet.com/</t>
        </is>
      </c>
      <c r="P149" s="10" t="inlineStr">
        <is>
          <t>https://www.facebook.com/thalioutlet/</t>
        </is>
      </c>
      <c r="Q149" s="10" t="inlineStr"/>
      <c r="R149" s="10" t="inlineStr"/>
      <c r="S149" s="10" t="inlineStr"/>
      <c r="T149" s="10" t="inlineStr">
        <is>
          <t>08555459</t>
        </is>
      </c>
      <c r="U149" s="10" t="inlineStr"/>
      <c r="V149" s="10" t="inlineStr">
        <is>
          <t>High</t>
        </is>
      </c>
      <c r="W149" s="10" t="inlineStr">
        <is>
          <t>Independent retailer; Core relevant category; Public trade/sales contact; Active website; Social presence</t>
        </is>
      </c>
      <c r="X149" s="10" t="inlineStr">
        <is>
          <t>Verified directory</t>
        </is>
      </c>
      <c r="Y149" s="10" t="inlineStr">
        <is>
          <t>Publicly Listed</t>
        </is>
      </c>
      <c r="Z149" s="10" t="inlineStr">
        <is>
          <t>Medium</t>
        </is>
      </c>
      <c r="AA149" s="10" t="inlineStr">
        <is>
          <t>Requires Verification</t>
        </is>
      </c>
      <c r="AB149" s="10" t="inlineStr">
        <is>
          <t>https://www.thalioutlet.com/pages/contact</t>
        </is>
      </c>
    </row>
    <row r="150">
      <c r="A150" s="5" t="inlineStr">
        <is>
          <t>UK-000823</t>
        </is>
      </c>
      <c r="B150" s="5" t="inlineStr">
        <is>
          <t>UK-000823-01</t>
        </is>
      </c>
      <c r="C150" s="5" t="inlineStr"/>
      <c r="D150" s="5" t="inlineStr">
        <is>
          <t>The Continental Food</t>
        </is>
      </c>
      <c r="E150" s="5" t="inlineStr">
        <is>
          <t>Independent Supermarket</t>
        </is>
      </c>
      <c r="F150" s="5" t="inlineStr">
        <is>
          <t>European world-food grocery</t>
        </is>
      </c>
      <c r="G150" s="5" t="inlineStr">
        <is>
          <t>Independent</t>
        </is>
      </c>
      <c r="H150" s="5" t="inlineStr">
        <is>
          <t>1</t>
        </is>
      </c>
      <c r="I150" s="5" t="inlineStr"/>
      <c r="J150" s="5" t="inlineStr">
        <is>
          <t>Edinburgh</t>
        </is>
      </c>
      <c r="K150" s="5" t="inlineStr"/>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https://edinburgh.cylex-uk.co.uk/company/the-continental-food-19711581.html</t>
        </is>
      </c>
    </row>
    <row r="151">
      <c r="A151" s="10" t="inlineStr">
        <is>
          <t>UK-000522</t>
        </is>
      </c>
      <c r="B151" s="10" t="inlineStr">
        <is>
          <t>UK-000522-01</t>
        </is>
      </c>
      <c r="C151" s="10" t="inlineStr"/>
      <c r="D151" s="10" t="inlineStr">
        <is>
          <t>The Polish Shop Cash &amp; Carry Ltd</t>
        </is>
      </c>
      <c r="E151" s="10" t="inlineStr">
        <is>
          <t>Cash &amp; Carry</t>
        </is>
      </c>
      <c r="F151" s="10" t="inlineStr">
        <is>
          <t>Polish/European food cash &amp; carry</t>
        </is>
      </c>
      <c r="G151" s="10" t="inlineStr">
        <is>
          <t>Independent</t>
        </is>
      </c>
      <c r="H151" s="10" t="inlineStr">
        <is>
          <t>1</t>
        </is>
      </c>
      <c r="I151" s="10" t="inlineStr"/>
      <c r="J151" s="10" t="inlineStr">
        <is>
          <t>West Bromwich</t>
        </is>
      </c>
      <c r="K151" s="10" t="inlineStr">
        <is>
          <t>B70</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Medium</t>
        </is>
      </c>
      <c r="AA151" s="10" t="inlineStr">
        <is>
          <t>Requires Verification</t>
        </is>
      </c>
      <c r="AB151" s="10" t="inlineStr">
        <is>
          <t>https://www.yell.com/biz/the-polish-shop-cash-and-carry-ltd-west-bromwich-7882066/</t>
        </is>
      </c>
    </row>
    <row r="152">
      <c r="A152" s="5" t="inlineStr">
        <is>
          <t>UK-000523</t>
        </is>
      </c>
      <c r="B152" s="5" t="inlineStr">
        <is>
          <t>UK-000523-01</t>
        </is>
      </c>
      <c r="C152" s="5" t="inlineStr"/>
      <c r="D152" s="5" t="inlineStr">
        <is>
          <t>The Seafood Centre</t>
        </is>
      </c>
      <c r="E152" s="5" t="inlineStr">
        <is>
          <t>Cash &amp; Carry</t>
        </is>
      </c>
      <c r="F152" s="5" t="inlineStr">
        <is>
          <t>Seafood wholesaler</t>
        </is>
      </c>
      <c r="G152" s="5" t="inlineStr">
        <is>
          <t>Independent</t>
        </is>
      </c>
      <c r="H152" s="5" t="inlineStr">
        <is>
          <t>1</t>
        </is>
      </c>
      <c r="I152" s="5" t="inlineStr">
        <is>
          <t>37 Regal Drive</t>
        </is>
      </c>
      <c r="J152" s="5" t="inlineStr">
        <is>
          <t>Walsall</t>
        </is>
      </c>
      <c r="K152" s="5" t="inlineStr">
        <is>
          <t>WS2 9HQ</t>
        </is>
      </c>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Not Found</t>
        </is>
      </c>
      <c r="Y152" s="5" t="inlineStr">
        <is>
          <t>Not Found</t>
        </is>
      </c>
      <c r="Z152" s="5" t="inlineStr">
        <is>
          <t>Low</t>
        </is>
      </c>
      <c r="AA152" s="5" t="inlineStr">
        <is>
          <t>Requires Verification</t>
        </is>
      </c>
      <c r="AB152" s="5" t="inlineStr">
        <is>
          <t>https://wholesalersbirmingham.co.uk/cash-and-carry-walsall/</t>
        </is>
      </c>
    </row>
    <row r="153">
      <c r="A153" s="10" t="inlineStr">
        <is>
          <t>UK-000526</t>
        </is>
      </c>
      <c r="B153" s="10" t="inlineStr">
        <is>
          <t>UK-000526-01</t>
        </is>
      </c>
      <c r="C153" s="10" t="inlineStr"/>
      <c r="D153" s="10" t="inlineStr">
        <is>
          <t>Toor Supermarket</t>
        </is>
      </c>
      <c r="E153" s="10" t="inlineStr">
        <is>
          <t>Independent Supermarket</t>
        </is>
      </c>
      <c r="F153" s="10" t="inlineStr">
        <is>
          <t>South Asian / world food supermarket</t>
        </is>
      </c>
      <c r="G153" s="10" t="inlineStr">
        <is>
          <t>Independent</t>
        </is>
      </c>
      <c r="H153" s="10" t="inlineStr">
        <is>
          <t>1</t>
        </is>
      </c>
      <c r="I153" s="10" t="inlineStr"/>
      <c r="J153" s="10" t="inlineStr">
        <is>
          <t>Smethwick</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https://www.yelp.com/search?find_desc=Asian+Supermarket&amp;find_loc=Smethwick%2C+West+Midlands</t>
        </is>
      </c>
    </row>
    <row r="154">
      <c r="A154" s="5" t="inlineStr">
        <is>
          <t>UK-000670</t>
        </is>
      </c>
      <c r="B154" s="5" t="inlineStr">
        <is>
          <t>UK-000670-01</t>
        </is>
      </c>
      <c r="C154" s="5" t="inlineStr"/>
      <c r="D154" s="5" t="inlineStr">
        <is>
          <t>Turkish Food Market</t>
        </is>
      </c>
      <c r="E154" s="5" t="inlineStr">
        <is>
          <t>Independent Supermarket</t>
        </is>
      </c>
      <c r="F154" s="5" t="inlineStr">
        <is>
          <t>Turkish / world-food supermarket</t>
        </is>
      </c>
      <c r="G154" s="5" t="inlineStr">
        <is>
          <t>Independent</t>
        </is>
      </c>
      <c r="H154" s="5" t="inlineStr">
        <is>
          <t>1</t>
        </is>
      </c>
      <c r="I154" s="5" t="inlineStr">
        <is>
          <t>385-387 Green Lanes</t>
        </is>
      </c>
      <c r="J154" s="5" t="inlineStr">
        <is>
          <t>Harringay</t>
        </is>
      </c>
      <c r="K154" s="5" t="inlineStr">
        <is>
          <t>N4 1EU</t>
        </is>
      </c>
      <c r="L154" s="5" t="inlineStr">
        <is>
          <t>020 8340 4547</t>
        </is>
      </c>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Verified directory</t>
        </is>
      </c>
      <c r="Y154" s="5" t="inlineStr">
        <is>
          <t>Not Found</t>
        </is>
      </c>
      <c r="Z154" s="5" t="inlineStr">
        <is>
          <t>Medium</t>
        </is>
      </c>
      <c r="AA154" s="5" t="inlineStr">
        <is>
          <t>Requires Verification</t>
        </is>
      </c>
      <c r="AB154" s="5" t="inlineStr">
        <is>
          <t>https://london.cylex-uk.co.uk/company/turkish-food-market-18687770.html</t>
        </is>
      </c>
    </row>
    <row r="155">
      <c r="A155" s="10" t="inlineStr">
        <is>
          <t>WY-0170</t>
        </is>
      </c>
      <c r="B155" s="10" t="inlineStr">
        <is>
          <t>WY-0170-01</t>
        </is>
      </c>
      <c r="C155" s="10" t="inlineStr"/>
      <c r="D155" s="10" t="inlineStr">
        <is>
          <t>Umrah Supermarket</t>
        </is>
      </c>
      <c r="E155" s="10" t="inlineStr">
        <is>
          <t>Independent Supermarket</t>
        </is>
      </c>
      <c r="F155" s="10" t="inlineStr">
        <is>
          <t>South Asian, Middle Eastern and African foods supermarket</t>
        </is>
      </c>
      <c r="G155" s="10" t="inlineStr">
        <is>
          <t>Independent</t>
        </is>
      </c>
      <c r="H155" s="10" t="inlineStr">
        <is>
          <t>1</t>
        </is>
      </c>
      <c r="I155" s="10" t="inlineStr">
        <is>
          <t>Trinity Street</t>
        </is>
      </c>
      <c r="J155" s="10" t="inlineStr">
        <is>
          <t>Huddersfield</t>
        </is>
      </c>
      <c r="K155" s="10" t="inlineStr"/>
      <c r="L155" s="10" t="inlineStr"/>
      <c r="M155" s="10" t="inlineStr"/>
      <c r="N155" s="10" t="inlineStr"/>
      <c r="O155" s="10" t="inlineStr"/>
      <c r="P155" s="10" t="inlineStr">
        <is>
          <t>https://www.facebook.com/p/Umrah-Supermarket-Huddersfield-61555683256072/</t>
        </is>
      </c>
      <c r="Q155" s="10" t="inlineStr"/>
      <c r="R155" s="10" t="inlineStr"/>
      <c r="S155" s="10" t="inlineStr"/>
      <c r="T155" s="10" t="inlineStr"/>
      <c r="U155" s="10" t="inlineStr"/>
      <c r="V155" s="10" t="inlineStr">
        <is>
          <t>Medium</t>
        </is>
      </c>
      <c r="W155" s="10" t="inlineStr">
        <is>
          <t>Independent retailer; Relevant category; Social presence</t>
        </is>
      </c>
      <c r="X155" s="10" t="inlineStr">
        <is>
          <t>Not Found</t>
        </is>
      </c>
      <c r="Y155" s="10" t="inlineStr">
        <is>
          <t>Not Found</t>
        </is>
      </c>
      <c r="Z155" s="10" t="inlineStr">
        <is>
          <t>Low</t>
        </is>
      </c>
      <c r="AA155" s="10" t="inlineStr">
        <is>
          <t>Requires Verification</t>
        </is>
      </c>
      <c r="AB155" s="10" t="inlineStr">
        <is>
          <t>https://www.facebook.com/p/Umrah-Supermarket-Huddersfield-61555683256072/</t>
        </is>
      </c>
    </row>
    <row r="156">
      <c r="A156" s="5" t="inlineStr">
        <is>
          <t>UK-000830</t>
        </is>
      </c>
      <c r="B156" s="5" t="inlineStr">
        <is>
          <t>UK-000830-01</t>
        </is>
      </c>
      <c r="C156" s="5" t="inlineStr"/>
      <c r="D156" s="5" t="inlineStr">
        <is>
          <t>Umrah Supermarket</t>
        </is>
      </c>
      <c r="E156" s="5" t="inlineStr">
        <is>
          <t>Independent Supermarket</t>
        </is>
      </c>
      <c r="F156" s="5" t="inlineStr">
        <is>
          <t>World-food / international supermarket</t>
        </is>
      </c>
      <c r="G156" s="5" t="inlineStr">
        <is>
          <t>Independent</t>
        </is>
      </c>
      <c r="H156" s="5" t="inlineStr">
        <is>
          <t>1</t>
        </is>
      </c>
      <c r="I156" s="5" t="inlineStr">
        <is>
          <t>22 Lodge Lane</t>
        </is>
      </c>
      <c r="J156" s="5" t="inlineStr">
        <is>
          <t>Liverpool</t>
        </is>
      </c>
      <c r="K156" s="5" t="inlineStr">
        <is>
          <t>L8 0QH</t>
        </is>
      </c>
      <c r="L156" s="5" t="inlineStr"/>
      <c r="M156" s="5" t="inlineStr"/>
      <c r="N156" s="5" t="inlineStr"/>
      <c r="O156" s="5" t="inlineStr"/>
      <c r="P156" s="5" t="inlineStr">
        <is>
          <t>https://www.facebook.com/61552273532708/</t>
        </is>
      </c>
      <c r="Q156" s="5" t="inlineStr"/>
      <c r="R156" s="5" t="inlineStr"/>
      <c r="S156" s="5" t="inlineStr"/>
      <c r="T156" s="5" t="inlineStr"/>
      <c r="U156" s="5" t="inlineStr"/>
      <c r="V156" s="5" t="inlineStr">
        <is>
          <t>Medium</t>
        </is>
      </c>
      <c r="W156" s="5" t="inlineStr">
        <is>
          <t>Independent retailer; Relevant category; Social presence</t>
        </is>
      </c>
      <c r="X156" s="5" t="inlineStr">
        <is>
          <t>Not Found</t>
        </is>
      </c>
      <c r="Y156" s="5" t="inlineStr">
        <is>
          <t>Not Found</t>
        </is>
      </c>
      <c r="Z156" s="5" t="inlineStr">
        <is>
          <t>Low</t>
        </is>
      </c>
      <c r="AA156" s="5" t="inlineStr">
        <is>
          <t>Requires Verification</t>
        </is>
      </c>
      <c r="AB156" s="5" t="inlineStr">
        <is>
          <t>https://www.facebook.com/61552273532708/posts/welcome-to-your-umrah-supermarket-22-lodge-lane-liverpool-l80qh-god-bless/122130130478075784/</t>
        </is>
      </c>
    </row>
    <row r="157">
      <c r="A157" s="10" t="inlineStr">
        <is>
          <t>UK-000539</t>
        </is>
      </c>
      <c r="B157" s="10" t="inlineStr">
        <is>
          <t>UK-000539-01</t>
        </is>
      </c>
      <c r="C157" s="10" t="inlineStr"/>
      <c r="D157" s="10" t="inlineStr">
        <is>
          <t>Veg Express Superstore</t>
        </is>
      </c>
      <c r="E157" s="10" t="inlineStr">
        <is>
          <t>Independent Supermarket</t>
        </is>
      </c>
      <c r="F157" s="10" t="inlineStr">
        <is>
          <t>Fruit, veg &amp; international grocery</t>
        </is>
      </c>
      <c r="G157" s="10" t="inlineStr">
        <is>
          <t>Independent</t>
        </is>
      </c>
      <c r="H157" s="10" t="inlineStr">
        <is>
          <t>1</t>
        </is>
      </c>
      <c r="I157" s="10" t="inlineStr">
        <is>
          <t>3-5 Walsall Road</t>
        </is>
      </c>
      <c r="J157" s="10" t="inlineStr">
        <is>
          <t>Darlaston</t>
        </is>
      </c>
      <c r="K157" s="10" t="inlineStr">
        <is>
          <t>WS10 9JL</t>
        </is>
      </c>
      <c r="L157" s="10" t="inlineStr">
        <is>
          <t>0121 526 5433</t>
        </is>
      </c>
      <c r="M157" s="10" t="inlineStr"/>
      <c r="N157" s="10" t="inlineStr"/>
      <c r="O157" s="10" t="inlineStr"/>
      <c r="P157" s="10" t="inlineStr"/>
      <c r="Q157" s="10" t="inlineStr"/>
      <c r="R157" s="10" t="inlineStr"/>
      <c r="S157" s="10" t="inlineStr"/>
      <c r="T157" s="10" t="inlineStr">
        <is>
          <t>11219591</t>
        </is>
      </c>
      <c r="U157" s="10" t="inlineStr"/>
      <c r="V157" s="10" t="inlineStr">
        <is>
          <t>Low</t>
        </is>
      </c>
      <c r="W157" s="10" t="inlineStr">
        <is>
          <t>Independent retailer; Relevant category</t>
        </is>
      </c>
      <c r="X157" s="10" t="inlineStr">
        <is>
          <t>Verified directory</t>
        </is>
      </c>
      <c r="Y157" s="10" t="inlineStr">
        <is>
          <t>Not Found</t>
        </is>
      </c>
      <c r="Z157" s="10" t="inlineStr">
        <is>
          <t>Medium</t>
        </is>
      </c>
      <c r="AA157" s="10" t="inlineStr">
        <is>
          <t>Partially Verified</t>
        </is>
      </c>
      <c r="AB157" s="10" t="inlineStr">
        <is>
          <t>https://find-and-update.company-information.service.gov.uk/company/11219591</t>
        </is>
      </c>
    </row>
    <row r="158">
      <c r="A158" s="5" t="inlineStr">
        <is>
          <t>UK-000844</t>
        </is>
      </c>
      <c r="B158" s="5" t="inlineStr">
        <is>
          <t>UK-000844-01</t>
        </is>
      </c>
      <c r="C158" s="5" t="inlineStr"/>
      <c r="D158" s="5" t="inlineStr">
        <is>
          <t>Watan Food Store</t>
        </is>
      </c>
      <c r="E158" s="5" t="inlineStr">
        <is>
          <t>Independent Supermarket</t>
        </is>
      </c>
      <c r="F158" s="5" t="inlineStr">
        <is>
          <t>World food / halal grocery supermarket</t>
        </is>
      </c>
      <c r="G158" s="5" t="inlineStr">
        <is>
          <t>Independent</t>
        </is>
      </c>
      <c r="H158" s="5" t="inlineStr">
        <is>
          <t>1</t>
        </is>
      </c>
      <c r="I158" s="5" t="inlineStr">
        <is>
          <t>206-212 Allison Street</t>
        </is>
      </c>
      <c r="J158" s="5" t="inlineStr">
        <is>
          <t>Glasgow</t>
        </is>
      </c>
      <c r="K158" s="5" t="inlineStr">
        <is>
          <t>G42 8RS</t>
        </is>
      </c>
      <c r="L158" s="5" t="inlineStr">
        <is>
          <t>0141 423 7722</t>
        </is>
      </c>
      <c r="M158" s="5" t="inlineStr"/>
      <c r="N158" s="5" t="inlineStr"/>
      <c r="O158" s="5" t="inlineStr"/>
      <c r="P158" s="5" t="inlineStr"/>
      <c r="Q158" s="5" t="inlineStr"/>
      <c r="R158" s="5" t="inlineStr"/>
      <c r="S158" s="5" t="inlineStr"/>
      <c r="T158" s="5" t="inlineStr">
        <is>
          <t>SC429405</t>
        </is>
      </c>
      <c r="U158" s="5" t="inlineStr"/>
      <c r="V158" s="5" t="inlineStr">
        <is>
          <t>Low</t>
        </is>
      </c>
      <c r="W158" s="5" t="inlineStr">
        <is>
          <t>Independent retailer; Relevant category</t>
        </is>
      </c>
      <c r="X158" s="5" t="inlineStr">
        <is>
          <t>Verified directory</t>
        </is>
      </c>
      <c r="Y158" s="5" t="inlineStr">
        <is>
          <t>Not Found</t>
        </is>
      </c>
      <c r="Z158" s="5" t="inlineStr">
        <is>
          <t>High</t>
        </is>
      </c>
      <c r="AA158" s="5" t="inlineStr">
        <is>
          <t>Requires Verification</t>
        </is>
      </c>
      <c r="AB158" s="5" t="inlineStr">
        <is>
          <t>https://find-and-update.company-information.service.gov.uk/company/SC429405</t>
        </is>
      </c>
    </row>
    <row r="159">
      <c r="A159" s="10" t="inlineStr">
        <is>
          <t>UK-000296</t>
        </is>
      </c>
      <c r="B159" s="10" t="inlineStr">
        <is>
          <t>UK-000296-01</t>
        </is>
      </c>
      <c r="C159" s="10" t="inlineStr"/>
      <c r="D159" s="10" t="inlineStr">
        <is>
          <t>Weetons Food Hall</t>
        </is>
      </c>
      <c r="E159" s="10" t="inlineStr">
        <is>
          <t>Independent Supermarket</t>
        </is>
      </c>
      <c r="F159" s="10" t="inlineStr">
        <is>
          <t>Food hall, deli &amp; restaurant</t>
        </is>
      </c>
      <c r="G159" s="10" t="inlineStr">
        <is>
          <t>Independent</t>
        </is>
      </c>
      <c r="H159" s="10" t="inlineStr">
        <is>
          <t>1</t>
        </is>
      </c>
      <c r="I159" s="10" t="inlineStr">
        <is>
          <t>Leeds Road</t>
        </is>
      </c>
      <c r="J159" s="10" t="inlineStr">
        <is>
          <t>Harrogate</t>
        </is>
      </c>
      <c r="K159" s="10" t="inlineStr">
        <is>
          <t>HG3 1EW</t>
        </is>
      </c>
      <c r="L159" s="10" t="inlineStr">
        <is>
          <t>01423 507100</t>
        </is>
      </c>
      <c r="M159" s="10" t="inlineStr"/>
      <c r="N159" s="10" t="inlineStr"/>
      <c r="O159" s="10" t="inlineStr">
        <is>
          <t>https://weetons.co.uk/</t>
        </is>
      </c>
      <c r="P159" s="10" t="inlineStr"/>
      <c r="Q159" s="10" t="inlineStr"/>
      <c r="R159" s="10" t="inlineStr"/>
      <c r="S159" s="10" t="inlineStr"/>
      <c r="T159" s="10" t="inlineStr"/>
      <c r="U159" s="10" t="inlineStr"/>
      <c r="V159" s="10" t="inlineStr">
        <is>
          <t>Medium</t>
        </is>
      </c>
      <c r="W159" s="10" t="inlineStr">
        <is>
          <t>Independent retailer; Relevant category; Active website; Phone verified on official website</t>
        </is>
      </c>
      <c r="X159" s="10" t="inlineStr">
        <is>
          <t>Verified on official website</t>
        </is>
      </c>
      <c r="Y159" s="10" t="inlineStr">
        <is>
          <t>Website Found</t>
        </is>
      </c>
      <c r="Z159" s="10" t="inlineStr">
        <is>
          <t>Medium</t>
        </is>
      </c>
      <c r="AA159" s="10" t="inlineStr">
        <is>
          <t>Requires Verification</t>
        </is>
      </c>
      <c r="AB159" s="10" t="inlineStr">
        <is>
          <t>https://weetons.co.uk/policies/contact-information</t>
        </is>
      </c>
    </row>
    <row r="160">
      <c r="A160" s="5" t="inlineStr">
        <is>
          <t>UK-000688</t>
        </is>
      </c>
      <c r="B160" s="5" t="inlineStr">
        <is>
          <t>UK-000688-01</t>
        </is>
      </c>
      <c r="C160" s="5" t="inlineStr"/>
      <c r="D160" s="5" t="inlineStr">
        <is>
          <t>Western Cash &amp; Carry</t>
        </is>
      </c>
      <c r="E160" s="5" t="inlineStr">
        <is>
          <t>Cash &amp; Carry</t>
        </is>
      </c>
      <c r="F160" s="5" t="inlineStr"/>
      <c r="G160" s="5" t="inlineStr">
        <is>
          <t>Independent</t>
        </is>
      </c>
      <c r="H160" s="5" t="inlineStr">
        <is>
          <t>1</t>
        </is>
      </c>
      <c r="I160" s="5" t="inlineStr">
        <is>
          <t>212 Western Road</t>
        </is>
      </c>
      <c r="J160" s="5" t="inlineStr">
        <is>
          <t>Southall</t>
        </is>
      </c>
      <c r="K160" s="5" t="inlineStr">
        <is>
          <t>UB2 5JW</t>
        </is>
      </c>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Not Found</t>
        </is>
      </c>
      <c r="Y160" s="5" t="inlineStr">
        <is>
          <t>Not Found</t>
        </is>
      </c>
      <c r="Z160" s="5" t="inlineStr">
        <is>
          <t>Low</t>
        </is>
      </c>
      <c r="AA160" s="5" t="inlineStr">
        <is>
          <t>Requires Verification</t>
        </is>
      </c>
      <c r="AB160" s="5" t="inlineStr">
        <is>
          <t>https://www.yell.com/biz/western-cash-and-carry-southall-2039534/</t>
        </is>
      </c>
    </row>
    <row r="161">
      <c r="A161" s="10" t="inlineStr">
        <is>
          <t>WY-0188</t>
        </is>
      </c>
      <c r="B161" s="10" t="inlineStr">
        <is>
          <t>WY-0188-01</t>
        </is>
      </c>
      <c r="C161" s="10" t="inlineStr"/>
      <c r="D161" s="10" t="inlineStr">
        <is>
          <t>White Rose Catering</t>
        </is>
      </c>
      <c r="E161" s="10" t="inlineStr">
        <is>
          <t>Cash &amp; Carry</t>
        </is>
      </c>
      <c r="F161" s="10" t="inlineStr">
        <is>
          <t>Catering cash and carry wholesaler</t>
        </is>
      </c>
      <c r="G161" s="10" t="inlineStr">
        <is>
          <t>Independent</t>
        </is>
      </c>
      <c r="H161" s="10" t="inlineStr">
        <is>
          <t>1</t>
        </is>
      </c>
      <c r="I161" s="10" t="inlineStr">
        <is>
          <t>225 Ravenshouse Road</t>
        </is>
      </c>
      <c r="J161" s="10" t="inlineStr">
        <is>
          <t>Dewsbury</t>
        </is>
      </c>
      <c r="K161" s="10" t="inlineStr">
        <is>
          <t>WF13 3QU</t>
        </is>
      </c>
      <c r="L161" s="10" t="inlineStr">
        <is>
          <t>01924 467054</t>
        </is>
      </c>
      <c r="M161" s="10" t="inlineStr"/>
      <c r="N161" s="10" t="inlineStr"/>
      <c r="O161" s="10" t="inlineStr"/>
      <c r="P161" s="10" t="inlineStr"/>
      <c r="Q161" s="10" t="inlineStr"/>
      <c r="R161" s="10" t="inlineStr"/>
      <c r="S161" s="10" t="inlineStr"/>
      <c r="T161" s="10" t="inlineStr"/>
      <c r="U161" s="10" t="inlineStr"/>
      <c r="V161" s="10" t="inlineStr">
        <is>
          <t>Medium</t>
        </is>
      </c>
      <c r="W161" s="10" t="inlineStr">
        <is>
          <t>Independent retailer; Core relevant category</t>
        </is>
      </c>
      <c r="X161" s="10" t="inlineStr">
        <is>
          <t>Verified directory</t>
        </is>
      </c>
      <c r="Y161" s="10" t="inlineStr">
        <is>
          <t>Not Found</t>
        </is>
      </c>
      <c r="Z161" s="10" t="inlineStr">
        <is>
          <t>Medium</t>
        </is>
      </c>
      <c r="AA161" s="10" t="inlineStr">
        <is>
          <t>Requires Verification</t>
        </is>
      </c>
      <c r="AB161" s="10" t="inlineStr">
        <is>
          <t>https://www.192.com/atoz/business/dewsbury-wf13/cash-and-carry-wholesalers/white-rose-catering-ltd/1cd73791cf719e65496fe8e9a0a2d1c534c879e1/ml/</t>
        </is>
      </c>
    </row>
    <row r="162">
      <c r="A162" s="5" t="inlineStr">
        <is>
          <t>WY-0189</t>
        </is>
      </c>
      <c r="B162" s="5" t="inlineStr">
        <is>
          <t>WY-0189-01</t>
        </is>
      </c>
      <c r="C162" s="5" t="inlineStr"/>
      <c r="D162" s="5" t="inlineStr">
        <is>
          <t>Wigton Cash &amp; Carry (Wigton Distribution)</t>
        </is>
      </c>
      <c r="E162" s="5" t="inlineStr">
        <is>
          <t>Cash &amp; Carry</t>
        </is>
      </c>
      <c r="F162" s="5" t="inlineStr">
        <is>
          <t>Food and dessert wholesaler, open to the public</t>
        </is>
      </c>
      <c r="G162" s="5" t="inlineStr">
        <is>
          <t>Independent</t>
        </is>
      </c>
      <c r="H162" s="5" t="inlineStr">
        <is>
          <t>1</t>
        </is>
      </c>
      <c r="I162" s="5" t="inlineStr">
        <is>
          <t>27 Lockwood Way</t>
        </is>
      </c>
      <c r="J162" s="5" t="inlineStr">
        <is>
          <t>Leeds</t>
        </is>
      </c>
      <c r="K162" s="5" t="inlineStr">
        <is>
          <t>LS11 5TH</t>
        </is>
      </c>
      <c r="L162" s="5" t="inlineStr">
        <is>
          <t>07833 840327</t>
        </is>
      </c>
      <c r="M162" s="5" t="inlineStr"/>
      <c r="N162" s="5" t="inlineStr"/>
      <c r="O162" s="5" t="inlineStr">
        <is>
          <t>http://wigtonfoodservice.co.uk/</t>
        </is>
      </c>
      <c r="P162" s="5" t="inlineStr">
        <is>
          <t>https://www.facebook.com/p/Wigton-Distribution-61573554642844/</t>
        </is>
      </c>
      <c r="Q162" s="5" t="inlineStr">
        <is>
          <t>https://www.instagram.com/wigtonwholesale/</t>
        </is>
      </c>
      <c r="R162" s="5" t="inlineStr"/>
      <c r="S162" s="5" t="inlineStr"/>
      <c r="T162" s="5" t="inlineStr">
        <is>
          <t>09821856</t>
        </is>
      </c>
      <c r="U162" s="5" t="inlineStr"/>
      <c r="V162" s="5" t="inlineStr">
        <is>
          <t>Medium</t>
        </is>
      </c>
      <c r="W162" s="5" t="inlineStr">
        <is>
          <t>Independent retailer; Core relevant category; Active website; Social presence</t>
        </is>
      </c>
      <c r="X162" s="5" t="inlineStr">
        <is>
          <t>Unverified</t>
        </is>
      </c>
      <c r="Y162" s="5" t="inlineStr">
        <is>
          <t>Website Found</t>
        </is>
      </c>
      <c r="Z162" s="5" t="inlineStr">
        <is>
          <t>Medium</t>
        </is>
      </c>
      <c r="AA162" s="5" t="inlineStr">
        <is>
          <t>Partially Verified</t>
        </is>
      </c>
      <c r="AB162" s="5" t="inlineStr">
        <is>
          <t>https://find-and-update.company-information.service.gov.uk/company/09821856</t>
        </is>
      </c>
    </row>
    <row r="163">
      <c r="A163" s="10" t="inlineStr">
        <is>
          <t>UK-000541</t>
        </is>
      </c>
      <c r="B163" s="10" t="inlineStr">
        <is>
          <t>UK-000541-01</t>
        </is>
      </c>
      <c r="C163" s="10" t="inlineStr"/>
      <c r="D163" s="10" t="inlineStr">
        <is>
          <t>Windmill Grocery</t>
        </is>
      </c>
      <c r="E163" s="10" t="inlineStr">
        <is>
          <t>Independent Supermarket</t>
        </is>
      </c>
      <c r="F163" s="10" t="inlineStr">
        <is>
          <t>Grocery / world food store</t>
        </is>
      </c>
      <c r="G163" s="10" t="inlineStr">
        <is>
          <t>Independent</t>
        </is>
      </c>
      <c r="H163" s="10" t="inlineStr">
        <is>
          <t>1</t>
        </is>
      </c>
      <c r="I163" s="10" t="inlineStr">
        <is>
          <t>428 High Street</t>
        </is>
      </c>
      <c r="J163" s="10" t="inlineStr">
        <is>
          <t>Smethwick</t>
        </is>
      </c>
      <c r="K163" s="10" t="inlineStr">
        <is>
          <t>B66 3PJ</t>
        </is>
      </c>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Medium</t>
        </is>
      </c>
      <c r="AA163" s="10" t="inlineStr">
        <is>
          <t>Requires Verification</t>
        </is>
      </c>
      <c r="AB163" s="10" t="inlineStr">
        <is>
          <t>https://www.192.com/atoz/business/smethwick/supermarkets/</t>
        </is>
      </c>
    </row>
    <row r="164">
      <c r="A164" s="5" t="inlineStr">
        <is>
          <t>UK-000847</t>
        </is>
      </c>
      <c r="B164" s="5" t="inlineStr">
        <is>
          <t>UK-000847-01</t>
        </is>
      </c>
      <c r="C164" s="5" t="inlineStr"/>
      <c r="D164" s="5" t="inlineStr">
        <is>
          <t>Wisla Supermarket &amp; Off Licence</t>
        </is>
      </c>
      <c r="E164" s="5" t="inlineStr">
        <is>
          <t>Independent Supermarket</t>
        </is>
      </c>
      <c r="F164" s="5" t="inlineStr">
        <is>
          <t>Polish supermarket / off-licence</t>
        </is>
      </c>
      <c r="G164" s="5" t="inlineStr">
        <is>
          <t>Independent</t>
        </is>
      </c>
      <c r="H164" s="5" t="inlineStr">
        <is>
          <t>1</t>
        </is>
      </c>
      <c r="I164" s="5" t="inlineStr"/>
      <c r="J164" s="5" t="inlineStr">
        <is>
          <t>Southport</t>
        </is>
      </c>
      <c r="K164" s="5" t="inlineStr"/>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https://www.hereme.uk/merseyside/southport/shop-wisla-supermarket-and-off-licence</t>
        </is>
      </c>
    </row>
    <row r="165">
      <c r="A165" s="10" t="inlineStr">
        <is>
          <t>UK-000848</t>
        </is>
      </c>
      <c r="B165" s="10" t="inlineStr">
        <is>
          <t>UK-000848-01</t>
        </is>
      </c>
      <c r="C165" s="10" t="inlineStr"/>
      <c r="D165" s="10" t="inlineStr">
        <is>
          <t>World Foods Glasgow</t>
        </is>
      </c>
      <c r="E165" s="10" t="inlineStr">
        <is>
          <t>Independent Supermarket</t>
        </is>
      </c>
      <c r="F165" s="10" t="inlineStr">
        <is>
          <t>World food / halal grocery supermarket</t>
        </is>
      </c>
      <c r="G165" s="10" t="inlineStr">
        <is>
          <t>Independent</t>
        </is>
      </c>
      <c r="H165" s="10" t="inlineStr">
        <is>
          <t>1</t>
        </is>
      </c>
      <c r="I165" s="10" t="inlineStr">
        <is>
          <t>23 Nithsdale Street</t>
        </is>
      </c>
      <c r="J165" s="10" t="inlineStr">
        <is>
          <t>Glasgow</t>
        </is>
      </c>
      <c r="K165" s="10" t="inlineStr">
        <is>
          <t>G41 2PZ</t>
        </is>
      </c>
      <c r="L165" s="10" t="inlineStr"/>
      <c r="M165" s="10" t="inlineStr"/>
      <c r="N165" s="10" t="inlineStr"/>
      <c r="O165" s="10" t="inlineStr"/>
      <c r="P165" s="10" t="inlineStr">
        <is>
          <t>https://www.facebook.com/worldfoodsglasgow/</t>
        </is>
      </c>
      <c r="Q165" s="10" t="inlineStr"/>
      <c r="R165" s="10" t="inlineStr"/>
      <c r="S165" s="10" t="inlineStr"/>
      <c r="T165" s="10" t="inlineStr"/>
      <c r="U165" s="10" t="inlineStr"/>
      <c r="V165" s="10" t="inlineStr">
        <is>
          <t>Medium</t>
        </is>
      </c>
      <c r="W165" s="10" t="inlineStr">
        <is>
          <t>Independent retailer; Relevant category; Social presence</t>
        </is>
      </c>
      <c r="X165" s="10" t="inlineStr">
        <is>
          <t>Not Found</t>
        </is>
      </c>
      <c r="Y165" s="10" t="inlineStr">
        <is>
          <t>Not Found</t>
        </is>
      </c>
      <c r="Z165" s="10" t="inlineStr">
        <is>
          <t>Medium</t>
        </is>
      </c>
      <c r="AA165" s="10" t="inlineStr">
        <is>
          <t>Requires Verification</t>
        </is>
      </c>
      <c r="AB165" s="10" t="inlineStr">
        <is>
          <t>https://www.yell.com/biz/world-foods-glasgow-8606449/</t>
        </is>
      </c>
    </row>
    <row r="166">
      <c r="A166" s="5" t="inlineStr">
        <is>
          <t>UK-000542</t>
        </is>
      </c>
      <c r="B166" s="5" t="inlineStr">
        <is>
          <t>UK-000542-01</t>
        </is>
      </c>
      <c r="C166" s="5" t="inlineStr"/>
      <c r="D166" s="5" t="inlineStr">
        <is>
          <t>World Foods Superstore</t>
        </is>
      </c>
      <c r="E166" s="5" t="inlineStr">
        <is>
          <t>Independent Supermarket</t>
        </is>
      </c>
      <c r="F166" s="5" t="inlineStr">
        <is>
          <t>International grocery superstore</t>
        </is>
      </c>
      <c r="G166" s="5" t="inlineStr">
        <is>
          <t>Independent</t>
        </is>
      </c>
      <c r="H166" s="5" t="inlineStr">
        <is>
          <t>1</t>
        </is>
      </c>
      <c r="I166" s="5" t="inlineStr">
        <is>
          <t>15 Bargate Drive</t>
        </is>
      </c>
      <c r="J166" s="5" t="inlineStr">
        <is>
          <t>Wolverhampton</t>
        </is>
      </c>
      <c r="K166" s="5" t="inlineStr">
        <is>
          <t>WV6 0QW</t>
        </is>
      </c>
      <c r="L166" s="5" t="inlineStr">
        <is>
          <t>01902 421222</t>
        </is>
      </c>
      <c r="M166" s="5" t="inlineStr"/>
      <c r="N166" s="5" t="inlineStr"/>
      <c r="O166" s="5" t="inlineStr"/>
      <c r="P166" s="5" t="inlineStr">
        <is>
          <t>https://www.facebook.com/worldfoodssuperstores/</t>
        </is>
      </c>
      <c r="Q166" s="5" t="inlineStr"/>
      <c r="R166" s="5" t="inlineStr"/>
      <c r="S166" s="5" t="inlineStr"/>
      <c r="T166" s="5" t="inlineStr">
        <is>
          <t>07598284</t>
        </is>
      </c>
      <c r="U166" s="5" t="inlineStr"/>
      <c r="V166" s="5" t="inlineStr">
        <is>
          <t>Medium</t>
        </is>
      </c>
      <c r="W166" s="5" t="inlineStr">
        <is>
          <t>Independent retailer; Relevant category; Social presence</t>
        </is>
      </c>
      <c r="X166" s="5" t="inlineStr">
        <is>
          <t>Verified directory</t>
        </is>
      </c>
      <c r="Y166" s="5" t="inlineStr">
        <is>
          <t>Not Found</t>
        </is>
      </c>
      <c r="Z166" s="5" t="inlineStr">
        <is>
          <t>Medium</t>
        </is>
      </c>
      <c r="AA166" s="5" t="inlineStr">
        <is>
          <t>Requires Verification</t>
        </is>
      </c>
      <c r="AB166" s="5" t="inlineStr">
        <is>
          <t>https://find-and-update.company-information.service.gov.uk/company/07598284</t>
        </is>
      </c>
    </row>
    <row r="167">
      <c r="A167" s="10" t="inlineStr">
        <is>
          <t>UK-000543</t>
        </is>
      </c>
      <c r="B167" s="10" t="inlineStr">
        <is>
          <t>UK-000543-01</t>
        </is>
      </c>
      <c r="C167" s="10" t="inlineStr"/>
      <c r="D167" s="10" t="inlineStr">
        <is>
          <t>Worldwide Foods</t>
        </is>
      </c>
      <c r="E167" s="10" t="inlineStr">
        <is>
          <t>Independent Supermarket</t>
        </is>
      </c>
      <c r="F167" s="10" t="inlineStr">
        <is>
          <t>World food supermarket</t>
        </is>
      </c>
      <c r="G167" s="10" t="inlineStr">
        <is>
          <t>Independent</t>
        </is>
      </c>
      <c r="H167" s="10" t="inlineStr">
        <is>
          <t>1</t>
        </is>
      </c>
      <c r="I167" s="10" t="inlineStr">
        <is>
          <t>7 Alum Rock Road</t>
        </is>
      </c>
      <c r="J167" s="10" t="inlineStr">
        <is>
          <t>Birmingham</t>
        </is>
      </c>
      <c r="K167" s="10" t="inlineStr">
        <is>
          <t>B8 1LL</t>
        </is>
      </c>
      <c r="L167" s="10" t="inlineStr">
        <is>
          <t>0121 327 0074</t>
        </is>
      </c>
      <c r="M167" s="10" t="inlineStr"/>
      <c r="N167" s="10" t="inlineStr"/>
      <c r="O167" s="10" t="inlineStr">
        <is>
          <t>https://www.worldwidefoods.co.uk/</t>
        </is>
      </c>
      <c r="P167" s="10" t="inlineStr">
        <is>
          <t>https://www.facebook.com/worldwidefoods/</t>
        </is>
      </c>
      <c r="Q167" s="10" t="inlineStr"/>
      <c r="R167" s="10" t="inlineStr"/>
      <c r="S167" s="10" t="inlineStr"/>
      <c r="T167" s="10" t="inlineStr"/>
      <c r="U167" s="10" t="inlineStr"/>
      <c r="V167" s="10" t="inlineStr">
        <is>
          <t>Medium</t>
        </is>
      </c>
      <c r="W167" s="10" t="inlineStr">
        <is>
          <t>Independent retailer; Relevant category; Active website; Social presence</t>
        </is>
      </c>
      <c r="X167" s="10" t="inlineStr">
        <is>
          <t>Verified directory</t>
        </is>
      </c>
      <c r="Y167" s="10" t="inlineStr">
        <is>
          <t>Website Found</t>
        </is>
      </c>
      <c r="Z167" s="10" t="inlineStr">
        <is>
          <t>Medium</t>
        </is>
      </c>
      <c r="AA167" s="10" t="inlineStr">
        <is>
          <t>Requires Verification</t>
        </is>
      </c>
      <c r="AB167" s="10" t="inlineStr">
        <is>
          <t>https://directory.shropshirestar.co.uk/company/438078949687297</t>
        </is>
      </c>
    </row>
  </sheetData>
  <autoFilter ref="A1:AB16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23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2" customWidth="1" min="13" max="13"/>
    <col width="30"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UK-000419</t>
        </is>
      </c>
      <c r="B12" s="5" t="inlineStr">
        <is>
          <t>AZADSUPERM-01</t>
        </is>
      </c>
      <c r="C12" s="5" t="inlineStr">
        <is>
          <t>Azad Supermarket</t>
        </is>
      </c>
      <c r="D12" s="5" t="inlineStr">
        <is>
          <t>Azad Supermarket - Alum Rock</t>
        </is>
      </c>
      <c r="E12" s="5" t="inlineStr">
        <is>
          <t>Independent Supermarket</t>
        </is>
      </c>
      <c r="F12" s="5" t="inlineStr">
        <is>
          <t>Halal / world food supermarket</t>
        </is>
      </c>
      <c r="G12" s="5" t="inlineStr">
        <is>
          <t>Multi-Site Independent</t>
        </is>
      </c>
      <c r="H12" s="5" t="inlineStr">
        <is>
          <t>1</t>
        </is>
      </c>
      <c r="I12" s="5" t="inlineStr">
        <is>
          <t>733 Alum Rock Road</t>
        </is>
      </c>
      <c r="J12" s="5" t="inlineStr">
        <is>
          <t>Birmingham</t>
        </is>
      </c>
      <c r="K12" s="5" t="inlineStr">
        <is>
          <t>B8 2NY</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Medium</t>
        </is>
      </c>
      <c r="AA12" s="5" t="inlineStr">
        <is>
          <t>Requires Verification</t>
        </is>
      </c>
      <c r="AB12" s="5" t="inlineStr">
        <is>
          <t>https://halalhmc.org/outlets/azad-supermarket-alum-rock/</t>
        </is>
      </c>
    </row>
    <row r="13">
      <c r="A13" s="10" t="inlineStr">
        <is>
          <t>UK-000420</t>
        </is>
      </c>
      <c r="B13" s="10" t="inlineStr">
        <is>
          <t>AZADSUPERM-02</t>
        </is>
      </c>
      <c r="C13" s="10" t="inlineStr">
        <is>
          <t>Azad Supermarket</t>
        </is>
      </c>
      <c r="D13" s="10" t="inlineStr">
        <is>
          <t>Azad Supermarket - Balsall Heath (Stoney Lane)</t>
        </is>
      </c>
      <c r="E13" s="10" t="inlineStr">
        <is>
          <t>Independent Supermarket</t>
        </is>
      </c>
      <c r="F13" s="10" t="inlineStr">
        <is>
          <t>Halal / world food supermarket</t>
        </is>
      </c>
      <c r="G13" s="10" t="inlineStr">
        <is>
          <t>Multi-Site Independent</t>
        </is>
      </c>
      <c r="H13" s="10" t="inlineStr">
        <is>
          <t>1</t>
        </is>
      </c>
      <c r="I13" s="10" t="inlineStr">
        <is>
          <t>154-158 Stoney Lane</t>
        </is>
      </c>
      <c r="J13" s="10" t="inlineStr">
        <is>
          <t>Birmingham</t>
        </is>
      </c>
      <c r="K13" s="10" t="inlineStr">
        <is>
          <t>B12 8AJ</t>
        </is>
      </c>
      <c r="L13" s="10" t="inlineStr">
        <is>
          <t>0121 449 8882</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Medium</t>
        </is>
      </c>
      <c r="AA13" s="10" t="inlineStr">
        <is>
          <t>Requires Verification</t>
        </is>
      </c>
      <c r="AB13" s="10" t="inlineStr">
        <is>
          <t>https://halalhmc.org/outlets/azad-supermarket-balsall-heath/</t>
        </is>
      </c>
    </row>
    <row r="14">
      <c r="A14" s="5" t="inlineStr">
        <is>
          <t>UK-000421</t>
        </is>
      </c>
      <c r="B14" s="5" t="inlineStr">
        <is>
          <t>AZADSUPERM-03</t>
        </is>
      </c>
      <c r="C14" s="5" t="inlineStr">
        <is>
          <t>Azad Supermarket</t>
        </is>
      </c>
      <c r="D14" s="5" t="inlineStr">
        <is>
          <t>Azad Supermarket - Sparkbrook (Ladypool Road)</t>
        </is>
      </c>
      <c r="E14" s="5" t="inlineStr">
        <is>
          <t>Independent Supermarket</t>
        </is>
      </c>
      <c r="F14" s="5" t="inlineStr">
        <is>
          <t>Halal / world food supermarket</t>
        </is>
      </c>
      <c r="G14" s="5" t="inlineStr">
        <is>
          <t>Multi-Site Independent</t>
        </is>
      </c>
      <c r="H14" s="5" t="inlineStr">
        <is>
          <t>1</t>
        </is>
      </c>
      <c r="I14" s="5" t="inlineStr">
        <is>
          <t>132-136 Ladypool Road</t>
        </is>
      </c>
      <c r="J14" s="5" t="inlineStr">
        <is>
          <t>Birmingham</t>
        </is>
      </c>
      <c r="K14" s="5" t="inlineStr">
        <is>
          <t>B12 8JA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https://www.ubereats.com/gb/store/azad-supermarket/JDnk99jbUOmiPnraKoxqGw</t>
        </is>
      </c>
    </row>
    <row r="15">
      <c r="A15" s="10" t="inlineStr">
        <is>
          <t>UK-000691</t>
        </is>
      </c>
      <c r="B15" s="10" t="inlineStr">
        <is>
          <t>BARGAINBOO-01</t>
        </is>
      </c>
      <c r="C15" s="10" t="inlineStr">
        <is>
          <t>Bargain Booze (Bestway Retail)</t>
        </is>
      </c>
      <c r="D15" s="10" t="inlineStr">
        <is>
          <t>Bargain Booze - Lord Street Southport</t>
        </is>
      </c>
      <c r="E15" s="10" t="inlineStr">
        <is>
          <t>Off-Licence</t>
        </is>
      </c>
      <c r="F15" s="10" t="inlineStr">
        <is>
          <t>Off-licence / convenience with Post Office</t>
        </is>
      </c>
      <c r="G15" s="10" t="inlineStr">
        <is>
          <t>Franchise / Symbol Group</t>
        </is>
      </c>
      <c r="H15" s="10" t="inlineStr">
        <is>
          <t>1</t>
        </is>
      </c>
      <c r="I15" s="10" t="inlineStr">
        <is>
          <t>597-599 Lord Street</t>
        </is>
      </c>
      <c r="J15" s="10" t="inlineStr">
        <is>
          <t>Southport</t>
        </is>
      </c>
      <c r="K15" s="10" t="inlineStr"/>
      <c r="L15" s="10" t="inlineStr">
        <is>
          <t>01704 534826</t>
        </is>
      </c>
      <c r="M15" s="10" t="inlineStr"/>
      <c r="N15" s="10" t="inlineStr"/>
      <c r="O15" s="10" t="inlineStr">
        <is>
          <t>https://branches.bargainbooze.co.uk/southport/597-599-lord-street.html</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Verified directory</t>
        </is>
      </c>
      <c r="Y15" s="10" t="inlineStr">
        <is>
          <t>Website Found</t>
        </is>
      </c>
      <c r="Z15" s="10" t="inlineStr">
        <is>
          <t>Medium</t>
        </is>
      </c>
      <c r="AA15" s="10" t="inlineStr">
        <is>
          <t>Requires Verification</t>
        </is>
      </c>
      <c r="AB15" s="10" t="inlineStr">
        <is>
          <t>https://branches.bargainbooze.co.uk/southport/597-599-lord-street.html</t>
        </is>
      </c>
    </row>
    <row r="16">
      <c r="A16" s="5" t="inlineStr">
        <is>
          <t>UK-000297</t>
        </is>
      </c>
      <c r="B16" s="5" t="inlineStr">
        <is>
          <t>BARGAINBOO-02</t>
        </is>
      </c>
      <c r="C16" s="5" t="inlineStr">
        <is>
          <t>Bargain Booze (Bestway Retail)</t>
        </is>
      </c>
      <c r="D16" s="5" t="inlineStr">
        <is>
          <t>Bargain Booze Plus Ashton-in-Makerfield</t>
        </is>
      </c>
      <c r="E16" s="5" t="inlineStr">
        <is>
          <t>Off-Licence</t>
        </is>
      </c>
      <c r="F16" s="5" t="inlineStr">
        <is>
          <t>Off-licence and convenience</t>
        </is>
      </c>
      <c r="G16" s="5" t="inlineStr">
        <is>
          <t>Franchise / Symbol Group</t>
        </is>
      </c>
      <c r="H16" s="5" t="inlineStr">
        <is>
          <t>1</t>
        </is>
      </c>
      <c r="I16" s="5" t="inlineStr">
        <is>
          <t>333-333a Wigan Road</t>
        </is>
      </c>
      <c r="J16" s="5" t="inlineStr">
        <is>
          <t>Wigan</t>
        </is>
      </c>
      <c r="K16" s="5" t="inlineStr">
        <is>
          <t>WN4 9SX</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https://directory.gazettelive.co.uk/company/438385185382400</t>
        </is>
      </c>
    </row>
    <row r="17">
      <c r="A17" s="10" t="inlineStr">
        <is>
          <t>UK-000692</t>
        </is>
      </c>
      <c r="B17" s="10" t="inlineStr">
        <is>
          <t>BARGAINBOO-03</t>
        </is>
      </c>
      <c r="C17" s="10" t="inlineStr">
        <is>
          <t>Bargain Booze (Bestway Retail)</t>
        </is>
      </c>
      <c r="D17" s="10" t="inlineStr">
        <is>
          <t>Bargain Booze Select Convenience - Newton-le-Willows</t>
        </is>
      </c>
      <c r="E17" s="10" t="inlineStr">
        <is>
          <t>Off-Licence</t>
        </is>
      </c>
      <c r="F17" s="10" t="inlineStr">
        <is>
          <t>Off-licence / convenience (symbol group)</t>
        </is>
      </c>
      <c r="G17" s="10" t="inlineStr">
        <is>
          <t>Franchise / Symbol Group</t>
        </is>
      </c>
      <c r="H17" s="10" t="inlineStr">
        <is>
          <t>1</t>
        </is>
      </c>
      <c r="I17" s="10" t="inlineStr">
        <is>
          <t>76b High Street</t>
        </is>
      </c>
      <c r="J17" s="10" t="inlineStr">
        <is>
          <t>Newton-le-Willows</t>
        </is>
      </c>
      <c r="K17" s="10" t="inlineStr">
        <is>
          <t>WA12 9SH</t>
        </is>
      </c>
      <c r="L17" s="10" t="inlineStr"/>
      <c r="M17" s="10" t="inlineStr"/>
      <c r="N17" s="10" t="inlineStr"/>
      <c r="O17" s="10" t="inlineStr">
        <is>
          <t>https://branches.bargainbooze.co.uk/newton-le-willows/76b-high-street.html</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Website Found</t>
        </is>
      </c>
      <c r="Z17" s="10" t="inlineStr">
        <is>
          <t>Medium</t>
        </is>
      </c>
      <c r="AA17" s="10" t="inlineStr">
        <is>
          <t>Requires Verification</t>
        </is>
      </c>
      <c r="AB17" s="10" t="inlineStr">
        <is>
          <t>https://branches.bargainbooze.co.uk/newton-le-willows/76b-high-street.html</t>
        </is>
      </c>
    </row>
    <row r="18">
      <c r="A18" s="5" t="inlineStr">
        <is>
          <t>UK-000298</t>
        </is>
      </c>
      <c r="B18" s="5" t="inlineStr">
        <is>
          <t>BARGAINBOO-04</t>
        </is>
      </c>
      <c r="C18" s="5" t="inlineStr">
        <is>
          <t>Bargain Booze (Bestway Retail)</t>
        </is>
      </c>
      <c r="D18" s="5" t="inlineStr">
        <is>
          <t>Bargain Booze Wigan Lane</t>
        </is>
      </c>
      <c r="E18" s="5" t="inlineStr">
        <is>
          <t>Off-Licence</t>
        </is>
      </c>
      <c r="F18" s="5" t="inlineStr">
        <is>
          <t>Off-licence and convenience</t>
        </is>
      </c>
      <c r="G18" s="5" t="inlineStr">
        <is>
          <t>Franchise / Symbol Group</t>
        </is>
      </c>
      <c r="H18" s="5" t="inlineStr">
        <is>
          <t>1</t>
        </is>
      </c>
      <c r="I18" s="5" t="inlineStr">
        <is>
          <t>54 Wigan Lane</t>
        </is>
      </c>
      <c r="J18" s="5" t="inlineStr">
        <is>
          <t>Wigan</t>
        </is>
      </c>
      <c r="K18" s="5" t="inlineStr">
        <is>
          <t>WN1 1XS</t>
        </is>
      </c>
      <c r="L18" s="5" t="inlineStr">
        <is>
          <t>01942 829539</t>
        </is>
      </c>
      <c r="M18" s="5" t="inlineStr"/>
      <c r="N18" s="5" t="inlineStr"/>
      <c r="O18" s="5" t="inlineStr"/>
      <c r="P18" s="5" t="inlineStr">
        <is>
          <t>https://www.facebook.com/BargainBoozeWN11XS/</t>
        </is>
      </c>
      <c r="Q18" s="5" t="inlineStr"/>
      <c r="R18" s="5" t="inlineStr"/>
      <c r="S18" s="5" t="inlineStr"/>
      <c r="T18" s="5" t="inlineStr"/>
      <c r="U18" s="5" t="inlineStr"/>
      <c r="V18" s="5" t="inlineStr">
        <is>
          <t>Medium</t>
        </is>
      </c>
      <c r="W18" s="5" t="inlineStr">
        <is>
          <t>Multi-site retailer; Independent retailer; Relevant category; Social presence</t>
        </is>
      </c>
      <c r="X18" s="5" t="inlineStr">
        <is>
          <t>Verified directory</t>
        </is>
      </c>
      <c r="Y18" s="5" t="inlineStr">
        <is>
          <t>Not Found</t>
        </is>
      </c>
      <c r="Z18" s="5" t="inlineStr">
        <is>
          <t>Low</t>
        </is>
      </c>
      <c r="AA18" s="5" t="inlineStr">
        <is>
          <t>Requires Verification</t>
        </is>
      </c>
      <c r="AB18" s="5" t="inlineStr">
        <is>
          <t>https://www.facebook.com/BargainBoozeWN11XS/</t>
        </is>
      </c>
    </row>
    <row r="19">
      <c r="A19" s="10" t="inlineStr">
        <is>
          <t>UK-000693</t>
        </is>
      </c>
      <c r="B19" s="10" t="inlineStr">
        <is>
          <t>BESTONEBES-01</t>
        </is>
      </c>
      <c r="C19" s="10" t="inlineStr">
        <is>
          <t>Best-One (Bestway)</t>
        </is>
      </c>
      <c r="D19" s="10" t="inlineStr">
        <is>
          <t>Best-One Leith Walk Stores</t>
        </is>
      </c>
      <c r="E19" s="10" t="inlineStr">
        <is>
          <t>Convenience Store</t>
        </is>
      </c>
      <c r="F19" s="10" t="inlineStr">
        <is>
          <t>Symbol-group convenience &amp; off-licence</t>
        </is>
      </c>
      <c r="G19" s="10" t="inlineStr">
        <is>
          <t>Franchise / Symbol Group</t>
        </is>
      </c>
      <c r="H19" s="10" t="inlineStr">
        <is>
          <t>1</t>
        </is>
      </c>
      <c r="I19" s="10" t="inlineStr">
        <is>
          <t>301 Leith Walk</t>
        </is>
      </c>
      <c r="J19" s="10" t="inlineStr">
        <is>
          <t>Edinburgh</t>
        </is>
      </c>
      <c r="K19" s="10" t="inlineStr">
        <is>
          <t>EH6 8SA</t>
        </is>
      </c>
      <c r="L19" s="10" t="inlineStr">
        <is>
          <t>0131 553 4260</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Verified directory</t>
        </is>
      </c>
      <c r="Y19" s="10" t="inlineStr">
        <is>
          <t>Not Found</t>
        </is>
      </c>
      <c r="Z19" s="10" t="inlineStr">
        <is>
          <t>Medium</t>
        </is>
      </c>
      <c r="AA19" s="10" t="inlineStr">
        <is>
          <t>Requires Verification</t>
        </is>
      </c>
      <c r="AB19" s="10" t="inlineStr">
        <is>
          <t>https://www.yell.com/biz/best-one-leith-walk-stores-edinburgh-4914979/</t>
        </is>
      </c>
    </row>
    <row r="20">
      <c r="A20" s="5" t="inlineStr">
        <is>
          <t>UK-000694</t>
        </is>
      </c>
      <c r="B20" s="5" t="inlineStr">
        <is>
          <t>BESTONEBES-01</t>
        </is>
      </c>
      <c r="C20" s="5" t="inlineStr">
        <is>
          <t>Best-one (Bestway)</t>
        </is>
      </c>
      <c r="D20" s="5" t="inlineStr">
        <is>
          <t>Best-one - Charles Street</t>
        </is>
      </c>
      <c r="E20" s="5" t="inlineStr">
        <is>
          <t>Convenience Store</t>
        </is>
      </c>
      <c r="F20" s="5" t="inlineStr">
        <is>
          <t>Best-one symbol convenience store</t>
        </is>
      </c>
      <c r="G20" s="5" t="inlineStr">
        <is>
          <t>Franchise / Symbol Group</t>
        </is>
      </c>
      <c r="H20" s="5" t="inlineStr">
        <is>
          <t>1</t>
        </is>
      </c>
      <c r="I20" s="5" t="inlineStr">
        <is>
          <t>23 Charles Street</t>
        </is>
      </c>
      <c r="J20" s="5" t="inlineStr">
        <is>
          <t>St Helens</t>
        </is>
      </c>
      <c r="K20" s="5" t="inlineStr">
        <is>
          <t>WA10 1LA</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https://st-helens-merseyside.cylex-uk.co.uk/convenience-stores/</t>
        </is>
      </c>
    </row>
    <row r="21">
      <c r="A21" s="10" t="inlineStr">
        <is>
          <t>UK-000695</t>
        </is>
      </c>
      <c r="B21" s="10" t="inlineStr">
        <is>
          <t>BESTONEBES-02</t>
        </is>
      </c>
      <c r="C21" s="10" t="inlineStr">
        <is>
          <t>Best-one (Bestway)</t>
        </is>
      </c>
      <c r="D21" s="10" t="inlineStr">
        <is>
          <t>Best-one - Crow Lane East</t>
        </is>
      </c>
      <c r="E21" s="10" t="inlineStr">
        <is>
          <t>Convenience Store</t>
        </is>
      </c>
      <c r="F21" s="10" t="inlineStr">
        <is>
          <t>Best-one symbol convenience store</t>
        </is>
      </c>
      <c r="G21" s="10" t="inlineStr">
        <is>
          <t>Franchise / Symbol Group</t>
        </is>
      </c>
      <c r="H21" s="10" t="inlineStr">
        <is>
          <t>1</t>
        </is>
      </c>
      <c r="I21" s="10" t="inlineStr">
        <is>
          <t>215 Crow Lane East</t>
        </is>
      </c>
      <c r="J21" s="10" t="inlineStr">
        <is>
          <t>Newton-le-Willows</t>
        </is>
      </c>
      <c r="K21" s="10" t="inlineStr">
        <is>
          <t>WA12 9UB</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https://www.mylocalservices.co.uk/Convenience+Stores-Newton+Le+Willows.html</t>
        </is>
      </c>
    </row>
    <row r="22">
      <c r="A22" s="5" t="inlineStr">
        <is>
          <t>UK-000696</t>
        </is>
      </c>
      <c r="B22" s="5" t="inlineStr">
        <is>
          <t>BESTONEBES-01</t>
        </is>
      </c>
      <c r="C22" s="5" t="inlineStr">
        <is>
          <t>Best-one (Bestway) symbol group</t>
        </is>
      </c>
      <c r="D22" s="5" t="inlineStr">
        <is>
          <t>Best-one Paisley (Greenhill Road)</t>
        </is>
      </c>
      <c r="E22" s="5" t="inlineStr">
        <is>
          <t>Convenience Store</t>
        </is>
      </c>
      <c r="F22" s="5" t="inlineStr">
        <is>
          <t>Symbol-group convenience store</t>
        </is>
      </c>
      <c r="G22" s="5" t="inlineStr">
        <is>
          <t>Franchise / Symbol Group</t>
        </is>
      </c>
      <c r="H22" s="5" t="inlineStr">
        <is>
          <t>1</t>
        </is>
      </c>
      <c r="I22" s="5" t="inlineStr">
        <is>
          <t>35 Greenhill Road</t>
        </is>
      </c>
      <c r="J22" s="5" t="inlineStr">
        <is>
          <t>Paisley</t>
        </is>
      </c>
      <c r="K22" s="5" t="inlineStr">
        <is>
          <t>PA3 1RN</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https://www.yell.com/s/grocers+and+convenience+stores-paisley.html</t>
        </is>
      </c>
    </row>
    <row r="23">
      <c r="A23" s="10" t="inlineStr">
        <is>
          <t>UK-000299</t>
        </is>
      </c>
      <c r="B23" s="10" t="inlineStr">
        <is>
          <t>BESTWAYBES-01</t>
        </is>
      </c>
      <c r="C23" s="10" t="inlineStr">
        <is>
          <t>Bestway (Best-one symbol group)</t>
        </is>
      </c>
      <c r="D23" s="10" t="inlineStr">
        <is>
          <t>Best One (Liverpool Road, Eccles)</t>
        </is>
      </c>
      <c r="E23" s="10" t="inlineStr">
        <is>
          <t>Off-Licence</t>
        </is>
      </c>
      <c r="F23" s="10" t="inlineStr">
        <is>
          <t>Convenience &amp; off-licence (symbol group)</t>
        </is>
      </c>
      <c r="G23" s="10" t="inlineStr">
        <is>
          <t>Franchise / Symbol Group</t>
        </is>
      </c>
      <c r="H23" s="10" t="inlineStr">
        <is>
          <t>1</t>
        </is>
      </c>
      <c r="I23" s="10" t="inlineStr">
        <is>
          <t>213-217 Liverpool Road</t>
        </is>
      </c>
      <c r="J23" s="10" t="inlineStr">
        <is>
          <t>Eccles</t>
        </is>
      </c>
      <c r="K23" s="10" t="inlineStr">
        <is>
          <t>M30 0QW</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https://www.24houralcohol.co.uk/salford-off-licences</t>
        </is>
      </c>
    </row>
    <row r="24">
      <c r="A24" s="5" t="inlineStr">
        <is>
          <t>UK-000697</t>
        </is>
      </c>
      <c r="B24" s="5" t="inlineStr">
        <is>
          <t>BESTWAYRET-01</t>
        </is>
      </c>
      <c r="C24" s="5" t="inlineStr">
        <is>
          <t>Bestway Retail (Bargain Booze)</t>
        </is>
      </c>
      <c r="D24" s="5" t="inlineStr">
        <is>
          <t>Bargain Booze - Page Moss</t>
        </is>
      </c>
      <c r="E24" s="5" t="inlineStr">
        <is>
          <t>Off-Licence</t>
        </is>
      </c>
      <c r="F24" s="5" t="inlineStr">
        <is>
          <t>Off-licence / convenience (symbol group)</t>
        </is>
      </c>
      <c r="G24" s="5" t="inlineStr">
        <is>
          <t>Franchise / Symbol Group</t>
        </is>
      </c>
      <c r="H24" s="5" t="inlineStr">
        <is>
          <t>1</t>
        </is>
      </c>
      <c r="I24" s="5" t="inlineStr">
        <is>
          <t>9 Pagemoss Parade</t>
        </is>
      </c>
      <c r="J24" s="5" t="inlineStr">
        <is>
          <t>Liverpool</t>
        </is>
      </c>
      <c r="K24" s="5" t="inlineStr">
        <is>
          <t>L36 2PA</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https://huyton.cylex-uk.co.uk/convenience-stores/</t>
        </is>
      </c>
    </row>
    <row r="25">
      <c r="A25" s="10" t="inlineStr">
        <is>
          <t>UK-000698</t>
        </is>
      </c>
      <c r="B25" s="10" t="inlineStr">
        <is>
          <t>BESTWAYRET-02</t>
        </is>
      </c>
      <c r="C25" s="10" t="inlineStr">
        <is>
          <t>Bestway Retail (Bargain Booze)</t>
        </is>
      </c>
      <c r="D25" s="10" t="inlineStr">
        <is>
          <t>Bargain Booze - Prescot Road</t>
        </is>
      </c>
      <c r="E25" s="10" t="inlineStr">
        <is>
          <t>Off-Licence</t>
        </is>
      </c>
      <c r="F25" s="10" t="inlineStr">
        <is>
          <t>Off-licence / convenience (symbol group)</t>
        </is>
      </c>
      <c r="G25" s="10" t="inlineStr">
        <is>
          <t>Franchise / Symbol Group</t>
        </is>
      </c>
      <c r="H25" s="10" t="inlineStr">
        <is>
          <t>1</t>
        </is>
      </c>
      <c r="I25" s="10" t="inlineStr">
        <is>
          <t>557 Prescot Road</t>
        </is>
      </c>
      <c r="J25" s="10" t="inlineStr">
        <is>
          <t>Liverpool</t>
        </is>
      </c>
      <c r="K25" s="10" t="inlineStr">
        <is>
          <t>L13 5UX</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https://liverpool.cylex-uk.co.uk/vape-shops/?dst=old-swan</t>
        </is>
      </c>
    </row>
    <row r="26">
      <c r="A26" s="5" t="inlineStr">
        <is>
          <t>UK-000699</t>
        </is>
      </c>
      <c r="B26" s="5" t="inlineStr">
        <is>
          <t>BESTWAYRET-03</t>
        </is>
      </c>
      <c r="C26" s="5" t="inlineStr">
        <is>
          <t>Bestway Retail (Bargain Booze)</t>
        </is>
      </c>
      <c r="D26" s="5" t="inlineStr">
        <is>
          <t>Bargain Booze - West Derby Road</t>
        </is>
      </c>
      <c r="E26" s="5" t="inlineStr">
        <is>
          <t>Off-Licence</t>
        </is>
      </c>
      <c r="F26" s="5" t="inlineStr">
        <is>
          <t>Off-licence / convenience (symbol group)</t>
        </is>
      </c>
      <c r="G26" s="5" t="inlineStr">
        <is>
          <t>Franchise / Symbol Group</t>
        </is>
      </c>
      <c r="H26" s="5" t="inlineStr">
        <is>
          <t>1</t>
        </is>
      </c>
      <c r="I26" s="5" t="inlineStr">
        <is>
          <t>525 West Derby Road</t>
        </is>
      </c>
      <c r="J26" s="5" t="inlineStr">
        <is>
          <t>Liverpool</t>
        </is>
      </c>
      <c r="K26" s="5" t="inlineStr">
        <is>
          <t>L13 8AA</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https://liverpool.cylex-uk.co.uk/vape-shops/?dst=old-swan</t>
        </is>
      </c>
    </row>
    <row r="27">
      <c r="A27" s="10" t="inlineStr">
        <is>
          <t>UK-000700</t>
        </is>
      </c>
      <c r="B27" s="10" t="inlineStr">
        <is>
          <t>BESTWAYRET-01</t>
        </is>
      </c>
      <c r="C27" s="10" t="inlineStr">
        <is>
          <t>Bestway Retail (Best-one)</t>
        </is>
      </c>
      <c r="D27" s="10" t="inlineStr">
        <is>
          <t>Best-one - Elgin Court</t>
        </is>
      </c>
      <c r="E27" s="10" t="inlineStr">
        <is>
          <t>Convenience Store</t>
        </is>
      </c>
      <c r="F27" s="10" t="inlineStr">
        <is>
          <t>Convenience store (symbol group)</t>
        </is>
      </c>
      <c r="G27" s="10" t="inlineStr">
        <is>
          <t>Franchise / Symbol Group</t>
        </is>
      </c>
      <c r="H27" s="10" t="inlineStr">
        <is>
          <t>1</t>
        </is>
      </c>
      <c r="I27" s="10" t="inlineStr">
        <is>
          <t>6 Elgin Court</t>
        </is>
      </c>
      <c r="J27" s="10" t="inlineStr">
        <is>
          <t>Prescot</t>
        </is>
      </c>
      <c r="K27" s="10" t="inlineStr">
        <is>
          <t>L35 0QW</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https://www.192.com/atoz/business/prescot-l35/convenience-stores/best-one/c272bbf3-defd-410c-93e2-54df41799bbd/ugc/</t>
        </is>
      </c>
    </row>
    <row r="28">
      <c r="A28" s="5" t="inlineStr">
        <is>
          <t>UK-000701</t>
        </is>
      </c>
      <c r="B28" s="5" t="inlineStr">
        <is>
          <t>BESTWAYRET-02</t>
        </is>
      </c>
      <c r="C28" s="5" t="inlineStr">
        <is>
          <t>Bestway Retail (Best-one)</t>
        </is>
      </c>
      <c r="D28" s="5" t="inlineStr">
        <is>
          <t>Best-one - Halsnead Avenue</t>
        </is>
      </c>
      <c r="E28" s="5" t="inlineStr">
        <is>
          <t>Convenience Store</t>
        </is>
      </c>
      <c r="F28" s="5" t="inlineStr">
        <is>
          <t>Convenience store (symbol group)</t>
        </is>
      </c>
      <c r="G28" s="5" t="inlineStr">
        <is>
          <t>Franchise / Symbol Group</t>
        </is>
      </c>
      <c r="H28" s="5" t="inlineStr">
        <is>
          <t>1</t>
        </is>
      </c>
      <c r="I28" s="5" t="inlineStr">
        <is>
          <t>1 Halsnead Avenue</t>
        </is>
      </c>
      <c r="J28" s="5" t="inlineStr">
        <is>
          <t>Prescot</t>
        </is>
      </c>
      <c r="K28" s="5" t="inlineStr">
        <is>
          <t>L35 3SD</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https://www.192.com/atoz/business/prescot-l35/convenience-stores/best-one/c272bbf3-defd-410c-93e2-54df41799bbd/ugc/</t>
        </is>
      </c>
    </row>
    <row r="29">
      <c r="A29" s="10" t="inlineStr">
        <is>
          <t>UK-000702</t>
        </is>
      </c>
      <c r="B29" s="10" t="inlineStr">
        <is>
          <t>BESTWAYRET-03</t>
        </is>
      </c>
      <c r="C29" s="10" t="inlineStr">
        <is>
          <t>Bestway Retail (Best-one)</t>
        </is>
      </c>
      <c r="D29" s="10" t="inlineStr">
        <is>
          <t>Best-one - Loweswater Way</t>
        </is>
      </c>
      <c r="E29" s="10" t="inlineStr">
        <is>
          <t>Convenience Store</t>
        </is>
      </c>
      <c r="F29" s="10" t="inlineStr">
        <is>
          <t>Convenience store (symbol group)</t>
        </is>
      </c>
      <c r="G29" s="10" t="inlineStr">
        <is>
          <t>Franchise / Symbol Group</t>
        </is>
      </c>
      <c r="H29" s="10" t="inlineStr">
        <is>
          <t>1</t>
        </is>
      </c>
      <c r="I29" s="10" t="inlineStr">
        <is>
          <t>3 Loweswater Way</t>
        </is>
      </c>
      <c r="J29" s="10" t="inlineStr">
        <is>
          <t>Liverpool</t>
        </is>
      </c>
      <c r="K29" s="10" t="inlineStr">
        <is>
          <t>L33 2DL</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https://kirkby.cylex-uk.co.uk/convenience-stores/</t>
        </is>
      </c>
    </row>
    <row r="30">
      <c r="A30" s="5" t="inlineStr">
        <is>
          <t>UK-000703</t>
        </is>
      </c>
      <c r="B30" s="5" t="inlineStr">
        <is>
          <t>BESTWAYRET-04</t>
        </is>
      </c>
      <c r="C30" s="5" t="inlineStr">
        <is>
          <t>Bestway Retail (Best-one)</t>
        </is>
      </c>
      <c r="D30" s="5" t="inlineStr">
        <is>
          <t>Best-one - Westhall Avenue</t>
        </is>
      </c>
      <c r="E30" s="5" t="inlineStr">
        <is>
          <t>Convenience Store</t>
        </is>
      </c>
      <c r="F30" s="5" t="inlineStr">
        <is>
          <t>Convenience store (symbol group)</t>
        </is>
      </c>
      <c r="G30" s="5" t="inlineStr">
        <is>
          <t>Franchise / Symbol Group</t>
        </is>
      </c>
      <c r="H30" s="5" t="inlineStr">
        <is>
          <t>1</t>
        </is>
      </c>
      <c r="I30" s="5" t="inlineStr">
        <is>
          <t>Westhall Avenue</t>
        </is>
      </c>
      <c r="J30" s="5" t="inlineStr">
        <is>
          <t>Liverpool</t>
        </is>
      </c>
      <c r="K30" s="5" t="inlineStr">
        <is>
          <t>L33 0XE</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https://kirkby.cylex-uk.co.uk/convenience-stores/</t>
        </is>
      </c>
    </row>
    <row r="31">
      <c r="A31" s="10" t="inlineStr">
        <is>
          <t>UK-000422</t>
        </is>
      </c>
      <c r="B31" s="10" t="inlineStr">
        <is>
          <t>BESTWAYWHO-01</t>
        </is>
      </c>
      <c r="C31" s="10" t="inlineStr">
        <is>
          <t>Bestway Wholesale</t>
        </is>
      </c>
      <c r="D31" s="10" t="inlineStr">
        <is>
          <t>Bestway Walsall</t>
        </is>
      </c>
      <c r="E31" s="10" t="inlineStr">
        <is>
          <t>Cash &amp; Carry</t>
        </is>
      </c>
      <c r="F31" s="10" t="inlineStr">
        <is>
          <t>Grocery &amp; tobacco wholesale depot</t>
        </is>
      </c>
      <c r="G31" s="10" t="inlineStr">
        <is>
          <t>National Chain</t>
        </is>
      </c>
      <c r="H31" s="10" t="inlineStr">
        <is>
          <t>1</t>
        </is>
      </c>
      <c r="I31" s="10" t="inlineStr">
        <is>
          <t>9-10 Bloxwich Lane</t>
        </is>
      </c>
      <c r="J31" s="10" t="inlineStr">
        <is>
          <t>Walsall</t>
        </is>
      </c>
      <c r="K31" s="10" t="inlineStr">
        <is>
          <t>WS2 8TF</t>
        </is>
      </c>
      <c r="L31" s="10" t="inlineStr">
        <is>
          <t>01922 633561</t>
        </is>
      </c>
      <c r="M31" s="10" t="inlineStr"/>
      <c r="N31" s="10" t="inlineStr"/>
      <c r="O31" s="10" t="inlineStr">
        <is>
          <t>https://www.bestwaywholesale.co.uk/depots/Bestway-Walsall</t>
        </is>
      </c>
      <c r="P31" s="10" t="inlineStr"/>
      <c r="Q31" s="10" t="inlineStr"/>
      <c r="R31" s="10" t="inlineStr"/>
      <c r="S31" s="10" t="inlineStr"/>
      <c r="T31" s="10" t="inlineStr"/>
      <c r="U31" s="10" t="inlineStr"/>
      <c r="V31" s="10" t="inlineStr">
        <is>
          <t>High</t>
        </is>
      </c>
      <c r="W31" s="10" t="inlineStr">
        <is>
          <t>Multi-site retailer; Core relevant category; Active website; Phone verified on official website</t>
        </is>
      </c>
      <c r="X31" s="10" t="inlineStr">
        <is>
          <t>Verified on official website</t>
        </is>
      </c>
      <c r="Y31" s="10" t="inlineStr">
        <is>
          <t>Website Found</t>
        </is>
      </c>
      <c r="Z31" s="10" t="inlineStr">
        <is>
          <t>High</t>
        </is>
      </c>
      <c r="AA31" s="10" t="inlineStr">
        <is>
          <t>Partially Verified</t>
        </is>
      </c>
      <c r="AB31" s="10" t="inlineStr">
        <is>
          <t>https://www.bestwaywholesale.co.uk/depots/Bestway-Walsall</t>
        </is>
      </c>
    </row>
    <row r="32">
      <c r="A32" s="5" t="inlineStr">
        <is>
          <t>UK-000548</t>
        </is>
      </c>
      <c r="B32" s="5" t="inlineStr">
        <is>
          <t>CGARSLTD-01</t>
        </is>
      </c>
      <c r="C32" s="5" t="inlineStr">
        <is>
          <t>C.Gars Ltd</t>
        </is>
      </c>
      <c r="D32" s="5" t="inlineStr">
        <is>
          <t>C.Gars Ltd - St James's</t>
        </is>
      </c>
      <c r="E32" s="5" t="inlineStr">
        <is>
          <t>Tobacco Specialist</t>
        </is>
      </c>
      <c r="F32" s="5" t="inlineStr">
        <is>
          <t>Cigar merchant &amp; whisky</t>
        </is>
      </c>
      <c r="G32" s="5" t="inlineStr">
        <is>
          <t>Regional Chain</t>
        </is>
      </c>
      <c r="H32" s="5" t="inlineStr">
        <is>
          <t>1</t>
        </is>
      </c>
      <c r="I32" s="5" t="inlineStr">
        <is>
          <t>23a St James's Street</t>
        </is>
      </c>
      <c r="J32" s="5" t="inlineStr">
        <is>
          <t>London</t>
        </is>
      </c>
      <c r="K32" s="5" t="inlineStr">
        <is>
          <t>SW1A 1HA</t>
        </is>
      </c>
      <c r="L32" s="5" t="inlineStr">
        <is>
          <t>020 7930 7095</t>
        </is>
      </c>
      <c r="M32" s="5" t="inlineStr"/>
      <c r="N32" s="5" t="inlineStr"/>
      <c r="O32" s="5" t="inlineStr">
        <is>
          <t>https://www.cgarsltd.co.uk/</t>
        </is>
      </c>
      <c r="P32" s="5" t="inlineStr"/>
      <c r="Q32" s="5" t="inlineStr"/>
      <c r="R32" s="5" t="inlineStr"/>
      <c r="S32" s="5" t="inlineStr"/>
      <c r="T32" s="5" t="inlineStr"/>
      <c r="U32" s="5" t="inlineStr"/>
      <c r="V32" s="5" t="inlineStr">
        <is>
          <t>High</t>
        </is>
      </c>
      <c r="W32" s="5" t="inlineStr">
        <is>
          <t>Multi-site retailer; Core relevant category; Active website; Phone verified on official website</t>
        </is>
      </c>
      <c r="X32" s="5" t="inlineStr">
        <is>
          <t>Verified on official website</t>
        </is>
      </c>
      <c r="Y32" s="5" t="inlineStr">
        <is>
          <t>Website Found</t>
        </is>
      </c>
      <c r="Z32" s="5" t="inlineStr">
        <is>
          <t>Medium</t>
        </is>
      </c>
      <c r="AA32" s="5" t="inlineStr">
        <is>
          <t>Requires Verification</t>
        </is>
      </c>
      <c r="AB32" s="5" t="inlineStr">
        <is>
          <t>https://www.cgarsltd.co.uk/cigar-shops/The_Cgars_shop_site.htm</t>
        </is>
      </c>
    </row>
    <row r="33">
      <c r="A33" s="10" t="inlineStr">
        <is>
          <t>UK-000549</t>
        </is>
      </c>
      <c r="B33" s="10" t="inlineStr">
        <is>
          <t>CGARSLTD-02</t>
        </is>
      </c>
      <c r="C33" s="10" t="inlineStr">
        <is>
          <t>C.Gars Ltd</t>
        </is>
      </c>
      <c r="D33" s="10" t="inlineStr">
        <is>
          <t>C.Gars Ltd - The City (Lime Street)</t>
        </is>
      </c>
      <c r="E33" s="10" t="inlineStr">
        <is>
          <t>Tobacco Specialist</t>
        </is>
      </c>
      <c r="F33" s="10" t="inlineStr">
        <is>
          <t>Cigar merchant &amp; whisky</t>
        </is>
      </c>
      <c r="G33" s="10" t="inlineStr">
        <is>
          <t>Regional Chain</t>
        </is>
      </c>
      <c r="H33" s="10" t="inlineStr">
        <is>
          <t>1</t>
        </is>
      </c>
      <c r="I33" s="10" t="inlineStr">
        <is>
          <t>30 Lime Street</t>
        </is>
      </c>
      <c r="J33" s="10" t="inlineStr">
        <is>
          <t>London</t>
        </is>
      </c>
      <c r="K33" s="10" t="inlineStr">
        <is>
          <t>EC3M 7HR</t>
        </is>
      </c>
      <c r="L33" s="10" t="inlineStr">
        <is>
          <t>020 3795 5926</t>
        </is>
      </c>
      <c r="M33" s="10" t="inlineStr"/>
      <c r="N33" s="10" t="inlineStr"/>
      <c r="O33" s="10" t="inlineStr">
        <is>
          <t>https://www.cgarsltd.co.uk/</t>
        </is>
      </c>
      <c r="P33" s="10" t="inlineStr"/>
      <c r="Q33" s="10" t="inlineStr"/>
      <c r="R33" s="10" t="inlineStr"/>
      <c r="S33" s="10" t="inlineStr"/>
      <c r="T33" s="10" t="inlineStr"/>
      <c r="U33" s="10" t="inlineStr"/>
      <c r="V33" s="10" t="inlineStr">
        <is>
          <t>High</t>
        </is>
      </c>
      <c r="W33" s="10" t="inlineStr">
        <is>
          <t>Multi-site retailer; Core relevant category; Active website; Phone verified on official website</t>
        </is>
      </c>
      <c r="X33" s="10" t="inlineStr">
        <is>
          <t>Verified on official website</t>
        </is>
      </c>
      <c r="Y33" s="10" t="inlineStr">
        <is>
          <t>Website Found</t>
        </is>
      </c>
      <c r="Z33" s="10" t="inlineStr">
        <is>
          <t>Medium</t>
        </is>
      </c>
      <c r="AA33" s="10" t="inlineStr">
        <is>
          <t>Requires Verification</t>
        </is>
      </c>
      <c r="AB33" s="10" t="inlineStr">
        <is>
          <t>https://www.cgarsltd.co.uk/cigar-shops/CGars_The_City_shop.htm</t>
        </is>
      </c>
    </row>
    <row r="34">
      <c r="A34" s="5" t="inlineStr">
        <is>
          <t>UK-000550</t>
        </is>
      </c>
      <c r="B34" s="5" t="inlineStr">
        <is>
          <t>CGARSLTD-03</t>
        </is>
      </c>
      <c r="C34" s="5" t="inlineStr">
        <is>
          <t>C.Gars Ltd</t>
        </is>
      </c>
      <c r="D34" s="5" t="inlineStr">
        <is>
          <t>Turmeaus Tobacconist - Mayfair</t>
        </is>
      </c>
      <c r="E34" s="5" t="inlineStr">
        <is>
          <t>Tobacco Specialist</t>
        </is>
      </c>
      <c r="F34" s="5" t="inlineStr">
        <is>
          <t>Cigar merchant &amp; whisky</t>
        </is>
      </c>
      <c r="G34" s="5" t="inlineStr">
        <is>
          <t>Regional Chain</t>
        </is>
      </c>
      <c r="H34" s="5" t="inlineStr">
        <is>
          <t>1</t>
        </is>
      </c>
      <c r="I34" s="5" t="inlineStr">
        <is>
          <t>1 White Horse Street</t>
        </is>
      </c>
      <c r="J34" s="5" t="inlineStr">
        <is>
          <t>London</t>
        </is>
      </c>
      <c r="K34" s="5" t="inlineStr">
        <is>
          <t>W1J 7LB</t>
        </is>
      </c>
      <c r="L34" s="5" t="inlineStr">
        <is>
          <t>020 7495 7330</t>
        </is>
      </c>
      <c r="M34" s="5" t="inlineStr"/>
      <c r="N34" s="5" t="inlineStr"/>
      <c r="O34" s="5" t="inlineStr">
        <is>
          <t>https://www.turmeaus.co.uk/</t>
        </is>
      </c>
      <c r="P34" s="5" t="inlineStr"/>
      <c r="Q34" s="5" t="inlineStr"/>
      <c r="R34" s="5" t="inlineStr"/>
      <c r="S34" s="5" t="inlineStr"/>
      <c r="T34" s="5" t="inlineStr"/>
      <c r="U34" s="5" t="inlineStr"/>
      <c r="V34" s="5" t="inlineStr">
        <is>
          <t>High</t>
        </is>
      </c>
      <c r="W34" s="5" t="inlineStr">
        <is>
          <t>Multi-site retailer; Core relevant category; Active website; Phone verified on official website</t>
        </is>
      </c>
      <c r="X34" s="5" t="inlineStr">
        <is>
          <t>Verified on official website</t>
        </is>
      </c>
      <c r="Y34" s="5" t="inlineStr">
        <is>
          <t>Website Found</t>
        </is>
      </c>
      <c r="Z34" s="5" t="inlineStr">
        <is>
          <t>Medium</t>
        </is>
      </c>
      <c r="AA34" s="5" t="inlineStr">
        <is>
          <t>Requires Verification</t>
        </is>
      </c>
      <c r="AB34" s="5" t="inlineStr">
        <is>
          <t>https://www.turmeaus.co.uk/cigar-shops/mayfair_turmeaus_tobacconist_site.htm</t>
        </is>
      </c>
    </row>
    <row r="35">
      <c r="A35" s="10" t="inlineStr">
        <is>
          <t>UK-000194</t>
        </is>
      </c>
      <c r="B35" s="10" t="inlineStr">
        <is>
          <t>CRAMVAPE-01</t>
        </is>
      </c>
      <c r="C35" s="10" t="inlineStr">
        <is>
          <t>CRAM Vape</t>
        </is>
      </c>
      <c r="D35" s="10" t="inlineStr">
        <is>
          <t>CRAM Vape</t>
        </is>
      </c>
      <c r="E35" s="10" t="inlineStr">
        <is>
          <t>Vape Shop</t>
        </is>
      </c>
      <c r="F35" s="10" t="inlineStr">
        <is>
          <t>Vape store</t>
        </is>
      </c>
      <c r="G35" s="10" t="inlineStr">
        <is>
          <t>Multi-Site Independent</t>
        </is>
      </c>
      <c r="H35" s="10" t="inlineStr">
        <is>
          <t>2</t>
        </is>
      </c>
      <c r="I35" s="10" t="inlineStr">
        <is>
          <t>190 Ashby Road</t>
        </is>
      </c>
      <c r="J35" s="10" t="inlineStr">
        <is>
          <t>Scunthorpe</t>
        </is>
      </c>
      <c r="K35" s="10" t="inlineStr">
        <is>
          <t>DN16 2AR</t>
        </is>
      </c>
      <c r="L35" s="10" t="inlineStr">
        <is>
          <t>01724 277259</t>
        </is>
      </c>
      <c r="M35" s="10" t="inlineStr"/>
      <c r="N35" s="10" t="inlineStr"/>
      <c r="O35" s="10" t="inlineStr">
        <is>
          <t>https://www.cramvape.co.uk</t>
        </is>
      </c>
      <c r="P35" s="10" t="inlineStr"/>
      <c r="Q35" s="10" t="inlineStr"/>
      <c r="R35" s="10" t="inlineStr"/>
      <c r="S35" s="10" t="inlineStr"/>
      <c r="T35" s="10" t="inlineStr">
        <is>
          <t>07343567</t>
        </is>
      </c>
      <c r="U35" s="10" t="inlineStr"/>
      <c r="V35" s="10" t="inlineStr">
        <is>
          <t>High</t>
        </is>
      </c>
      <c r="W35" s="10" t="inlineStr">
        <is>
          <t>Multi-site retailer; Independent retailer; Core relevant category; Active website</t>
        </is>
      </c>
      <c r="X35" s="10" t="inlineStr">
        <is>
          <t>Verified directory</t>
        </is>
      </c>
      <c r="Y35" s="10" t="inlineStr">
        <is>
          <t>Not Found</t>
        </is>
      </c>
      <c r="Z35" s="10" t="inlineStr">
        <is>
          <t>Medium</t>
        </is>
      </c>
      <c r="AA35" s="10" t="inlineStr">
        <is>
          <t>Verified (website + Companies House)</t>
        </is>
      </c>
      <c r="AB35" s="10" t="inlineStr">
        <is>
          <t>https://www.cramvape.co.uk/pages/contact-us</t>
        </is>
      </c>
    </row>
    <row r="36">
      <c r="A36" s="5" t="inlineStr">
        <is>
          <t>UK-000704</t>
        </is>
      </c>
      <c r="B36" s="5" t="inlineStr">
        <is>
          <t>CAMPBELLSP-01</t>
        </is>
      </c>
      <c r="C36" s="5" t="inlineStr">
        <is>
          <t>Campbells Prime Meat</t>
        </is>
      </c>
      <c r="D36" s="5" t="inlineStr">
        <is>
          <t>Campbells Cash &amp; Carry</t>
        </is>
      </c>
      <c r="E36" s="5" t="inlineStr">
        <is>
          <t>Cash &amp; Carry</t>
        </is>
      </c>
      <c r="F36" s="5" t="inlineStr">
        <is>
          <t>Meat &amp; foodservice cash &amp; carry / wholesale</t>
        </is>
      </c>
      <c r="G36" s="5" t="inlineStr">
        <is>
          <t>Regional Chain</t>
        </is>
      </c>
      <c r="H36" s="5" t="inlineStr">
        <is>
          <t>1</t>
        </is>
      </c>
      <c r="I36" s="5" t="inlineStr">
        <is>
          <t>Sighthill Industrial Estate</t>
        </is>
      </c>
      <c r="J36" s="5" t="inlineStr">
        <is>
          <t>Edinburgh</t>
        </is>
      </c>
      <c r="K36" s="5" t="inlineStr">
        <is>
          <t>EH11 4BP</t>
        </is>
      </c>
      <c r="L36" s="5" t="inlineStr">
        <is>
          <t>0131 442 4999</t>
        </is>
      </c>
      <c r="M36" s="5" t="inlineStr"/>
      <c r="N36" s="5" t="inlineStr"/>
      <c r="O36" s="5" t="inlineStr">
        <is>
          <t>https://www.campbellsmeat.com</t>
        </is>
      </c>
      <c r="P36" s="5" t="inlineStr"/>
      <c r="Q36" s="5" t="inlineStr"/>
      <c r="R36" s="5" t="inlineStr"/>
      <c r="S36" s="5" t="inlineStr"/>
      <c r="T36" s="5" t="inlineStr"/>
      <c r="U36" s="5" t="inlineStr"/>
      <c r="V36" s="5" t="inlineStr">
        <is>
          <t>Medium</t>
        </is>
      </c>
      <c r="W36" s="5" t="inlineStr">
        <is>
          <t>Multi-site retailer; Core relevant category; Active website</t>
        </is>
      </c>
      <c r="X36" s="5" t="inlineStr">
        <is>
          <t>Verified directory</t>
        </is>
      </c>
      <c r="Y36" s="5" t="inlineStr">
        <is>
          <t>Website Found</t>
        </is>
      </c>
      <c r="Z36" s="5" t="inlineStr">
        <is>
          <t>Medium</t>
        </is>
      </c>
      <c r="AA36" s="5" t="inlineStr">
        <is>
          <t>Requires Verification</t>
        </is>
      </c>
      <c r="AB36" s="5" t="inlineStr">
        <is>
          <t>https://edinburgh.cylex-uk.co.uk/company/campbells-cash---carry-17079450.html</t>
        </is>
      </c>
    </row>
    <row r="37">
      <c r="A37" s="10" t="inlineStr">
        <is>
          <t>WY-0011</t>
        </is>
      </c>
      <c r="B37" s="10" t="inlineStr">
        <is>
          <t>CHEAPASMOK-01</t>
        </is>
      </c>
      <c r="C37" s="10" t="inlineStr">
        <is>
          <t>Cheapasmokes</t>
        </is>
      </c>
      <c r="D37" s="10" t="inlineStr">
        <is>
          <t>Cheapasmokes</t>
        </is>
      </c>
      <c r="E37" s="10" t="inlineStr">
        <is>
          <t>Tobacco Specialist</t>
        </is>
      </c>
      <c r="F37" s="10" t="inlineStr">
        <is>
          <t>Cut-price cigarette, tobacco and cigar specialist</t>
        </is>
      </c>
      <c r="G37" s="10" t="inlineStr">
        <is>
          <t>Regional Chain</t>
        </is>
      </c>
      <c r="H37" s="10" t="inlineStr"/>
      <c r="I37" s="10" t="inlineStr">
        <is>
          <t>Unit 24, Borough Market</t>
        </is>
      </c>
      <c r="J37" s="10" t="inlineStr">
        <is>
          <t>Halifax</t>
        </is>
      </c>
      <c r="K37" s="10" t="inlineStr">
        <is>
          <t>HX1 1DZ</t>
        </is>
      </c>
      <c r="L37" s="10" t="inlineStr">
        <is>
          <t>01422 355554</t>
        </is>
      </c>
      <c r="M37" s="10" t="inlineStr"/>
      <c r="N37" s="10" t="inlineStr">
        <is>
          <t>sales@cheapasmokes.com</t>
        </is>
      </c>
      <c r="O37" s="10" t="inlineStr">
        <is>
          <t>https://www.cheapasmokes.com/pages/cheapasmokes-halifax</t>
        </is>
      </c>
      <c r="P37" s="10" t="inlineStr"/>
      <c r="Q37" s="10" t="inlineStr"/>
      <c r="R37" s="10" t="inlineStr"/>
      <c r="S37" s="10" t="inlineStr"/>
      <c r="T37" s="10" t="inlineStr"/>
      <c r="U37" s="10" t="inlineStr"/>
      <c r="V37" s="10" t="inlineStr">
        <is>
          <t>High</t>
        </is>
      </c>
      <c r="W37" s="10" t="inlineStr">
        <is>
          <t>Multi-site retailer; Core relevant category; Public trade/sales contact; Active website</t>
        </is>
      </c>
      <c r="X37" s="10" t="inlineStr">
        <is>
          <t>Verified directory</t>
        </is>
      </c>
      <c r="Y37" s="10" t="inlineStr">
        <is>
          <t>Website Found</t>
        </is>
      </c>
      <c r="Z37" s="10" t="inlineStr">
        <is>
          <t>Medium</t>
        </is>
      </c>
      <c r="AA37" s="10" t="inlineStr">
        <is>
          <t>Partially Verified</t>
        </is>
      </c>
      <c r="AB37" s="10" t="inlineStr">
        <is>
          <t>https://www.cheapasmokes.com/pages/cheapasmokes-halifax</t>
        </is>
      </c>
    </row>
    <row r="38">
      <c r="A38" s="5" t="inlineStr">
        <is>
          <t>UK-000551</t>
        </is>
      </c>
      <c r="B38" s="5" t="inlineStr">
        <is>
          <t>CITYOFLOND-01</t>
        </is>
      </c>
      <c r="C38" s="5" t="inlineStr">
        <is>
          <t>City of London Cigars</t>
        </is>
      </c>
      <c r="D38" s="5" t="inlineStr">
        <is>
          <t>City of London Cigars - Victoria</t>
        </is>
      </c>
      <c r="E38" s="5" t="inlineStr">
        <is>
          <t>Tobacco Specialist</t>
        </is>
      </c>
      <c r="F38" s="5" t="inlineStr">
        <is>
          <t>Cigar merchant &amp; spirits</t>
        </is>
      </c>
      <c r="G38" s="5" t="inlineStr">
        <is>
          <t>Multi-Site Independent</t>
        </is>
      </c>
      <c r="H38" s="5" t="inlineStr">
        <is>
          <t>1</t>
        </is>
      </c>
      <c r="I38" s="5" t="inlineStr">
        <is>
          <t>97 Buckingham Palace Road</t>
        </is>
      </c>
      <c r="J38" s="5" t="inlineStr">
        <is>
          <t>London</t>
        </is>
      </c>
      <c r="K38" s="5" t="inlineStr">
        <is>
          <t>SW1W 0RP</t>
        </is>
      </c>
      <c r="L38" s="5" t="inlineStr"/>
      <c r="M38" s="5" t="inlineStr"/>
      <c r="N38" s="5" t="inlineStr"/>
      <c r="O38" s="5" t="inlineStr">
        <is>
          <t>https://cityoflondoncigars.com/</t>
        </is>
      </c>
      <c r="P38" s="5" t="inlineStr">
        <is>
          <t>https://www.facebook.com/people/City-of-London-Cigars/61563679750215/</t>
        </is>
      </c>
      <c r="Q38" s="5" t="inlineStr"/>
      <c r="R38" s="5" t="inlineStr"/>
      <c r="S38" s="5" t="inlineStr"/>
      <c r="T38" s="5" t="inlineStr">
        <is>
          <t>15478996</t>
        </is>
      </c>
      <c r="U38" s="5" t="inlineStr"/>
      <c r="V38" s="5" t="inlineStr">
        <is>
          <t>High</t>
        </is>
      </c>
      <c r="W38" s="5" t="inlineStr">
        <is>
          <t>Multi-site retailer; Independent retailer; Core relevant category; Active website; Social presence</t>
        </is>
      </c>
      <c r="X38" s="5" t="inlineStr">
        <is>
          <t>Not Found</t>
        </is>
      </c>
      <c r="Y38" s="5" t="inlineStr">
        <is>
          <t>Website Found</t>
        </is>
      </c>
      <c r="Z38" s="5" t="inlineStr">
        <is>
          <t>Medium</t>
        </is>
      </c>
      <c r="AA38" s="5" t="inlineStr">
        <is>
          <t>Requires Verification</t>
        </is>
      </c>
      <c r="AB38" s="5" t="inlineStr">
        <is>
          <t>https://find-and-update.company-information.service.gov.uk/company/15478996</t>
        </is>
      </c>
    </row>
    <row r="39">
      <c r="A39" s="10" t="inlineStr">
        <is>
          <t>UK-000300</t>
        </is>
      </c>
      <c r="B39" s="10" t="inlineStr">
        <is>
          <t>CLOUDSTIX-01</t>
        </is>
      </c>
      <c r="C39" s="10" t="inlineStr">
        <is>
          <t>Cloudstix</t>
        </is>
      </c>
      <c r="D39" s="10" t="inlineStr">
        <is>
          <t>Cloudstix Ashton-in-Makerfield</t>
        </is>
      </c>
      <c r="E39" s="10" t="inlineStr">
        <is>
          <t>Vape Shop</t>
        </is>
      </c>
      <c r="F39" s="10" t="inlineStr">
        <is>
          <t>E-cigarette and e-liquid shop</t>
        </is>
      </c>
      <c r="G39" s="10" t="inlineStr">
        <is>
          <t>Regional Chain</t>
        </is>
      </c>
      <c r="H39" s="10" t="inlineStr">
        <is>
          <t>1</t>
        </is>
      </c>
      <c r="I39" s="10" t="inlineStr">
        <is>
          <t>61a Gerard Street</t>
        </is>
      </c>
      <c r="J39" s="10" t="inlineStr">
        <is>
          <t>Wigan</t>
        </is>
      </c>
      <c r="K39" s="10" t="inlineStr">
        <is>
          <t>WN4 9AG</t>
        </is>
      </c>
      <c r="L39" s="10" t="inlineStr">
        <is>
          <t>01942 718289</t>
        </is>
      </c>
      <c r="M39" s="10" t="inlineStr"/>
      <c r="N39" s="10" t="inlineStr"/>
      <c r="O39" s="10" t="inlineStr">
        <is>
          <t>https://www.cloudstix.com/</t>
        </is>
      </c>
      <c r="P39" s="10" t="inlineStr"/>
      <c r="Q39" s="10" t="inlineStr"/>
      <c r="R39" s="10" t="inlineStr"/>
      <c r="S39" s="10" t="inlineStr"/>
      <c r="T39" s="10" t="inlineStr"/>
      <c r="U39" s="10" t="inlineStr"/>
      <c r="V39" s="10" t="inlineStr">
        <is>
          <t>High</t>
        </is>
      </c>
      <c r="W39" s="10" t="inlineStr">
        <is>
          <t>Multi-site retailer; Core relevant category; Active website; Phone verified on official website</t>
        </is>
      </c>
      <c r="X39" s="10" t="inlineStr">
        <is>
          <t>Verified on official website</t>
        </is>
      </c>
      <c r="Y39" s="10" t="inlineStr">
        <is>
          <t>Website Found</t>
        </is>
      </c>
      <c r="Z39" s="10" t="inlineStr">
        <is>
          <t>Medium</t>
        </is>
      </c>
      <c r="AA39" s="10" t="inlineStr">
        <is>
          <t>Requires Verification</t>
        </is>
      </c>
      <c r="AB39" s="10" t="inlineStr">
        <is>
          <t>https://www.cloudstix.com/pages/vape-shop-ashton-in-makerfield</t>
        </is>
      </c>
    </row>
    <row r="40">
      <c r="A40" s="5" t="inlineStr">
        <is>
          <t>UK-000195</t>
        </is>
      </c>
      <c r="B40" s="5" t="inlineStr">
        <is>
          <t>COSTCUTTER-01</t>
        </is>
      </c>
      <c r="C40" s="5" t="inlineStr">
        <is>
          <t>Costcutter</t>
        </is>
      </c>
      <c r="D40" s="5" t="inlineStr">
        <is>
          <t>Costcutter Tadcaster</t>
        </is>
      </c>
      <c r="E40" s="5" t="inlineStr">
        <is>
          <t>Convenience Store</t>
        </is>
      </c>
      <c r="F40" s="5" t="inlineStr">
        <is>
          <t>Symbol-group convenience store</t>
        </is>
      </c>
      <c r="G40" s="5" t="inlineStr">
        <is>
          <t>Franchise / Symbol Group</t>
        </is>
      </c>
      <c r="H40" s="5" t="inlineStr">
        <is>
          <t>1</t>
        </is>
      </c>
      <c r="I40" s="5" t="inlineStr"/>
      <c r="J40" s="5" t="inlineStr">
        <is>
          <t>Tadcaster</t>
        </is>
      </c>
      <c r="K40" s="5" t="inlineStr"/>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https://www.yorkshire.com/tadcaster/shopping/corner-shops/costcutter-16</t>
        </is>
      </c>
    </row>
    <row r="41">
      <c r="A41" s="10" t="inlineStr">
        <is>
          <t>UK-000423</t>
        </is>
      </c>
      <c r="B41" s="10" t="inlineStr">
        <is>
          <t>COSTCUTTER-02</t>
        </is>
      </c>
      <c r="C41" s="10" t="inlineStr">
        <is>
          <t>Costcutter</t>
        </is>
      </c>
      <c r="D41" s="10" t="inlineStr">
        <is>
          <t>Costcutter Yardley Wood</t>
        </is>
      </c>
      <c r="E41" s="10" t="inlineStr">
        <is>
          <t>Convenience Store</t>
        </is>
      </c>
      <c r="F41" s="10" t="inlineStr">
        <is>
          <t>Symbol-group convenience store</t>
        </is>
      </c>
      <c r="G41" s="10" t="inlineStr">
        <is>
          <t>Franchise / Symbol Group</t>
        </is>
      </c>
      <c r="H41" s="10" t="inlineStr">
        <is>
          <t>1</t>
        </is>
      </c>
      <c r="I41" s="10" t="inlineStr">
        <is>
          <t>195 School Road</t>
        </is>
      </c>
      <c r="J41" s="10" t="inlineStr">
        <is>
          <t>Birmingham</t>
        </is>
      </c>
      <c r="K41" s="10" t="inlineStr">
        <is>
          <t>B14 4ER</t>
        </is>
      </c>
      <c r="L41" s="10" t="inlineStr">
        <is>
          <t>0121 436 7621</t>
        </is>
      </c>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Verified directory</t>
        </is>
      </c>
      <c r="Y41" s="10" t="inlineStr">
        <is>
          <t>Not Found</t>
        </is>
      </c>
      <c r="Z41" s="10" t="inlineStr">
        <is>
          <t>Low</t>
        </is>
      </c>
      <c r="AA41" s="10" t="inlineStr">
        <is>
          <t>Requires Verification</t>
        </is>
      </c>
      <c r="AB41" s="10" t="inlineStr">
        <is>
          <t>https://www.yelp.com/search?cflt=convenience&amp;find_loc=Yardley%2C+Birmingham%2C+West+Midlands</t>
        </is>
      </c>
    </row>
    <row r="42">
      <c r="A42" s="5" t="inlineStr">
        <is>
          <t>UK-000301</t>
        </is>
      </c>
      <c r="B42" s="5" t="inlineStr">
        <is>
          <t>COSTCUTTER-01</t>
        </is>
      </c>
      <c r="C42" s="5" t="inlineStr">
        <is>
          <t>Costcutter (Bestway Retail)</t>
        </is>
      </c>
      <c r="D42" s="5" t="inlineStr">
        <is>
          <t>Costcutter Shevington</t>
        </is>
      </c>
      <c r="E42" s="5" t="inlineStr">
        <is>
          <t>Convenience Store</t>
        </is>
      </c>
      <c r="F42" s="5" t="inlineStr">
        <is>
          <t>Symbol-group convenience store</t>
        </is>
      </c>
      <c r="G42" s="5" t="inlineStr">
        <is>
          <t>Franchise / Symbol Group</t>
        </is>
      </c>
      <c r="H42" s="5" t="inlineStr">
        <is>
          <t>1</t>
        </is>
      </c>
      <c r="I42" s="5" t="inlineStr">
        <is>
          <t>126 Wigan Lower Road</t>
        </is>
      </c>
      <c r="J42" s="5" t="inlineStr">
        <is>
          <t>Wigan</t>
        </is>
      </c>
      <c r="K42" s="5" t="inlineStr">
        <is>
          <t>WN6 8JP</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https://www.bigreddirectory.com/costcutter-shevington-wigan</t>
        </is>
      </c>
    </row>
    <row r="43">
      <c r="A43" s="10" t="inlineStr">
        <is>
          <t>UK-000302</t>
        </is>
      </c>
      <c r="B43" s="10" t="inlineStr">
        <is>
          <t>COSTSAVER-01</t>
        </is>
      </c>
      <c r="C43" s="10" t="inlineStr">
        <is>
          <t>Costsaver</t>
        </is>
      </c>
      <c r="D43" s="10" t="inlineStr">
        <is>
          <t>Costsaver Convenience Store Whitefield</t>
        </is>
      </c>
      <c r="E43" s="10" t="inlineStr">
        <is>
          <t>Convenience Store</t>
        </is>
      </c>
      <c r="F43" s="10" t="inlineStr"/>
      <c r="G43" s="10" t="inlineStr">
        <is>
          <t>Franchise / Symbol Group</t>
        </is>
      </c>
      <c r="H43" s="10" t="inlineStr">
        <is>
          <t>1</t>
        </is>
      </c>
      <c r="I43" s="10" t="inlineStr">
        <is>
          <t>1 Radcliffe New Road</t>
        </is>
      </c>
      <c r="J43" s="10" t="inlineStr">
        <is>
          <t>Whitefield</t>
        </is>
      </c>
      <c r="K43" s="10" t="inlineStr">
        <is>
          <t>M45 7QX</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https://licensing.bury.gov.uk/PAforLalpacLIVE/1/LicensingActPremises/Search/1614</t>
        </is>
      </c>
    </row>
    <row r="44">
      <c r="A44" s="5" t="inlineStr">
        <is>
          <t>UK-000552</t>
        </is>
      </c>
      <c r="B44" s="5" t="inlineStr">
        <is>
          <t>DHAMECHAFO-01</t>
        </is>
      </c>
      <c r="C44" s="5" t="inlineStr">
        <is>
          <t>Dhamecha Foods</t>
        </is>
      </c>
      <c r="D44" s="5" t="inlineStr">
        <is>
          <t>Dhamecha Cash &amp; Carry (Wembley)</t>
        </is>
      </c>
      <c r="E44" s="5" t="inlineStr">
        <is>
          <t>Cash &amp; Carry</t>
        </is>
      </c>
      <c r="F44" s="5" t="inlineStr"/>
      <c r="G44" s="5" t="inlineStr">
        <is>
          <t>Regional Chain</t>
        </is>
      </c>
      <c r="H44" s="5" t="inlineStr">
        <is>
          <t>1</t>
        </is>
      </c>
      <c r="I44" s="5" t="inlineStr">
        <is>
          <t>First Way</t>
        </is>
      </c>
      <c r="J44" s="5" t="inlineStr">
        <is>
          <t>Wembley</t>
        </is>
      </c>
      <c r="K44" s="5" t="inlineStr">
        <is>
          <t>HA9 0TU</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Core relevant category</t>
        </is>
      </c>
      <c r="X44" s="5" t="inlineStr">
        <is>
          <t>Not Found</t>
        </is>
      </c>
      <c r="Y44" s="5" t="inlineStr">
        <is>
          <t>Not Found</t>
        </is>
      </c>
      <c r="Z44" s="5" t="inlineStr">
        <is>
          <t>Medium</t>
        </is>
      </c>
      <c r="AA44" s="5" t="inlineStr">
        <is>
          <t>Requires Verification</t>
        </is>
      </c>
      <c r="AB44" s="5" t="inlineStr">
        <is>
          <t>https://www.yell.com/biz/dhamecha-cash-and-carry-wembley-3748600/</t>
        </is>
      </c>
    </row>
    <row r="45">
      <c r="A45" s="10" t="inlineStr">
        <is>
          <t>WY-0012</t>
        </is>
      </c>
      <c r="B45" s="10" t="inlineStr">
        <is>
          <t>DOMINIQUEL-01</t>
        </is>
      </c>
      <c r="C45" s="10" t="inlineStr">
        <is>
          <t>Dominique London Group / C.Gars Ltd</t>
        </is>
      </c>
      <c r="D45" s="10" t="inlineStr">
        <is>
          <t>C.Gars Leeds (Dominique London)</t>
        </is>
      </c>
      <c r="E45" s="10" t="inlineStr">
        <is>
          <t>Tobacco Specialist</t>
        </is>
      </c>
      <c r="F45" s="10" t="inlineStr">
        <is>
          <t>Havana cigar specialist - cigars, whisky, accessories</t>
        </is>
      </c>
      <c r="G45" s="10" t="inlineStr">
        <is>
          <t>National Chain</t>
        </is>
      </c>
      <c r="H45" s="10" t="inlineStr"/>
      <c r="I45" s="10" t="inlineStr">
        <is>
          <t>22 Thornton's Arcade</t>
        </is>
      </c>
      <c r="J45" s="10" t="inlineStr">
        <is>
          <t>Leeds</t>
        </is>
      </c>
      <c r="K45" s="10" t="inlineStr">
        <is>
          <t>LS1 6LQ</t>
        </is>
      </c>
      <c r="L45" s="10" t="inlineStr">
        <is>
          <t>0113 244 5556</t>
        </is>
      </c>
      <c r="M45" s="10" t="inlineStr"/>
      <c r="N45" s="10" t="inlineStr"/>
      <c r="O45" s="10" t="inlineStr">
        <is>
          <t>https://www.cgarsltd.co.uk/</t>
        </is>
      </c>
      <c r="P45" s="10" t="inlineStr">
        <is>
          <t>https://www.facebook.com/DominiqueLDN/</t>
        </is>
      </c>
      <c r="Q45" s="10" t="inlineStr"/>
      <c r="R45" s="10" t="inlineStr"/>
      <c r="S45" s="10" t="inlineStr"/>
      <c r="T45" s="10" t="inlineStr"/>
      <c r="U45" s="10" t="inlineStr"/>
      <c r="V45" s="10" t="inlineStr">
        <is>
          <t>High</t>
        </is>
      </c>
      <c r="W45" s="10" t="inlineStr">
        <is>
          <t>Multi-site retailer; Core relevant category; Active website; Social presence</t>
        </is>
      </c>
      <c r="X45" s="10" t="inlineStr">
        <is>
          <t>Verified directory</t>
        </is>
      </c>
      <c r="Y45" s="10" t="inlineStr">
        <is>
          <t>Website Found</t>
        </is>
      </c>
      <c r="Z45" s="10" t="inlineStr">
        <is>
          <t>Medium</t>
        </is>
      </c>
      <c r="AA45" s="10" t="inlineStr">
        <is>
          <t>Requires Verification</t>
        </is>
      </c>
      <c r="AB45" s="10" t="inlineStr">
        <is>
          <t>https://www.cgarsltd.co.uk/new-cgars-ltd-store-leeds-a-521.html</t>
        </is>
      </c>
    </row>
    <row r="46">
      <c r="A46" s="5" t="inlineStr">
        <is>
          <t>UK-000705</t>
        </is>
      </c>
      <c r="B46" s="5" t="inlineStr">
        <is>
          <t>DRVAPOR-01</t>
        </is>
      </c>
      <c r="C46" s="5" t="inlineStr">
        <is>
          <t>Dr Vapor</t>
        </is>
      </c>
      <c r="D46" s="5" t="inlineStr">
        <is>
          <t>Dr Vapor Edinburgh (Dalry)</t>
        </is>
      </c>
      <c r="E46" s="5" t="inlineStr">
        <is>
          <t>Vape Shop</t>
        </is>
      </c>
      <c r="F46" s="5" t="inlineStr">
        <is>
          <t>Electronic cigarettes &amp; e-liquids</t>
        </is>
      </c>
      <c r="G46" s="5" t="inlineStr">
        <is>
          <t>Multi-Site Independent</t>
        </is>
      </c>
      <c r="H46" s="5" t="inlineStr">
        <is>
          <t>2</t>
        </is>
      </c>
      <c r="I46" s="5" t="inlineStr">
        <is>
          <t>64 Dalry Road</t>
        </is>
      </c>
      <c r="J46" s="5" t="inlineStr">
        <is>
          <t>Edinburgh</t>
        </is>
      </c>
      <c r="K46" s="5" t="inlineStr">
        <is>
          <t>EH11 2AY</t>
        </is>
      </c>
      <c r="L46" s="5" t="inlineStr">
        <is>
          <t>0131 347 1581</t>
        </is>
      </c>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Core relevant category</t>
        </is>
      </c>
      <c r="X46" s="5" t="inlineStr">
        <is>
          <t>Verified directory</t>
        </is>
      </c>
      <c r="Y46" s="5" t="inlineStr">
        <is>
          <t>Not Found</t>
        </is>
      </c>
      <c r="Z46" s="5" t="inlineStr">
        <is>
          <t>Medium</t>
        </is>
      </c>
      <c r="AA46" s="5" t="inlineStr">
        <is>
          <t>Requires Verification</t>
        </is>
      </c>
      <c r="AB46" s="5" t="inlineStr">
        <is>
          <t>https://www.yell.com/s/vape+shops-edinburgh.html</t>
        </is>
      </c>
    </row>
    <row r="47">
      <c r="A47" s="10" t="inlineStr">
        <is>
          <t>UK-000706</t>
        </is>
      </c>
      <c r="B47" s="10" t="inlineStr">
        <is>
          <t>DRVAPOR-02</t>
        </is>
      </c>
      <c r="C47" s="10" t="inlineStr">
        <is>
          <t>Dr Vapor</t>
        </is>
      </c>
      <c r="D47" s="10" t="inlineStr">
        <is>
          <t>Dr Vapor Edinburgh (Parsons Green)</t>
        </is>
      </c>
      <c r="E47" s="10" t="inlineStr">
        <is>
          <t>Vape Shop</t>
        </is>
      </c>
      <c r="F47" s="10" t="inlineStr">
        <is>
          <t>Electronic cigarettes &amp; e-liquids</t>
        </is>
      </c>
      <c r="G47" s="10" t="inlineStr">
        <is>
          <t>Multi-Site Independent</t>
        </is>
      </c>
      <c r="H47" s="10" t="inlineStr">
        <is>
          <t>2</t>
        </is>
      </c>
      <c r="I47" s="10" t="inlineStr">
        <is>
          <t>37 Parsons Green Terrace</t>
        </is>
      </c>
      <c r="J47" s="10" t="inlineStr">
        <is>
          <t>Edinburgh</t>
        </is>
      </c>
      <c r="K47" s="10" t="inlineStr">
        <is>
          <t>EH8 7AF</t>
        </is>
      </c>
      <c r="L47" s="10" t="inlineStr">
        <is>
          <t>0131 281 2385</t>
        </is>
      </c>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Core relevant category</t>
        </is>
      </c>
      <c r="X47" s="10" t="inlineStr">
        <is>
          <t>Verified directory</t>
        </is>
      </c>
      <c r="Y47" s="10" t="inlineStr">
        <is>
          <t>Not Found</t>
        </is>
      </c>
      <c r="Z47" s="10" t="inlineStr">
        <is>
          <t>Medium</t>
        </is>
      </c>
      <c r="AA47" s="10" t="inlineStr">
        <is>
          <t>Requires Verification</t>
        </is>
      </c>
      <c r="AB47" s="10" t="inlineStr">
        <is>
          <t>https://www.yell.com/s/vape+shops-edinburgh.html</t>
        </is>
      </c>
    </row>
    <row r="48">
      <c r="A48" s="5" t="inlineStr">
        <is>
          <t>UK-000424</t>
        </is>
      </c>
      <c r="B48" s="5" t="inlineStr">
        <is>
          <t>EASTENDFOO-01</t>
        </is>
      </c>
      <c r="C48" s="5" t="inlineStr">
        <is>
          <t>East End Foods PLC</t>
        </is>
      </c>
      <c r="D48" s="5" t="inlineStr">
        <is>
          <t>East End Foods (West Bromwich)</t>
        </is>
      </c>
      <c r="E48" s="5" t="inlineStr">
        <is>
          <t>Cash &amp; Carry</t>
        </is>
      </c>
      <c r="F48" s="5" t="inlineStr">
        <is>
          <t>Cash &amp; carry / world food wholesaler</t>
        </is>
      </c>
      <c r="G48" s="5" t="inlineStr">
        <is>
          <t>Regional Chain</t>
        </is>
      </c>
      <c r="H48" s="5" t="inlineStr">
        <is>
          <t>1</t>
        </is>
      </c>
      <c r="I48" s="5" t="inlineStr"/>
      <c r="J48" s="5" t="inlineStr">
        <is>
          <t>West Bromwich</t>
        </is>
      </c>
      <c r="K48" s="5" t="inlineStr">
        <is>
          <t>B71 4EA</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Core relevant category</t>
        </is>
      </c>
      <c r="X48" s="5" t="inlineStr">
        <is>
          <t>Not Found</t>
        </is>
      </c>
      <c r="Y48" s="5" t="inlineStr">
        <is>
          <t>Not Found</t>
        </is>
      </c>
      <c r="Z48" s="5" t="inlineStr">
        <is>
          <t>Medium</t>
        </is>
      </c>
      <c r="AA48" s="5" t="inlineStr">
        <is>
          <t>Requires Verification</t>
        </is>
      </c>
      <c r="AB48" s="5" t="inlineStr">
        <is>
          <t>https://www.192.com/atoz/business/west-bromwich-b71/cash-and-carry-wholesalers/east-end-foods/0f373c9585cc38569ca90e77514ccba5124f5435/ml/</t>
        </is>
      </c>
    </row>
    <row r="49">
      <c r="A49" s="10" t="inlineStr">
        <is>
          <t>WY-0013</t>
        </is>
      </c>
      <c r="B49" s="10" t="inlineStr">
        <is>
          <t>ECIGNVAPE-01</t>
        </is>
      </c>
      <c r="C49" s="10" t="inlineStr">
        <is>
          <t>Ecig N Vape</t>
        </is>
      </c>
      <c r="D49" s="10" t="inlineStr">
        <is>
          <t>Ecig N Vape South Elmsall</t>
        </is>
      </c>
      <c r="E49" s="10" t="inlineStr">
        <is>
          <t>Vape Shop</t>
        </is>
      </c>
      <c r="F49" s="10" t="inlineStr">
        <is>
          <t>Vape retailer</t>
        </is>
      </c>
      <c r="G49" s="10" t="inlineStr">
        <is>
          <t>Multi-Site Independent</t>
        </is>
      </c>
      <c r="H49" s="10" t="inlineStr">
        <is>
          <t>2</t>
        </is>
      </c>
      <c r="I49" s="10" t="inlineStr">
        <is>
          <t>13 Barnsley Road</t>
        </is>
      </c>
      <c r="J49" s="10" t="inlineStr">
        <is>
          <t>South Elmsall</t>
        </is>
      </c>
      <c r="K49" s="10" t="inlineStr">
        <is>
          <t>WF9 2RJ</t>
        </is>
      </c>
      <c r="L49" s="10" t="inlineStr">
        <is>
          <t>01977 647267</t>
        </is>
      </c>
      <c r="M49" s="10" t="inlineStr"/>
      <c r="N49" s="10" t="inlineStr"/>
      <c r="O49" s="10" t="inlineStr"/>
      <c r="P49" s="10" t="inlineStr">
        <is>
          <t>https://www.facebook.com/Ecignvapesouthelmsall/</t>
        </is>
      </c>
      <c r="Q49" s="10" t="inlineStr"/>
      <c r="R49" s="10" t="inlineStr"/>
      <c r="S49" s="10" t="inlineStr"/>
      <c r="T49" s="10" t="inlineStr">
        <is>
          <t>12772350</t>
        </is>
      </c>
      <c r="U49" s="10" t="inlineStr"/>
      <c r="V49" s="10" t="inlineStr">
        <is>
          <t>High</t>
        </is>
      </c>
      <c r="W49" s="10" t="inlineStr">
        <is>
          <t>Multi-site retailer; Independent retailer; Core relevant category; Social presence</t>
        </is>
      </c>
      <c r="X49" s="10" t="inlineStr">
        <is>
          <t>Verified directory</t>
        </is>
      </c>
      <c r="Y49" s="10" t="inlineStr">
        <is>
          <t>Not Found</t>
        </is>
      </c>
      <c r="Z49" s="10" t="inlineStr">
        <is>
          <t>Medium</t>
        </is>
      </c>
      <c r="AA49" s="10" t="inlineStr">
        <is>
          <t>Requires Verification</t>
        </is>
      </c>
      <c r="AB49" s="10" t="inlineStr">
        <is>
          <t>https://find-and-update.company-information.service.gov.uk/company/12772350</t>
        </is>
      </c>
    </row>
    <row r="50">
      <c r="A50" s="5" t="inlineStr">
        <is>
          <t>UK-000196</t>
        </is>
      </c>
      <c r="B50" s="5" t="inlineStr">
        <is>
          <t>ELECTRICVA-01</t>
        </is>
      </c>
      <c r="C50" s="5" t="inlineStr">
        <is>
          <t>Electric Vape</t>
        </is>
      </c>
      <c r="D50" s="5" t="inlineStr">
        <is>
          <t>Electric Vape Rotherham</t>
        </is>
      </c>
      <c r="E50" s="5" t="inlineStr">
        <is>
          <t>Vape Shop</t>
        </is>
      </c>
      <c r="F50" s="5" t="inlineStr">
        <is>
          <t>Market-stall vape shop</t>
        </is>
      </c>
      <c r="G50" s="5" t="inlineStr">
        <is>
          <t>Multi-Site Independent</t>
        </is>
      </c>
      <c r="H50" s="5" t="inlineStr">
        <is>
          <t>1</t>
        </is>
      </c>
      <c r="I50" s="5" t="inlineStr">
        <is>
          <t>Units 53 and 55, Rotherham Centenary Indoor Market (Ground Floor)</t>
        </is>
      </c>
      <c r="J50" s="5" t="inlineStr">
        <is>
          <t>Rotherham</t>
        </is>
      </c>
      <c r="K50" s="5" t="inlineStr">
        <is>
          <t>S65 1EL</t>
        </is>
      </c>
      <c r="L50" s="5" t="inlineStr"/>
      <c r="M50" s="5" t="inlineStr"/>
      <c r="N50" s="5" t="inlineStr"/>
      <c r="O50" s="5" t="inlineStr">
        <is>
          <t>https://www.electricvape.co.uk/rotherham-shop</t>
        </is>
      </c>
      <c r="P50" s="5" t="inlineStr"/>
      <c r="Q50" s="5" t="inlineStr"/>
      <c r="R50" s="5" t="inlineStr"/>
      <c r="S50" s="5" t="inlineStr"/>
      <c r="T50" s="5" t="inlineStr"/>
      <c r="U50" s="5" t="inlineStr"/>
      <c r="V50" s="5" t="inlineStr">
        <is>
          <t>High</t>
        </is>
      </c>
      <c r="W50" s="5" t="inlineStr">
        <is>
          <t>Multi-site retailer; Independent retailer; Core relevant category; Active website</t>
        </is>
      </c>
      <c r="X50" s="5" t="inlineStr">
        <is>
          <t>Not Found</t>
        </is>
      </c>
      <c r="Y50" s="5" t="inlineStr">
        <is>
          <t>Website Found</t>
        </is>
      </c>
      <c r="Z50" s="5" t="inlineStr">
        <is>
          <t>Medium</t>
        </is>
      </c>
      <c r="AA50" s="5" t="inlineStr">
        <is>
          <t>Requires Verification</t>
        </is>
      </c>
      <c r="AB50" s="5" t="inlineStr">
        <is>
          <t>https://www.electricvape.co.uk/rotherham-shop</t>
        </is>
      </c>
    </row>
    <row r="51">
      <c r="A51" s="10" t="inlineStr">
        <is>
          <t>UK-000197</t>
        </is>
      </c>
      <c r="B51" s="10" t="inlineStr">
        <is>
          <t>ELECTRICVA-02</t>
        </is>
      </c>
      <c r="C51" s="10" t="inlineStr">
        <is>
          <t>Electric Vape</t>
        </is>
      </c>
      <c r="D51" s="10" t="inlineStr">
        <is>
          <t>Electric Vaper Barnsley</t>
        </is>
      </c>
      <c r="E51" s="10" t="inlineStr">
        <is>
          <t>Vape Shop</t>
        </is>
      </c>
      <c r="F51" s="10" t="inlineStr">
        <is>
          <t>Vape shop</t>
        </is>
      </c>
      <c r="G51" s="10" t="inlineStr">
        <is>
          <t>Multi-Site Independent</t>
        </is>
      </c>
      <c r="H51" s="10" t="inlineStr">
        <is>
          <t>1</t>
        </is>
      </c>
      <c r="I51" s="10" t="inlineStr">
        <is>
          <t>11 May Day Green Arcade</t>
        </is>
      </c>
      <c r="J51" s="10" t="inlineStr">
        <is>
          <t>Barnsley</t>
        </is>
      </c>
      <c r="K51" s="10" t="inlineStr"/>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Core relevant category</t>
        </is>
      </c>
      <c r="X51" s="10" t="inlineStr">
        <is>
          <t>Not Found</t>
        </is>
      </c>
      <c r="Y51" s="10" t="inlineStr">
        <is>
          <t>Not Found</t>
        </is>
      </c>
      <c r="Z51" s="10" t="inlineStr">
        <is>
          <t>Low</t>
        </is>
      </c>
      <c r="AA51" s="10" t="inlineStr">
        <is>
          <t>Requires Verification</t>
        </is>
      </c>
      <c r="AB51" s="10" t="inlineStr">
        <is>
          <t>https://ecigdirectory.co.uk/vape-shop/listing/electric-vaper-barnsley</t>
        </is>
      </c>
    </row>
    <row r="52">
      <c r="A52" s="5" t="inlineStr">
        <is>
          <t>UK-000425</t>
        </is>
      </c>
      <c r="B52" s="5" t="inlineStr">
        <is>
          <t>ELECTROMIS-01</t>
        </is>
      </c>
      <c r="C52" s="5" t="inlineStr">
        <is>
          <t>Electromist</t>
        </is>
      </c>
      <c r="D52" s="5" t="inlineStr">
        <is>
          <t>Electromist Halesowen</t>
        </is>
      </c>
      <c r="E52" s="5" t="inlineStr">
        <is>
          <t>Vape Shop</t>
        </is>
      </c>
      <c r="F52" s="5" t="inlineStr">
        <is>
          <t>Vape kits, e-liquids &amp; accessories</t>
        </is>
      </c>
      <c r="G52" s="5" t="inlineStr">
        <is>
          <t>Multi-Site Independent</t>
        </is>
      </c>
      <c r="H52" s="5" t="inlineStr">
        <is>
          <t>2</t>
        </is>
      </c>
      <c r="I52" s="5" t="inlineStr">
        <is>
          <t>4-5 Great Cornbow</t>
        </is>
      </c>
      <c r="J52" s="5" t="inlineStr">
        <is>
          <t>Halesowen</t>
        </is>
      </c>
      <c r="K52" s="5" t="inlineStr">
        <is>
          <t>B63 3AB</t>
        </is>
      </c>
      <c r="L52" s="5" t="inlineStr"/>
      <c r="M52" s="5" t="inlineStr"/>
      <c r="N52" s="5" t="inlineStr"/>
      <c r="O52" s="5" t="inlineStr">
        <is>
          <t>https://electromist.co.uk/</t>
        </is>
      </c>
      <c r="P52" s="5" t="inlineStr"/>
      <c r="Q52" s="5" t="inlineStr"/>
      <c r="R52" s="5" t="inlineStr"/>
      <c r="S52" s="5" t="inlineStr"/>
      <c r="T52" s="5" t="inlineStr"/>
      <c r="U52" s="5" t="inlineStr"/>
      <c r="V52" s="5" t="inlineStr">
        <is>
          <t>High</t>
        </is>
      </c>
      <c r="W52" s="5" t="inlineStr">
        <is>
          <t>Multi-site retailer; Independent retailer; Core relevant category; Active website</t>
        </is>
      </c>
      <c r="X52" s="5" t="inlineStr">
        <is>
          <t>Not Found</t>
        </is>
      </c>
      <c r="Y52" s="5" t="inlineStr">
        <is>
          <t>Website Found</t>
        </is>
      </c>
      <c r="Z52" s="5" t="inlineStr">
        <is>
          <t>Medium</t>
        </is>
      </c>
      <c r="AA52" s="5" t="inlineStr">
        <is>
          <t>Requires Verification</t>
        </is>
      </c>
      <c r="AB52" s="5" t="inlineStr">
        <is>
          <t>https://electromist.co.uk/</t>
        </is>
      </c>
    </row>
    <row r="53">
      <c r="A53" s="10" t="inlineStr">
        <is>
          <t>UK-000426</t>
        </is>
      </c>
      <c r="B53" s="10" t="inlineStr">
        <is>
          <t>ELECTROMIS-02</t>
        </is>
      </c>
      <c r="C53" s="10" t="inlineStr">
        <is>
          <t>Electromist</t>
        </is>
      </c>
      <c r="D53" s="10" t="inlineStr">
        <is>
          <t>Electromist Merry Hill</t>
        </is>
      </c>
      <c r="E53" s="10" t="inlineStr">
        <is>
          <t>Vape Shop</t>
        </is>
      </c>
      <c r="F53" s="10" t="inlineStr">
        <is>
          <t>Vape kits, e-liquids &amp; accessories</t>
        </is>
      </c>
      <c r="G53" s="10" t="inlineStr">
        <is>
          <t>Multi-Site Independent</t>
        </is>
      </c>
      <c r="H53" s="10" t="inlineStr">
        <is>
          <t>2</t>
        </is>
      </c>
      <c r="I53" s="10" t="inlineStr">
        <is>
          <t>Merry Hill Shopping Centre</t>
        </is>
      </c>
      <c r="J53" s="10" t="inlineStr">
        <is>
          <t>Brierley Hill</t>
        </is>
      </c>
      <c r="K53" s="10" t="inlineStr">
        <is>
          <t>DY5 1QX</t>
        </is>
      </c>
      <c r="L53" s="10" t="inlineStr">
        <is>
          <t>01384 751333</t>
        </is>
      </c>
      <c r="M53" s="10" t="inlineStr"/>
      <c r="N53" s="10" t="inlineStr"/>
      <c r="O53" s="10" t="inlineStr">
        <is>
          <t>https://electromist.co.uk/</t>
        </is>
      </c>
      <c r="P53" s="10" t="inlineStr"/>
      <c r="Q53" s="10" t="inlineStr"/>
      <c r="R53" s="10" t="inlineStr"/>
      <c r="S53" s="10" t="inlineStr"/>
      <c r="T53" s="10" t="inlineStr"/>
      <c r="U53" s="10" t="inlineStr"/>
      <c r="V53" s="10" t="inlineStr">
        <is>
          <t>High</t>
        </is>
      </c>
      <c r="W53" s="10" t="inlineStr">
        <is>
          <t>Multi-site retailer; Independent retailer; Core relevant category; Active website; Phone verified on official website</t>
        </is>
      </c>
      <c r="X53" s="10" t="inlineStr">
        <is>
          <t>Verified on official website</t>
        </is>
      </c>
      <c r="Y53" s="10" t="inlineStr">
        <is>
          <t>Website Found</t>
        </is>
      </c>
      <c r="Z53" s="10" t="inlineStr">
        <is>
          <t>Medium</t>
        </is>
      </c>
      <c r="AA53" s="10" t="inlineStr">
        <is>
          <t>Requires Verification</t>
        </is>
      </c>
      <c r="AB53" s="10" t="inlineStr">
        <is>
          <t>https://electromist.co.uk/pages/merry-hill-store</t>
        </is>
      </c>
    </row>
    <row r="54">
      <c r="A54" s="5" t="inlineStr">
        <is>
          <t>UK-000553</t>
        </is>
      </c>
      <c r="B54" s="5" t="inlineStr">
        <is>
          <t>EVAPO-01</t>
        </is>
      </c>
      <c r="C54" s="5" t="inlineStr">
        <is>
          <t>Evapo</t>
        </is>
      </c>
      <c r="D54" s="5" t="inlineStr">
        <is>
          <t>Evapo - Hammersmith Broadway</t>
        </is>
      </c>
      <c r="E54" s="5" t="inlineStr">
        <is>
          <t>Vape Shop</t>
        </is>
      </c>
      <c r="F54" s="5" t="inlineStr">
        <is>
          <t>Vape hardware, e-liquids &amp; disposables</t>
        </is>
      </c>
      <c r="G54" s="5" t="inlineStr">
        <is>
          <t>Regional Chain</t>
        </is>
      </c>
      <c r="H54" s="5" t="inlineStr">
        <is>
          <t>1</t>
        </is>
      </c>
      <c r="I54" s="5" t="inlineStr">
        <is>
          <t>Unit 24b, Hammersmith Broadway Shopping Centre</t>
        </is>
      </c>
      <c r="J54" s="5" t="inlineStr">
        <is>
          <t>London</t>
        </is>
      </c>
      <c r="K54" s="5" t="inlineStr">
        <is>
          <t>W6 9YE</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Core relevant category</t>
        </is>
      </c>
      <c r="X54" s="5" t="inlineStr">
        <is>
          <t>Not Found</t>
        </is>
      </c>
      <c r="Y54" s="5" t="inlineStr">
        <is>
          <t>Not Found</t>
        </is>
      </c>
      <c r="Z54" s="5" t="inlineStr">
        <is>
          <t>Low</t>
        </is>
      </c>
      <c r="AA54" s="5" t="inlineStr">
        <is>
          <t>Requires Verification</t>
        </is>
      </c>
      <c r="AB54" s="5" t="inlineStr">
        <is>
          <t>https://www.yell.com/biz/evapo-hammersmith-london-9576528/</t>
        </is>
      </c>
    </row>
    <row r="55">
      <c r="A55" s="10" t="inlineStr">
        <is>
          <t>UK-000554</t>
        </is>
      </c>
      <c r="B55" s="10" t="inlineStr">
        <is>
          <t>EVAPO-02</t>
        </is>
      </c>
      <c r="C55" s="10" t="inlineStr">
        <is>
          <t>Evapo</t>
        </is>
      </c>
      <c r="D55" s="10" t="inlineStr">
        <is>
          <t>Evapo - Soho (Denman Street)</t>
        </is>
      </c>
      <c r="E55" s="10" t="inlineStr">
        <is>
          <t>Vape Shop</t>
        </is>
      </c>
      <c r="F55" s="10" t="inlineStr">
        <is>
          <t>Vape hardware, e-liquids &amp; disposables</t>
        </is>
      </c>
      <c r="G55" s="10" t="inlineStr">
        <is>
          <t>Regional Chain</t>
        </is>
      </c>
      <c r="H55" s="10" t="inlineStr">
        <is>
          <t>1</t>
        </is>
      </c>
      <c r="I55" s="10" t="inlineStr">
        <is>
          <t>6 Denman Street</t>
        </is>
      </c>
      <c r="J55" s="10" t="inlineStr">
        <is>
          <t>London</t>
        </is>
      </c>
      <c r="K55" s="10" t="inlineStr">
        <is>
          <t>W1D 7HD</t>
        </is>
      </c>
      <c r="L55" s="10" t="inlineStr">
        <is>
          <t>07388 995052</t>
        </is>
      </c>
      <c r="M55" s="10" t="inlineStr"/>
      <c r="N55" s="10" t="inlineStr"/>
      <c r="O55" s="10" t="inlineStr">
        <is>
          <t>https://evapo.co.uk/vape-shops/denman-st</t>
        </is>
      </c>
      <c r="P55" s="10" t="inlineStr"/>
      <c r="Q55" s="10" t="inlineStr"/>
      <c r="R55" s="10" t="inlineStr"/>
      <c r="S55" s="10" t="inlineStr"/>
      <c r="T55" s="10" t="inlineStr"/>
      <c r="U55" s="10" t="inlineStr"/>
      <c r="V55" s="10" t="inlineStr">
        <is>
          <t>Medium</t>
        </is>
      </c>
      <c r="W55" s="10" t="inlineStr">
        <is>
          <t>Multi-site retailer; Core relevant category; Active website</t>
        </is>
      </c>
      <c r="X55" s="10" t="inlineStr">
        <is>
          <t>Verified directory</t>
        </is>
      </c>
      <c r="Y55" s="10" t="inlineStr">
        <is>
          <t>Not Found</t>
        </is>
      </c>
      <c r="Z55" s="10" t="inlineStr">
        <is>
          <t>Medium</t>
        </is>
      </c>
      <c r="AA55" s="10" t="inlineStr">
        <is>
          <t>Requires Verification</t>
        </is>
      </c>
      <c r="AB55" s="10" t="inlineStr">
        <is>
          <t>https://evapo.co.uk/vape-shops/denman-st</t>
        </is>
      </c>
    </row>
    <row r="56">
      <c r="A56" s="5" t="inlineStr">
        <is>
          <t>UK-000198</t>
        </is>
      </c>
      <c r="B56" s="5" t="inlineStr">
        <is>
          <t>EZIVAPE-01</t>
        </is>
      </c>
      <c r="C56" s="5" t="inlineStr">
        <is>
          <t>Ezi Vape</t>
        </is>
      </c>
      <c r="D56" s="5" t="inlineStr">
        <is>
          <t>Ezi Vape Skipton</t>
        </is>
      </c>
      <c r="E56" s="5" t="inlineStr">
        <is>
          <t>Vape Shop</t>
        </is>
      </c>
      <c r="F56" s="5" t="inlineStr">
        <is>
          <t>Vape kits, e-liquids &amp; disposables</t>
        </is>
      </c>
      <c r="G56" s="5" t="inlineStr">
        <is>
          <t>Multi-Site Independent</t>
        </is>
      </c>
      <c r="H56" s="5" t="inlineStr">
        <is>
          <t>3</t>
        </is>
      </c>
      <c r="I56" s="5" t="inlineStr">
        <is>
          <t>25 High Street</t>
        </is>
      </c>
      <c r="J56" s="5" t="inlineStr">
        <is>
          <t>Skipton</t>
        </is>
      </c>
      <c r="K56" s="5" t="inlineStr"/>
      <c r="L56" s="5" t="inlineStr">
        <is>
          <t>07967 075860</t>
        </is>
      </c>
      <c r="M56" s="5" t="inlineStr"/>
      <c r="N56" s="5" t="inlineStr"/>
      <c r="O56" s="5" t="inlineStr">
        <is>
          <t>https://www.ezi-vape.co.uk/</t>
        </is>
      </c>
      <c r="P56" s="5" t="inlineStr">
        <is>
          <t>https://www.facebook.com/EziVapour/</t>
        </is>
      </c>
      <c r="Q56" s="5" t="inlineStr"/>
      <c r="R56" s="5" t="inlineStr"/>
      <c r="S56" s="5" t="inlineStr"/>
      <c r="T56" s="5" t="inlineStr"/>
      <c r="U56" s="5" t="inlineStr"/>
      <c r="V56" s="5" t="inlineStr">
        <is>
          <t>High</t>
        </is>
      </c>
      <c r="W56" s="5" t="inlineStr">
        <is>
          <t>Multi-site retailer; Independent retailer; Core relevant category; Active website; Social presence</t>
        </is>
      </c>
      <c r="X56" s="5" t="inlineStr">
        <is>
          <t>Verified directory</t>
        </is>
      </c>
      <c r="Y56" s="5" t="inlineStr">
        <is>
          <t>Website Found</t>
        </is>
      </c>
      <c r="Z56" s="5" t="inlineStr">
        <is>
          <t>Low</t>
        </is>
      </c>
      <c r="AA56" s="5" t="inlineStr">
        <is>
          <t>Requires Verification</t>
        </is>
      </c>
      <c r="AB56" s="5" t="inlineStr">
        <is>
          <t>https://www.ezi-vape.co.uk/</t>
        </is>
      </c>
    </row>
    <row r="57">
      <c r="A57" s="10" t="inlineStr">
        <is>
          <t>UK-000427</t>
        </is>
      </c>
      <c r="B57" s="10" t="inlineStr">
        <is>
          <t>FLAVOURVAP-01</t>
        </is>
      </c>
      <c r="C57" s="10" t="inlineStr">
        <is>
          <t>Flavour Vapour</t>
        </is>
      </c>
      <c r="D57" s="10" t="inlineStr">
        <is>
          <t>Flavour Vapour Birmingham</t>
        </is>
      </c>
      <c r="E57" s="10" t="inlineStr">
        <is>
          <t>Vape Shop</t>
        </is>
      </c>
      <c r="F57" s="10" t="inlineStr">
        <is>
          <t>Vape hardware and e-liquid retailer</t>
        </is>
      </c>
      <c r="G57" s="10" t="inlineStr">
        <is>
          <t>Regional Chain</t>
        </is>
      </c>
      <c r="H57" s="10" t="inlineStr">
        <is>
          <t>1</t>
        </is>
      </c>
      <c r="I57" s="10" t="inlineStr">
        <is>
          <t>636 Bristol Road</t>
        </is>
      </c>
      <c r="J57" s="10" t="inlineStr">
        <is>
          <t>Birmingham</t>
        </is>
      </c>
      <c r="K57" s="10" t="inlineStr">
        <is>
          <t>B29 6BJ</t>
        </is>
      </c>
      <c r="L57" s="10" t="inlineStr">
        <is>
          <t>0121 472 0130</t>
        </is>
      </c>
      <c r="M57" s="10" t="inlineStr"/>
      <c r="N57" s="10" t="inlineStr"/>
      <c r="O57" s="10" t="inlineStr">
        <is>
          <t>https://www.flavourvapour.co.uk/</t>
        </is>
      </c>
      <c r="P57" s="10" t="inlineStr"/>
      <c r="Q57" s="10" t="inlineStr"/>
      <c r="R57" s="10" t="inlineStr"/>
      <c r="S57" s="10" t="inlineStr"/>
      <c r="T57" s="10" t="inlineStr"/>
      <c r="U57" s="10" t="inlineStr"/>
      <c r="V57" s="10" t="inlineStr">
        <is>
          <t>Medium</t>
        </is>
      </c>
      <c r="W57" s="10" t="inlineStr">
        <is>
          <t>Multi-site retailer; Core relevant category; Active website</t>
        </is>
      </c>
      <c r="X57" s="10" t="inlineStr">
        <is>
          <t>Verified directory</t>
        </is>
      </c>
      <c r="Y57" s="10" t="inlineStr">
        <is>
          <t>Website Found</t>
        </is>
      </c>
      <c r="Z57" s="10" t="inlineStr">
        <is>
          <t>Medium</t>
        </is>
      </c>
      <c r="AA57" s="10" t="inlineStr">
        <is>
          <t>Requires Verification</t>
        </is>
      </c>
      <c r="AB57" s="10" t="inlineStr">
        <is>
          <t>https://www.flavourvapour.co.uk/stores</t>
        </is>
      </c>
    </row>
    <row r="58">
      <c r="A58" s="5" t="inlineStr">
        <is>
          <t>UK-000707</t>
        </is>
      </c>
      <c r="B58" s="5" t="inlineStr">
        <is>
          <t>FOODPLUS-01</t>
        </is>
      </c>
      <c r="C58" s="5" t="inlineStr">
        <is>
          <t>Food Plus</t>
        </is>
      </c>
      <c r="D58" s="5" t="inlineStr">
        <is>
          <t>Food Plus (Polski Sklep Wawel)</t>
        </is>
      </c>
      <c r="E58" s="5" t="inlineStr">
        <is>
          <t>Independent Supermarket</t>
        </is>
      </c>
      <c r="F58" s="5" t="inlineStr">
        <is>
          <t>Polish / international grocery</t>
        </is>
      </c>
      <c r="G58" s="5" t="inlineStr">
        <is>
          <t>Franchise / Symbol Group</t>
        </is>
      </c>
      <c r="H58" s="5" t="inlineStr">
        <is>
          <t>1</t>
        </is>
      </c>
      <c r="I58" s="5" t="inlineStr"/>
      <c r="J58" s="5" t="inlineStr">
        <is>
          <t>Birkenhead</t>
        </is>
      </c>
      <c r="K58" s="5" t="inlineStr">
        <is>
          <t>CH41 2QQ</t>
        </is>
      </c>
      <c r="L58" s="5" t="inlineStr"/>
      <c r="M58" s="5" t="inlineStr"/>
      <c r="N58" s="5" t="inlineStr"/>
      <c r="O58" s="5" t="inlineStr">
        <is>
          <t>https://www.foodplus.eu/</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Not Found</t>
        </is>
      </c>
      <c r="Y58" s="5" t="inlineStr">
        <is>
          <t>Website Found</t>
        </is>
      </c>
      <c r="Z58" s="5" t="inlineStr">
        <is>
          <t>Low</t>
        </is>
      </c>
      <c r="AA58" s="5" t="inlineStr">
        <is>
          <t>Requires Verification</t>
        </is>
      </c>
      <c r="AB58" s="5" t="inlineStr">
        <is>
          <t>https://www.foodplus.eu/en/products/food-plus-polski-sklep-wawel-ch41-2qq-birkenhead</t>
        </is>
      </c>
    </row>
    <row r="59">
      <c r="A59" s="10" t="inlineStr">
        <is>
          <t>UK-000199</t>
        </is>
      </c>
      <c r="B59" s="10" t="inlineStr">
        <is>
          <t>FOODPLUS-02</t>
        </is>
      </c>
      <c r="C59" s="10" t="inlineStr">
        <is>
          <t>Food Plus</t>
        </is>
      </c>
      <c r="D59" s="10" t="inlineStr">
        <is>
          <t>Food Plus Hexthorpe (Polski Sklep)</t>
        </is>
      </c>
      <c r="E59" s="10" t="inlineStr">
        <is>
          <t>Independent Supermarket</t>
        </is>
      </c>
      <c r="F59" s="10" t="inlineStr">
        <is>
          <t>Polish / European grocery store</t>
        </is>
      </c>
      <c r="G59" s="10" t="inlineStr">
        <is>
          <t>Franchise / Symbol Group</t>
        </is>
      </c>
      <c r="H59" s="10" t="inlineStr">
        <is>
          <t>1</t>
        </is>
      </c>
      <c r="I59" s="10" t="inlineStr"/>
      <c r="J59" s="10" t="inlineStr">
        <is>
          <t>Doncaster</t>
        </is>
      </c>
      <c r="K59" s="10" t="inlineStr">
        <is>
          <t>DN4 0BD</t>
        </is>
      </c>
      <c r="L59" s="10" t="inlineStr"/>
      <c r="M59" s="10" t="inlineStr"/>
      <c r="N59" s="10" t="inlineStr"/>
      <c r="O59" s="10" t="inlineStr">
        <is>
          <t>https://www.foodplus.eu/</t>
        </is>
      </c>
      <c r="P59" s="10" t="inlineStr"/>
      <c r="Q59" s="10" t="inlineStr"/>
      <c r="R59" s="10" t="inlineStr"/>
      <c r="S59" s="10" t="inlineStr"/>
      <c r="T59" s="10" t="inlineStr"/>
      <c r="U59" s="10" t="inlineStr"/>
      <c r="V59" s="10" t="inlineStr">
        <is>
          <t>Medium</t>
        </is>
      </c>
      <c r="W59" s="10" t="inlineStr">
        <is>
          <t>Multi-site retailer; Independent retailer; Relevant category; Active website</t>
        </is>
      </c>
      <c r="X59" s="10" t="inlineStr">
        <is>
          <t>Not Found</t>
        </is>
      </c>
      <c r="Y59" s="10" t="inlineStr">
        <is>
          <t>Website Found</t>
        </is>
      </c>
      <c r="Z59" s="10" t="inlineStr">
        <is>
          <t>Low</t>
        </is>
      </c>
      <c r="AA59" s="10" t="inlineStr">
        <is>
          <t>Requires Verification</t>
        </is>
      </c>
      <c r="AB59" s="10" t="inlineStr">
        <is>
          <t>https://www.foodplus.eu/en/map/food-plus-polski-sklep-hexthorpe-dn4-0bd-doncaster</t>
        </is>
      </c>
    </row>
    <row r="60">
      <c r="A60" s="5" t="inlineStr">
        <is>
          <t>UK-000200</t>
        </is>
      </c>
      <c r="B60" s="5" t="inlineStr">
        <is>
          <t>FOODPLUS-03</t>
        </is>
      </c>
      <c r="C60" s="5" t="inlineStr">
        <is>
          <t>Food Plus</t>
        </is>
      </c>
      <c r="D60" s="5" t="inlineStr">
        <is>
          <t>Food Plus Rotherham (Polski Sklep)</t>
        </is>
      </c>
      <c r="E60" s="5" t="inlineStr">
        <is>
          <t>Independent Supermarket</t>
        </is>
      </c>
      <c r="F60" s="5" t="inlineStr">
        <is>
          <t>Polish / European grocery store</t>
        </is>
      </c>
      <c r="G60" s="5" t="inlineStr">
        <is>
          <t>Franchise / Symbol Group</t>
        </is>
      </c>
      <c r="H60" s="5" t="inlineStr">
        <is>
          <t>1</t>
        </is>
      </c>
      <c r="I60" s="5" t="inlineStr"/>
      <c r="J60" s="5" t="inlineStr">
        <is>
          <t>Rotherham</t>
        </is>
      </c>
      <c r="K60" s="5" t="inlineStr"/>
      <c r="L60" s="5" t="inlineStr"/>
      <c r="M60" s="5" t="inlineStr"/>
      <c r="N60" s="5" t="inlineStr"/>
      <c r="O60" s="5" t="inlineStr">
        <is>
          <t>https://www.foodplus.eu/</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Not Found</t>
        </is>
      </c>
      <c r="Y60" s="5" t="inlineStr">
        <is>
          <t>Website Found</t>
        </is>
      </c>
      <c r="Z60" s="5" t="inlineStr">
        <is>
          <t>Low</t>
        </is>
      </c>
      <c r="AA60" s="5" t="inlineStr">
        <is>
          <t>Requires Verification</t>
        </is>
      </c>
      <c r="AB60" s="5" t="inlineStr">
        <is>
          <t>https://www.yorkshire.com/rotherham/shopping/grocers</t>
        </is>
      </c>
    </row>
    <row r="61">
      <c r="A61" s="10" t="inlineStr">
        <is>
          <t>UK-000303</t>
        </is>
      </c>
      <c r="B61" s="10" t="inlineStr">
        <is>
          <t>FRESHMISTU-01</t>
        </is>
      </c>
      <c r="C61" s="10" t="inlineStr">
        <is>
          <t>Freshmist UK Ltd</t>
        </is>
      </c>
      <c r="D61" s="10" t="inlineStr">
        <is>
          <t>Freshmist Bury Road</t>
        </is>
      </c>
      <c r="E61" s="10" t="inlineStr">
        <is>
          <t>Vape Shop</t>
        </is>
      </c>
      <c r="F61" s="10" t="inlineStr">
        <is>
          <t>E-liquid manufacturer and vape store (head office)</t>
        </is>
      </c>
      <c r="G61" s="10" t="inlineStr">
        <is>
          <t>Regional Chain</t>
        </is>
      </c>
      <c r="H61" s="10" t="inlineStr">
        <is>
          <t>4</t>
        </is>
      </c>
      <c r="I61" s="10" t="inlineStr">
        <is>
          <t>816 Bury Road</t>
        </is>
      </c>
      <c r="J61" s="10" t="inlineStr">
        <is>
          <t>Bolton</t>
        </is>
      </c>
      <c r="K61" s="10" t="inlineStr">
        <is>
          <t>BL2 6PA</t>
        </is>
      </c>
      <c r="L61" s="10" t="inlineStr">
        <is>
          <t>01204 288030</t>
        </is>
      </c>
      <c r="M61" s="10" t="inlineStr">
        <is>
          <t>orders@freshmist.co.uk</t>
        </is>
      </c>
      <c r="N61" s="10" t="inlineStr"/>
      <c r="O61" s="10" t="inlineStr">
        <is>
          <t>https://www.freshmist.co.uk/</t>
        </is>
      </c>
      <c r="P61" s="10" t="inlineStr">
        <is>
          <t>https://www.facebook.com/freshmist.buryrd/</t>
        </is>
      </c>
      <c r="Q61" s="10" t="inlineStr"/>
      <c r="R61" s="10" t="inlineStr"/>
      <c r="S61" s="10" t="inlineStr"/>
      <c r="T61" s="10" t="inlineStr"/>
      <c r="U61" s="10" t="inlineStr"/>
      <c r="V61" s="10" t="inlineStr">
        <is>
          <t>High</t>
        </is>
      </c>
      <c r="W61" s="10" t="inlineStr">
        <is>
          <t>Multi-site retailer; Core relevant category; Public trade/sales contact; Active website; Social presence; Phone verified on official website</t>
        </is>
      </c>
      <c r="X61" s="10" t="inlineStr">
        <is>
          <t>Verified on official website</t>
        </is>
      </c>
      <c r="Y61" s="10" t="inlineStr">
        <is>
          <t>Publicly Listed</t>
        </is>
      </c>
      <c r="Z61" s="10" t="inlineStr">
        <is>
          <t>Medium</t>
        </is>
      </c>
      <c r="AA61" s="10" t="inlineStr">
        <is>
          <t>Requires Verification</t>
        </is>
      </c>
      <c r="AB61" s="10" t="inlineStr">
        <is>
          <t>https://www.freshmist.co.uk/contact/</t>
        </is>
      </c>
    </row>
    <row r="62">
      <c r="A62" s="5" t="inlineStr">
        <is>
          <t>UK-000304</t>
        </is>
      </c>
      <c r="B62" s="5" t="inlineStr">
        <is>
          <t>FRESHMISTU-02</t>
        </is>
      </c>
      <c r="C62" s="5" t="inlineStr">
        <is>
          <t>Freshmist UK Ltd</t>
        </is>
      </c>
      <c r="D62" s="5" t="inlineStr">
        <is>
          <t>Freshmist Chorley Old Road</t>
        </is>
      </c>
      <c r="E62" s="5" t="inlineStr">
        <is>
          <t>Vape Shop</t>
        </is>
      </c>
      <c r="F62" s="5" t="inlineStr">
        <is>
          <t>Vape store</t>
        </is>
      </c>
      <c r="G62" s="5" t="inlineStr">
        <is>
          <t>Regional Chain</t>
        </is>
      </c>
      <c r="H62" s="5" t="inlineStr">
        <is>
          <t>4</t>
        </is>
      </c>
      <c r="I62" s="5" t="inlineStr">
        <is>
          <t>177 Chorley Old Road</t>
        </is>
      </c>
      <c r="J62" s="5" t="inlineStr">
        <is>
          <t>Bolton</t>
        </is>
      </c>
      <c r="K62" s="5" t="inlineStr">
        <is>
          <t>BL1 3BE</t>
        </is>
      </c>
      <c r="L62" s="5" t="inlineStr">
        <is>
          <t>01204 288030</t>
        </is>
      </c>
      <c r="M62" s="5" t="inlineStr">
        <is>
          <t>orders@freshmist.co.uk</t>
        </is>
      </c>
      <c r="N62" s="5" t="inlineStr"/>
      <c r="O62" s="5" t="inlineStr">
        <is>
          <t>https://www.freshmist.co.uk/</t>
        </is>
      </c>
      <c r="P62" s="5" t="inlineStr">
        <is>
          <t>https://www.facebook.com/freshmistvapestore/</t>
        </is>
      </c>
      <c r="Q62" s="5" t="inlineStr"/>
      <c r="R62" s="5" t="inlineStr"/>
      <c r="S62" s="5" t="inlineStr"/>
      <c r="T62" s="5" t="inlineStr"/>
      <c r="U62" s="5" t="inlineStr"/>
      <c r="V62" s="5" t="inlineStr">
        <is>
          <t>High</t>
        </is>
      </c>
      <c r="W62" s="5" t="inlineStr">
        <is>
          <t>Multi-site retailer; Core relevant category; Public trade/sales contact; Active website; Social presence</t>
        </is>
      </c>
      <c r="X62" s="5" t="inlineStr">
        <is>
          <t>Unverified</t>
        </is>
      </c>
      <c r="Y62" s="5" t="inlineStr">
        <is>
          <t>Publicly Listed</t>
        </is>
      </c>
      <c r="Z62" s="5" t="inlineStr">
        <is>
          <t>Medium</t>
        </is>
      </c>
      <c r="AA62" s="5" t="inlineStr">
        <is>
          <t>Requires Verification</t>
        </is>
      </c>
      <c r="AB62" s="5" t="inlineStr">
        <is>
          <t>https://www.freshmist.co.uk/our-stores/</t>
        </is>
      </c>
    </row>
    <row r="63">
      <c r="A63" s="10" t="inlineStr">
        <is>
          <t>UK-000305</t>
        </is>
      </c>
      <c r="B63" s="10" t="inlineStr">
        <is>
          <t>FRESHMISTU-03</t>
        </is>
      </c>
      <c r="C63" s="10" t="inlineStr">
        <is>
          <t>Freshmist UK Ltd</t>
        </is>
      </c>
      <c r="D63" s="10" t="inlineStr">
        <is>
          <t>Freshmist Farnworth</t>
        </is>
      </c>
      <c r="E63" s="10" t="inlineStr">
        <is>
          <t>Vape Shop</t>
        </is>
      </c>
      <c r="F63" s="10" t="inlineStr">
        <is>
          <t>Vape store</t>
        </is>
      </c>
      <c r="G63" s="10" t="inlineStr">
        <is>
          <t>Regional Chain</t>
        </is>
      </c>
      <c r="H63" s="10" t="inlineStr">
        <is>
          <t>4</t>
        </is>
      </c>
      <c r="I63" s="10" t="inlineStr">
        <is>
          <t>134 Market Street</t>
        </is>
      </c>
      <c r="J63" s="10" t="inlineStr">
        <is>
          <t>Bolton</t>
        </is>
      </c>
      <c r="K63" s="10" t="inlineStr">
        <is>
          <t>BL4 9AE</t>
        </is>
      </c>
      <c r="L63" s="10" t="inlineStr">
        <is>
          <t>01204 288030</t>
        </is>
      </c>
      <c r="M63" s="10" t="inlineStr">
        <is>
          <t>orders@freshmist.co.uk</t>
        </is>
      </c>
      <c r="N63" s="10" t="inlineStr"/>
      <c r="O63" s="10" t="inlineStr">
        <is>
          <t>https://www.freshmist.co.uk/</t>
        </is>
      </c>
      <c r="P63" s="10" t="inlineStr"/>
      <c r="Q63" s="10" t="inlineStr"/>
      <c r="R63" s="10" t="inlineStr"/>
      <c r="S63" s="10" t="inlineStr"/>
      <c r="T63" s="10" t="inlineStr"/>
      <c r="U63" s="10" t="inlineStr"/>
      <c r="V63" s="10" t="inlineStr">
        <is>
          <t>High</t>
        </is>
      </c>
      <c r="W63" s="10" t="inlineStr">
        <is>
          <t>Multi-site retailer; Core relevant category; Public trade/sales contact; Active website</t>
        </is>
      </c>
      <c r="X63" s="10" t="inlineStr">
        <is>
          <t>Unverified</t>
        </is>
      </c>
      <c r="Y63" s="10" t="inlineStr">
        <is>
          <t>Publicly Listed</t>
        </is>
      </c>
      <c r="Z63" s="10" t="inlineStr">
        <is>
          <t>Medium</t>
        </is>
      </c>
      <c r="AA63" s="10" t="inlineStr">
        <is>
          <t>Requires Verification</t>
        </is>
      </c>
      <c r="AB63" s="10" t="inlineStr">
        <is>
          <t>https://www.freshmist.co.uk/our-stores/</t>
        </is>
      </c>
    </row>
    <row r="64">
      <c r="A64" s="5" t="inlineStr">
        <is>
          <t>UK-000306</t>
        </is>
      </c>
      <c r="B64" s="5" t="inlineStr">
        <is>
          <t>FRESHMISTU-04</t>
        </is>
      </c>
      <c r="C64" s="5" t="inlineStr">
        <is>
          <t>Freshmist UK Ltd</t>
        </is>
      </c>
      <c r="D64" s="5" t="inlineStr">
        <is>
          <t>Freshmist Horwich</t>
        </is>
      </c>
      <c r="E64" s="5" t="inlineStr">
        <is>
          <t>Vape Shop</t>
        </is>
      </c>
      <c r="F64" s="5" t="inlineStr">
        <is>
          <t>Vape store</t>
        </is>
      </c>
      <c r="G64" s="5" t="inlineStr">
        <is>
          <t>Regional Chain</t>
        </is>
      </c>
      <c r="H64" s="5" t="inlineStr">
        <is>
          <t>4</t>
        </is>
      </c>
      <c r="I64" s="5" t="inlineStr">
        <is>
          <t>11 Winter Hey Lane</t>
        </is>
      </c>
      <c r="J64" s="5" t="inlineStr">
        <is>
          <t>Bolton</t>
        </is>
      </c>
      <c r="K64" s="5" t="inlineStr">
        <is>
          <t>BL6 7AD</t>
        </is>
      </c>
      <c r="L64" s="5" t="inlineStr">
        <is>
          <t>01204 288030</t>
        </is>
      </c>
      <c r="M64" s="5" t="inlineStr">
        <is>
          <t>orders@freshmist.co.uk</t>
        </is>
      </c>
      <c r="N64" s="5" t="inlineStr"/>
      <c r="O64" s="5" t="inlineStr">
        <is>
          <t>https://www.freshmist.co.uk/</t>
        </is>
      </c>
      <c r="P64" s="5" t="inlineStr"/>
      <c r="Q64" s="5" t="inlineStr"/>
      <c r="R64" s="5" t="inlineStr"/>
      <c r="S64" s="5" t="inlineStr"/>
      <c r="T64" s="5" t="inlineStr"/>
      <c r="U64" s="5" t="inlineStr"/>
      <c r="V64" s="5" t="inlineStr">
        <is>
          <t>High</t>
        </is>
      </c>
      <c r="W64" s="5" t="inlineStr">
        <is>
          <t>Multi-site retailer; Core relevant category; Public trade/sales contact; Active website</t>
        </is>
      </c>
      <c r="X64" s="5" t="inlineStr">
        <is>
          <t>Unverified</t>
        </is>
      </c>
      <c r="Y64" s="5" t="inlineStr">
        <is>
          <t>Publicly Listed</t>
        </is>
      </c>
      <c r="Z64" s="5" t="inlineStr">
        <is>
          <t>Medium</t>
        </is>
      </c>
      <c r="AA64" s="5" t="inlineStr">
        <is>
          <t>Requires Verification</t>
        </is>
      </c>
      <c r="AB64" s="5" t="inlineStr">
        <is>
          <t>https://www.freshmist.co.uk/our-stores/</t>
        </is>
      </c>
    </row>
    <row r="65">
      <c r="A65" s="10" t="inlineStr">
        <is>
          <t>WY-0014</t>
        </is>
      </c>
      <c r="B65" s="10" t="inlineStr">
        <is>
          <t>GTNEWS-01</t>
        </is>
      </c>
      <c r="C65" s="10" t="inlineStr">
        <is>
          <t>GT News</t>
        </is>
      </c>
      <c r="D65" s="10" t="inlineStr">
        <is>
          <t>GT News (White Rose Shopping Centre)</t>
        </is>
      </c>
      <c r="E65" s="10" t="inlineStr">
        <is>
          <t>Newsagent</t>
        </is>
      </c>
      <c r="F65" s="10" t="inlineStr">
        <is>
          <t>Shopping-centre newsagent and convenience kiosk</t>
        </is>
      </c>
      <c r="G65" s="10" t="inlineStr">
        <is>
          <t>Multi-Site Independent</t>
        </is>
      </c>
      <c r="H65" s="10" t="inlineStr">
        <is>
          <t>2</t>
        </is>
      </c>
      <c r="I65" s="10" t="inlineStr">
        <is>
          <t>Unit 28E Lower Level, White Rose Shopping Centre</t>
        </is>
      </c>
      <c r="J65" s="10" t="inlineStr">
        <is>
          <t>Leeds</t>
        </is>
      </c>
      <c r="K65" s="10" t="inlineStr">
        <is>
          <t>LS11 8LU</t>
        </is>
      </c>
      <c r="L65" s="10" t="inlineStr">
        <is>
          <t>0113 228 6446</t>
        </is>
      </c>
      <c r="M65" s="10" t="inlineStr"/>
      <c r="N65" s="10" t="inlineStr"/>
      <c r="O65" s="10" t="inlineStr">
        <is>
          <t>http://www.gtnews.co.uk/</t>
        </is>
      </c>
      <c r="P65" s="10" t="inlineStr"/>
      <c r="Q65" s="10" t="inlineStr"/>
      <c r="R65" s="10" t="inlineStr"/>
      <c r="S65" s="10" t="inlineStr"/>
      <c r="T65" s="10" t="inlineStr"/>
      <c r="U65" s="10" t="inlineStr"/>
      <c r="V65" s="10" t="inlineStr">
        <is>
          <t>Medium</t>
        </is>
      </c>
      <c r="W65" s="10" t="inlineStr">
        <is>
          <t>Multi-site retailer; Independent retailer; Relevant category; Active website</t>
        </is>
      </c>
      <c r="X65" s="10" t="inlineStr">
        <is>
          <t>Verified directory</t>
        </is>
      </c>
      <c r="Y65" s="10" t="inlineStr">
        <is>
          <t>Website Found</t>
        </is>
      </c>
      <c r="Z65" s="10" t="inlineStr">
        <is>
          <t>Medium</t>
        </is>
      </c>
      <c r="AA65" s="10" t="inlineStr">
        <is>
          <t>Requires Verification</t>
        </is>
      </c>
      <c r="AB65" s="10" t="inlineStr">
        <is>
          <t>https://www.leedsonline.co.uk/info/17974/</t>
        </is>
      </c>
    </row>
    <row r="66">
      <c r="A66" s="5" t="inlineStr">
        <is>
          <t>UK-000307</t>
        </is>
      </c>
      <c r="B66" s="5" t="inlineStr">
        <is>
          <t>GOLOCALPAR-01</t>
        </is>
      </c>
      <c r="C66" s="5" t="inlineStr">
        <is>
          <t>Go Local (Parfetts)</t>
        </is>
      </c>
      <c r="D66" s="5" t="inlineStr">
        <is>
          <t>Go Local - Hyde Convenience Store</t>
        </is>
      </c>
      <c r="E66" s="5" t="inlineStr">
        <is>
          <t>Convenience Store</t>
        </is>
      </c>
      <c r="F66" s="5" t="inlineStr">
        <is>
          <t>Symbol group convenience</t>
        </is>
      </c>
      <c r="G66" s="5" t="inlineStr">
        <is>
          <t>Franchise / Symbol Group</t>
        </is>
      </c>
      <c r="H66" s="5" t="inlineStr">
        <is>
          <t>1</t>
        </is>
      </c>
      <c r="I66" s="5" t="inlineStr">
        <is>
          <t>119 Bennett Street</t>
        </is>
      </c>
      <c r="J66" s="5" t="inlineStr">
        <is>
          <t>Hyde</t>
        </is>
      </c>
      <c r="K66" s="5" t="inlineStr">
        <is>
          <t>SK14 4SS</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https://ratings.food.gov.uk/business/444647</t>
        </is>
      </c>
    </row>
    <row r="67">
      <c r="A67" s="10" t="inlineStr">
        <is>
          <t>UK-000308</t>
        </is>
      </c>
      <c r="B67" s="10" t="inlineStr">
        <is>
          <t>GOLOCALPAR-02</t>
        </is>
      </c>
      <c r="C67" s="10" t="inlineStr">
        <is>
          <t>Go Local (Parfetts)</t>
        </is>
      </c>
      <c r="D67" s="10" t="inlineStr">
        <is>
          <t>Go Local Extra (Hannah's Convenience)</t>
        </is>
      </c>
      <c r="E67" s="10" t="inlineStr">
        <is>
          <t>Convenience Store</t>
        </is>
      </c>
      <c r="F67" s="10" t="inlineStr">
        <is>
          <t>Symbol group convenience</t>
        </is>
      </c>
      <c r="G67" s="10" t="inlineStr">
        <is>
          <t>Franchise / Symbol Group</t>
        </is>
      </c>
      <c r="H67" s="10" t="inlineStr">
        <is>
          <t>1</t>
        </is>
      </c>
      <c r="I67" s="10" t="inlineStr">
        <is>
          <t>290 Grimshaw Lane</t>
        </is>
      </c>
      <c r="J67" s="10" t="inlineStr">
        <is>
          <t>Middleton</t>
        </is>
      </c>
      <c r="K67" s="10" t="inlineStr">
        <is>
          <t>M24 2XL</t>
        </is>
      </c>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Independent retailer; Relevant category</t>
        </is>
      </c>
      <c r="X67" s="10" t="inlineStr">
        <is>
          <t>Not Found</t>
        </is>
      </c>
      <c r="Y67" s="10" t="inlineStr">
        <is>
          <t>Not Found</t>
        </is>
      </c>
      <c r="Z67" s="10" t="inlineStr">
        <is>
          <t>Low</t>
        </is>
      </c>
      <c r="AA67" s="10" t="inlineStr">
        <is>
          <t>Requires Verification</t>
        </is>
      </c>
      <c r="AB67" s="10" t="inlineStr">
        <is>
          <t>https://www.yelp.com/search?find_desc=Off+Licence&amp;find_loc=Middleton,+Greater+Manchester</t>
        </is>
      </c>
    </row>
    <row r="68">
      <c r="A68" s="5" t="inlineStr">
        <is>
          <t>UK-000428</t>
        </is>
      </c>
      <c r="B68" s="5" t="inlineStr">
        <is>
          <t>GOLOCALPAR-03</t>
        </is>
      </c>
      <c r="C68" s="5" t="inlineStr">
        <is>
          <t>Go Local (Parfetts)</t>
        </is>
      </c>
      <c r="D68" s="5" t="inlineStr">
        <is>
          <t>Go Local Tibbi Convenience Store</t>
        </is>
      </c>
      <c r="E68" s="5" t="inlineStr">
        <is>
          <t>Convenience Store</t>
        </is>
      </c>
      <c r="F68" s="5" t="inlineStr">
        <is>
          <t>Symbol-group convenience store</t>
        </is>
      </c>
      <c r="G68" s="5" t="inlineStr">
        <is>
          <t>Franchise / Symbol Group</t>
        </is>
      </c>
      <c r="H68" s="5" t="inlineStr">
        <is>
          <t>1</t>
        </is>
      </c>
      <c r="I68" s="5" t="inlineStr"/>
      <c r="J68" s="5" t="inlineStr">
        <is>
          <t>Tipton</t>
        </is>
      </c>
      <c r="K68" s="5" t="inlineStr"/>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https://tipton.cylex-uk.co.uk/company/go-local-tibbi-convenience-store-26088834.html</t>
        </is>
      </c>
    </row>
    <row r="69">
      <c r="A69" s="10" t="inlineStr">
        <is>
          <t>UK-000429</t>
        </is>
      </c>
      <c r="B69" s="10" t="inlineStr">
        <is>
          <t>GREYHAZE-01</t>
        </is>
      </c>
      <c r="C69" s="10" t="inlineStr">
        <is>
          <t>Grey Haze</t>
        </is>
      </c>
      <c r="D69" s="10" t="inlineStr">
        <is>
          <t>Grey Haze Vape &amp; Cafe Lounge - Kings Heath</t>
        </is>
      </c>
      <c r="E69" s="10" t="inlineStr">
        <is>
          <t>Vape Shop</t>
        </is>
      </c>
      <c r="F69" s="10" t="inlineStr">
        <is>
          <t>Vape shop and cafe lounge</t>
        </is>
      </c>
      <c r="G69" s="10" t="inlineStr">
        <is>
          <t>Regional Chain</t>
        </is>
      </c>
      <c r="H69" s="10" t="inlineStr">
        <is>
          <t>1</t>
        </is>
      </c>
      <c r="I69" s="10" t="inlineStr">
        <is>
          <t>73 High Street</t>
        </is>
      </c>
      <c r="J69" s="10" t="inlineStr">
        <is>
          <t>Birmingham</t>
        </is>
      </c>
      <c r="K69" s="10" t="inlineStr">
        <is>
          <t>B14 7BH</t>
        </is>
      </c>
      <c r="L69" s="10" t="inlineStr">
        <is>
          <t>0345 021 9294</t>
        </is>
      </c>
      <c r="M69" s="10" t="inlineStr"/>
      <c r="N69" s="10" t="inlineStr"/>
      <c r="O69" s="10" t="inlineStr">
        <is>
          <t>https://greyhaze.co.uk/</t>
        </is>
      </c>
      <c r="P69" s="10" t="inlineStr"/>
      <c r="Q69" s="10" t="inlineStr"/>
      <c r="R69" s="10" t="inlineStr"/>
      <c r="S69" s="10" t="inlineStr"/>
      <c r="T69" s="10" t="inlineStr"/>
      <c r="U69" s="10" t="inlineStr"/>
      <c r="V69" s="10" t="inlineStr">
        <is>
          <t>Medium</t>
        </is>
      </c>
      <c r="W69" s="10" t="inlineStr">
        <is>
          <t>Multi-site retailer; Core relevant category; Active website</t>
        </is>
      </c>
      <c r="X69" s="10" t="inlineStr">
        <is>
          <t>Verified directory</t>
        </is>
      </c>
      <c r="Y69" s="10" t="inlineStr">
        <is>
          <t>Website Found</t>
        </is>
      </c>
      <c r="Z69" s="10" t="inlineStr">
        <is>
          <t>Medium</t>
        </is>
      </c>
      <c r="AA69" s="10" t="inlineStr">
        <is>
          <t>Requires Verification</t>
        </is>
      </c>
      <c r="AB69" s="10" t="inlineStr">
        <is>
          <t>https://greyhaze.co.uk/pages/shop-locator</t>
        </is>
      </c>
    </row>
    <row r="70">
      <c r="A70" s="5" t="inlineStr">
        <is>
          <t>UK-000555</t>
        </is>
      </c>
      <c r="B70" s="5" t="inlineStr">
        <is>
          <t>HOUSEOFVAP-01</t>
        </is>
      </c>
      <c r="C70" s="5" t="inlineStr">
        <is>
          <t>House of Vapes London</t>
        </is>
      </c>
      <c r="D70" s="5" t="inlineStr">
        <is>
          <t>House of Vapes London - Notting Hill</t>
        </is>
      </c>
      <c r="E70" s="5" t="inlineStr">
        <is>
          <t>Vape Shop</t>
        </is>
      </c>
      <c r="F70" s="5" t="inlineStr">
        <is>
          <t>Vape hardware, e-liquids &amp; disposables</t>
        </is>
      </c>
      <c r="G70" s="5" t="inlineStr">
        <is>
          <t>Regional Chain</t>
        </is>
      </c>
      <c r="H70" s="5" t="inlineStr">
        <is>
          <t>1</t>
        </is>
      </c>
      <c r="I70" s="5" t="inlineStr">
        <is>
          <t>195 Portobello Road</t>
        </is>
      </c>
      <c r="J70" s="5" t="inlineStr">
        <is>
          <t>London</t>
        </is>
      </c>
      <c r="K70" s="5" t="inlineStr">
        <is>
          <t>W11 2ED</t>
        </is>
      </c>
      <c r="L70" s="5" t="inlineStr"/>
      <c r="M70" s="5" t="inlineStr"/>
      <c r="N70" s="5" t="inlineStr"/>
      <c r="O70" s="5" t="inlineStr">
        <is>
          <t>https://www.houseofvapeslondon.co.uk/</t>
        </is>
      </c>
      <c r="P70" s="5" t="inlineStr">
        <is>
          <t>https://www.facebook.com/houseofvapes.london/</t>
        </is>
      </c>
      <c r="Q70" s="5" t="inlineStr"/>
      <c r="R70" s="5" t="inlineStr"/>
      <c r="S70" s="5" t="inlineStr"/>
      <c r="T70" s="5" t="inlineStr">
        <is>
          <t>14483837</t>
        </is>
      </c>
      <c r="U70" s="5" t="inlineStr"/>
      <c r="V70" s="5" t="inlineStr">
        <is>
          <t>High</t>
        </is>
      </c>
      <c r="W70" s="5" t="inlineStr">
        <is>
          <t>Multi-site retailer; Core relevant category; Active website; Social presence</t>
        </is>
      </c>
      <c r="X70" s="5" t="inlineStr">
        <is>
          <t>Not Found</t>
        </is>
      </c>
      <c r="Y70" s="5" t="inlineStr">
        <is>
          <t>Not Found</t>
        </is>
      </c>
      <c r="Z70" s="5" t="inlineStr">
        <is>
          <t>Medium</t>
        </is>
      </c>
      <c r="AA70" s="5" t="inlineStr">
        <is>
          <t>Requires Verification</t>
        </is>
      </c>
      <c r="AB70" s="5" t="inlineStr">
        <is>
          <t>https://find-and-update.company-information.service.gov.uk/company/14483837</t>
        </is>
      </c>
    </row>
    <row r="71">
      <c r="A71" s="10" t="inlineStr">
        <is>
          <t>UK-000430</t>
        </is>
      </c>
      <c r="B71" s="10" t="inlineStr">
        <is>
          <t>HYPERAMAPL-01</t>
        </is>
      </c>
      <c r="C71" s="10" t="inlineStr">
        <is>
          <t>Hyperama PLC</t>
        </is>
      </c>
      <c r="D71" s="10" t="inlineStr">
        <is>
          <t>Hyperama Wholesale West Bromwich</t>
        </is>
      </c>
      <c r="E71" s="10" t="inlineStr">
        <is>
          <t>Cash &amp; Carry</t>
        </is>
      </c>
      <c r="F71" s="10" t="inlineStr">
        <is>
          <t>Cash &amp; carry wholesaler</t>
        </is>
      </c>
      <c r="G71" s="10" t="inlineStr">
        <is>
          <t>Regional Chain</t>
        </is>
      </c>
      <c r="H71" s="10" t="inlineStr">
        <is>
          <t>1</t>
        </is>
      </c>
      <c r="I71" s="10" t="inlineStr"/>
      <c r="J71" s="10" t="inlineStr">
        <is>
          <t>West Bromwich</t>
        </is>
      </c>
      <c r="K71" s="10" t="inlineStr">
        <is>
          <t>B70</t>
        </is>
      </c>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Core relevant category</t>
        </is>
      </c>
      <c r="X71" s="10" t="inlineStr">
        <is>
          <t>Not Found</t>
        </is>
      </c>
      <c r="Y71" s="10" t="inlineStr">
        <is>
          <t>Not Found</t>
        </is>
      </c>
      <c r="Z71" s="10" t="inlineStr">
        <is>
          <t>Medium</t>
        </is>
      </c>
      <c r="AA71" s="10" t="inlineStr">
        <is>
          <t>Requires Verification</t>
        </is>
      </c>
      <c r="AB71" s="10" t="inlineStr">
        <is>
          <t>https://www.yell.com/biz/hyperama-wholesale-west-bromwich-1694009/</t>
        </is>
      </c>
    </row>
    <row r="72">
      <c r="A72" s="5" t="inlineStr">
        <is>
          <t>UK-000708</t>
        </is>
      </c>
      <c r="B72" s="5" t="inlineStr">
        <is>
          <t>JWFILSHILL-01</t>
        </is>
      </c>
      <c r="C72" s="5" t="inlineStr">
        <is>
          <t>J.W. Filshill Ltd</t>
        </is>
      </c>
      <c r="D72" s="5" t="inlineStr">
        <is>
          <t>J.W. Filshill Ltd</t>
        </is>
      </c>
      <c r="E72" s="5" t="inlineStr">
        <is>
          <t>Cash &amp; Carry</t>
        </is>
      </c>
      <c r="F72" s="5" t="inlineStr">
        <is>
          <t>Wholesale distributor and cash &amp; carry (KeyStore symbol group)</t>
        </is>
      </c>
      <c r="G72" s="5" t="inlineStr">
        <is>
          <t>Regional Chain</t>
        </is>
      </c>
      <c r="H72" s="5" t="inlineStr">
        <is>
          <t>1</t>
        </is>
      </c>
      <c r="I72" s="5" t="inlineStr">
        <is>
          <t>201 Ainslie Avenue</t>
        </is>
      </c>
      <c r="J72" s="5" t="inlineStr">
        <is>
          <t>Glasgow</t>
        </is>
      </c>
      <c r="K72" s="5" t="inlineStr">
        <is>
          <t>G52 4HE</t>
        </is>
      </c>
      <c r="L72" s="5" t="inlineStr">
        <is>
          <t>0141 883 7071</t>
        </is>
      </c>
      <c r="M72" s="5" t="inlineStr"/>
      <c r="N72" s="5" t="inlineStr"/>
      <c r="O72" s="5" t="inlineStr">
        <is>
          <t>https://www.filshill.co.uk/</t>
        </is>
      </c>
      <c r="P72" s="5" t="inlineStr">
        <is>
          <t>https://www.facebook.com/filshill/</t>
        </is>
      </c>
      <c r="Q72" s="5" t="inlineStr"/>
      <c r="R72" s="5" t="inlineStr"/>
      <c r="S72" s="5" t="inlineStr"/>
      <c r="T72" s="5" t="inlineStr"/>
      <c r="U72" s="5" t="inlineStr"/>
      <c r="V72" s="5" t="inlineStr">
        <is>
          <t>High</t>
        </is>
      </c>
      <c r="W72" s="5" t="inlineStr">
        <is>
          <t>Multi-site retailer; Core relevant category; Active website; Social presence</t>
        </is>
      </c>
      <c r="X72" s="5" t="inlineStr">
        <is>
          <t>Verified directory</t>
        </is>
      </c>
      <c r="Y72" s="5" t="inlineStr">
        <is>
          <t>Website Found</t>
        </is>
      </c>
      <c r="Z72" s="5" t="inlineStr">
        <is>
          <t>Medium</t>
        </is>
      </c>
      <c r="AA72" s="5" t="inlineStr">
        <is>
          <t>Requires Verification</t>
        </is>
      </c>
      <c r="AB72" s="5" t="inlineStr">
        <is>
          <t>https://www.filshill.co.uk/about/</t>
        </is>
      </c>
    </row>
    <row r="73">
      <c r="A73" s="10" t="inlineStr">
        <is>
          <t>UK-000556</t>
        </is>
      </c>
      <c r="B73" s="10" t="inlineStr">
        <is>
          <t>JAMESJFOX-01</t>
        </is>
      </c>
      <c r="C73" s="10" t="inlineStr">
        <is>
          <t>James J. Fox</t>
        </is>
      </c>
      <c r="D73" s="10" t="inlineStr">
        <is>
          <t>James J Fox - St James's</t>
        </is>
      </c>
      <c r="E73" s="10" t="inlineStr">
        <is>
          <t>Tobacco Specialist</t>
        </is>
      </c>
      <c r="F73" s="10" t="inlineStr">
        <is>
          <t>Cigar merchant, museum &amp; sampling lounge</t>
        </is>
      </c>
      <c r="G73" s="10" t="inlineStr">
        <is>
          <t>Multi-Site Independent</t>
        </is>
      </c>
      <c r="H73" s="10" t="inlineStr">
        <is>
          <t>1</t>
        </is>
      </c>
      <c r="I73" s="10" t="inlineStr">
        <is>
          <t>19 St James's Street</t>
        </is>
      </c>
      <c r="J73" s="10" t="inlineStr">
        <is>
          <t>London</t>
        </is>
      </c>
      <c r="K73" s="10" t="inlineStr">
        <is>
          <t>SW1A 1ES</t>
        </is>
      </c>
      <c r="L73" s="10" t="inlineStr">
        <is>
          <t>020 7930 3787</t>
        </is>
      </c>
      <c r="M73" s="10" t="inlineStr"/>
      <c r="N73" s="10" t="inlineStr"/>
      <c r="O73" s="10" t="inlineStr">
        <is>
          <t>https://www.jjfox.co.uk/</t>
        </is>
      </c>
      <c r="P73" s="10" t="inlineStr"/>
      <c r="Q73" s="10" t="inlineStr"/>
      <c r="R73" s="10" t="inlineStr"/>
      <c r="S73" s="10" t="inlineStr"/>
      <c r="T73" s="10" t="inlineStr"/>
      <c r="U73" s="10" t="inlineStr"/>
      <c r="V73" s="10" t="inlineStr">
        <is>
          <t>High</t>
        </is>
      </c>
      <c r="W73" s="10" t="inlineStr">
        <is>
          <t>Multi-site retailer; Independent retailer; Core relevant category; Active website; Phone verified on official website</t>
        </is>
      </c>
      <c r="X73" s="10" t="inlineStr">
        <is>
          <t>Verified on official website</t>
        </is>
      </c>
      <c r="Y73" s="10" t="inlineStr">
        <is>
          <t>Website Found</t>
        </is>
      </c>
      <c r="Z73" s="10" t="inlineStr">
        <is>
          <t>Medium</t>
        </is>
      </c>
      <c r="AA73" s="10" t="inlineStr">
        <is>
          <t>Requires Verification</t>
        </is>
      </c>
      <c r="AB73" s="10" t="inlineStr">
        <is>
          <t>https://www.jjfox.co.uk/opening-hours</t>
        </is>
      </c>
    </row>
    <row r="74">
      <c r="A74" s="5" t="inlineStr">
        <is>
          <t>WY-0015</t>
        </is>
      </c>
      <c r="B74" s="5" t="inlineStr">
        <is>
          <t>KPMVAPES-01</t>
        </is>
      </c>
      <c r="C74" s="5" t="inlineStr">
        <is>
          <t>KPM Vapes</t>
        </is>
      </c>
      <c r="D74" s="5" t="inlineStr">
        <is>
          <t>KPM Vapes</t>
        </is>
      </c>
      <c r="E74" s="5" t="inlineStr">
        <is>
          <t>Vape Shop</t>
        </is>
      </c>
      <c r="F74" s="5" t="inlineStr">
        <is>
          <t>Vape retail and wholesale</t>
        </is>
      </c>
      <c r="G74" s="5" t="inlineStr">
        <is>
          <t>Multi-Site Independent</t>
        </is>
      </c>
      <c r="H74" s="5" t="inlineStr">
        <is>
          <t>2</t>
        </is>
      </c>
      <c r="I74" s="5" t="inlineStr">
        <is>
          <t>87/89 Wakefield Road</t>
        </is>
      </c>
      <c r="J74" s="5" t="inlineStr">
        <is>
          <t>Huddersfield</t>
        </is>
      </c>
      <c r="K74" s="5" t="inlineStr">
        <is>
          <t>HD5 9AB</t>
        </is>
      </c>
      <c r="L74" s="5" t="inlineStr">
        <is>
          <t>07463 530406</t>
        </is>
      </c>
      <c r="M74" s="5" t="inlineStr">
        <is>
          <t>kpmvapes@outlook.com</t>
        </is>
      </c>
      <c r="N74" s="5" t="inlineStr"/>
      <c r="O74" s="5" t="inlineStr"/>
      <c r="P74" s="5" t="inlineStr">
        <is>
          <t>https://www.facebook.com/people/KPM-Vapes/61556161391449/</t>
        </is>
      </c>
      <c r="Q74" s="5" t="inlineStr">
        <is>
          <t>https://www.instagram.com/kpmvapes/</t>
        </is>
      </c>
      <c r="R74" s="5" t="inlineStr"/>
      <c r="S74" s="5" t="inlineStr"/>
      <c r="T74" s="5" t="inlineStr"/>
      <c r="U74" s="5" t="inlineStr"/>
      <c r="V74" s="5" t="inlineStr">
        <is>
          <t>High</t>
        </is>
      </c>
      <c r="W74" s="5" t="inlineStr">
        <is>
          <t>Multi-site retailer; Independent retailer; Core relevant category; Public email available; Social presence</t>
        </is>
      </c>
      <c r="X74" s="5" t="inlineStr">
        <is>
          <t>Verified directory</t>
        </is>
      </c>
      <c r="Y74" s="5" t="inlineStr">
        <is>
          <t>Unverified</t>
        </is>
      </c>
      <c r="Z74" s="5" t="inlineStr">
        <is>
          <t>Medium</t>
        </is>
      </c>
      <c r="AA74" s="5" t="inlineStr">
        <is>
          <t>Requires Verification</t>
        </is>
      </c>
      <c r="AB74" s="5" t="inlineStr">
        <is>
          <t>https://www.facebook.com/people/KPM-Vapes/61556161391449/</t>
        </is>
      </c>
    </row>
    <row r="75">
      <c r="A75" s="10" t="inlineStr">
        <is>
          <t>WY-0016</t>
        </is>
      </c>
      <c r="B75" s="10" t="inlineStr">
        <is>
          <t>KARANRETAI-01</t>
        </is>
      </c>
      <c r="C75" s="10" t="inlineStr">
        <is>
          <t>Karan Retail Ltd</t>
        </is>
      </c>
      <c r="D75" s="10" t="inlineStr">
        <is>
          <t>Chidswell Service Station (Karan Retail)</t>
        </is>
      </c>
      <c r="E75" s="10" t="inlineStr">
        <is>
          <t>Petrol Station / Forecourt</t>
        </is>
      </c>
      <c r="F75" s="10" t="inlineStr">
        <is>
          <t>Forecourt with convenience store</t>
        </is>
      </c>
      <c r="G75" s="10" t="inlineStr">
        <is>
          <t>Multi-Site Independent</t>
        </is>
      </c>
      <c r="H75" s="10" t="inlineStr"/>
      <c r="I75" s="10" t="inlineStr">
        <is>
          <t>Off A653 (Chidswell)</t>
        </is>
      </c>
      <c r="J75" s="10" t="inlineStr">
        <is>
          <t>Dewsbury</t>
        </is>
      </c>
      <c r="K75" s="10" t="inlineStr"/>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https://www.asiantrader.biz/karan-retail-chidswell-service-station-acquisition</t>
        </is>
      </c>
    </row>
    <row r="76">
      <c r="A76" s="5" t="inlineStr">
        <is>
          <t>UK-000557</t>
        </is>
      </c>
      <c r="B76" s="5" t="inlineStr">
        <is>
          <t>LEASANDEMA-01</t>
        </is>
      </c>
      <c r="C76" s="5" t="inlineStr">
        <is>
          <t>Lea &amp; Sandeman</t>
        </is>
      </c>
      <c r="D76" s="5" t="inlineStr">
        <is>
          <t>Lea &amp; Sandeman - Fulham Road</t>
        </is>
      </c>
      <c r="E76" s="5" t="inlineStr">
        <is>
          <t>Off-Licence</t>
        </is>
      </c>
      <c r="F76" s="5" t="inlineStr">
        <is>
          <t>Independent wine merchant</t>
        </is>
      </c>
      <c r="G76" s="5" t="inlineStr">
        <is>
          <t>Multi-Site Independent</t>
        </is>
      </c>
      <c r="H76" s="5" t="inlineStr">
        <is>
          <t>1</t>
        </is>
      </c>
      <c r="I76" s="5" t="inlineStr">
        <is>
          <t>170 Fulham Road</t>
        </is>
      </c>
      <c r="J76" s="5" t="inlineStr">
        <is>
          <t>London</t>
        </is>
      </c>
      <c r="K76" s="5" t="inlineStr">
        <is>
          <t>SW10 9PR</t>
        </is>
      </c>
      <c r="L76" s="5" t="inlineStr">
        <is>
          <t>020 7244 0522</t>
        </is>
      </c>
      <c r="M76" s="5" t="inlineStr"/>
      <c r="N76" s="5" t="inlineStr"/>
      <c r="O76" s="5" t="inlineStr">
        <is>
          <t>https://www.leaandsandeman.co.uk/</t>
        </is>
      </c>
      <c r="P76" s="5" t="inlineStr"/>
      <c r="Q76" s="5" t="inlineStr"/>
      <c r="R76" s="5" t="inlineStr"/>
      <c r="S76" s="5" t="inlineStr"/>
      <c r="T76" s="5" t="inlineStr"/>
      <c r="U76" s="5" t="inlineStr"/>
      <c r="V76" s="5" t="inlineStr">
        <is>
          <t>Medium</t>
        </is>
      </c>
      <c r="W76" s="5" t="inlineStr">
        <is>
          <t>Multi-site retailer; Independent retailer; Relevant category; Active website</t>
        </is>
      </c>
      <c r="X76" s="5" t="inlineStr">
        <is>
          <t>Verified directory</t>
        </is>
      </c>
      <c r="Y76" s="5" t="inlineStr">
        <is>
          <t>Website Found</t>
        </is>
      </c>
      <c r="Z76" s="5" t="inlineStr">
        <is>
          <t>Medium</t>
        </is>
      </c>
      <c r="AA76" s="5" t="inlineStr">
        <is>
          <t>Requires Verification</t>
        </is>
      </c>
      <c r="AB76" s="5" t="inlineStr">
        <is>
          <t>https://www.yell.com/s/off+licences-fulham-london.html</t>
        </is>
      </c>
    </row>
    <row r="77">
      <c r="A77" s="10" t="inlineStr">
        <is>
          <t>UK-000709</t>
        </is>
      </c>
      <c r="B77" s="10" t="inlineStr">
        <is>
          <t>LOCAVORECI-01</t>
        </is>
      </c>
      <c r="C77" s="10" t="inlineStr">
        <is>
          <t>Locavore CIC</t>
        </is>
      </c>
      <c r="D77" s="10" t="inlineStr">
        <is>
          <t>Locavore (Govanhill)</t>
        </is>
      </c>
      <c r="E77" s="10" t="inlineStr">
        <is>
          <t>Independent Supermarket</t>
        </is>
      </c>
      <c r="F77" s="10" t="inlineStr">
        <is>
          <t>Organic / local produce grocery (CIC)</t>
        </is>
      </c>
      <c r="G77" s="10" t="inlineStr">
        <is>
          <t>Multi-Site Independent</t>
        </is>
      </c>
      <c r="H77" s="10" t="inlineStr">
        <is>
          <t>2</t>
        </is>
      </c>
      <c r="I77" s="10" t="inlineStr">
        <is>
          <t>349 Victoria Road</t>
        </is>
      </c>
      <c r="J77" s="10" t="inlineStr">
        <is>
          <t>Glasgow</t>
        </is>
      </c>
      <c r="K77" s="10" t="inlineStr">
        <is>
          <t>G42 7SA</t>
        </is>
      </c>
      <c r="L77" s="10" t="inlineStr">
        <is>
          <t>0141 378 1680</t>
        </is>
      </c>
      <c r="M77" s="10" t="inlineStr"/>
      <c r="N77" s="10" t="inlineStr"/>
      <c r="O77" s="10" t="inlineStr">
        <is>
          <t>https://www.locavore.scot/</t>
        </is>
      </c>
      <c r="P77" s="10" t="inlineStr">
        <is>
          <t>https://www.facebook.com/LocavoreCIC/</t>
        </is>
      </c>
      <c r="Q77" s="10" t="inlineStr"/>
      <c r="R77" s="10" t="inlineStr"/>
      <c r="S77" s="10" t="inlineStr"/>
      <c r="T77" s="10" t="inlineStr"/>
      <c r="U77" s="10" t="inlineStr"/>
      <c r="V77" s="10" t="inlineStr">
        <is>
          <t>High</t>
        </is>
      </c>
      <c r="W77" s="10" t="inlineStr">
        <is>
          <t>Multi-site retailer; Independent retailer; Relevant category; Active website; Social presence</t>
        </is>
      </c>
      <c r="X77" s="10" t="inlineStr">
        <is>
          <t>Verified directory</t>
        </is>
      </c>
      <c r="Y77" s="10" t="inlineStr">
        <is>
          <t>Website Found</t>
        </is>
      </c>
      <c r="Z77" s="10" t="inlineStr">
        <is>
          <t>Medium</t>
        </is>
      </c>
      <c r="AA77" s="10" t="inlineStr">
        <is>
          <t>Requires Verification</t>
        </is>
      </c>
      <c r="AB77" s="10" t="inlineStr">
        <is>
          <t>https://www.locavore.scot/farm-shop</t>
        </is>
      </c>
    </row>
    <row r="78">
      <c r="A78" s="5" t="inlineStr">
        <is>
          <t>UK-000558</t>
        </is>
      </c>
      <c r="B78" s="5" t="inlineStr">
        <is>
          <t>LONDIS-01</t>
        </is>
      </c>
      <c r="C78" s="5" t="inlineStr">
        <is>
          <t>Londis</t>
        </is>
      </c>
      <c r="D78" s="5" t="inlineStr">
        <is>
          <t>Londis (Fountayne Road)</t>
        </is>
      </c>
      <c r="E78" s="5" t="inlineStr">
        <is>
          <t>Convenience Store</t>
        </is>
      </c>
      <c r="F78" s="5" t="inlineStr">
        <is>
          <t>Symbol-group convenience store</t>
        </is>
      </c>
      <c r="G78" s="5" t="inlineStr">
        <is>
          <t>Franchise / Symbol Group</t>
        </is>
      </c>
      <c r="H78" s="5" t="inlineStr">
        <is>
          <t>1</t>
        </is>
      </c>
      <c r="I78" s="5" t="inlineStr">
        <is>
          <t>76 Fountayne Road</t>
        </is>
      </c>
      <c r="J78" s="5" t="inlineStr">
        <is>
          <t>Stoke Newington</t>
        </is>
      </c>
      <c r="K78" s="5" t="inlineStr">
        <is>
          <t>N16 7DT</t>
        </is>
      </c>
      <c r="L78" s="5" t="inlineStr">
        <is>
          <t>020 8806 5839</t>
        </is>
      </c>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Verified directory</t>
        </is>
      </c>
      <c r="Y78" s="5" t="inlineStr">
        <is>
          <t>Not Found</t>
        </is>
      </c>
      <c r="Z78" s="5" t="inlineStr">
        <is>
          <t>Medium</t>
        </is>
      </c>
      <c r="AA78" s="5" t="inlineStr">
        <is>
          <t>Requires Verification</t>
        </is>
      </c>
      <c r="AB78" s="5" t="inlineStr">
        <is>
          <t>https://www.192.com/atoz/business/london-n16/convenience-stores/londis/cee0a1a4ef9c5dd1c59cca7f4e3d954bfd7e922e/ugc/</t>
        </is>
      </c>
    </row>
    <row r="79">
      <c r="A79" s="10" t="inlineStr">
        <is>
          <t>UK-000309</t>
        </is>
      </c>
      <c r="B79" s="10" t="inlineStr">
        <is>
          <t>LONDIS-02</t>
        </is>
      </c>
      <c r="C79" s="10" t="inlineStr">
        <is>
          <t>Londis</t>
        </is>
      </c>
      <c r="D79" s="10" t="inlineStr">
        <is>
          <t>Shell Bramhall Service Station</t>
        </is>
      </c>
      <c r="E79" s="10" t="inlineStr">
        <is>
          <t>Petrol Station / Forecourt</t>
        </is>
      </c>
      <c r="F79" s="10" t="inlineStr">
        <is>
          <t>Forecourt convenience (symbol group)</t>
        </is>
      </c>
      <c r="G79" s="10" t="inlineStr">
        <is>
          <t>Franchise / Symbol Group</t>
        </is>
      </c>
      <c r="H79" s="10" t="inlineStr">
        <is>
          <t>1</t>
        </is>
      </c>
      <c r="I79" s="10" t="inlineStr"/>
      <c r="J79" s="10" t="inlineStr">
        <is>
          <t>Bramhall</t>
        </is>
      </c>
      <c r="K79" s="10" t="inlineStr"/>
      <c r="L79" s="10" t="inlineStr"/>
      <c r="M79" s="10" t="inlineStr"/>
      <c r="N79" s="10" t="inlineStr"/>
      <c r="O79" s="10" t="inlineStr">
        <is>
          <t>https://www.londis.co.uk/our-stores/shell-bramhall-service-station</t>
        </is>
      </c>
      <c r="P79" s="10" t="inlineStr"/>
      <c r="Q79" s="10" t="inlineStr"/>
      <c r="R79" s="10" t="inlineStr"/>
      <c r="S79" s="10" t="inlineStr"/>
      <c r="T79" s="10" t="inlineStr"/>
      <c r="U79" s="10" t="inlineStr"/>
      <c r="V79" s="10" t="inlineStr">
        <is>
          <t>Medium</t>
        </is>
      </c>
      <c r="W79" s="10" t="inlineStr">
        <is>
          <t>Multi-site retailer; Independent retailer; Relevant category; Active website</t>
        </is>
      </c>
      <c r="X79" s="10" t="inlineStr">
        <is>
          <t>Not Found</t>
        </is>
      </c>
      <c r="Y79" s="10" t="inlineStr">
        <is>
          <t>Website Found</t>
        </is>
      </c>
      <c r="Z79" s="10" t="inlineStr">
        <is>
          <t>Low</t>
        </is>
      </c>
      <c r="AA79" s="10" t="inlineStr">
        <is>
          <t>Requires Verification</t>
        </is>
      </c>
      <c r="AB79" s="10" t="inlineStr">
        <is>
          <t>https://www.londis.co.uk/our-stores/shell-bramhall-service-station</t>
        </is>
      </c>
    </row>
    <row r="80">
      <c r="A80" s="5" t="inlineStr">
        <is>
          <t>UK-000431</t>
        </is>
      </c>
      <c r="B80" s="5" t="inlineStr">
        <is>
          <t>LONDISBOOK-01</t>
        </is>
      </c>
      <c r="C80" s="5" t="inlineStr">
        <is>
          <t>Londis (Booker symbol group)</t>
        </is>
      </c>
      <c r="D80" s="5" t="inlineStr">
        <is>
          <t>Londis Hall Green</t>
        </is>
      </c>
      <c r="E80" s="5" t="inlineStr">
        <is>
          <t>Convenience Store</t>
        </is>
      </c>
      <c r="F80" s="5" t="inlineStr">
        <is>
          <t>Symbol-group convenience store</t>
        </is>
      </c>
      <c r="G80" s="5" t="inlineStr">
        <is>
          <t>Franchise / Symbol Group</t>
        </is>
      </c>
      <c r="H80" s="5" t="inlineStr">
        <is>
          <t>1</t>
        </is>
      </c>
      <c r="I80" s="5" t="inlineStr"/>
      <c r="J80" s="5" t="inlineStr">
        <is>
          <t>Birmingham</t>
        </is>
      </c>
      <c r="K80" s="5" t="inlineStr"/>
      <c r="L80" s="5" t="inlineStr"/>
      <c r="M80" s="5" t="inlineStr"/>
      <c r="N80" s="5" t="inlineStr"/>
      <c r="O80" s="5" t="inlineStr">
        <is>
          <t>https://www.londis.co.uk/our-stores/londis-hall-green</t>
        </is>
      </c>
      <c r="P80" s="5" t="inlineStr"/>
      <c r="Q80" s="5" t="inlineStr"/>
      <c r="R80" s="5" t="inlineStr"/>
      <c r="S80" s="5" t="inlineStr"/>
      <c r="T80" s="5" t="inlineStr"/>
      <c r="U80" s="5" t="inlineStr"/>
      <c r="V80" s="5" t="inlineStr">
        <is>
          <t>Medium</t>
        </is>
      </c>
      <c r="W80" s="5" t="inlineStr">
        <is>
          <t>Multi-site retailer; Independent retailer; Relevant category; Active website</t>
        </is>
      </c>
      <c r="X80" s="5" t="inlineStr">
        <is>
          <t>Not Found</t>
        </is>
      </c>
      <c r="Y80" s="5" t="inlineStr">
        <is>
          <t>Website Found</t>
        </is>
      </c>
      <c r="Z80" s="5" t="inlineStr">
        <is>
          <t>Low</t>
        </is>
      </c>
      <c r="AA80" s="5" t="inlineStr">
        <is>
          <t>Requires Verification</t>
        </is>
      </c>
      <c r="AB80" s="5" t="inlineStr">
        <is>
          <t>https://www.londis.co.uk/our-stores/londis-hall-green</t>
        </is>
      </c>
    </row>
    <row r="81">
      <c r="A81" s="10" t="inlineStr">
        <is>
          <t>UK-000432</t>
        </is>
      </c>
      <c r="B81" s="10" t="inlineStr">
        <is>
          <t>LONDISBOOK-02</t>
        </is>
      </c>
      <c r="C81" s="10" t="inlineStr">
        <is>
          <t>Londis (Booker symbol group)</t>
        </is>
      </c>
      <c r="D81" s="10" t="inlineStr">
        <is>
          <t>Shell Yardley Wood Service Station</t>
        </is>
      </c>
      <c r="E81" s="10" t="inlineStr">
        <is>
          <t>Petrol Station / Forecourt</t>
        </is>
      </c>
      <c r="F81" s="10" t="inlineStr">
        <is>
          <t>Forecourt with Londis convenience store</t>
        </is>
      </c>
      <c r="G81" s="10" t="inlineStr">
        <is>
          <t>Franchise / Symbol Group</t>
        </is>
      </c>
      <c r="H81" s="10" t="inlineStr">
        <is>
          <t>1</t>
        </is>
      </c>
      <c r="I81" s="10" t="inlineStr">
        <is>
          <t>Yardley Wood Road</t>
        </is>
      </c>
      <c r="J81" s="10" t="inlineStr">
        <is>
          <t>Birmingham</t>
        </is>
      </c>
      <c r="K81" s="10" t="inlineStr">
        <is>
          <t>B14 4QA</t>
        </is>
      </c>
      <c r="L81" s="10" t="inlineStr">
        <is>
          <t>0121 474 4928</t>
        </is>
      </c>
      <c r="M81" s="10" t="inlineStr"/>
      <c r="N81" s="10" t="inlineStr"/>
      <c r="O81" s="10" t="inlineStr">
        <is>
          <t>https://www.londis.co.uk/our-stores/shell-yardley-wood-service-station</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Verified directory</t>
        </is>
      </c>
      <c r="Y81" s="10" t="inlineStr">
        <is>
          <t>Website Found</t>
        </is>
      </c>
      <c r="Z81" s="10" t="inlineStr">
        <is>
          <t>Medium</t>
        </is>
      </c>
      <c r="AA81" s="10" t="inlineStr">
        <is>
          <t>Requires Verification</t>
        </is>
      </c>
      <c r="AB81" s="10" t="inlineStr">
        <is>
          <t>https://www.londis.co.uk/our-stores/shell-yardley-wood-service-station</t>
        </is>
      </c>
    </row>
    <row r="82">
      <c r="A82" s="5" t="inlineStr">
        <is>
          <t>UK-000710</t>
        </is>
      </c>
      <c r="B82" s="5" t="inlineStr">
        <is>
          <t>LONDISSYMB-01</t>
        </is>
      </c>
      <c r="C82" s="5" t="inlineStr">
        <is>
          <t>Londis (symbol group); BP (fuel brand)</t>
        </is>
      </c>
      <c r="D82" s="5" t="inlineStr">
        <is>
          <t>BP Cliftonhill (Cliftonhill Service Station) / Londis</t>
        </is>
      </c>
      <c r="E82" s="5" t="inlineStr">
        <is>
          <t>Petrol Station / Forecourt</t>
        </is>
      </c>
      <c r="F82" s="5" t="inlineStr">
        <is>
          <t>Petrol forecourt with Londis convenience shop</t>
        </is>
      </c>
      <c r="G82" s="5" t="inlineStr">
        <is>
          <t>Franchise / Symbol Group</t>
        </is>
      </c>
      <c r="H82" s="5" t="inlineStr">
        <is>
          <t>1</t>
        </is>
      </c>
      <c r="I82" s="5" t="inlineStr">
        <is>
          <t>231 Main Street</t>
        </is>
      </c>
      <c r="J82" s="5" t="inlineStr">
        <is>
          <t>Coatbridge</t>
        </is>
      </c>
      <c r="K82" s="5" t="inlineStr">
        <is>
          <t>ML5 3RA</t>
        </is>
      </c>
      <c r="L82" s="5" t="inlineStr">
        <is>
          <t>01236 433242</t>
        </is>
      </c>
      <c r="M82" s="5" t="inlineStr"/>
      <c r="N82" s="5" t="inlineStr"/>
      <c r="O82" s="5" t="inlineStr"/>
      <c r="P82" s="5" t="inlineStr">
        <is>
          <t>https://www.facebook.com/BPCliftonhillLondis/</t>
        </is>
      </c>
      <c r="Q82" s="5" t="inlineStr"/>
      <c r="R82" s="5" t="inlineStr"/>
      <c r="S82" s="5" t="inlineStr"/>
      <c r="T82" s="5" t="inlineStr"/>
      <c r="U82" s="5" t="inlineStr"/>
      <c r="V82" s="5" t="inlineStr">
        <is>
          <t>Medium</t>
        </is>
      </c>
      <c r="W82" s="5" t="inlineStr">
        <is>
          <t>Multi-site retailer; Independent retailer; Relevant category; Social presence</t>
        </is>
      </c>
      <c r="X82" s="5" t="inlineStr">
        <is>
          <t>Verified directory</t>
        </is>
      </c>
      <c r="Y82" s="5" t="inlineStr">
        <is>
          <t>Not Found</t>
        </is>
      </c>
      <c r="Z82" s="5" t="inlineStr">
        <is>
          <t>Medium</t>
        </is>
      </c>
      <c r="AA82" s="5" t="inlineStr">
        <is>
          <t>Requires Verification</t>
        </is>
      </c>
      <c r="AB82" s="5" t="inlineStr">
        <is>
          <t>https://map.bp.com/en-GB/GB/petrol-station/coatbridge/cliftonhill-service-station/17708</t>
        </is>
      </c>
    </row>
    <row r="83">
      <c r="A83" s="10" t="inlineStr">
        <is>
          <t>UK-000310</t>
        </is>
      </c>
      <c r="B83" s="10" t="inlineStr">
        <is>
          <t>MANCHESTER-01</t>
        </is>
      </c>
      <c r="C83" s="10" t="inlineStr">
        <is>
          <t>Manchester Super Stores</t>
        </is>
      </c>
      <c r="D83" s="10" t="inlineStr">
        <is>
          <t>Manchester Super Stores (Longsight)</t>
        </is>
      </c>
      <c r="E83" s="10" t="inlineStr">
        <is>
          <t>Independent Supermarket</t>
        </is>
      </c>
      <c r="F83" s="10" t="inlineStr">
        <is>
          <t>Asian/ethnic food supermarket (halal)</t>
        </is>
      </c>
      <c r="G83" s="10" t="inlineStr">
        <is>
          <t>Multi-Site Independent</t>
        </is>
      </c>
      <c r="H83" s="10" t="inlineStr">
        <is>
          <t>3</t>
        </is>
      </c>
      <c r="I83" s="10" t="inlineStr">
        <is>
          <t>536-538 Stockport Road</t>
        </is>
      </c>
      <c r="J83" s="10" t="inlineStr">
        <is>
          <t>Manchester</t>
        </is>
      </c>
      <c r="K83" s="10" t="inlineStr">
        <is>
          <t>M12 4JJ</t>
        </is>
      </c>
      <c r="L83" s="10" t="inlineStr">
        <is>
          <t>0161 721 4495</t>
        </is>
      </c>
      <c r="M83" s="10" t="inlineStr"/>
      <c r="N83" s="10" t="inlineStr"/>
      <c r="O83" s="10" t="inlineStr">
        <is>
          <t>https://manchestersuperstores.co.uk/</t>
        </is>
      </c>
      <c r="P83" s="10" t="inlineStr">
        <is>
          <t>https://www.facebook.com/Manchestersuperstores/</t>
        </is>
      </c>
      <c r="Q83" s="10" t="inlineStr"/>
      <c r="R83" s="10" t="inlineStr"/>
      <c r="S83" s="10" t="inlineStr"/>
      <c r="T83" s="10" t="inlineStr"/>
      <c r="U83" s="10" t="inlineStr"/>
      <c r="V83" s="10" t="inlineStr">
        <is>
          <t>High</t>
        </is>
      </c>
      <c r="W83" s="10" t="inlineStr">
        <is>
          <t>Multi-site retailer; Independent retailer; Relevant category; Active website; Social presence</t>
        </is>
      </c>
      <c r="X83" s="10" t="inlineStr">
        <is>
          <t>Verified directory</t>
        </is>
      </c>
      <c r="Y83" s="10" t="inlineStr">
        <is>
          <t>Website Found</t>
        </is>
      </c>
      <c r="Z83" s="10" t="inlineStr">
        <is>
          <t>Medium</t>
        </is>
      </c>
      <c r="AA83" s="10" t="inlineStr">
        <is>
          <t>Requires Verification</t>
        </is>
      </c>
      <c r="AB83" s="10" t="inlineStr">
        <is>
          <t>https://manchestersuperstores.co.uk/store-locations/manchester-super-stores-in-longsight/</t>
        </is>
      </c>
    </row>
    <row r="84">
      <c r="A84" s="5" t="inlineStr">
        <is>
          <t>UK-000311</t>
        </is>
      </c>
      <c r="B84" s="5" t="inlineStr">
        <is>
          <t>MANCHESTER-02</t>
        </is>
      </c>
      <c r="C84" s="5" t="inlineStr">
        <is>
          <t>Manchester Super Stores</t>
        </is>
      </c>
      <c r="D84" s="5" t="inlineStr">
        <is>
          <t>Manchester Super Stores (Rusholme)</t>
        </is>
      </c>
      <c r="E84" s="5" t="inlineStr">
        <is>
          <t>Independent Supermarket</t>
        </is>
      </c>
      <c r="F84" s="5" t="inlineStr">
        <is>
          <t>Asian/ethnic food supermarket (halal)</t>
        </is>
      </c>
      <c r="G84" s="5" t="inlineStr">
        <is>
          <t>Multi-Site Independent</t>
        </is>
      </c>
      <c r="H84" s="5" t="inlineStr">
        <is>
          <t>3</t>
        </is>
      </c>
      <c r="I84" s="5" t="inlineStr">
        <is>
          <t>132-142 Wilmslow Road</t>
        </is>
      </c>
      <c r="J84" s="5" t="inlineStr">
        <is>
          <t>Manchester</t>
        </is>
      </c>
      <c r="K84" s="5" t="inlineStr">
        <is>
          <t>M14 5AH</t>
        </is>
      </c>
      <c r="L84" s="5" t="inlineStr">
        <is>
          <t>0161 224 5899</t>
        </is>
      </c>
      <c r="M84" s="5" t="inlineStr"/>
      <c r="N84" s="5" t="inlineStr"/>
      <c r="O84" s="5" t="inlineStr">
        <is>
          <t>https://manchestersuperstores.co.uk/</t>
        </is>
      </c>
      <c r="P84" s="5" t="inlineStr">
        <is>
          <t>https://www.facebook.com/Manchestersuperstores/</t>
        </is>
      </c>
      <c r="Q84" s="5" t="inlineStr"/>
      <c r="R84" s="5" t="inlineStr"/>
      <c r="S84" s="5" t="inlineStr"/>
      <c r="T84" s="5" t="inlineStr"/>
      <c r="U84" s="5" t="inlineStr"/>
      <c r="V84" s="5" t="inlineStr">
        <is>
          <t>High</t>
        </is>
      </c>
      <c r="W84" s="5" t="inlineStr">
        <is>
          <t>Multi-site retailer; Independent retailer; Relevant category; Active website; Social presence</t>
        </is>
      </c>
      <c r="X84" s="5" t="inlineStr">
        <is>
          <t>Verified directory</t>
        </is>
      </c>
      <c r="Y84" s="5" t="inlineStr">
        <is>
          <t>Website Found</t>
        </is>
      </c>
      <c r="Z84" s="5" t="inlineStr">
        <is>
          <t>Medium</t>
        </is>
      </c>
      <c r="AA84" s="5" t="inlineStr">
        <is>
          <t>Requires Verification</t>
        </is>
      </c>
      <c r="AB84" s="5" t="inlineStr">
        <is>
          <t>https://manchestersuperstores.co.uk/store-locations/manchester-super-stores-in-rusholme/</t>
        </is>
      </c>
    </row>
    <row r="85">
      <c r="A85" s="10" t="inlineStr">
        <is>
          <t>WY-0017</t>
        </is>
      </c>
      <c r="B85" s="10" t="inlineStr">
        <is>
          <t>MANCHESTER-03</t>
        </is>
      </c>
      <c r="C85" s="10" t="inlineStr">
        <is>
          <t>Manchester Super Stores</t>
        </is>
      </c>
      <c r="D85" s="10" t="inlineStr">
        <is>
          <t>Manchester Superstore (Wakefield)</t>
        </is>
      </c>
      <c r="E85" s="10" t="inlineStr">
        <is>
          <t>Independent Supermarket</t>
        </is>
      </c>
      <c r="F85" s="10" t="inlineStr">
        <is>
          <t>Ethnic / Asian supermarket with halal meat</t>
        </is>
      </c>
      <c r="G85" s="10" t="inlineStr">
        <is>
          <t>Regional Chain</t>
        </is>
      </c>
      <c r="H85" s="10" t="inlineStr"/>
      <c r="I85" s="10" t="inlineStr">
        <is>
          <t>38 Park Lodge Lane</t>
        </is>
      </c>
      <c r="J85" s="10" t="inlineStr">
        <is>
          <t>Wakefield</t>
        </is>
      </c>
      <c r="K85" s="10" t="inlineStr">
        <is>
          <t>WF1 4NL</t>
        </is>
      </c>
      <c r="L85" s="10" t="inlineStr">
        <is>
          <t>01924 369105</t>
        </is>
      </c>
      <c r="M85" s="10" t="inlineStr"/>
      <c r="N85" s="10" t="inlineStr"/>
      <c r="O85" s="10" t="inlineStr">
        <is>
          <t>https://manchestersuperstores.co.uk/store-locations/manchester-super-stores-in-wakefield/</t>
        </is>
      </c>
      <c r="P85" s="10" t="inlineStr">
        <is>
          <t>https://www.facebook.com/p/Manchester-superstore-100067793681757/</t>
        </is>
      </c>
      <c r="Q85" s="10" t="inlineStr"/>
      <c r="R85" s="10" t="inlineStr"/>
      <c r="S85" s="10" t="inlineStr"/>
      <c r="T85" s="10" t="inlineStr">
        <is>
          <t>08447369</t>
        </is>
      </c>
      <c r="U85" s="10" t="inlineStr"/>
      <c r="V85" s="10" t="inlineStr">
        <is>
          <t>Medium</t>
        </is>
      </c>
      <c r="W85" s="10" t="inlineStr">
        <is>
          <t>Multi-site retailer; Relevant category; Active website; Social presence</t>
        </is>
      </c>
      <c r="X85" s="10" t="inlineStr">
        <is>
          <t>Verified directory</t>
        </is>
      </c>
      <c r="Y85" s="10" t="inlineStr">
        <is>
          <t>Website Found</t>
        </is>
      </c>
      <c r="Z85" s="10" t="inlineStr">
        <is>
          <t>Medium</t>
        </is>
      </c>
      <c r="AA85" s="10" t="inlineStr">
        <is>
          <t>Requires Verification</t>
        </is>
      </c>
      <c r="AB85" s="10" t="inlineStr">
        <is>
          <t>https://manchestersuperstores.co.uk/store-locations/manchester-super-stores-in-wakefield/</t>
        </is>
      </c>
    </row>
    <row r="86">
      <c r="A86" s="5" t="inlineStr">
        <is>
          <t>WY-0018</t>
        </is>
      </c>
      <c r="B86" s="5" t="inlineStr">
        <is>
          <t>MANCHESTER-04</t>
        </is>
      </c>
      <c r="C86" s="5" t="inlineStr">
        <is>
          <t>Manchester Super Stores</t>
        </is>
      </c>
      <c r="D86" s="5" t="inlineStr">
        <is>
          <t>Manchester Superstore Bradford</t>
        </is>
      </c>
      <c r="E86" s="5" t="inlineStr">
        <is>
          <t>Independent Supermarket</t>
        </is>
      </c>
      <c r="F86" s="5" t="inlineStr">
        <is>
          <t>Asian / halal superstore</t>
        </is>
      </c>
      <c r="G86" s="5" t="inlineStr">
        <is>
          <t>Multi-Site Independent</t>
        </is>
      </c>
      <c r="H86" s="5" t="inlineStr"/>
      <c r="I86" s="5" t="inlineStr">
        <is>
          <t>Florence Street</t>
        </is>
      </c>
      <c r="J86" s="5" t="inlineStr">
        <is>
          <t>Bradford</t>
        </is>
      </c>
      <c r="K86" s="5" t="inlineStr">
        <is>
          <t>BD3 8EX</t>
        </is>
      </c>
      <c r="L86" s="5" t="inlineStr">
        <is>
          <t>01274 668800</t>
        </is>
      </c>
      <c r="M86" s="5" t="inlineStr">
        <is>
          <t>mssbradford01@gmail.com</t>
        </is>
      </c>
      <c r="N86" s="5" t="inlineStr"/>
      <c r="O86" s="5" t="inlineStr">
        <is>
          <t>https://manchestersuperstores.co.uk/store-locations/manchester-super-stores-in-bradford/</t>
        </is>
      </c>
      <c r="P86" s="5" t="inlineStr">
        <is>
          <t>https://www.facebook.com/p/Manchester-SuperStore-Bradford-100066139307711/</t>
        </is>
      </c>
      <c r="Q86" s="5" t="inlineStr"/>
      <c r="R86" s="5" t="inlineStr"/>
      <c r="S86" s="5" t="inlineStr"/>
      <c r="T86" s="5" t="inlineStr"/>
      <c r="U86" s="5" t="inlineStr"/>
      <c r="V86" s="5" t="inlineStr">
        <is>
          <t>High</t>
        </is>
      </c>
      <c r="W86" s="5" t="inlineStr">
        <is>
          <t>Multi-site retailer; Independent retailer; Relevant category; Public email available; Active website; Social presence</t>
        </is>
      </c>
      <c r="X86" s="5" t="inlineStr">
        <is>
          <t>Verified directory</t>
        </is>
      </c>
      <c r="Y86" s="5" t="inlineStr">
        <is>
          <t>Website Found</t>
        </is>
      </c>
      <c r="Z86" s="5" t="inlineStr">
        <is>
          <t>Medium</t>
        </is>
      </c>
      <c r="AA86" s="5" t="inlineStr">
        <is>
          <t>Partially Verified</t>
        </is>
      </c>
      <c r="AB86" s="5" t="inlineStr">
        <is>
          <t>https://manchestersuperstores.co.uk/store-locations/manchester-super-stores-in-bradford/</t>
        </is>
      </c>
    </row>
    <row r="87">
      <c r="A87" s="10" t="inlineStr">
        <is>
          <t>WY-0019</t>
        </is>
      </c>
      <c r="B87" s="10" t="inlineStr">
        <is>
          <t>MULLACO-01</t>
        </is>
      </c>
      <c r="C87" s="10" t="inlineStr">
        <is>
          <t>Mullaco</t>
        </is>
      </c>
      <c r="D87" s="10" t="inlineStr">
        <is>
          <t>Mullaco (Batley)</t>
        </is>
      </c>
      <c r="E87" s="10" t="inlineStr">
        <is>
          <t>Independent Supermarket</t>
        </is>
      </c>
      <c r="F87" s="10" t="inlineStr">
        <is>
          <t>Asian and continental world foods store</t>
        </is>
      </c>
      <c r="G87" s="10" t="inlineStr">
        <is>
          <t>Regional Chain</t>
        </is>
      </c>
      <c r="H87" s="10" t="inlineStr">
        <is>
          <t>3</t>
        </is>
      </c>
      <c r="I87" s="10" t="inlineStr">
        <is>
          <t>35 Oxford Street</t>
        </is>
      </c>
      <c r="J87" s="10" t="inlineStr">
        <is>
          <t>Batley</t>
        </is>
      </c>
      <c r="K87" s="10" t="inlineStr">
        <is>
          <t>WF17 7PJ</t>
        </is>
      </c>
      <c r="L87" s="10" t="inlineStr">
        <is>
          <t>01924 939128</t>
        </is>
      </c>
      <c r="M87" s="10" t="inlineStr"/>
      <c r="N87" s="10" t="inlineStr"/>
      <c r="O87" s="10" t="inlineStr">
        <is>
          <t>https://mullaco.co.uk/</t>
        </is>
      </c>
      <c r="P87" s="10" t="inlineStr">
        <is>
          <t>https://www.facebook.com/mullaco.supermarket/</t>
        </is>
      </c>
      <c r="Q87" s="10" t="inlineStr">
        <is>
          <t>https://www.instagram.com/mullacosupermarket/</t>
        </is>
      </c>
      <c r="R87" s="10" t="inlineStr"/>
      <c r="S87" s="10" t="inlineStr"/>
      <c r="T87" s="10" t="inlineStr"/>
      <c r="U87" s="10" t="inlineStr"/>
      <c r="V87" s="10" t="inlineStr">
        <is>
          <t>Medium</t>
        </is>
      </c>
      <c r="W87" s="10" t="inlineStr">
        <is>
          <t>Multi-site retailer; Relevant category; Active website; Social presence</t>
        </is>
      </c>
      <c r="X87" s="10" t="inlineStr">
        <is>
          <t>Verified directory</t>
        </is>
      </c>
      <c r="Y87" s="10" t="inlineStr">
        <is>
          <t>Website Found</t>
        </is>
      </c>
      <c r="Z87" s="10" t="inlineStr">
        <is>
          <t>Medium</t>
        </is>
      </c>
      <c r="AA87" s="10" t="inlineStr">
        <is>
          <t>Requires Verification</t>
        </is>
      </c>
      <c r="AB87" s="10" t="inlineStr">
        <is>
          <t>https://mullaco.co.uk/contact-us/</t>
        </is>
      </c>
    </row>
    <row r="88">
      <c r="A88" s="5" t="inlineStr">
        <is>
          <t>WY-0020</t>
        </is>
      </c>
      <c r="B88" s="5" t="inlineStr">
        <is>
          <t>MULLACO-02</t>
        </is>
      </c>
      <c r="C88" s="5" t="inlineStr">
        <is>
          <t>Mullaco</t>
        </is>
      </c>
      <c r="D88" s="5" t="inlineStr">
        <is>
          <t>Mullaco Minimarket (Dewsbury)</t>
        </is>
      </c>
      <c r="E88" s="5" t="inlineStr">
        <is>
          <t>Convenience Store</t>
        </is>
      </c>
      <c r="F88" s="5" t="inlineStr">
        <is>
          <t>World foods minimarket</t>
        </is>
      </c>
      <c r="G88" s="5" t="inlineStr">
        <is>
          <t>Regional Chain</t>
        </is>
      </c>
      <c r="H88" s="5" t="inlineStr">
        <is>
          <t>3</t>
        </is>
      </c>
      <c r="I88" s="5" t="inlineStr"/>
      <c r="J88" s="5" t="inlineStr">
        <is>
          <t>Dewsbury</t>
        </is>
      </c>
      <c r="K88" s="5" t="inlineStr">
        <is>
          <t>WF12 9LX</t>
        </is>
      </c>
      <c r="L88" s="5" t="inlineStr"/>
      <c r="M88" s="5" t="inlineStr"/>
      <c r="N88" s="5" t="inlineStr"/>
      <c r="O88" s="5" t="inlineStr">
        <is>
          <t>https://mullaco.co.uk/</t>
        </is>
      </c>
      <c r="P88" s="5" t="inlineStr">
        <is>
          <t>https://www.facebook.com/mullaco.supermarket/</t>
        </is>
      </c>
      <c r="Q88" s="5" t="inlineStr"/>
      <c r="R88" s="5" t="inlineStr"/>
      <c r="S88" s="5" t="inlineStr"/>
      <c r="T88" s="5" t="inlineStr"/>
      <c r="U88" s="5" t="inlineStr"/>
      <c r="V88" s="5" t="inlineStr">
        <is>
          <t>Medium</t>
        </is>
      </c>
      <c r="W88" s="5" t="inlineStr">
        <is>
          <t>Multi-site retailer; Relevant category; Active website; Social presence</t>
        </is>
      </c>
      <c r="X88" s="5" t="inlineStr">
        <is>
          <t>Not Found</t>
        </is>
      </c>
      <c r="Y88" s="5" t="inlineStr">
        <is>
          <t>Website Found</t>
        </is>
      </c>
      <c r="Z88" s="5" t="inlineStr">
        <is>
          <t>Medium</t>
        </is>
      </c>
      <c r="AA88" s="5" t="inlineStr">
        <is>
          <t>Requires Verification</t>
        </is>
      </c>
      <c r="AB88" s="5" t="inlineStr">
        <is>
          <t>https://www.facebook.com/mullaco.supermarket/</t>
        </is>
      </c>
    </row>
    <row r="89">
      <c r="A89" s="10" t="inlineStr">
        <is>
          <t>WY-0021</t>
        </is>
      </c>
      <c r="B89" s="10" t="inlineStr">
        <is>
          <t>MULLACO-03</t>
        </is>
      </c>
      <c r="C89" s="10" t="inlineStr">
        <is>
          <t>Mullaco</t>
        </is>
      </c>
      <c r="D89" s="10" t="inlineStr">
        <is>
          <t>Mullaco Supermarket (Dewsbury)</t>
        </is>
      </c>
      <c r="E89" s="10" t="inlineStr">
        <is>
          <t>Independent Supermarket</t>
        </is>
      </c>
      <c r="F89" s="10" t="inlineStr">
        <is>
          <t>Asian and continental world foods supermarket</t>
        </is>
      </c>
      <c r="G89" s="10" t="inlineStr">
        <is>
          <t>Regional Chain</t>
        </is>
      </c>
      <c r="H89" s="10" t="inlineStr">
        <is>
          <t>3</t>
        </is>
      </c>
      <c r="I89" s="10" t="inlineStr">
        <is>
          <t>Mullaco Retail Park, Slaithwaite Road</t>
        </is>
      </c>
      <c r="J89" s="10" t="inlineStr">
        <is>
          <t>Dewsbury</t>
        </is>
      </c>
      <c r="K89" s="10" t="inlineStr">
        <is>
          <t>WF12 0AA</t>
        </is>
      </c>
      <c r="L89" s="10" t="inlineStr">
        <is>
          <t>01924 465909</t>
        </is>
      </c>
      <c r="M89" s="10" t="inlineStr"/>
      <c r="N89" s="10" t="inlineStr"/>
      <c r="O89" s="10" t="inlineStr">
        <is>
          <t>https://mullaco.co.uk/</t>
        </is>
      </c>
      <c r="P89" s="10" t="inlineStr">
        <is>
          <t>https://www.facebook.com/mullaco.supermarket/</t>
        </is>
      </c>
      <c r="Q89" s="10" t="inlineStr">
        <is>
          <t>https://www.instagram.com/mullacosupermarket/</t>
        </is>
      </c>
      <c r="R89" s="10" t="inlineStr"/>
      <c r="S89" s="10" t="inlineStr"/>
      <c r="T89" s="10" t="inlineStr">
        <is>
          <t>06629345</t>
        </is>
      </c>
      <c r="U89" s="10" t="inlineStr"/>
      <c r="V89" s="10" t="inlineStr">
        <is>
          <t>Medium</t>
        </is>
      </c>
      <c r="W89" s="10" t="inlineStr">
        <is>
          <t>Multi-site retailer; Relevant category; Active website; Social presence</t>
        </is>
      </c>
      <c r="X89" s="10" t="inlineStr">
        <is>
          <t>Verified directory</t>
        </is>
      </c>
      <c r="Y89" s="10" t="inlineStr">
        <is>
          <t>Website Found</t>
        </is>
      </c>
      <c r="Z89" s="10" t="inlineStr">
        <is>
          <t>Medium</t>
        </is>
      </c>
      <c r="AA89" s="10" t="inlineStr">
        <is>
          <t>Requires Verification</t>
        </is>
      </c>
      <c r="AB89" s="10" t="inlineStr">
        <is>
          <t>https://mullaco.co.uk/contact-us/</t>
        </is>
      </c>
    </row>
    <row r="90">
      <c r="A90" s="5" t="inlineStr">
        <is>
          <t>UK-000433</t>
        </is>
      </c>
      <c r="B90" s="5" t="inlineStr">
        <is>
          <t>MWANAKAFRE-01</t>
        </is>
      </c>
      <c r="C90" s="5" t="inlineStr">
        <is>
          <t>Mwanaka Fresh Farm Foods</t>
        </is>
      </c>
      <c r="D90" s="5" t="inlineStr">
        <is>
          <t>Mwanaka Fresh Farm Foods</t>
        </is>
      </c>
      <c r="E90" s="5" t="inlineStr">
        <is>
          <t>Independent Supermarket</t>
        </is>
      </c>
      <c r="F90" s="5" t="inlineStr">
        <is>
          <t>African / international grocery</t>
        </is>
      </c>
      <c r="G90" s="5" t="inlineStr">
        <is>
          <t>Multi-Site Independent</t>
        </is>
      </c>
      <c r="H90" s="5" t="inlineStr">
        <is>
          <t>2</t>
        </is>
      </c>
      <c r="I90" s="5" t="inlineStr">
        <is>
          <t>Mwanaka Farm Supermarket, 19-20 Vicarage Place</t>
        </is>
      </c>
      <c r="J90" s="5" t="inlineStr">
        <is>
          <t>Walsall</t>
        </is>
      </c>
      <c r="K90" s="5" t="inlineStr">
        <is>
          <t>WS1 3NA</t>
        </is>
      </c>
      <c r="L90" s="5" t="inlineStr">
        <is>
          <t>0808 502 2711</t>
        </is>
      </c>
      <c r="M90" s="5" t="inlineStr">
        <is>
          <t>mail@mwanakafreshfarmfoods.com</t>
        </is>
      </c>
      <c r="N90" s="5" t="inlineStr"/>
      <c r="O90" s="5" t="inlineStr">
        <is>
          <t>https://mwanakafreshfarmfoods.com/</t>
        </is>
      </c>
      <c r="P90" s="5" t="inlineStr"/>
      <c r="Q90" s="5" t="inlineStr"/>
      <c r="R90" s="5" t="inlineStr"/>
      <c r="S90" s="5" t="inlineStr"/>
      <c r="T90" s="5" t="inlineStr"/>
      <c r="U90" s="5" t="inlineStr"/>
      <c r="V90" s="5" t="inlineStr">
        <is>
          <t>High</t>
        </is>
      </c>
      <c r="W90" s="5" t="inlineStr">
        <is>
          <t>Multi-site retailer; Independent retailer; Relevant category; Public email available; Active website; Phone verified on official website</t>
        </is>
      </c>
      <c r="X90" s="5" t="inlineStr">
        <is>
          <t>Verified on official website</t>
        </is>
      </c>
      <c r="Y90" s="5" t="inlineStr">
        <is>
          <t>Publicly Listed</t>
        </is>
      </c>
      <c r="Z90" s="5" t="inlineStr">
        <is>
          <t>High</t>
        </is>
      </c>
      <c r="AA90" s="5" t="inlineStr">
        <is>
          <t>Partially Verified</t>
        </is>
      </c>
      <c r="AB90" s="5" t="inlineStr">
        <is>
          <t>https://mwanakafreshfarmfoods.com/pages/contact</t>
        </is>
      </c>
    </row>
    <row r="91">
      <c r="A91" s="10" t="inlineStr">
        <is>
          <t>UK-000312</t>
        </is>
      </c>
      <c r="B91" s="10" t="inlineStr">
        <is>
          <t>NXTGENVAPO-01</t>
        </is>
      </c>
      <c r="C91" s="10" t="inlineStr">
        <is>
          <t>NXT Gen Vapours</t>
        </is>
      </c>
      <c r="D91" s="10" t="inlineStr">
        <is>
          <t>NXT Gen Vapours Denton</t>
        </is>
      </c>
      <c r="E91" s="10" t="inlineStr">
        <is>
          <t>Vape Shop</t>
        </is>
      </c>
      <c r="F91" s="10" t="inlineStr"/>
      <c r="G91" s="10" t="inlineStr">
        <is>
          <t>Multi-Site Independent</t>
        </is>
      </c>
      <c r="H91" s="10" t="inlineStr">
        <is>
          <t>2</t>
        </is>
      </c>
      <c r="I91" s="10" t="inlineStr">
        <is>
          <t>78 Manchester Road</t>
        </is>
      </c>
      <c r="J91" s="10" t="inlineStr">
        <is>
          <t>Denton</t>
        </is>
      </c>
      <c r="K91" s="10" t="inlineStr">
        <is>
          <t>M34 3PR</t>
        </is>
      </c>
      <c r="L91" s="10" t="inlineStr">
        <is>
          <t>0161 320 8807</t>
        </is>
      </c>
      <c r="M91" s="10" t="inlineStr"/>
      <c r="N91" s="10" t="inlineStr"/>
      <c r="O91" s="10" t="inlineStr">
        <is>
          <t>https://www.nxtgenvapours.co.uk/</t>
        </is>
      </c>
      <c r="P91" s="10" t="inlineStr"/>
      <c r="Q91" s="10" t="inlineStr"/>
      <c r="R91" s="10" t="inlineStr"/>
      <c r="S91" s="10" t="inlineStr"/>
      <c r="T91" s="10" t="inlineStr"/>
      <c r="U91" s="10" t="inlineStr"/>
      <c r="V91" s="10" t="inlineStr">
        <is>
          <t>High</t>
        </is>
      </c>
      <c r="W91" s="10" t="inlineStr">
        <is>
          <t>Multi-site retailer; Independent retailer; Core relevant category; Active website</t>
        </is>
      </c>
      <c r="X91" s="10" t="inlineStr">
        <is>
          <t>Verified directory</t>
        </is>
      </c>
      <c r="Y91" s="10" t="inlineStr">
        <is>
          <t>Website Found</t>
        </is>
      </c>
      <c r="Z91" s="10" t="inlineStr">
        <is>
          <t>Medium</t>
        </is>
      </c>
      <c r="AA91" s="10" t="inlineStr">
        <is>
          <t>Requires Verification</t>
        </is>
      </c>
      <c r="AB91" s="10" t="inlineStr">
        <is>
          <t>https://denton-tameside.cylex-uk.co.uk/company/nxt-gen-vapours-denton-27261896.html</t>
        </is>
      </c>
    </row>
    <row r="92">
      <c r="A92" s="5" t="inlineStr">
        <is>
          <t>UK-000711</t>
        </is>
      </c>
      <c r="B92" s="5" t="inlineStr">
        <is>
          <t>NEWSPLUSGR-01</t>
        </is>
      </c>
      <c r="C92" s="5" t="inlineStr">
        <is>
          <t>News Plus Group</t>
        </is>
      </c>
      <c r="D92" s="5" t="inlineStr">
        <is>
          <t>News Plus (Bruntsfield)</t>
        </is>
      </c>
      <c r="E92" s="5" t="inlineStr">
        <is>
          <t>Newsagent</t>
        </is>
      </c>
      <c r="F92" s="5" t="inlineStr">
        <is>
          <t>Newsagent &amp; convenience</t>
        </is>
      </c>
      <c r="G92" s="5" t="inlineStr">
        <is>
          <t>Multi-Site Independent</t>
        </is>
      </c>
      <c r="H92" s="5" t="inlineStr">
        <is>
          <t>1</t>
        </is>
      </c>
      <c r="I92" s="5" t="inlineStr">
        <is>
          <t>196 Bruntsfield Place</t>
        </is>
      </c>
      <c r="J92" s="5" t="inlineStr">
        <is>
          <t>Edinburgh</t>
        </is>
      </c>
      <c r="K92" s="5" t="inlineStr">
        <is>
          <t>EH10 4DF</t>
        </is>
      </c>
      <c r="L92" s="5" t="inlineStr">
        <is>
          <t>0131 229 3415</t>
        </is>
      </c>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Verified directory</t>
        </is>
      </c>
      <c r="Y92" s="5" t="inlineStr">
        <is>
          <t>Not Found</t>
        </is>
      </c>
      <c r="Z92" s="5" t="inlineStr">
        <is>
          <t>Medium</t>
        </is>
      </c>
      <c r="AA92" s="5" t="inlineStr">
        <is>
          <t>Requires Verification</t>
        </is>
      </c>
      <c r="AB92" s="5" t="inlineStr">
        <is>
          <t>https://www.192.com/atoz/business/edinburgh-eh10/newsagents/news-plus-group-ltd/7f50c23c5b193d3d8eef1800b3fcd551fb6d36e4/ml/</t>
        </is>
      </c>
    </row>
    <row r="93">
      <c r="A93" s="10" t="inlineStr">
        <is>
          <t>UK-000313</t>
        </is>
      </c>
      <c r="B93" s="10" t="inlineStr">
        <is>
          <t>NISA-01</t>
        </is>
      </c>
      <c r="C93" s="10" t="inlineStr">
        <is>
          <t>Nisa</t>
        </is>
      </c>
      <c r="D93" s="10" t="inlineStr">
        <is>
          <t>Multisaver Nisa Local Dukinfield</t>
        </is>
      </c>
      <c r="E93" s="10" t="inlineStr">
        <is>
          <t>Convenience Store</t>
        </is>
      </c>
      <c r="F93" s="10" t="inlineStr">
        <is>
          <t>Symbol group convenience</t>
        </is>
      </c>
      <c r="G93" s="10" t="inlineStr">
        <is>
          <t>Franchise / Symbol Group</t>
        </is>
      </c>
      <c r="H93" s="10" t="inlineStr">
        <is>
          <t>1</t>
        </is>
      </c>
      <c r="I93" s="10" t="inlineStr">
        <is>
          <t>105 Chapel Street</t>
        </is>
      </c>
      <c r="J93" s="10" t="inlineStr">
        <is>
          <t>Dukinfield</t>
        </is>
      </c>
      <c r="K93" s="10" t="inlineStr">
        <is>
          <t>SK16 4QJ</t>
        </is>
      </c>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Independent retailer; Relevant category</t>
        </is>
      </c>
      <c r="X93" s="10" t="inlineStr">
        <is>
          <t>Not Found</t>
        </is>
      </c>
      <c r="Y93" s="10" t="inlineStr">
        <is>
          <t>Not Found</t>
        </is>
      </c>
      <c r="Z93" s="10" t="inlineStr">
        <is>
          <t>Low</t>
        </is>
      </c>
      <c r="AA93" s="10" t="inlineStr">
        <is>
          <t>Requires Verification</t>
        </is>
      </c>
      <c r="AB93" s="10" t="inlineStr">
        <is>
          <t>https://ratings.food.gov.uk/business/200382/multisaver-nisa-local-dukinfield</t>
        </is>
      </c>
    </row>
    <row r="94">
      <c r="A94" s="5" t="inlineStr">
        <is>
          <t>UK-000201</t>
        </is>
      </c>
      <c r="B94" s="5" t="inlineStr">
        <is>
          <t>NISA-02</t>
        </is>
      </c>
      <c r="C94" s="5" t="inlineStr">
        <is>
          <t>Nisa</t>
        </is>
      </c>
      <c r="D94" s="5" t="inlineStr">
        <is>
          <t>Nisa Express Grimsby (Victor Street)</t>
        </is>
      </c>
      <c r="E94" s="5" t="inlineStr">
        <is>
          <t>Convenience Store</t>
        </is>
      </c>
      <c r="F94" s="5" t="inlineStr">
        <is>
          <t>Symbol-group convenience store</t>
        </is>
      </c>
      <c r="G94" s="5" t="inlineStr">
        <is>
          <t>Franchise / Symbol Group</t>
        </is>
      </c>
      <c r="H94" s="5" t="inlineStr">
        <is>
          <t>1</t>
        </is>
      </c>
      <c r="I94" s="5" t="inlineStr">
        <is>
          <t>129 Victor Street</t>
        </is>
      </c>
      <c r="J94" s="5" t="inlineStr">
        <is>
          <t>Grimsby</t>
        </is>
      </c>
      <c r="K94" s="5" t="inlineStr"/>
      <c r="L94" s="5" t="inlineStr"/>
      <c r="M94" s="5" t="inlineStr"/>
      <c r="N94" s="5" t="inlineStr"/>
      <c r="O94" s="5" t="inlineStr"/>
      <c r="P94" s="5" t="inlineStr"/>
      <c r="Q94" s="5" t="inlineStr"/>
      <c r="R94" s="5" t="inlineStr"/>
      <c r="S94" s="5" t="inlineStr"/>
      <c r="T94" s="5" t="inlineStr"/>
      <c r="U94" s="5" t="inlineStr"/>
      <c r="V94" s="5" t="inlineStr">
        <is>
          <t>Medium</t>
        </is>
      </c>
      <c r="W94" s="5" t="inlineStr">
        <is>
          <t>Multi-site retailer; Independent retailer; Relevant category</t>
        </is>
      </c>
      <c r="X94" s="5" t="inlineStr">
        <is>
          <t>Not Found</t>
        </is>
      </c>
      <c r="Y94" s="5" t="inlineStr">
        <is>
          <t>Not Found</t>
        </is>
      </c>
      <c r="Z94" s="5" t="inlineStr">
        <is>
          <t>Low</t>
        </is>
      </c>
      <c r="AA94" s="5" t="inlineStr">
        <is>
          <t>Requires Verification</t>
        </is>
      </c>
      <c r="AB94" s="5" t="inlineStr">
        <is>
          <t>https://www.nisalocally.co.uk/stores/north-east-lincs/grimsby/129-victor-st</t>
        </is>
      </c>
    </row>
    <row r="95">
      <c r="A95" s="10" t="inlineStr">
        <is>
          <t>UK-000202</t>
        </is>
      </c>
      <c r="B95" s="10" t="inlineStr">
        <is>
          <t>NISA-03</t>
        </is>
      </c>
      <c r="C95" s="10" t="inlineStr">
        <is>
          <t>Nisa</t>
        </is>
      </c>
      <c r="D95" s="10" t="inlineStr">
        <is>
          <t>Nisa Local Cleethorpes (Grimsby Road)</t>
        </is>
      </c>
      <c r="E95" s="10" t="inlineStr">
        <is>
          <t>Convenience Store</t>
        </is>
      </c>
      <c r="F95" s="10" t="inlineStr">
        <is>
          <t>Symbol-group convenience store</t>
        </is>
      </c>
      <c r="G95" s="10" t="inlineStr">
        <is>
          <t>Franchise / Symbol Group</t>
        </is>
      </c>
      <c r="H95" s="10" t="inlineStr">
        <is>
          <t>1</t>
        </is>
      </c>
      <c r="I95" s="10" t="inlineStr">
        <is>
          <t>29-31 Grimsby Road</t>
        </is>
      </c>
      <c r="J95" s="10" t="inlineStr">
        <is>
          <t>Cleethorpes</t>
        </is>
      </c>
      <c r="K95" s="10" t="inlineStr"/>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Independent retailer; Relevant category</t>
        </is>
      </c>
      <c r="X95" s="10" t="inlineStr">
        <is>
          <t>Not Found</t>
        </is>
      </c>
      <c r="Y95" s="10" t="inlineStr">
        <is>
          <t>Not Found</t>
        </is>
      </c>
      <c r="Z95" s="10" t="inlineStr">
        <is>
          <t>Low</t>
        </is>
      </c>
      <c r="AA95" s="10" t="inlineStr">
        <is>
          <t>Requires Verification</t>
        </is>
      </c>
      <c r="AB95" s="10" t="inlineStr">
        <is>
          <t>https://ratings.food.gov.uk/business/1631635/nisa-local-grimsby-local-store</t>
        </is>
      </c>
    </row>
    <row r="96">
      <c r="A96" s="5" t="inlineStr">
        <is>
          <t>UK-000434</t>
        </is>
      </c>
      <c r="B96" s="5" t="inlineStr">
        <is>
          <t>NISACOOPSY-01</t>
        </is>
      </c>
      <c r="C96" s="5" t="inlineStr">
        <is>
          <t>Nisa (Co-op symbol group)</t>
        </is>
      </c>
      <c r="D96" s="5" t="inlineStr">
        <is>
          <t>Nisa Local - 555 Bloxwich Road</t>
        </is>
      </c>
      <c r="E96" s="5" t="inlineStr">
        <is>
          <t>Convenience Store</t>
        </is>
      </c>
      <c r="F96" s="5" t="inlineStr">
        <is>
          <t>Convenience &amp; off-licence</t>
        </is>
      </c>
      <c r="G96" s="5" t="inlineStr">
        <is>
          <t>Franchise / Symbol Group</t>
        </is>
      </c>
      <c r="H96" s="5" t="inlineStr">
        <is>
          <t>1</t>
        </is>
      </c>
      <c r="I96" s="5" t="inlineStr">
        <is>
          <t>555 Bloxwich Road</t>
        </is>
      </c>
      <c r="J96" s="5" t="inlineStr">
        <is>
          <t>Walsall</t>
        </is>
      </c>
      <c r="K96" s="5" t="inlineStr">
        <is>
          <t>WS3 2XD</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Independent retailer; Relevant category</t>
        </is>
      </c>
      <c r="X96" s="5" t="inlineStr">
        <is>
          <t>Not Found</t>
        </is>
      </c>
      <c r="Y96" s="5" t="inlineStr">
        <is>
          <t>Not Found</t>
        </is>
      </c>
      <c r="Z96" s="5" t="inlineStr">
        <is>
          <t>Low</t>
        </is>
      </c>
      <c r="AA96" s="5" t="inlineStr">
        <is>
          <t>Requires Verification</t>
        </is>
      </c>
      <c r="AB96" s="5" t="inlineStr">
        <is>
          <t>https://www.mylocalservices.co.uk/Nisa+Local-Walsall-3137056.html</t>
        </is>
      </c>
    </row>
    <row r="97">
      <c r="A97" s="10" t="inlineStr">
        <is>
          <t>UK-000435</t>
        </is>
      </c>
      <c r="B97" s="10" t="inlineStr">
        <is>
          <t>NISACOOPSY-02</t>
        </is>
      </c>
      <c r="C97" s="10" t="inlineStr">
        <is>
          <t>Nisa (Co-op symbol group)</t>
        </is>
      </c>
      <c r="D97" s="10" t="inlineStr">
        <is>
          <t>Nisa Local - Sneyd Hall Road</t>
        </is>
      </c>
      <c r="E97" s="10" t="inlineStr">
        <is>
          <t>Convenience Store</t>
        </is>
      </c>
      <c r="F97" s="10" t="inlineStr">
        <is>
          <t>Convenience &amp; off-licence</t>
        </is>
      </c>
      <c r="G97" s="10" t="inlineStr">
        <is>
          <t>Franchise / Symbol Group</t>
        </is>
      </c>
      <c r="H97" s="10" t="inlineStr">
        <is>
          <t>1</t>
        </is>
      </c>
      <c r="I97" s="10" t="inlineStr">
        <is>
          <t>2 Sneyd Hall Road</t>
        </is>
      </c>
      <c r="J97" s="10" t="inlineStr">
        <is>
          <t>Walsall</t>
        </is>
      </c>
      <c r="K97" s="10" t="inlineStr">
        <is>
          <t>WS3 2NP</t>
        </is>
      </c>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Independent retailer; Relevant category</t>
        </is>
      </c>
      <c r="X97" s="10" t="inlineStr">
        <is>
          <t>Not Found</t>
        </is>
      </c>
      <c r="Y97" s="10" t="inlineStr">
        <is>
          <t>Not Found</t>
        </is>
      </c>
      <c r="Z97" s="10" t="inlineStr">
        <is>
          <t>Low</t>
        </is>
      </c>
      <c r="AA97" s="10" t="inlineStr">
        <is>
          <t>Requires Verification</t>
        </is>
      </c>
      <c r="AB97" s="10" t="inlineStr">
        <is>
          <t>https://citikey.uk/display/nisa-local-XXJDK</t>
        </is>
      </c>
    </row>
    <row r="98">
      <c r="A98" s="5" t="inlineStr">
        <is>
          <t>UK-000436</t>
        </is>
      </c>
      <c r="B98" s="5" t="inlineStr">
        <is>
          <t>NISACOOPSY-03</t>
        </is>
      </c>
      <c r="C98" s="5" t="inlineStr">
        <is>
          <t>Nisa (Co-op symbol group)</t>
        </is>
      </c>
      <c r="D98" s="5" t="inlineStr">
        <is>
          <t>Nisa Today's - 619 Bloxwich Road</t>
        </is>
      </c>
      <c r="E98" s="5" t="inlineStr">
        <is>
          <t>Convenience Store</t>
        </is>
      </c>
      <c r="F98" s="5" t="inlineStr">
        <is>
          <t>Convenience &amp; off-licence</t>
        </is>
      </c>
      <c r="G98" s="5" t="inlineStr">
        <is>
          <t>Franchise / Symbol Group</t>
        </is>
      </c>
      <c r="H98" s="5" t="inlineStr">
        <is>
          <t>1</t>
        </is>
      </c>
      <c r="I98" s="5" t="inlineStr">
        <is>
          <t>619 Bloxwich Road</t>
        </is>
      </c>
      <c r="J98" s="5" t="inlineStr">
        <is>
          <t>Walsall</t>
        </is>
      </c>
      <c r="K98" s="5" t="inlineStr"/>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Relevant category</t>
        </is>
      </c>
      <c r="X98" s="5" t="inlineStr">
        <is>
          <t>Not Found</t>
        </is>
      </c>
      <c r="Y98" s="5" t="inlineStr">
        <is>
          <t>Not Found</t>
        </is>
      </c>
      <c r="Z98" s="5" t="inlineStr">
        <is>
          <t>Low</t>
        </is>
      </c>
      <c r="AA98" s="5" t="inlineStr">
        <is>
          <t>Requires Verification</t>
        </is>
      </c>
      <c r="AB98" s="5" t="inlineStr">
        <is>
          <t>https://www.localstore.co.uk/store/353534/nisa-todays/walsall/</t>
        </is>
      </c>
    </row>
    <row r="99">
      <c r="A99" s="10" t="inlineStr">
        <is>
          <t>UK-000314</t>
        </is>
      </c>
      <c r="B99" s="10" t="inlineStr">
        <is>
          <t>NISACOOP-01</t>
        </is>
      </c>
      <c r="C99" s="10" t="inlineStr">
        <is>
          <t>Nisa (Co-op)</t>
        </is>
      </c>
      <c r="D99" s="10" t="inlineStr">
        <is>
          <t>Nisa Local Marsh Green</t>
        </is>
      </c>
      <c r="E99" s="10" t="inlineStr">
        <is>
          <t>Convenience Store</t>
        </is>
      </c>
      <c r="F99" s="10" t="inlineStr">
        <is>
          <t>Symbol-group convenience store</t>
        </is>
      </c>
      <c r="G99" s="10" t="inlineStr">
        <is>
          <t>Franchise / Symbol Group</t>
        </is>
      </c>
      <c r="H99" s="10" t="inlineStr">
        <is>
          <t>1</t>
        </is>
      </c>
      <c r="I99" s="10" t="inlineStr">
        <is>
          <t>101-103 Kitt Green Road</t>
        </is>
      </c>
      <c r="J99" s="10" t="inlineStr">
        <is>
          <t>Wigan</t>
        </is>
      </c>
      <c r="K99" s="10" t="inlineStr">
        <is>
          <t>WN5 0EE</t>
        </is>
      </c>
      <c r="L99" s="10" t="inlineStr"/>
      <c r="M99" s="10" t="inlineStr"/>
      <c r="N99" s="10" t="inlineStr"/>
      <c r="O99" s="10" t="inlineStr">
        <is>
          <t>https://www.nisalocally.co.uk/</t>
        </is>
      </c>
      <c r="P99" s="10" t="inlineStr"/>
      <c r="Q99" s="10" t="inlineStr"/>
      <c r="R99" s="10" t="inlineStr"/>
      <c r="S99" s="10" t="inlineStr"/>
      <c r="T99" s="10" t="inlineStr"/>
      <c r="U99" s="10" t="inlineStr"/>
      <c r="V99" s="10" t="inlineStr">
        <is>
          <t>Medium</t>
        </is>
      </c>
      <c r="W99" s="10" t="inlineStr">
        <is>
          <t>Multi-site retailer; Independent retailer; Relevant category; Active website</t>
        </is>
      </c>
      <c r="X99" s="10" t="inlineStr">
        <is>
          <t>Not Found</t>
        </is>
      </c>
      <c r="Y99" s="10" t="inlineStr">
        <is>
          <t>Not Found</t>
        </is>
      </c>
      <c r="Z99" s="10" t="inlineStr">
        <is>
          <t>Low</t>
        </is>
      </c>
      <c r="AA99" s="10" t="inlineStr">
        <is>
          <t>Requires Verification</t>
        </is>
      </c>
      <c r="AB99" s="10" t="inlineStr">
        <is>
          <t>https://www.nisalocally.co.uk/stores/greater-manchester/wigan</t>
        </is>
      </c>
    </row>
    <row r="100">
      <c r="A100" s="5" t="inlineStr">
        <is>
          <t>UK-000712</t>
        </is>
      </c>
      <c r="B100" s="5" t="inlineStr">
        <is>
          <t>NISACOOPSY-01</t>
        </is>
      </c>
      <c r="C100" s="5" t="inlineStr">
        <is>
          <t>Nisa (Co-op) symbol group</t>
        </is>
      </c>
      <c r="D100" s="5" t="inlineStr">
        <is>
          <t>Nisa Local / Premier Clydebank (Glasgow Road)</t>
        </is>
      </c>
      <c r="E100" s="5" t="inlineStr">
        <is>
          <t>Convenience Store</t>
        </is>
      </c>
      <c r="F100" s="5" t="inlineStr">
        <is>
          <t>Symbol-group convenience store</t>
        </is>
      </c>
      <c r="G100" s="5" t="inlineStr">
        <is>
          <t>Franchise / Symbol Group</t>
        </is>
      </c>
      <c r="H100" s="5" t="inlineStr">
        <is>
          <t>1</t>
        </is>
      </c>
      <c r="I100" s="5" t="inlineStr">
        <is>
          <t>485B Glasgow Road</t>
        </is>
      </c>
      <c r="J100" s="5" t="inlineStr">
        <is>
          <t>Clydebank</t>
        </is>
      </c>
      <c r="K100" s="5" t="inlineStr">
        <is>
          <t>G81 1JP</t>
        </is>
      </c>
      <c r="L100" s="5" t="inlineStr">
        <is>
          <t>0141 951 1669</t>
        </is>
      </c>
      <c r="M100" s="5" t="inlineStr"/>
      <c r="N100" s="5" t="inlineStr"/>
      <c r="O100" s="5" t="inlineStr">
        <is>
          <t>https://www.nisalocally.co.uk/stores/west-dunbart/clydebank/485b-glasgow-rd</t>
        </is>
      </c>
      <c r="P100" s="5" t="inlineStr">
        <is>
          <t>https://www.facebook.com/nisa.clydebank/</t>
        </is>
      </c>
      <c r="Q100" s="5" t="inlineStr"/>
      <c r="R100" s="5" t="inlineStr"/>
      <c r="S100" s="5" t="inlineStr"/>
      <c r="T100" s="5" t="inlineStr"/>
      <c r="U100" s="5" t="inlineStr"/>
      <c r="V100" s="5" t="inlineStr">
        <is>
          <t>High</t>
        </is>
      </c>
      <c r="W100" s="5" t="inlineStr">
        <is>
          <t>Multi-site retailer; Independent retailer; Relevant category; Active website; Social presence</t>
        </is>
      </c>
      <c r="X100" s="5" t="inlineStr">
        <is>
          <t>Verified directory</t>
        </is>
      </c>
      <c r="Y100" s="5" t="inlineStr">
        <is>
          <t>Not Found</t>
        </is>
      </c>
      <c r="Z100" s="5" t="inlineStr">
        <is>
          <t>Medium</t>
        </is>
      </c>
      <c r="AA100" s="5" t="inlineStr">
        <is>
          <t>Requires Verification</t>
        </is>
      </c>
      <c r="AB100" s="5" t="inlineStr">
        <is>
          <t>https://www.nisalocally.co.uk/stores/west-dunbart/clydebank/485b-glasgow-rd</t>
        </is>
      </c>
    </row>
    <row r="101">
      <c r="A101" s="10" t="inlineStr">
        <is>
          <t>UK-000315</t>
        </is>
      </c>
      <c r="B101" s="10" t="inlineStr">
        <is>
          <t>NISARETAIL-01</t>
        </is>
      </c>
      <c r="C101" s="10" t="inlineStr">
        <is>
          <t>Nisa Retail</t>
        </is>
      </c>
      <c r="D101" s="10" t="inlineStr">
        <is>
          <t>Nisa Local (Manor Avenue, Sale)</t>
        </is>
      </c>
      <c r="E101" s="10" t="inlineStr">
        <is>
          <t>Convenience Store</t>
        </is>
      </c>
      <c r="F101" s="10" t="inlineStr">
        <is>
          <t>Convenience &amp; off-licence (symbol group)</t>
        </is>
      </c>
      <c r="G101" s="10" t="inlineStr">
        <is>
          <t>Franchise / Symbol Group</t>
        </is>
      </c>
      <c r="H101" s="10" t="inlineStr">
        <is>
          <t>1</t>
        </is>
      </c>
      <c r="I101" s="10" t="inlineStr">
        <is>
          <t>77 Manor Avenue</t>
        </is>
      </c>
      <c r="J101" s="10" t="inlineStr">
        <is>
          <t>Sale</t>
        </is>
      </c>
      <c r="K101" s="10" t="inlineStr">
        <is>
          <t>M33 5JS</t>
        </is>
      </c>
      <c r="L101" s="10" t="inlineStr">
        <is>
          <t>0161 929 5143</t>
        </is>
      </c>
      <c r="M101" s="10" t="inlineStr"/>
      <c r="N101" s="10" t="inlineStr"/>
      <c r="O101" s="10" t="inlineStr">
        <is>
          <t>https://www.nisalocally.co.uk/stores/greater-manchester/sale/77-manor-ave-12779146</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Verified directory</t>
        </is>
      </c>
      <c r="Y101" s="10" t="inlineStr">
        <is>
          <t>Not Found</t>
        </is>
      </c>
      <c r="Z101" s="10" t="inlineStr">
        <is>
          <t>Medium</t>
        </is>
      </c>
      <c r="AA101" s="10" t="inlineStr">
        <is>
          <t>Requires Verification</t>
        </is>
      </c>
      <c r="AB101" s="10" t="inlineStr">
        <is>
          <t>https://www.nisalocally.co.uk/stores/greater-manchester/sale/77-manor-ave-12779146</t>
        </is>
      </c>
    </row>
    <row r="102">
      <c r="A102" s="5" t="inlineStr">
        <is>
          <t>UK-000713</t>
        </is>
      </c>
      <c r="B102" s="5" t="inlineStr">
        <is>
          <t>NORTHWESTE-01</t>
        </is>
      </c>
      <c r="C102" s="5" t="inlineStr">
        <is>
          <t>North West Ecigs</t>
        </is>
      </c>
      <c r="D102" s="5" t="inlineStr">
        <is>
          <t>No-Match Southport (North West Ecigs)</t>
        </is>
      </c>
      <c r="E102" s="5" t="inlineStr">
        <is>
          <t>Vape Shop</t>
        </is>
      </c>
      <c r="F102" s="5" t="inlineStr">
        <is>
          <t>E-cigarette and e-liquid shop</t>
        </is>
      </c>
      <c r="G102" s="5" t="inlineStr">
        <is>
          <t>Multi-Site Independent</t>
        </is>
      </c>
      <c r="H102" s="5" t="inlineStr">
        <is>
          <t>1</t>
        </is>
      </c>
      <c r="I102" s="5" t="inlineStr">
        <is>
          <t>8A Chapel Street</t>
        </is>
      </c>
      <c r="J102" s="5" t="inlineStr">
        <is>
          <t>Southport</t>
        </is>
      </c>
      <c r="K102" s="5" t="inlineStr">
        <is>
          <t>PR8 1AF</t>
        </is>
      </c>
      <c r="L102" s="5" t="inlineStr">
        <is>
          <t>01704 807280</t>
        </is>
      </c>
      <c r="M102" s="5" t="inlineStr"/>
      <c r="N102" s="5" t="inlineStr"/>
      <c r="O102" s="5" t="inlineStr">
        <is>
          <t>https://www.northwestecigs.uk/</t>
        </is>
      </c>
      <c r="P102" s="5" t="inlineStr"/>
      <c r="Q102" s="5" t="inlineStr"/>
      <c r="R102" s="5" t="inlineStr"/>
      <c r="S102" s="5" t="inlineStr"/>
      <c r="T102" s="5" t="inlineStr"/>
      <c r="U102" s="5" t="inlineStr"/>
      <c r="V102" s="5" t="inlineStr">
        <is>
          <t>High</t>
        </is>
      </c>
      <c r="W102" s="5" t="inlineStr">
        <is>
          <t>Multi-site retailer; Independent retailer; Core relevant category; Active website</t>
        </is>
      </c>
      <c r="X102" s="5" t="inlineStr">
        <is>
          <t>Verified directory</t>
        </is>
      </c>
      <c r="Y102" s="5" t="inlineStr">
        <is>
          <t>Website Found</t>
        </is>
      </c>
      <c r="Z102" s="5" t="inlineStr">
        <is>
          <t>Medium</t>
        </is>
      </c>
      <c r="AA102" s="5" t="inlineStr">
        <is>
          <t>Requires Verification</t>
        </is>
      </c>
      <c r="AB102" s="5" t="inlineStr">
        <is>
          <t>https://www.northwestecigs.uk/</t>
        </is>
      </c>
    </row>
    <row r="103">
      <c r="A103" s="10" t="inlineStr">
        <is>
          <t>UK-000714</t>
        </is>
      </c>
      <c r="B103" s="10" t="inlineStr">
        <is>
          <t>ONESTOPSTO-01</t>
        </is>
      </c>
      <c r="C103" s="10" t="inlineStr">
        <is>
          <t>One Stop Stores Ltd</t>
        </is>
      </c>
      <c r="D103" s="10" t="inlineStr">
        <is>
          <t>One Stop Convenience Store - Glovers Brow</t>
        </is>
      </c>
      <c r="E103" s="10" t="inlineStr">
        <is>
          <t>Convenience Store</t>
        </is>
      </c>
      <c r="F103" s="10" t="inlineStr">
        <is>
          <t>Convenience store (symbol group)</t>
        </is>
      </c>
      <c r="G103" s="10" t="inlineStr">
        <is>
          <t>Franchise / Symbol Group</t>
        </is>
      </c>
      <c r="H103" s="10" t="inlineStr">
        <is>
          <t>1</t>
        </is>
      </c>
      <c r="I103" s="10" t="inlineStr">
        <is>
          <t>9 Glovers Brow</t>
        </is>
      </c>
      <c r="J103" s="10" t="inlineStr">
        <is>
          <t>Liverpool</t>
        </is>
      </c>
      <c r="K103" s="10" t="inlineStr">
        <is>
          <t>L32 2AE</t>
        </is>
      </c>
      <c r="L103" s="10" t="inlineStr">
        <is>
          <t>0151 792 5986</t>
        </is>
      </c>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Verified directory</t>
        </is>
      </c>
      <c r="Y103" s="10" t="inlineStr">
        <is>
          <t>Not Found</t>
        </is>
      </c>
      <c r="Z103" s="10" t="inlineStr">
        <is>
          <t>Low</t>
        </is>
      </c>
      <c r="AA103" s="10" t="inlineStr">
        <is>
          <t>Requires Verification</t>
        </is>
      </c>
      <c r="AB103" s="10" t="inlineStr">
        <is>
          <t>https://kirkby.cylex-uk.co.uk/company/one-stop-convenience-store-23659132.html</t>
        </is>
      </c>
    </row>
    <row r="104">
      <c r="A104" s="5" t="inlineStr">
        <is>
          <t>UK-000203</t>
        </is>
      </c>
      <c r="B104" s="5" t="inlineStr">
        <is>
          <t>PARFETTSTH-01</t>
        </is>
      </c>
      <c r="C104" s="5" t="inlineStr">
        <is>
          <t>Parfetts / The Local</t>
        </is>
      </c>
      <c r="D104" s="5" t="inlineStr">
        <is>
          <t>The Local (Marfleet Lane)</t>
        </is>
      </c>
      <c r="E104" s="5" t="inlineStr">
        <is>
          <t>Convenience Store</t>
        </is>
      </c>
      <c r="F104" s="5" t="inlineStr">
        <is>
          <t>Symbol-group convenience store</t>
        </is>
      </c>
      <c r="G104" s="5" t="inlineStr">
        <is>
          <t>Franchise / Symbol Group</t>
        </is>
      </c>
      <c r="H104" s="5" t="inlineStr">
        <is>
          <t>1</t>
        </is>
      </c>
      <c r="I104" s="5" t="inlineStr">
        <is>
          <t>Marfleet Lane</t>
        </is>
      </c>
      <c r="J104" s="5" t="inlineStr">
        <is>
          <t>Kingston upon Hull</t>
        </is>
      </c>
      <c r="K104" s="5" t="inlineStr"/>
      <c r="L104" s="5" t="inlineStr"/>
      <c r="M104" s="5" t="inlineStr"/>
      <c r="N104" s="5" t="inlineStr"/>
      <c r="O104" s="5" t="inlineStr"/>
      <c r="P104" s="5" t="inlineStr"/>
      <c r="Q104" s="5" t="inlineStr"/>
      <c r="R104" s="5" t="inlineStr">
        <is>
          <t>Prasath Balakrishnan</t>
        </is>
      </c>
      <c r="S104" s="5" t="inlineStr">
        <is>
          <t>Owner</t>
        </is>
      </c>
      <c r="T104" s="5" t="inlineStr"/>
      <c r="U104" s="5" t="inlineStr"/>
      <c r="V104" s="5" t="inlineStr">
        <is>
          <t>Medium</t>
        </is>
      </c>
      <c r="W104" s="5" t="inlineStr">
        <is>
          <t>Multi-site retailer; Independent retailer; Relevant category</t>
        </is>
      </c>
      <c r="X104" s="5" t="inlineStr">
        <is>
          <t>Not Found</t>
        </is>
      </c>
      <c r="Y104" s="5" t="inlineStr">
        <is>
          <t>Not Found</t>
        </is>
      </c>
      <c r="Z104" s="5" t="inlineStr">
        <is>
          <t>Medium</t>
        </is>
      </c>
      <c r="AA104" s="5" t="inlineStr">
        <is>
          <t>Requires Verification</t>
        </is>
      </c>
      <c r="AB104" s="5" t="inlineStr">
        <is>
          <t>https://wholesalemanager.co.uk/new-the-local-store-opens-in-hull/</t>
        </is>
      </c>
    </row>
    <row r="105">
      <c r="A105" s="10" t="inlineStr">
        <is>
          <t>UK-000316</t>
        </is>
      </c>
      <c r="B105" s="10" t="inlineStr">
        <is>
          <t>PREMIERBOO-01</t>
        </is>
      </c>
      <c r="C105" s="10" t="inlineStr">
        <is>
          <t>Premier (Booker Group)</t>
        </is>
      </c>
      <c r="D105" s="10" t="inlineStr">
        <is>
          <t>Premier Store Leigh (Kirkhall Lane)</t>
        </is>
      </c>
      <c r="E105" s="10" t="inlineStr">
        <is>
          <t>Convenience Store</t>
        </is>
      </c>
      <c r="F105" s="10" t="inlineStr">
        <is>
          <t>Symbol-group convenience store</t>
        </is>
      </c>
      <c r="G105" s="10" t="inlineStr">
        <is>
          <t>Franchise / Symbol Group</t>
        </is>
      </c>
      <c r="H105" s="10" t="inlineStr">
        <is>
          <t>1</t>
        </is>
      </c>
      <c r="I105" s="10" t="inlineStr">
        <is>
          <t>41 Kirkhall Lane</t>
        </is>
      </c>
      <c r="J105" s="10" t="inlineStr">
        <is>
          <t>Leigh</t>
        </is>
      </c>
      <c r="K105" s="10" t="inlineStr">
        <is>
          <t>WN7 1SA</t>
        </is>
      </c>
      <c r="L105" s="10" t="inlineStr"/>
      <c r="M105" s="10" t="inlineStr"/>
      <c r="N105" s="10" t="inlineStr"/>
      <c r="O105" s="10" t="inlineStr">
        <is>
          <t>https://www.premier-stores.co.uk/</t>
        </is>
      </c>
      <c r="P105" s="10" t="inlineStr"/>
      <c r="Q105" s="10" t="inlineStr"/>
      <c r="R105" s="10" t="inlineStr"/>
      <c r="S105" s="10" t="inlineStr"/>
      <c r="T105" s="10" t="inlineStr"/>
      <c r="U105" s="10" t="inlineStr"/>
      <c r="V105" s="10" t="inlineStr">
        <is>
          <t>Medium</t>
        </is>
      </c>
      <c r="W105" s="10" t="inlineStr">
        <is>
          <t>Multi-site retailer; Independent retailer; Relevant category; Active website</t>
        </is>
      </c>
      <c r="X105" s="10" t="inlineStr">
        <is>
          <t>Not Found</t>
        </is>
      </c>
      <c r="Y105" s="10" t="inlineStr">
        <is>
          <t>Not Found</t>
        </is>
      </c>
      <c r="Z105" s="10" t="inlineStr">
        <is>
          <t>Low</t>
        </is>
      </c>
      <c r="AA105" s="10" t="inlineStr">
        <is>
          <t>Requires Verification</t>
        </is>
      </c>
      <c r="AB105" s="10" t="inlineStr">
        <is>
          <t>https://www.yell.com/biz/premier-leigh-4398851/</t>
        </is>
      </c>
    </row>
    <row r="106">
      <c r="A106" s="5" t="inlineStr">
        <is>
          <t>UK-000317</t>
        </is>
      </c>
      <c r="B106" s="5" t="inlineStr">
        <is>
          <t>PREMIERBOO-02</t>
        </is>
      </c>
      <c r="C106" s="5" t="inlineStr">
        <is>
          <t>Premier (Booker Group)</t>
        </is>
      </c>
      <c r="D106" s="5" t="inlineStr">
        <is>
          <t>Premier Store Wigan (Ormskirk Road)</t>
        </is>
      </c>
      <c r="E106" s="5" t="inlineStr">
        <is>
          <t>Convenience Store</t>
        </is>
      </c>
      <c r="F106" s="5" t="inlineStr">
        <is>
          <t>Symbol-group convenience store</t>
        </is>
      </c>
      <c r="G106" s="5" t="inlineStr">
        <is>
          <t>Franchise / Symbol Group</t>
        </is>
      </c>
      <c r="H106" s="5" t="inlineStr">
        <is>
          <t>1</t>
        </is>
      </c>
      <c r="I106" s="5" t="inlineStr">
        <is>
          <t>751 Ormskirk Road</t>
        </is>
      </c>
      <c r="J106" s="5" t="inlineStr">
        <is>
          <t>Wigan</t>
        </is>
      </c>
      <c r="K106" s="5" t="inlineStr">
        <is>
          <t>WN5 8AT</t>
        </is>
      </c>
      <c r="L106" s="5" t="inlineStr"/>
      <c r="M106" s="5" t="inlineStr"/>
      <c r="N106" s="5" t="inlineStr"/>
      <c r="O106" s="5" t="inlineStr">
        <is>
          <t>https://www.premier-stores.co.uk/</t>
        </is>
      </c>
      <c r="P106" s="5" t="inlineStr"/>
      <c r="Q106" s="5" t="inlineStr"/>
      <c r="R106" s="5" t="inlineStr"/>
      <c r="S106" s="5" t="inlineStr"/>
      <c r="T106" s="5" t="inlineStr"/>
      <c r="U106" s="5" t="inlineStr"/>
      <c r="V106" s="5" t="inlineStr">
        <is>
          <t>Medium</t>
        </is>
      </c>
      <c r="W106" s="5" t="inlineStr">
        <is>
          <t>Multi-site retailer; Independent retailer; Relevant category; Active website</t>
        </is>
      </c>
      <c r="X106" s="5" t="inlineStr">
        <is>
          <t>Not Found</t>
        </is>
      </c>
      <c r="Y106" s="5" t="inlineStr">
        <is>
          <t>Not Found</t>
        </is>
      </c>
      <c r="Z106" s="5" t="inlineStr">
        <is>
          <t>Low</t>
        </is>
      </c>
      <c r="AA106" s="5" t="inlineStr">
        <is>
          <t>Requires Verification</t>
        </is>
      </c>
      <c r="AB106" s="5" t="inlineStr">
        <is>
          <t>https://wigan.cylex-uk.co.uk/company/premier-19271504.html</t>
        </is>
      </c>
    </row>
    <row r="107">
      <c r="A107" s="10" t="inlineStr">
        <is>
          <t>UK-000204</t>
        </is>
      </c>
      <c r="B107" s="10" t="inlineStr">
        <is>
          <t>PREMIERBOO-03</t>
        </is>
      </c>
      <c r="C107" s="10" t="inlineStr">
        <is>
          <t>Premier (Booker Group)</t>
        </is>
      </c>
      <c r="D107" s="10" t="inlineStr">
        <is>
          <t>Premier Stores Ripon</t>
        </is>
      </c>
      <c r="E107" s="10" t="inlineStr">
        <is>
          <t>Convenience Store</t>
        </is>
      </c>
      <c r="F107" s="10" t="inlineStr">
        <is>
          <t>Symbol-group convenience store</t>
        </is>
      </c>
      <c r="G107" s="10" t="inlineStr">
        <is>
          <t>Franchise / Symbol Group</t>
        </is>
      </c>
      <c r="H107" s="10" t="inlineStr">
        <is>
          <t>1</t>
        </is>
      </c>
      <c r="I107" s="10" t="inlineStr">
        <is>
          <t>64 Bondgate</t>
        </is>
      </c>
      <c r="J107" s="10" t="inlineStr">
        <is>
          <t>Ripon</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Low</t>
        </is>
      </c>
      <c r="AA107" s="10" t="inlineStr">
        <is>
          <t>Requires Verification</t>
        </is>
      </c>
      <c r="AB107" s="10" t="inlineStr">
        <is>
          <t>https://www.localstore.co.uk/store/394275/premier-stores/ripon/</t>
        </is>
      </c>
    </row>
    <row r="108">
      <c r="A108" s="5" t="inlineStr">
        <is>
          <t>UK-000437</t>
        </is>
      </c>
      <c r="B108" s="5" t="inlineStr">
        <is>
          <t>PREMIERBOO-01</t>
        </is>
      </c>
      <c r="C108" s="5" t="inlineStr">
        <is>
          <t>Premier (Booker symbol group)</t>
        </is>
      </c>
      <c r="D108" s="5" t="inlineStr">
        <is>
          <t>Dhillons Convenience Store</t>
        </is>
      </c>
      <c r="E108" s="5" t="inlineStr">
        <is>
          <t>Convenience Store</t>
        </is>
      </c>
      <c r="F108" s="5" t="inlineStr">
        <is>
          <t>Symbol-group convenience store</t>
        </is>
      </c>
      <c r="G108" s="5" t="inlineStr">
        <is>
          <t>Franchise / Symbol Group</t>
        </is>
      </c>
      <c r="H108" s="5" t="inlineStr">
        <is>
          <t>1</t>
        </is>
      </c>
      <c r="I108" s="5" t="inlineStr">
        <is>
          <t>252 Gravelly Lane</t>
        </is>
      </c>
      <c r="J108" s="5" t="inlineStr">
        <is>
          <t>Birmingham</t>
        </is>
      </c>
      <c r="K108" s="5" t="inlineStr">
        <is>
          <t>B23 5SB</t>
        </is>
      </c>
      <c r="L108" s="5" t="inlineStr">
        <is>
          <t>0121 350 8581</t>
        </is>
      </c>
      <c r="M108" s="5" t="inlineStr"/>
      <c r="N108" s="5" t="inlineStr"/>
      <c r="O108" s="5" t="inlineStr">
        <is>
          <t>https://www.premier-stores.co.uk/our-stores/dhillons-convenience-store-0</t>
        </is>
      </c>
      <c r="P108" s="5" t="inlineStr"/>
      <c r="Q108" s="5" t="inlineStr"/>
      <c r="R108" s="5" t="inlineStr"/>
      <c r="S108" s="5" t="inlineStr"/>
      <c r="T108" s="5" t="inlineStr"/>
      <c r="U108" s="5" t="inlineStr"/>
      <c r="V108" s="5" t="inlineStr">
        <is>
          <t>Medium</t>
        </is>
      </c>
      <c r="W108" s="5" t="inlineStr">
        <is>
          <t>Multi-site retailer; Independent retailer; Relevant category; Active website</t>
        </is>
      </c>
      <c r="X108" s="5" t="inlineStr">
        <is>
          <t>Verified directory</t>
        </is>
      </c>
      <c r="Y108" s="5" t="inlineStr">
        <is>
          <t>Not Found</t>
        </is>
      </c>
      <c r="Z108" s="5" t="inlineStr">
        <is>
          <t>Medium</t>
        </is>
      </c>
      <c r="AA108" s="5" t="inlineStr">
        <is>
          <t>Requires Verification</t>
        </is>
      </c>
      <c r="AB108" s="5" t="inlineStr">
        <is>
          <t>https://www.premier-stores.co.uk/our-stores/dhillons-convenience-store-0</t>
        </is>
      </c>
    </row>
    <row r="109">
      <c r="A109" s="10" t="inlineStr">
        <is>
          <t>UK-000438</t>
        </is>
      </c>
      <c r="B109" s="10" t="inlineStr">
        <is>
          <t>PREMIERBOO-02</t>
        </is>
      </c>
      <c r="C109" s="10" t="inlineStr">
        <is>
          <t>Premier (Booker symbol group)</t>
        </is>
      </c>
      <c r="D109" s="10" t="inlineStr">
        <is>
          <t>Kwik Stop Convenience Store</t>
        </is>
      </c>
      <c r="E109" s="10" t="inlineStr">
        <is>
          <t>Convenience Store</t>
        </is>
      </c>
      <c r="F109" s="10" t="inlineStr">
        <is>
          <t>Symbol-group convenience store</t>
        </is>
      </c>
      <c r="G109" s="10" t="inlineStr">
        <is>
          <t>Franchise / Symbol Group</t>
        </is>
      </c>
      <c r="H109" s="10" t="inlineStr">
        <is>
          <t>1</t>
        </is>
      </c>
      <c r="I109" s="10" t="inlineStr">
        <is>
          <t>16 Ribblesdale Road</t>
        </is>
      </c>
      <c r="J109" s="10" t="inlineStr">
        <is>
          <t>Birmingham</t>
        </is>
      </c>
      <c r="K109" s="10" t="inlineStr">
        <is>
          <t>B30 2YP</t>
        </is>
      </c>
      <c r="L109" s="10" t="inlineStr">
        <is>
          <t>0121 472 8118</t>
        </is>
      </c>
      <c r="M109" s="10" t="inlineStr"/>
      <c r="N109" s="10" t="inlineStr"/>
      <c r="O109" s="10" t="inlineStr">
        <is>
          <t>https://www.premier-stores.co.uk/our-stores/kwik-stop-convenience-store</t>
        </is>
      </c>
      <c r="P109" s="10" t="inlineStr"/>
      <c r="Q109" s="10" t="inlineStr"/>
      <c r="R109" s="10" t="inlineStr"/>
      <c r="S109" s="10" t="inlineStr"/>
      <c r="T109" s="10" t="inlineStr"/>
      <c r="U109" s="10" t="inlineStr"/>
      <c r="V109" s="10" t="inlineStr">
        <is>
          <t>Medium</t>
        </is>
      </c>
      <c r="W109" s="10" t="inlineStr">
        <is>
          <t>Multi-site retailer; Independent retailer; Relevant category; Active website</t>
        </is>
      </c>
      <c r="X109" s="10" t="inlineStr">
        <is>
          <t>Verified directory</t>
        </is>
      </c>
      <c r="Y109" s="10" t="inlineStr">
        <is>
          <t>Not Found</t>
        </is>
      </c>
      <c r="Z109" s="10" t="inlineStr">
        <is>
          <t>Medium</t>
        </is>
      </c>
      <c r="AA109" s="10" t="inlineStr">
        <is>
          <t>Requires Verification</t>
        </is>
      </c>
      <c r="AB109" s="10" t="inlineStr">
        <is>
          <t>https://www.premier-stores.co.uk/our-stores/kwik-stop-convenience-store</t>
        </is>
      </c>
    </row>
    <row r="110">
      <c r="A110" s="5" t="inlineStr">
        <is>
          <t>UK-000439</t>
        </is>
      </c>
      <c r="B110" s="5" t="inlineStr">
        <is>
          <t>PREMIERBOO-03</t>
        </is>
      </c>
      <c r="C110" s="5" t="inlineStr">
        <is>
          <t>Premier (Booker symbol group)</t>
        </is>
      </c>
      <c r="D110" s="5" t="inlineStr">
        <is>
          <t>Premier - 570 Bloxwich Road</t>
        </is>
      </c>
      <c r="E110" s="5" t="inlineStr">
        <is>
          <t>Convenience Store</t>
        </is>
      </c>
      <c r="F110" s="5" t="inlineStr">
        <is>
          <t>Convenience &amp; off-licence</t>
        </is>
      </c>
      <c r="G110" s="5" t="inlineStr">
        <is>
          <t>Franchise / Symbol Group</t>
        </is>
      </c>
      <c r="H110" s="5" t="inlineStr">
        <is>
          <t>1</t>
        </is>
      </c>
      <c r="I110" s="5" t="inlineStr">
        <is>
          <t>570 Bloxwich Road</t>
        </is>
      </c>
      <c r="J110" s="5" t="inlineStr">
        <is>
          <t>Walsall</t>
        </is>
      </c>
      <c r="K110" s="5" t="inlineStr">
        <is>
          <t>WS3 2BB</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Multi-site retailer; Independent retailer; Relevant category</t>
        </is>
      </c>
      <c r="X110" s="5" t="inlineStr">
        <is>
          <t>Not Found</t>
        </is>
      </c>
      <c r="Y110" s="5" t="inlineStr">
        <is>
          <t>Not Found</t>
        </is>
      </c>
      <c r="Z110" s="5" t="inlineStr">
        <is>
          <t>Low</t>
        </is>
      </c>
      <c r="AA110" s="5" t="inlineStr">
        <is>
          <t>Requires Verification</t>
        </is>
      </c>
      <c r="AB110" s="5" t="inlineStr">
        <is>
          <t>https://walsall.cylex-uk.co.uk/company/premier---bloxwich-road-convenience-store-23827914.html</t>
        </is>
      </c>
    </row>
    <row r="111">
      <c r="A111" s="10" t="inlineStr">
        <is>
          <t>UK-000440</t>
        </is>
      </c>
      <c r="B111" s="10" t="inlineStr">
        <is>
          <t>PREMIERBOO-04</t>
        </is>
      </c>
      <c r="C111" s="10" t="inlineStr">
        <is>
          <t>Premier (Booker symbol group)</t>
        </is>
      </c>
      <c r="D111" s="10" t="inlineStr">
        <is>
          <t>Premier - Bloxwich Road Convenience Store &amp; Post Office</t>
        </is>
      </c>
      <c r="E111" s="10" t="inlineStr">
        <is>
          <t>Convenience Store</t>
        </is>
      </c>
      <c r="F111" s="10" t="inlineStr">
        <is>
          <t>Convenience &amp; post office</t>
        </is>
      </c>
      <c r="G111" s="10" t="inlineStr">
        <is>
          <t>Franchise / Symbol Group</t>
        </is>
      </c>
      <c r="H111" s="10" t="inlineStr">
        <is>
          <t>1</t>
        </is>
      </c>
      <c r="I111" s="10" t="inlineStr">
        <is>
          <t>133-135 Bloxwich Road</t>
        </is>
      </c>
      <c r="J111" s="10" t="inlineStr">
        <is>
          <t>Walsall</t>
        </is>
      </c>
      <c r="K111" s="10" t="inlineStr">
        <is>
          <t>WS2 8BS</t>
        </is>
      </c>
      <c r="L111" s="10" t="inlineStr"/>
      <c r="M111" s="10" t="inlineStr"/>
      <c r="N111" s="10" t="inlineStr"/>
      <c r="O111" s="10" t="inlineStr">
        <is>
          <t>https://www.premier-stores.co.uk/our-stores/bloxwich-road-convenience-store</t>
        </is>
      </c>
      <c r="P111" s="10" t="inlineStr">
        <is>
          <t>https://www.facebook.com/bloxwichroadconveniencestore/</t>
        </is>
      </c>
      <c r="Q111" s="10" t="inlineStr"/>
      <c r="R111" s="10" t="inlineStr"/>
      <c r="S111" s="10" t="inlineStr"/>
      <c r="T111" s="10" t="inlineStr"/>
      <c r="U111" s="10" t="inlineStr"/>
      <c r="V111" s="10" t="inlineStr">
        <is>
          <t>High</t>
        </is>
      </c>
      <c r="W111" s="10" t="inlineStr">
        <is>
          <t>Multi-site retailer; Independent retailer; Relevant category; Active website; Social presence</t>
        </is>
      </c>
      <c r="X111" s="10" t="inlineStr">
        <is>
          <t>Not Found</t>
        </is>
      </c>
      <c r="Y111" s="10" t="inlineStr">
        <is>
          <t>Not Found</t>
        </is>
      </c>
      <c r="Z111" s="10" t="inlineStr">
        <is>
          <t>Medium</t>
        </is>
      </c>
      <c r="AA111" s="10" t="inlineStr">
        <is>
          <t>Partially Verified</t>
        </is>
      </c>
      <c r="AB111" s="10" t="inlineStr">
        <is>
          <t>https://www.premier-stores.co.uk/our-stores/bloxwich-road-convenience-store</t>
        </is>
      </c>
    </row>
    <row r="112">
      <c r="A112" s="5" t="inlineStr">
        <is>
          <t>UK-000715</t>
        </is>
      </c>
      <c r="B112" s="5" t="inlineStr">
        <is>
          <t>PREMIERBOO-01</t>
        </is>
      </c>
      <c r="C112" s="5" t="inlineStr">
        <is>
          <t>Premier (Booker)</t>
        </is>
      </c>
      <c r="D112" s="5" t="inlineStr">
        <is>
          <t>Dalry Premier Store</t>
        </is>
      </c>
      <c r="E112" s="5" t="inlineStr">
        <is>
          <t>Convenience Store</t>
        </is>
      </c>
      <c r="F112" s="5" t="inlineStr">
        <is>
          <t>Symbol-group convenience &amp; off-licence</t>
        </is>
      </c>
      <c r="G112" s="5" t="inlineStr">
        <is>
          <t>Franchise / Symbol Group</t>
        </is>
      </c>
      <c r="H112" s="5" t="inlineStr">
        <is>
          <t>1</t>
        </is>
      </c>
      <c r="I112" s="5" t="inlineStr">
        <is>
          <t>25 Dalry Road</t>
        </is>
      </c>
      <c r="J112" s="5" t="inlineStr">
        <is>
          <t>Edinburgh</t>
        </is>
      </c>
      <c r="K112" s="5" t="inlineStr">
        <is>
          <t>EH11 2BQ</t>
        </is>
      </c>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Multi-site retailer; Independent retailer; Relevant category</t>
        </is>
      </c>
      <c r="X112" s="5" t="inlineStr">
        <is>
          <t>Not Found</t>
        </is>
      </c>
      <c r="Y112" s="5" t="inlineStr">
        <is>
          <t>Not Found</t>
        </is>
      </c>
      <c r="Z112" s="5" t="inlineStr">
        <is>
          <t>Low</t>
        </is>
      </c>
      <c r="AA112" s="5" t="inlineStr">
        <is>
          <t>Requires Verification</t>
        </is>
      </c>
      <c r="AB112" s="5" t="inlineStr">
        <is>
          <t>https://edinburgh.cylex-uk.co.uk/convenience-stores/?dst=dalry</t>
        </is>
      </c>
    </row>
    <row r="113">
      <c r="A113" s="10" t="inlineStr">
        <is>
          <t>UK-000205</t>
        </is>
      </c>
      <c r="B113" s="10" t="inlineStr">
        <is>
          <t>PREMIERBOO-02</t>
        </is>
      </c>
      <c r="C113" s="10" t="inlineStr">
        <is>
          <t>Premier (Booker)</t>
        </is>
      </c>
      <c r="D113" s="10" t="inlineStr">
        <is>
          <t>Firth Park Convenience Store</t>
        </is>
      </c>
      <c r="E113" s="10" t="inlineStr">
        <is>
          <t>Convenience Store</t>
        </is>
      </c>
      <c r="F113" s="10" t="inlineStr">
        <is>
          <t>Convenience store (symbol group)</t>
        </is>
      </c>
      <c r="G113" s="10" t="inlineStr">
        <is>
          <t>Franchise / Symbol Group</t>
        </is>
      </c>
      <c r="H113" s="10" t="inlineStr">
        <is>
          <t>1</t>
        </is>
      </c>
      <c r="I113" s="10" t="inlineStr">
        <is>
          <t>11-13 Stubbin Lane</t>
        </is>
      </c>
      <c r="J113" s="10" t="inlineStr">
        <is>
          <t>Sheffield</t>
        </is>
      </c>
      <c r="K113" s="10" t="inlineStr">
        <is>
          <t>S5 6QG</t>
        </is>
      </c>
      <c r="L113" s="10" t="inlineStr"/>
      <c r="M113" s="10" t="inlineStr"/>
      <c r="N113" s="10" t="inlineStr"/>
      <c r="O113" s="10" t="inlineStr">
        <is>
          <t>https://www.premier-stores.co.uk/our-stores/firth-park-convenience-store</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Not Found</t>
        </is>
      </c>
      <c r="Y113" s="10" t="inlineStr">
        <is>
          <t>Not Found</t>
        </is>
      </c>
      <c r="Z113" s="10" t="inlineStr">
        <is>
          <t>Low</t>
        </is>
      </c>
      <c r="AA113" s="10" t="inlineStr">
        <is>
          <t>Requires Verification</t>
        </is>
      </c>
      <c r="AB113" s="10" t="inlineStr">
        <is>
          <t>https://www.premier-stores.co.uk/our-stores/firth-park-convenience-store</t>
        </is>
      </c>
    </row>
    <row r="114">
      <c r="A114" s="5" t="inlineStr">
        <is>
          <t>UK-000716</t>
        </is>
      </c>
      <c r="B114" s="5" t="inlineStr">
        <is>
          <t>PREMIERBOO-03</t>
        </is>
      </c>
      <c r="C114" s="5" t="inlineStr">
        <is>
          <t>Premier (Booker)</t>
        </is>
      </c>
      <c r="D114" s="5" t="inlineStr">
        <is>
          <t>Grange Road West Convenience Store</t>
        </is>
      </c>
      <c r="E114" s="5" t="inlineStr">
        <is>
          <t>Convenience Store</t>
        </is>
      </c>
      <c r="F114" s="5" t="inlineStr">
        <is>
          <t>Premier symbol convenience store</t>
        </is>
      </c>
      <c r="G114" s="5" t="inlineStr">
        <is>
          <t>Franchise / Symbol Group</t>
        </is>
      </c>
      <c r="H114" s="5" t="inlineStr">
        <is>
          <t>1</t>
        </is>
      </c>
      <c r="I114" s="5" t="inlineStr">
        <is>
          <t>82-84 Grange Road West</t>
        </is>
      </c>
      <c r="J114" s="5" t="inlineStr">
        <is>
          <t>Birkenhead</t>
        </is>
      </c>
      <c r="K114" s="5" t="inlineStr">
        <is>
          <t>CH41 4DB</t>
        </is>
      </c>
      <c r="L114" s="5" t="inlineStr"/>
      <c r="M114" s="5" t="inlineStr"/>
      <c r="N114" s="5" t="inlineStr"/>
      <c r="O114" s="5" t="inlineStr">
        <is>
          <t>https://www.premier-stores.co.uk/our-stores/grange-road-west-convenience-store</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Website Found</t>
        </is>
      </c>
      <c r="Z114" s="5" t="inlineStr">
        <is>
          <t>Medium</t>
        </is>
      </c>
      <c r="AA114" s="5" t="inlineStr">
        <is>
          <t>Requires Verification</t>
        </is>
      </c>
      <c r="AB114" s="5" t="inlineStr">
        <is>
          <t>https://www.premier-stores.co.uk/our-stores/grange-road-west-convenience-store</t>
        </is>
      </c>
    </row>
    <row r="115">
      <c r="A115" s="10" t="inlineStr">
        <is>
          <t>UK-000206</t>
        </is>
      </c>
      <c r="B115" s="10" t="inlineStr">
        <is>
          <t>PREMIERBOO-04</t>
        </is>
      </c>
      <c r="C115" s="10" t="inlineStr">
        <is>
          <t>Premier (Booker)</t>
        </is>
      </c>
      <c r="D115" s="10" t="inlineStr">
        <is>
          <t>Premier (Grimsby Road, Cleethorpes)</t>
        </is>
      </c>
      <c r="E115" s="10" t="inlineStr">
        <is>
          <t>Convenience Store</t>
        </is>
      </c>
      <c r="F115" s="10" t="inlineStr">
        <is>
          <t>Symbol-group convenience store</t>
        </is>
      </c>
      <c r="G115" s="10" t="inlineStr">
        <is>
          <t>Franchise / Symbol Group</t>
        </is>
      </c>
      <c r="H115" s="10" t="inlineStr">
        <is>
          <t>1</t>
        </is>
      </c>
      <c r="I115" s="10" t="inlineStr">
        <is>
          <t>141-143 Grimsby Road</t>
        </is>
      </c>
      <c r="J115" s="10" t="inlineStr">
        <is>
          <t>Cleethorpes</t>
        </is>
      </c>
      <c r="K115" s="10" t="inlineStr"/>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Multi-site retailer; Independent retailer; Relevant category</t>
        </is>
      </c>
      <c r="X115" s="10" t="inlineStr">
        <is>
          <t>Not Found</t>
        </is>
      </c>
      <c r="Y115" s="10" t="inlineStr">
        <is>
          <t>Not Found</t>
        </is>
      </c>
      <c r="Z115" s="10" t="inlineStr">
        <is>
          <t>Low</t>
        </is>
      </c>
      <c r="AA115" s="10" t="inlineStr">
        <is>
          <t>Requires Verification</t>
        </is>
      </c>
      <c r="AB115" s="10" t="inlineStr">
        <is>
          <t>https://www.premier-stores.co.uk/our-stores/grimsby-road</t>
        </is>
      </c>
    </row>
    <row r="116">
      <c r="A116" s="5" t="inlineStr">
        <is>
          <t>UK-000207</t>
        </is>
      </c>
      <c r="B116" s="5" t="inlineStr">
        <is>
          <t>PREMIERBOO-05</t>
        </is>
      </c>
      <c r="C116" s="5" t="inlineStr">
        <is>
          <t>Premier (Booker)</t>
        </is>
      </c>
      <c r="D116" s="5" t="inlineStr">
        <is>
          <t>Premier Mexborough Convenience Store</t>
        </is>
      </c>
      <c r="E116" s="5" t="inlineStr">
        <is>
          <t>Convenience Store</t>
        </is>
      </c>
      <c r="F116" s="5" t="inlineStr">
        <is>
          <t>Convenience store (symbol group)</t>
        </is>
      </c>
      <c r="G116" s="5" t="inlineStr">
        <is>
          <t>Franchise / Symbol Group</t>
        </is>
      </c>
      <c r="H116" s="5" t="inlineStr">
        <is>
          <t>1</t>
        </is>
      </c>
      <c r="I116" s="5" t="inlineStr">
        <is>
          <t>41-43 Wath Road</t>
        </is>
      </c>
      <c r="J116" s="5" t="inlineStr">
        <is>
          <t>Mexborough</t>
        </is>
      </c>
      <c r="K116" s="5" t="inlineStr">
        <is>
          <t>S64 9QZ</t>
        </is>
      </c>
      <c r="L116" s="5" t="inlineStr">
        <is>
          <t>01709 581369</t>
        </is>
      </c>
      <c r="M116" s="5" t="inlineStr"/>
      <c r="N116" s="5" t="inlineStr"/>
      <c r="O116" s="5" t="inlineStr">
        <is>
          <t>https://www.premier-stores.co.uk/our-stores/mexborough-convenience-store</t>
        </is>
      </c>
      <c r="P116" s="5" t="inlineStr">
        <is>
          <t>https://www.facebook.com/p/Premier-Mexborough-Convenience-Store-100068015556730/</t>
        </is>
      </c>
      <c r="Q116" s="5" t="inlineStr"/>
      <c r="R116" s="5" t="inlineStr"/>
      <c r="S116" s="5" t="inlineStr"/>
      <c r="T116" s="5" t="inlineStr"/>
      <c r="U116" s="5" t="inlineStr"/>
      <c r="V116" s="5" t="inlineStr">
        <is>
          <t>High</t>
        </is>
      </c>
      <c r="W116" s="5" t="inlineStr">
        <is>
          <t>Multi-site retailer; Independent retailer; Relevant category; Active website; Social presence</t>
        </is>
      </c>
      <c r="X116" s="5" t="inlineStr">
        <is>
          <t>Verified directory</t>
        </is>
      </c>
      <c r="Y116" s="5" t="inlineStr">
        <is>
          <t>Not Found</t>
        </is>
      </c>
      <c r="Z116" s="5" t="inlineStr">
        <is>
          <t>Medium</t>
        </is>
      </c>
      <c r="AA116" s="5" t="inlineStr">
        <is>
          <t>Requires Verification</t>
        </is>
      </c>
      <c r="AB116" s="5" t="inlineStr">
        <is>
          <t>https://www.premier-stores.co.uk/our-stores/mexborough-convenience-store</t>
        </is>
      </c>
    </row>
    <row r="117">
      <c r="A117" s="10" t="inlineStr">
        <is>
          <t>UK-000208</t>
        </is>
      </c>
      <c r="B117" s="10" t="inlineStr">
        <is>
          <t>PREMIERBOO-06</t>
        </is>
      </c>
      <c r="C117" s="10" t="inlineStr">
        <is>
          <t>Premier (Booker)</t>
        </is>
      </c>
      <c r="D117" s="10" t="inlineStr">
        <is>
          <t>Premier Super Convenience Store Barnsley</t>
        </is>
      </c>
      <c r="E117" s="10" t="inlineStr">
        <is>
          <t>Convenience Store</t>
        </is>
      </c>
      <c r="F117" s="10" t="inlineStr">
        <is>
          <t>Convenience store (symbol group)</t>
        </is>
      </c>
      <c r="G117" s="10" t="inlineStr">
        <is>
          <t>Franchise / Symbol Group</t>
        </is>
      </c>
      <c r="H117" s="10" t="inlineStr">
        <is>
          <t>1</t>
        </is>
      </c>
      <c r="I117" s="10" t="inlineStr">
        <is>
          <t>38-40 Dodworth Road</t>
        </is>
      </c>
      <c r="J117" s="10" t="inlineStr">
        <is>
          <t>Barnsley</t>
        </is>
      </c>
      <c r="K117" s="10" t="inlineStr"/>
      <c r="L117" s="10" t="inlineStr"/>
      <c r="M117" s="10" t="inlineStr"/>
      <c r="N117" s="10" t="inlineStr"/>
      <c r="O117" s="10" t="inlineStr"/>
      <c r="P117" s="10" t="inlineStr">
        <is>
          <t>https://web.facebook.com/premier3840/</t>
        </is>
      </c>
      <c r="Q117" s="10" t="inlineStr"/>
      <c r="R117" s="10" t="inlineStr"/>
      <c r="S117" s="10" t="inlineStr"/>
      <c r="T117" s="10" t="inlineStr"/>
      <c r="U117" s="10" t="inlineStr"/>
      <c r="V117" s="10" t="inlineStr">
        <is>
          <t>Medium</t>
        </is>
      </c>
      <c r="W117" s="10" t="inlineStr">
        <is>
          <t>Multi-site retailer; Independent retailer; Relevant category; Social presence</t>
        </is>
      </c>
      <c r="X117" s="10" t="inlineStr">
        <is>
          <t>Not Found</t>
        </is>
      </c>
      <c r="Y117" s="10" t="inlineStr">
        <is>
          <t>Not Found</t>
        </is>
      </c>
      <c r="Z117" s="10" t="inlineStr">
        <is>
          <t>Low</t>
        </is>
      </c>
      <c r="AA117" s="10" t="inlineStr">
        <is>
          <t>Requires Verification</t>
        </is>
      </c>
      <c r="AB117" s="10" t="inlineStr">
        <is>
          <t>https://web.facebook.com/premier3840/</t>
        </is>
      </c>
    </row>
    <row r="118">
      <c r="A118" s="5" t="inlineStr">
        <is>
          <t>UK-000209</t>
        </is>
      </c>
      <c r="B118" s="5" t="inlineStr">
        <is>
          <t>PREMIERBOO-07</t>
        </is>
      </c>
      <c r="C118" s="5" t="inlineStr">
        <is>
          <t>Premier (Booker)</t>
        </is>
      </c>
      <c r="D118" s="5" t="inlineStr">
        <is>
          <t>Premier Wombwell Convenience Store</t>
        </is>
      </c>
      <c r="E118" s="5" t="inlineStr">
        <is>
          <t>Convenience Store</t>
        </is>
      </c>
      <c r="F118" s="5" t="inlineStr">
        <is>
          <t>Convenience store (symbol group)</t>
        </is>
      </c>
      <c r="G118" s="5" t="inlineStr">
        <is>
          <t>Franchise / Symbol Group</t>
        </is>
      </c>
      <c r="H118" s="5" t="inlineStr">
        <is>
          <t>1</t>
        </is>
      </c>
      <c r="I118" s="5" t="inlineStr">
        <is>
          <t>2 Pearson Crescent</t>
        </is>
      </c>
      <c r="J118" s="5" t="inlineStr">
        <is>
          <t>Barnsley</t>
        </is>
      </c>
      <c r="K118" s="5" t="inlineStr">
        <is>
          <t>S73 8SN</t>
        </is>
      </c>
      <c r="L118" s="5" t="inlineStr"/>
      <c r="M118" s="5" t="inlineStr"/>
      <c r="N118" s="5" t="inlineStr"/>
      <c r="O118" s="5" t="inlineStr">
        <is>
          <t>https://www.premier-stores.co.uk/our-stores/wombwell-convenience-store</t>
        </is>
      </c>
      <c r="P118" s="5" t="inlineStr"/>
      <c r="Q118" s="5" t="inlineStr"/>
      <c r="R118" s="5" t="inlineStr"/>
      <c r="S118" s="5" t="inlineStr"/>
      <c r="T118" s="5" t="inlineStr"/>
      <c r="U118" s="5" t="inlineStr"/>
      <c r="V118" s="5" t="inlineStr">
        <is>
          <t>Medium</t>
        </is>
      </c>
      <c r="W118" s="5" t="inlineStr">
        <is>
          <t>Multi-site retailer; Independent retailer; Relevant category; Active website</t>
        </is>
      </c>
      <c r="X118" s="5" t="inlineStr">
        <is>
          <t>Not Found</t>
        </is>
      </c>
      <c r="Y118" s="5" t="inlineStr">
        <is>
          <t>Not Found</t>
        </is>
      </c>
      <c r="Z118" s="5" t="inlineStr">
        <is>
          <t>Low</t>
        </is>
      </c>
      <c r="AA118" s="5" t="inlineStr">
        <is>
          <t>Requires Verification</t>
        </is>
      </c>
      <c r="AB118" s="5" t="inlineStr">
        <is>
          <t>https://www.premier-stores.co.uk/our-stores/wombwell-convenience-store</t>
        </is>
      </c>
    </row>
    <row r="119">
      <c r="A119" s="10" t="inlineStr">
        <is>
          <t>UK-000210</t>
        </is>
      </c>
      <c r="B119" s="10" t="inlineStr">
        <is>
          <t>PREMIERBOO-08</t>
        </is>
      </c>
      <c r="C119" s="10" t="inlineStr">
        <is>
          <t>Premier (Booker)</t>
        </is>
      </c>
      <c r="D119" s="10" t="inlineStr">
        <is>
          <t>Sheffield Road Premier Convenience Store</t>
        </is>
      </c>
      <c r="E119" s="10" t="inlineStr">
        <is>
          <t>Convenience Store</t>
        </is>
      </c>
      <c r="F119" s="10" t="inlineStr">
        <is>
          <t>Convenience store (symbol group)</t>
        </is>
      </c>
      <c r="G119" s="10" t="inlineStr">
        <is>
          <t>Franchise / Symbol Group</t>
        </is>
      </c>
      <c r="H119" s="10" t="inlineStr">
        <is>
          <t>1</t>
        </is>
      </c>
      <c r="I119" s="10" t="inlineStr">
        <is>
          <t>110-112 Sheffield Road</t>
        </is>
      </c>
      <c r="J119" s="10" t="inlineStr">
        <is>
          <t>Barnsley</t>
        </is>
      </c>
      <c r="K119" s="10" t="inlineStr">
        <is>
          <t>S70 1JB</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Independent retailer; Relevant category</t>
        </is>
      </c>
      <c r="X119" s="10" t="inlineStr">
        <is>
          <t>Not Found</t>
        </is>
      </c>
      <c r="Y119" s="10" t="inlineStr">
        <is>
          <t>Not Found</t>
        </is>
      </c>
      <c r="Z119" s="10" t="inlineStr">
        <is>
          <t>Low</t>
        </is>
      </c>
      <c r="AA119" s="10" t="inlineStr">
        <is>
          <t>Requires Verification</t>
        </is>
      </c>
      <c r="AB119" s="10" t="inlineStr">
        <is>
          <t>https://www.barnsley.gov.uk/services/licences-and-permissions/premises-licences/pending-premises-licence-applications/sheffield-road-premier-convenience-store-application-for-a-new-premises-licence</t>
        </is>
      </c>
    </row>
    <row r="120">
      <c r="A120" s="5" t="inlineStr">
        <is>
          <t>UK-000717</t>
        </is>
      </c>
      <c r="B120" s="5" t="inlineStr">
        <is>
          <t>PREMIERBOO-01</t>
        </is>
      </c>
      <c r="C120" s="5" t="inlineStr">
        <is>
          <t>Premier (Booker) symbol group</t>
        </is>
      </c>
      <c r="D120" s="5" t="inlineStr">
        <is>
          <t>Premier - Shawlands Convenience Store</t>
        </is>
      </c>
      <c r="E120" s="5" t="inlineStr">
        <is>
          <t>Convenience Store</t>
        </is>
      </c>
      <c r="F120" s="5" t="inlineStr">
        <is>
          <t>Symbol-group convenience store</t>
        </is>
      </c>
      <c r="G120" s="5" t="inlineStr">
        <is>
          <t>Franchise / Symbol Group</t>
        </is>
      </c>
      <c r="H120" s="5" t="inlineStr">
        <is>
          <t>1</t>
        </is>
      </c>
      <c r="I120" s="5" t="inlineStr">
        <is>
          <t>1454 Pollokshaws Road</t>
        </is>
      </c>
      <c r="J120" s="5" t="inlineStr">
        <is>
          <t>Glasgow</t>
        </is>
      </c>
      <c r="K120" s="5" t="inlineStr">
        <is>
          <t>G43 1RN</t>
        </is>
      </c>
      <c r="L120" s="5" t="inlineStr">
        <is>
          <t>0141 632 3236</t>
        </is>
      </c>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Independent retailer; Relevant category</t>
        </is>
      </c>
      <c r="X120" s="5" t="inlineStr">
        <is>
          <t>Verified directory</t>
        </is>
      </c>
      <c r="Y120" s="5" t="inlineStr">
        <is>
          <t>Not Found</t>
        </is>
      </c>
      <c r="Z120" s="5" t="inlineStr">
        <is>
          <t>Medium</t>
        </is>
      </c>
      <c r="AA120" s="5" t="inlineStr">
        <is>
          <t>Requires Verification</t>
        </is>
      </c>
      <c r="AB120" s="5" t="inlineStr">
        <is>
          <t>https://www.yell.com/biz/premier-shawlands-convenience-store-glasgow-7541485/</t>
        </is>
      </c>
    </row>
    <row r="121">
      <c r="A121" s="10" t="inlineStr">
        <is>
          <t>UK-000718</t>
        </is>
      </c>
      <c r="B121" s="10" t="inlineStr">
        <is>
          <t>PRIMEVAPOU-01</t>
        </is>
      </c>
      <c r="C121" s="10" t="inlineStr">
        <is>
          <t>Prime Vapour</t>
        </is>
      </c>
      <c r="D121" s="10" t="inlineStr">
        <is>
          <t>Prime Vapour East Kilbride</t>
        </is>
      </c>
      <c r="E121" s="10" t="inlineStr">
        <is>
          <t>Vape Shop</t>
        </is>
      </c>
      <c r="F121" s="10" t="inlineStr">
        <is>
          <t>Vape shop</t>
        </is>
      </c>
      <c r="G121" s="10" t="inlineStr">
        <is>
          <t>Multi-Site Independent</t>
        </is>
      </c>
      <c r="H121" s="10" t="inlineStr">
        <is>
          <t>2</t>
        </is>
      </c>
      <c r="I121" s="10" t="inlineStr">
        <is>
          <t>Cornwall Street</t>
        </is>
      </c>
      <c r="J121" s="10" t="inlineStr">
        <is>
          <t>East Kilbride</t>
        </is>
      </c>
      <c r="K121" s="10" t="inlineStr">
        <is>
          <t>G74 1AF</t>
        </is>
      </c>
      <c r="L121" s="10" t="inlineStr">
        <is>
          <t>01355 458188</t>
        </is>
      </c>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Independent retailer; Core relevant category</t>
        </is>
      </c>
      <c r="X121" s="10" t="inlineStr">
        <is>
          <t>Verified directory</t>
        </is>
      </c>
      <c r="Y121" s="10" t="inlineStr">
        <is>
          <t>Not Found</t>
        </is>
      </c>
      <c r="Z121" s="10" t="inlineStr">
        <is>
          <t>Medium</t>
        </is>
      </c>
      <c r="AA121" s="10" t="inlineStr">
        <is>
          <t>Requires Verification</t>
        </is>
      </c>
      <c r="AB121" s="10" t="inlineStr">
        <is>
          <t>https://ecigdirectory.co.uk/vape-shop/listing/prime-vapour</t>
        </is>
      </c>
    </row>
    <row r="122">
      <c r="A122" s="5" t="inlineStr">
        <is>
          <t>UK-000719</t>
        </is>
      </c>
      <c r="B122" s="5" t="inlineStr">
        <is>
          <t>PRIMEVAPOU-02</t>
        </is>
      </c>
      <c r="C122" s="5" t="inlineStr">
        <is>
          <t>Prime Vapour</t>
        </is>
      </c>
      <c r="D122" s="5" t="inlineStr">
        <is>
          <t>Prime Vapour Motherwell</t>
        </is>
      </c>
      <c r="E122" s="5" t="inlineStr">
        <is>
          <t>Vape Shop</t>
        </is>
      </c>
      <c r="F122" s="5" t="inlineStr">
        <is>
          <t>Vape shop</t>
        </is>
      </c>
      <c r="G122" s="5" t="inlineStr">
        <is>
          <t>Multi-Site Independent</t>
        </is>
      </c>
      <c r="H122" s="5" t="inlineStr">
        <is>
          <t>2</t>
        </is>
      </c>
      <c r="I122" s="5" t="inlineStr">
        <is>
          <t>2 Brandon Parade East</t>
        </is>
      </c>
      <c r="J122" s="5" t="inlineStr">
        <is>
          <t>Motherwell</t>
        </is>
      </c>
      <c r="K122" s="5" t="inlineStr">
        <is>
          <t>ML1 1LY</t>
        </is>
      </c>
      <c r="L122" s="5" t="inlineStr">
        <is>
          <t>01698 253423</t>
        </is>
      </c>
      <c r="M122" s="5" t="inlineStr"/>
      <c r="N122" s="5" t="inlineStr"/>
      <c r="O122" s="5" t="inlineStr"/>
      <c r="P122" s="5" t="inlineStr"/>
      <c r="Q122" s="5" t="inlineStr"/>
      <c r="R122" s="5" t="inlineStr"/>
      <c r="S122" s="5" t="inlineStr"/>
      <c r="T122" s="5" t="inlineStr"/>
      <c r="U122" s="5" t="inlineStr"/>
      <c r="V122" s="5" t="inlineStr">
        <is>
          <t>Medium</t>
        </is>
      </c>
      <c r="W122" s="5" t="inlineStr">
        <is>
          <t>Multi-site retailer; Independent retailer; Core relevant category</t>
        </is>
      </c>
      <c r="X122" s="5" t="inlineStr">
        <is>
          <t>Verified directory</t>
        </is>
      </c>
      <c r="Y122" s="5" t="inlineStr">
        <is>
          <t>Not Found</t>
        </is>
      </c>
      <c r="Z122" s="5" t="inlineStr">
        <is>
          <t>Medium</t>
        </is>
      </c>
      <c r="AA122" s="5" t="inlineStr">
        <is>
          <t>Requires Verification</t>
        </is>
      </c>
      <c r="AB122" s="5" t="inlineStr">
        <is>
          <t>https://m.yelp.com/c/motherwell-north-lanarkshire-gb/vapeshops</t>
        </is>
      </c>
    </row>
    <row r="123">
      <c r="A123" s="10" t="inlineStr">
        <is>
          <t>UK-000720</t>
        </is>
      </c>
      <c r="B123" s="10" t="inlineStr">
        <is>
          <t>PROVAPOR-01</t>
        </is>
      </c>
      <c r="C123" s="10" t="inlineStr">
        <is>
          <t>Pro Vapor</t>
        </is>
      </c>
      <c r="D123" s="10" t="inlineStr">
        <is>
          <t>Pro Vapor Leith Walk</t>
        </is>
      </c>
      <c r="E123" s="10" t="inlineStr">
        <is>
          <t>Vape Shop</t>
        </is>
      </c>
      <c r="F123" s="10" t="inlineStr">
        <is>
          <t>E-cigarettes &amp; e-liquids</t>
        </is>
      </c>
      <c r="G123" s="10" t="inlineStr">
        <is>
          <t>Multi-Site Independent</t>
        </is>
      </c>
      <c r="H123" s="10" t="inlineStr">
        <is>
          <t>2</t>
        </is>
      </c>
      <c r="I123" s="10" t="inlineStr">
        <is>
          <t>20 Albert Place</t>
        </is>
      </c>
      <c r="J123" s="10" t="inlineStr">
        <is>
          <t>Edinburgh</t>
        </is>
      </c>
      <c r="K123" s="10" t="inlineStr">
        <is>
          <t>EH7 5HN</t>
        </is>
      </c>
      <c r="L123" s="10" t="inlineStr">
        <is>
          <t>0131 556 4151</t>
        </is>
      </c>
      <c r="M123" s="10" t="inlineStr"/>
      <c r="N123" s="10" t="inlineStr"/>
      <c r="O123" s="10" t="inlineStr"/>
      <c r="P123" s="10" t="inlineStr"/>
      <c r="Q123" s="10" t="inlineStr"/>
      <c r="R123" s="10" t="inlineStr"/>
      <c r="S123" s="10" t="inlineStr"/>
      <c r="T123" s="10" t="inlineStr"/>
      <c r="U123" s="10" t="inlineStr"/>
      <c r="V123" s="10" t="inlineStr">
        <is>
          <t>Medium</t>
        </is>
      </c>
      <c r="W123" s="10" t="inlineStr">
        <is>
          <t>Multi-site retailer; Independent retailer; Core relevant category</t>
        </is>
      </c>
      <c r="X123" s="10" t="inlineStr">
        <is>
          <t>Verified directory</t>
        </is>
      </c>
      <c r="Y123" s="10" t="inlineStr">
        <is>
          <t>Not Found</t>
        </is>
      </c>
      <c r="Z123" s="10" t="inlineStr">
        <is>
          <t>Medium</t>
        </is>
      </c>
      <c r="AA123" s="10" t="inlineStr">
        <is>
          <t>Requires Verification</t>
        </is>
      </c>
      <c r="AB123" s="10" t="inlineStr">
        <is>
          <t>https://edinburgh.cylex-uk.co.uk/company/pro--vapor-27369658.html</t>
        </is>
      </c>
    </row>
    <row r="124">
      <c r="A124" s="5" t="inlineStr">
        <is>
          <t>UK-000559</t>
        </is>
      </c>
      <c r="B124" s="5" t="inlineStr">
        <is>
          <t>QUALITYFOO-01</t>
        </is>
      </c>
      <c r="C124" s="5" t="inlineStr">
        <is>
          <t>Quality Foods</t>
        </is>
      </c>
      <c r="D124" s="5" t="inlineStr">
        <is>
          <t>Quality Foods</t>
        </is>
      </c>
      <c r="E124" s="5" t="inlineStr">
        <is>
          <t>Independent Supermarket</t>
        </is>
      </c>
      <c r="F124" s="5" t="inlineStr">
        <is>
          <t>South Asian / world food supermarket</t>
        </is>
      </c>
      <c r="G124" s="5" t="inlineStr">
        <is>
          <t>Multi-Site Independent</t>
        </is>
      </c>
      <c r="H124" s="5" t="inlineStr">
        <is>
          <t>2</t>
        </is>
      </c>
      <c r="I124" s="5" t="inlineStr">
        <is>
          <t>47-61 South Road</t>
        </is>
      </c>
      <c r="J124" s="5" t="inlineStr">
        <is>
          <t>Southall</t>
        </is>
      </c>
      <c r="K124" s="5" t="inlineStr">
        <is>
          <t>UB1 1SQ</t>
        </is>
      </c>
      <c r="L124" s="5" t="inlineStr">
        <is>
          <t>020 8571 6966</t>
        </is>
      </c>
      <c r="M124" s="5" t="inlineStr"/>
      <c r="N124" s="5" t="inlineStr"/>
      <c r="O124" s="5" t="inlineStr">
        <is>
          <t>https://www.qualityfoodsonline.com</t>
        </is>
      </c>
      <c r="P124" s="5" t="inlineStr"/>
      <c r="Q124" s="5" t="inlineStr"/>
      <c r="R124" s="5" t="inlineStr"/>
      <c r="S124" s="5" t="inlineStr"/>
      <c r="T124" s="5" t="inlineStr"/>
      <c r="U124" s="5" t="inlineStr"/>
      <c r="V124" s="5" t="inlineStr">
        <is>
          <t>Medium</t>
        </is>
      </c>
      <c r="W124" s="5" t="inlineStr">
        <is>
          <t>Multi-site retailer; Independent retailer; Relevant category; Active website</t>
        </is>
      </c>
      <c r="X124" s="5" t="inlineStr">
        <is>
          <t>Verified directory</t>
        </is>
      </c>
      <c r="Y124" s="5" t="inlineStr">
        <is>
          <t>Not Found</t>
        </is>
      </c>
      <c r="Z124" s="5" t="inlineStr">
        <is>
          <t>Medium</t>
        </is>
      </c>
      <c r="AA124" s="5" t="inlineStr">
        <is>
          <t>Partially Verified</t>
        </is>
      </c>
      <c r="AB124" s="5" t="inlineStr">
        <is>
          <t>https://www.qualityfoodsonline.com/pages/shops</t>
        </is>
      </c>
    </row>
    <row r="125">
      <c r="A125" s="10" t="inlineStr">
        <is>
          <t>UK-000560</t>
        </is>
      </c>
      <c r="B125" s="10" t="inlineStr">
        <is>
          <t>QUALITYFOO-02</t>
        </is>
      </c>
      <c r="C125" s="10" t="inlineStr">
        <is>
          <t>Quality Foods</t>
        </is>
      </c>
      <c r="D125" s="10" t="inlineStr">
        <is>
          <t>Quality Foods (Ilford)</t>
        </is>
      </c>
      <c r="E125" s="10" t="inlineStr">
        <is>
          <t>Independent Supermarket</t>
        </is>
      </c>
      <c r="F125" s="10" t="inlineStr">
        <is>
          <t>Asian / world-food supermarket</t>
        </is>
      </c>
      <c r="G125" s="10" t="inlineStr">
        <is>
          <t>Multi-Site Independent</t>
        </is>
      </c>
      <c r="H125" s="10" t="inlineStr">
        <is>
          <t>1</t>
        </is>
      </c>
      <c r="I125" s="10" t="inlineStr">
        <is>
          <t>135 High Road</t>
        </is>
      </c>
      <c r="J125" s="10" t="inlineStr">
        <is>
          <t>Ilford</t>
        </is>
      </c>
      <c r="K125" s="10" t="inlineStr">
        <is>
          <t>IG1 1DE</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Multi-site retailer; Independent retailer; Relevant category</t>
        </is>
      </c>
      <c r="X125" s="10" t="inlineStr">
        <is>
          <t>Not Found</t>
        </is>
      </c>
      <c r="Y125" s="10" t="inlineStr">
        <is>
          <t>Not Found</t>
        </is>
      </c>
      <c r="Z125" s="10" t="inlineStr">
        <is>
          <t>Medium</t>
        </is>
      </c>
      <c r="AA125" s="10" t="inlineStr">
        <is>
          <t>Requires Verification</t>
        </is>
      </c>
      <c r="AB125" s="10" t="inlineStr">
        <is>
          <t>https://www.yell.com/biz/quality-foods-ilford-364548/</t>
        </is>
      </c>
    </row>
    <row r="126">
      <c r="A126" s="5" t="inlineStr">
        <is>
          <t>UK-000318</t>
        </is>
      </c>
      <c r="B126" s="5" t="inlineStr">
        <is>
          <t>SGNRETAILC-01</t>
        </is>
      </c>
      <c r="C126" s="5" t="inlineStr">
        <is>
          <t>SGN Retail (Costcutter symbol group)</t>
        </is>
      </c>
      <c r="D126" s="5" t="inlineStr">
        <is>
          <t>Seedley Road Service Station (Costcutter, Salford)</t>
        </is>
      </c>
      <c r="E126" s="5" t="inlineStr">
        <is>
          <t>Petrol Station / Forecourt</t>
        </is>
      </c>
      <c r="F126" s="5" t="inlineStr">
        <is>
          <t>Forecourt convenience (Costcutter/BP)</t>
        </is>
      </c>
      <c r="G126" s="5" t="inlineStr">
        <is>
          <t>Franchise / Symbol Group</t>
        </is>
      </c>
      <c r="H126" s="5" t="inlineStr">
        <is>
          <t>1</t>
        </is>
      </c>
      <c r="I126" s="5" t="inlineStr">
        <is>
          <t>21 Seedley Road</t>
        </is>
      </c>
      <c r="J126" s="5" t="inlineStr">
        <is>
          <t>Salford</t>
        </is>
      </c>
      <c r="K126" s="5" t="inlineStr">
        <is>
          <t>M6 5WN</t>
        </is>
      </c>
      <c r="L126" s="5" t="inlineStr">
        <is>
          <t>0161 737 8126</t>
        </is>
      </c>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Verified directory</t>
        </is>
      </c>
      <c r="Y126" s="5" t="inlineStr">
        <is>
          <t>Not Found</t>
        </is>
      </c>
      <c r="Z126" s="5" t="inlineStr">
        <is>
          <t>Low</t>
        </is>
      </c>
      <c r="AA126" s="5" t="inlineStr">
        <is>
          <t>Requires Verification</t>
        </is>
      </c>
      <c r="AB126" s="5" t="inlineStr">
        <is>
          <t>https://www.24houralcohol.co.uk/salford-off-licences</t>
        </is>
      </c>
    </row>
    <row r="127">
      <c r="A127" s="10" t="inlineStr">
        <is>
          <t>WY-0022</t>
        </is>
      </c>
      <c r="B127" s="10" t="inlineStr">
        <is>
          <t>SMKD-01</t>
        </is>
      </c>
      <c r="C127" s="10" t="inlineStr">
        <is>
          <t>SMKD</t>
        </is>
      </c>
      <c r="D127" s="10" t="inlineStr">
        <is>
          <t>SMKD</t>
        </is>
      </c>
      <c r="E127" s="10" t="inlineStr">
        <is>
          <t>Vape Shop</t>
        </is>
      </c>
      <c r="F127" s="10" t="inlineStr">
        <is>
          <t>Vape chain store</t>
        </is>
      </c>
      <c r="G127" s="10" t="inlineStr">
        <is>
          <t>Regional Chain</t>
        </is>
      </c>
      <c r="H127" s="10" t="inlineStr"/>
      <c r="I127" s="10" t="inlineStr">
        <is>
          <t>31-32 Market Street</t>
        </is>
      </c>
      <c r="J127" s="10" t="inlineStr">
        <is>
          <t>Halifax</t>
        </is>
      </c>
      <c r="K127" s="10" t="inlineStr">
        <is>
          <t>HX1 1DZ</t>
        </is>
      </c>
      <c r="L127" s="10" t="inlineStr"/>
      <c r="M127" s="10" t="inlineStr">
        <is>
          <t>info@smkd.com</t>
        </is>
      </c>
      <c r="N127" s="10" t="inlineStr"/>
      <c r="O127" s="10" t="inlineStr">
        <is>
          <t>https://smkd.com/vape-shop-locator/smkd-halifax-vape-shop-market-street/</t>
        </is>
      </c>
      <c r="P127" s="10" t="inlineStr">
        <is>
          <t>https://www.facebook.com/SmkdVapeShop/</t>
        </is>
      </c>
      <c r="Q127" s="10" t="inlineStr"/>
      <c r="R127" s="10" t="inlineStr"/>
      <c r="S127" s="10" t="inlineStr"/>
      <c r="T127" s="10" t="inlineStr">
        <is>
          <t>16161027</t>
        </is>
      </c>
      <c r="U127" s="10" t="inlineStr">
        <is>
          <t>Active</t>
        </is>
      </c>
      <c r="V127" s="10" t="inlineStr">
        <is>
          <t>High</t>
        </is>
      </c>
      <c r="W127" s="10" t="inlineStr">
        <is>
          <t>Multi-site retailer; Core relevant category; Public email available; Active website; Social presence</t>
        </is>
      </c>
      <c r="X127" s="10" t="inlineStr">
        <is>
          <t>Not Found</t>
        </is>
      </c>
      <c r="Y127" s="10" t="inlineStr">
        <is>
          <t>Website Found</t>
        </is>
      </c>
      <c r="Z127" s="10" t="inlineStr">
        <is>
          <t>Medium</t>
        </is>
      </c>
      <c r="AA127" s="10" t="inlineStr">
        <is>
          <t>Partially Verified</t>
        </is>
      </c>
      <c r="AB127" s="10" t="inlineStr">
        <is>
          <t>https://smkd.com/vape-shop-locator/smkd-halifax-vape-shop-market-street/</t>
        </is>
      </c>
    </row>
    <row r="128">
      <c r="A128" s="5" t="inlineStr">
        <is>
          <t>WY-0023</t>
        </is>
      </c>
      <c r="B128" s="5" t="inlineStr">
        <is>
          <t>SMKD-02</t>
        </is>
      </c>
      <c r="C128" s="5" t="inlineStr">
        <is>
          <t>SMKD</t>
        </is>
      </c>
      <c r="D128" s="5" t="inlineStr">
        <is>
          <t>SMKD</t>
        </is>
      </c>
      <c r="E128" s="5" t="inlineStr">
        <is>
          <t>Vape Shop</t>
        </is>
      </c>
      <c r="F128" s="5" t="inlineStr">
        <is>
          <t>Vape chain store with same-day local delivery</t>
        </is>
      </c>
      <c r="G128" s="5" t="inlineStr">
        <is>
          <t>Regional Chain</t>
        </is>
      </c>
      <c r="H128" s="5" t="inlineStr"/>
      <c r="I128" s="5" t="inlineStr"/>
      <c r="J128" s="5" t="inlineStr">
        <is>
          <t>Hebden Bridge</t>
        </is>
      </c>
      <c r="K128" s="5" t="inlineStr"/>
      <c r="L128" s="5" t="inlineStr">
        <is>
          <t>01274 270303</t>
        </is>
      </c>
      <c r="M128" s="5" t="inlineStr">
        <is>
          <t>info@smkd.com</t>
        </is>
      </c>
      <c r="N128" s="5" t="inlineStr"/>
      <c r="O128" s="5" t="inlineStr">
        <is>
          <t>https://smkd.com/vape-shop-locator/smkd-hebden-bridge-vape-shop-west-end/</t>
        </is>
      </c>
      <c r="P128" s="5" t="inlineStr">
        <is>
          <t>https://www.facebook.com/SmkdVapeShop/</t>
        </is>
      </c>
      <c r="Q128" s="5" t="inlineStr"/>
      <c r="R128" s="5" t="inlineStr"/>
      <c r="S128" s="5" t="inlineStr"/>
      <c r="T128" s="5" t="inlineStr">
        <is>
          <t>16161027</t>
        </is>
      </c>
      <c r="U128" s="5" t="inlineStr">
        <is>
          <t>Active</t>
        </is>
      </c>
      <c r="V128" s="5" t="inlineStr">
        <is>
          <t>High</t>
        </is>
      </c>
      <c r="W128" s="5" t="inlineStr">
        <is>
          <t>Multi-site retailer; Core relevant category; Public email available; Active website; Social presence</t>
        </is>
      </c>
      <c r="X128" s="5" t="inlineStr">
        <is>
          <t>Unverified</t>
        </is>
      </c>
      <c r="Y128" s="5" t="inlineStr">
        <is>
          <t>Publicly Listed</t>
        </is>
      </c>
      <c r="Z128" s="5" t="inlineStr">
        <is>
          <t>Medium</t>
        </is>
      </c>
      <c r="AA128" s="5" t="inlineStr">
        <is>
          <t>Partially Verified</t>
        </is>
      </c>
      <c r="AB128" s="5" t="inlineStr">
        <is>
          <t>https://smkd.com/vape-shop-locator/smkd-hebden-bridge-vape-shop-west-end/</t>
        </is>
      </c>
    </row>
    <row r="129">
      <c r="A129" s="10" t="inlineStr">
        <is>
          <t>WY-0024</t>
        </is>
      </c>
      <c r="B129" s="10" t="inlineStr">
        <is>
          <t>SMKD-03</t>
        </is>
      </c>
      <c r="C129" s="10" t="inlineStr">
        <is>
          <t>SMKD</t>
        </is>
      </c>
      <c r="D129" s="10" t="inlineStr">
        <is>
          <t>SMKD - E Cigarettes and Vape Shop (Wakefield)</t>
        </is>
      </c>
      <c r="E129" s="10" t="inlineStr">
        <is>
          <t>Vape Shop</t>
        </is>
      </c>
      <c r="F129" s="10" t="inlineStr">
        <is>
          <t>Vape hardware and e-liquid retailer</t>
        </is>
      </c>
      <c r="G129" s="10" t="inlineStr">
        <is>
          <t>Regional Chain</t>
        </is>
      </c>
      <c r="H129" s="10" t="inlineStr"/>
      <c r="I129" s="10" t="inlineStr">
        <is>
          <t>Ridings Shopping Centre</t>
        </is>
      </c>
      <c r="J129" s="10" t="inlineStr">
        <is>
          <t>Wakefield</t>
        </is>
      </c>
      <c r="K129" s="10" t="inlineStr">
        <is>
          <t>WF1 1DS</t>
        </is>
      </c>
      <c r="L129" s="10" t="inlineStr">
        <is>
          <t>01924 728100</t>
        </is>
      </c>
      <c r="M129" s="10" t="inlineStr">
        <is>
          <t>info@smkd.com</t>
        </is>
      </c>
      <c r="N129" s="10" t="inlineStr"/>
      <c r="O129" s="10" t="inlineStr">
        <is>
          <t>https://smkd.com</t>
        </is>
      </c>
      <c r="P129" s="10" t="inlineStr">
        <is>
          <t>https://www.facebook.com/SmkdVapeShop/</t>
        </is>
      </c>
      <c r="Q129" s="10" t="inlineStr"/>
      <c r="R129" s="10" t="inlineStr"/>
      <c r="S129" s="10" t="inlineStr"/>
      <c r="T129" s="10" t="inlineStr">
        <is>
          <t>16161027</t>
        </is>
      </c>
      <c r="U129" s="10" t="inlineStr">
        <is>
          <t>Active</t>
        </is>
      </c>
      <c r="V129" s="10" t="inlineStr">
        <is>
          <t>High</t>
        </is>
      </c>
      <c r="W129" s="10" t="inlineStr">
        <is>
          <t>Multi-site retailer; Core relevant category; Public email available; Active website; Social presence</t>
        </is>
      </c>
      <c r="X129" s="10" t="inlineStr">
        <is>
          <t>Verified directory</t>
        </is>
      </c>
      <c r="Y129" s="10" t="inlineStr">
        <is>
          <t>Unverified</t>
        </is>
      </c>
      <c r="Z129" s="10" t="inlineStr">
        <is>
          <t>Medium</t>
        </is>
      </c>
      <c r="AA129" s="10" t="inlineStr">
        <is>
          <t>Partially Verified</t>
        </is>
      </c>
      <c r="AB129" s="10" t="inlineStr">
        <is>
          <t>https://smkd.com/vape-shop-locator/wakefield-vape-shop-ridings-shopping-centre/</t>
        </is>
      </c>
    </row>
    <row r="130">
      <c r="A130" s="5" t="inlineStr">
        <is>
          <t>UK-000211</t>
        </is>
      </c>
      <c r="B130" s="5" t="inlineStr">
        <is>
          <t>SMKD-04</t>
        </is>
      </c>
      <c r="C130" s="5" t="inlineStr">
        <is>
          <t>SMKD</t>
        </is>
      </c>
      <c r="D130" s="5" t="inlineStr">
        <is>
          <t>SMKD Barnsley</t>
        </is>
      </c>
      <c r="E130" s="5" t="inlineStr">
        <is>
          <t>Vape Shop</t>
        </is>
      </c>
      <c r="F130" s="5" t="inlineStr">
        <is>
          <t>E-cigarette and vape shop</t>
        </is>
      </c>
      <c r="G130" s="5" t="inlineStr">
        <is>
          <t>Regional Chain</t>
        </is>
      </c>
      <c r="H130" s="5" t="inlineStr">
        <is>
          <t>2</t>
        </is>
      </c>
      <c r="I130" s="5" t="inlineStr">
        <is>
          <t>New Street</t>
        </is>
      </c>
      <c r="J130" s="5" t="inlineStr">
        <is>
          <t>Barnsley</t>
        </is>
      </c>
      <c r="K130" s="5" t="inlineStr"/>
      <c r="L130" s="5" t="inlineStr"/>
      <c r="M130" s="5" t="inlineStr"/>
      <c r="N130" s="5" t="inlineStr"/>
      <c r="O130" s="5" t="inlineStr">
        <is>
          <t>https://smkd.com/</t>
        </is>
      </c>
      <c r="P130" s="5" t="inlineStr"/>
      <c r="Q130" s="5" t="inlineStr"/>
      <c r="R130" s="5" t="inlineStr"/>
      <c r="S130" s="5" t="inlineStr"/>
      <c r="T130" s="5" t="inlineStr"/>
      <c r="U130" s="5" t="inlineStr"/>
      <c r="V130" s="5" t="inlineStr">
        <is>
          <t>Medium</t>
        </is>
      </c>
      <c r="W130" s="5" t="inlineStr">
        <is>
          <t>Multi-site retailer; Core relevant category; Active website</t>
        </is>
      </c>
      <c r="X130" s="5" t="inlineStr">
        <is>
          <t>Not Found</t>
        </is>
      </c>
      <c r="Y130" s="5" t="inlineStr">
        <is>
          <t>Website Found</t>
        </is>
      </c>
      <c r="Z130" s="5" t="inlineStr">
        <is>
          <t>Low</t>
        </is>
      </c>
      <c r="AA130" s="5" t="inlineStr">
        <is>
          <t>Requires Verification</t>
        </is>
      </c>
      <c r="AB130" s="5" t="inlineStr">
        <is>
          <t>https://smkd.com/vape-shop-locator/smkd-barnsley-vape-shop-new-street/</t>
        </is>
      </c>
    </row>
    <row r="131">
      <c r="A131" s="10" t="inlineStr">
        <is>
          <t>UK-000212</t>
        </is>
      </c>
      <c r="B131" s="10" t="inlineStr">
        <is>
          <t>SMKD-05</t>
        </is>
      </c>
      <c r="C131" s="10" t="inlineStr">
        <is>
          <t>SMKD</t>
        </is>
      </c>
      <c r="D131" s="10" t="inlineStr">
        <is>
          <t>SMKD Rotherham</t>
        </is>
      </c>
      <c r="E131" s="10" t="inlineStr">
        <is>
          <t>Vape Shop</t>
        </is>
      </c>
      <c r="F131" s="10" t="inlineStr">
        <is>
          <t>E-cigarette and vape shop</t>
        </is>
      </c>
      <c r="G131" s="10" t="inlineStr">
        <is>
          <t>Regional Chain</t>
        </is>
      </c>
      <c r="H131" s="10" t="inlineStr">
        <is>
          <t>2</t>
        </is>
      </c>
      <c r="I131" s="10" t="inlineStr">
        <is>
          <t>31a Effingham Street</t>
        </is>
      </c>
      <c r="J131" s="10" t="inlineStr">
        <is>
          <t>Rotherham</t>
        </is>
      </c>
      <c r="K131" s="10" t="inlineStr">
        <is>
          <t>S65 1AL</t>
        </is>
      </c>
      <c r="L131" s="10" t="inlineStr">
        <is>
          <t>01274 270303</t>
        </is>
      </c>
      <c r="M131" s="10" t="inlineStr"/>
      <c r="N131" s="10" t="inlineStr"/>
      <c r="O131" s="10" t="inlineStr">
        <is>
          <t>https://smkd.com/</t>
        </is>
      </c>
      <c r="P131" s="10" t="inlineStr"/>
      <c r="Q131" s="10" t="inlineStr"/>
      <c r="R131" s="10" t="inlineStr"/>
      <c r="S131" s="10" t="inlineStr"/>
      <c r="T131" s="10" t="inlineStr"/>
      <c r="U131" s="10" t="inlineStr"/>
      <c r="V131" s="10" t="inlineStr">
        <is>
          <t>Medium</t>
        </is>
      </c>
      <c r="W131" s="10" t="inlineStr">
        <is>
          <t>Multi-site retailer; Core relevant category; Active website</t>
        </is>
      </c>
      <c r="X131" s="10" t="inlineStr">
        <is>
          <t>Verified directory</t>
        </is>
      </c>
      <c r="Y131" s="10" t="inlineStr">
        <is>
          <t>Website Found</t>
        </is>
      </c>
      <c r="Z131" s="10" t="inlineStr">
        <is>
          <t>Medium</t>
        </is>
      </c>
      <c r="AA131" s="10" t="inlineStr">
        <is>
          <t>Requires Verification</t>
        </is>
      </c>
      <c r="AB131" s="10" t="inlineStr">
        <is>
          <t>https://smkd.com/vape-shop-locator/smkd-rotherham-vape-shop-effingham-street/</t>
        </is>
      </c>
    </row>
    <row r="132">
      <c r="A132" s="5" t="inlineStr">
        <is>
          <t>UK-000213</t>
        </is>
      </c>
      <c r="B132" s="5" t="inlineStr">
        <is>
          <t>SPAR-01</t>
        </is>
      </c>
      <c r="C132" s="5" t="inlineStr">
        <is>
          <t>SPAR</t>
        </is>
      </c>
      <c r="D132" s="5" t="inlineStr">
        <is>
          <t>SPAR Barnsley Road</t>
        </is>
      </c>
      <c r="E132" s="5" t="inlineStr">
        <is>
          <t>Convenience Store</t>
        </is>
      </c>
      <c r="F132" s="5" t="inlineStr">
        <is>
          <t>Convenience store (symbol group)</t>
        </is>
      </c>
      <c r="G132" s="5" t="inlineStr">
        <is>
          <t>Franchise / Symbol Group</t>
        </is>
      </c>
      <c r="H132" s="5" t="inlineStr">
        <is>
          <t>1</t>
        </is>
      </c>
      <c r="I132" s="5" t="inlineStr">
        <is>
          <t>Barnsley Road</t>
        </is>
      </c>
      <c r="J132" s="5" t="inlineStr">
        <is>
          <t>Barnsley</t>
        </is>
      </c>
      <c r="K132" s="5" t="inlineStr"/>
      <c r="L132" s="5" t="inlineStr"/>
      <c r="M132" s="5" t="inlineStr"/>
      <c r="N132" s="5" t="inlineStr"/>
      <c r="O132" s="5" t="inlineStr">
        <is>
          <t>https://www.spar.co.uk/store-locator/afb31700-spar-barnsley-road</t>
        </is>
      </c>
      <c r="P132" s="5" t="inlineStr"/>
      <c r="Q132" s="5" t="inlineStr"/>
      <c r="R132" s="5" t="inlineStr"/>
      <c r="S132" s="5" t="inlineStr"/>
      <c r="T132" s="5" t="inlineStr"/>
      <c r="U132" s="5" t="inlineStr"/>
      <c r="V132" s="5" t="inlineStr">
        <is>
          <t>Medium</t>
        </is>
      </c>
      <c r="W132" s="5" t="inlineStr">
        <is>
          <t>Multi-site retailer; Independent retailer; Relevant category; Active website</t>
        </is>
      </c>
      <c r="X132" s="5" t="inlineStr">
        <is>
          <t>Not Found</t>
        </is>
      </c>
      <c r="Y132" s="5" t="inlineStr">
        <is>
          <t>Not Found</t>
        </is>
      </c>
      <c r="Z132" s="5" t="inlineStr">
        <is>
          <t>Low</t>
        </is>
      </c>
      <c r="AA132" s="5" t="inlineStr">
        <is>
          <t>Requires Verification</t>
        </is>
      </c>
      <c r="AB132" s="5" t="inlineStr">
        <is>
          <t>https://www.spar.co.uk/store-locator/afb31700-spar-barnsley-road</t>
        </is>
      </c>
    </row>
    <row r="133">
      <c r="A133" s="10" t="inlineStr">
        <is>
          <t>UK-000721</t>
        </is>
      </c>
      <c r="B133" s="10" t="inlineStr">
        <is>
          <t>SPAR-02</t>
        </is>
      </c>
      <c r="C133" s="10" t="inlineStr">
        <is>
          <t>SPAR</t>
        </is>
      </c>
      <c r="D133" s="10" t="inlineStr">
        <is>
          <t>SPAR Coopers Lane</t>
        </is>
      </c>
      <c r="E133" s="10" t="inlineStr">
        <is>
          <t>Convenience Store</t>
        </is>
      </c>
      <c r="F133" s="10" t="inlineStr">
        <is>
          <t>Convenience store (symbol group)</t>
        </is>
      </c>
      <c r="G133" s="10" t="inlineStr">
        <is>
          <t>Franchise / Symbol Group</t>
        </is>
      </c>
      <c r="H133" s="10" t="inlineStr">
        <is>
          <t>1</t>
        </is>
      </c>
      <c r="I133" s="10" t="inlineStr">
        <is>
          <t>Coopers Lane</t>
        </is>
      </c>
      <c r="J133" s="10" t="inlineStr">
        <is>
          <t>Kirkby</t>
        </is>
      </c>
      <c r="K133" s="10" t="inlineStr">
        <is>
          <t>L33 7TU</t>
        </is>
      </c>
      <c r="L133" s="10" t="inlineStr">
        <is>
          <t>0151 305 6865</t>
        </is>
      </c>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Independent retailer; Relevant category</t>
        </is>
      </c>
      <c r="X133" s="10" t="inlineStr">
        <is>
          <t>Verified directory</t>
        </is>
      </c>
      <c r="Y133" s="10" t="inlineStr">
        <is>
          <t>Not Found</t>
        </is>
      </c>
      <c r="Z133" s="10" t="inlineStr">
        <is>
          <t>Low</t>
        </is>
      </c>
      <c r="AA133" s="10" t="inlineStr">
        <is>
          <t>Requires Verification</t>
        </is>
      </c>
      <c r="AB133" s="10" t="inlineStr">
        <is>
          <t>https://kirkby.cylex-uk.co.uk/convenience-stores/</t>
        </is>
      </c>
    </row>
    <row r="134">
      <c r="A134" s="5" t="inlineStr">
        <is>
          <t>UK-000722</t>
        </is>
      </c>
      <c r="B134" s="5" t="inlineStr">
        <is>
          <t>SPAR-03</t>
        </is>
      </c>
      <c r="C134" s="5" t="inlineStr">
        <is>
          <t>SPAR</t>
        </is>
      </c>
      <c r="D134" s="5" t="inlineStr">
        <is>
          <t>SPAR Harington Road</t>
        </is>
      </c>
      <c r="E134" s="5" t="inlineStr">
        <is>
          <t>Convenience Store</t>
        </is>
      </c>
      <c r="F134" s="5" t="inlineStr">
        <is>
          <t>Spar symbol convenience store</t>
        </is>
      </c>
      <c r="G134" s="5" t="inlineStr">
        <is>
          <t>Franchise / Symbol Group</t>
        </is>
      </c>
      <c r="H134" s="5" t="inlineStr">
        <is>
          <t>1</t>
        </is>
      </c>
      <c r="I134" s="5" t="inlineStr">
        <is>
          <t>Harington Road</t>
        </is>
      </c>
      <c r="J134" s="5" t="inlineStr">
        <is>
          <t>Formby</t>
        </is>
      </c>
      <c r="K134" s="5" t="inlineStr"/>
      <c r="L134" s="5" t="inlineStr"/>
      <c r="M134" s="5" t="inlineStr"/>
      <c r="N134" s="5" t="inlineStr"/>
      <c r="O134" s="5" t="inlineStr">
        <is>
          <t>https://www.spar.co.uk/store-locator/hal27302-spar-harington-road</t>
        </is>
      </c>
      <c r="P134" s="5" t="inlineStr"/>
      <c r="Q134" s="5" t="inlineStr"/>
      <c r="R134" s="5" t="inlineStr"/>
      <c r="S134" s="5" t="inlineStr"/>
      <c r="T134" s="5" t="inlineStr"/>
      <c r="U134" s="5" t="inlineStr"/>
      <c r="V134" s="5" t="inlineStr">
        <is>
          <t>Medium</t>
        </is>
      </c>
      <c r="W134" s="5" t="inlineStr">
        <is>
          <t>Multi-site retailer; Independent retailer; Relevant category; Active website</t>
        </is>
      </c>
      <c r="X134" s="5" t="inlineStr">
        <is>
          <t>Not Found</t>
        </is>
      </c>
      <c r="Y134" s="5" t="inlineStr">
        <is>
          <t>Website Found</t>
        </is>
      </c>
      <c r="Z134" s="5" t="inlineStr">
        <is>
          <t>Low</t>
        </is>
      </c>
      <c r="AA134" s="5" t="inlineStr">
        <is>
          <t>Requires Verification</t>
        </is>
      </c>
      <c r="AB134" s="5" t="inlineStr">
        <is>
          <t>https://www.spar.co.uk/store-locator/hal27302-spar-harington-road</t>
        </is>
      </c>
    </row>
    <row r="135">
      <c r="A135" s="10" t="inlineStr">
        <is>
          <t>UK-000319</t>
        </is>
      </c>
      <c r="B135" s="10" t="inlineStr">
        <is>
          <t>SPAR-04</t>
        </is>
      </c>
      <c r="C135" s="10" t="inlineStr">
        <is>
          <t>SPAR</t>
        </is>
      </c>
      <c r="D135" s="10" t="inlineStr">
        <is>
          <t>SPAR Radcliffe</t>
        </is>
      </c>
      <c r="E135" s="10" t="inlineStr">
        <is>
          <t>Convenience Store</t>
        </is>
      </c>
      <c r="F135" s="10" t="inlineStr">
        <is>
          <t>Symbol-group convenience store</t>
        </is>
      </c>
      <c r="G135" s="10" t="inlineStr">
        <is>
          <t>Franchise / Symbol Group</t>
        </is>
      </c>
      <c r="H135" s="10" t="inlineStr">
        <is>
          <t>1</t>
        </is>
      </c>
      <c r="I135" s="10" t="inlineStr">
        <is>
          <t>207 Bury &amp; Bolton Road</t>
        </is>
      </c>
      <c r="J135" s="10" t="inlineStr">
        <is>
          <t>Radcliffe</t>
        </is>
      </c>
      <c r="K135" s="10" t="inlineStr">
        <is>
          <t>M26 4JY</t>
        </is>
      </c>
      <c r="L135" s="10" t="inlineStr"/>
      <c r="M135" s="10" t="inlineStr"/>
      <c r="N135" s="10" t="inlineStr"/>
      <c r="O135" s="10" t="inlineStr">
        <is>
          <t>https://www.spar.co.uk/</t>
        </is>
      </c>
      <c r="P135" s="10" t="inlineStr"/>
      <c r="Q135" s="10" t="inlineStr"/>
      <c r="R135" s="10" t="inlineStr"/>
      <c r="S135" s="10" t="inlineStr"/>
      <c r="T135" s="10" t="inlineStr"/>
      <c r="U135" s="10" t="inlineStr"/>
      <c r="V135" s="10" t="inlineStr">
        <is>
          <t>Medium</t>
        </is>
      </c>
      <c r="W135" s="10" t="inlineStr">
        <is>
          <t>Multi-site retailer; Independent retailer; Relevant category; Active website</t>
        </is>
      </c>
      <c r="X135" s="10" t="inlineStr">
        <is>
          <t>Not Found</t>
        </is>
      </c>
      <c r="Y135" s="10" t="inlineStr">
        <is>
          <t>Not Found</t>
        </is>
      </c>
      <c r="Z135" s="10" t="inlineStr">
        <is>
          <t>Low</t>
        </is>
      </c>
      <c r="AA135" s="10" t="inlineStr">
        <is>
          <t>Requires Verification</t>
        </is>
      </c>
      <c r="AB135" s="10" t="inlineStr">
        <is>
          <t>https://www.spar.co.uk/store-locator/hal36921-spar-radcliffe</t>
        </is>
      </c>
    </row>
    <row r="136">
      <c r="A136" s="5" t="inlineStr">
        <is>
          <t>UK-000723</t>
        </is>
      </c>
      <c r="B136" s="5" t="inlineStr">
        <is>
          <t>SPARJAMESH-01</t>
        </is>
      </c>
      <c r="C136" s="5" t="inlineStr">
        <is>
          <t>SPAR (James Hall / Hunt's)</t>
        </is>
      </c>
      <c r="D136" s="5" t="inlineStr">
        <is>
          <t>Hunt's Spar Freshfield</t>
        </is>
      </c>
      <c r="E136" s="5" t="inlineStr">
        <is>
          <t>Convenience Store</t>
        </is>
      </c>
      <c r="F136" s="5" t="inlineStr">
        <is>
          <t>Spar symbol convenience store</t>
        </is>
      </c>
      <c r="G136" s="5" t="inlineStr">
        <is>
          <t>Franchise / Symbol Group</t>
        </is>
      </c>
      <c r="H136" s="5" t="inlineStr">
        <is>
          <t>1</t>
        </is>
      </c>
      <c r="I136" s="5" t="inlineStr"/>
      <c r="J136" s="5" t="inlineStr">
        <is>
          <t>Formby</t>
        </is>
      </c>
      <c r="K136" s="5" t="inlineStr"/>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Independent retailer; Relevant category</t>
        </is>
      </c>
      <c r="X136" s="5" t="inlineStr">
        <is>
          <t>Not Found</t>
        </is>
      </c>
      <c r="Y136" s="5" t="inlineStr">
        <is>
          <t>Not Found</t>
        </is>
      </c>
      <c r="Z136" s="5" t="inlineStr">
        <is>
          <t>Low</t>
        </is>
      </c>
      <c r="AA136" s="5" t="inlineStr">
        <is>
          <t>Requires Verification</t>
        </is>
      </c>
      <c r="AB136" s="5" t="inlineStr">
        <is>
          <t>https://www.conveniencestore.co.uk/store-development/hunts-spar-freshfield-formby/564152.article</t>
        </is>
      </c>
    </row>
    <row r="137">
      <c r="A137" s="10" t="inlineStr">
        <is>
          <t>UK-000724</t>
        </is>
      </c>
      <c r="B137" s="10" t="inlineStr">
        <is>
          <t>SAKALIMITE-01</t>
        </is>
      </c>
      <c r="C137" s="10" t="inlineStr">
        <is>
          <t>Saka Limited</t>
        </is>
      </c>
      <c r="D137" s="10" t="inlineStr">
        <is>
          <t>New Delhi Cash &amp; Carry</t>
        </is>
      </c>
      <c r="E137" s="10" t="inlineStr">
        <is>
          <t>Cash &amp; Carry</t>
        </is>
      </c>
      <c r="F137" s="10" t="inlineStr">
        <is>
          <t>Grocery &amp; catering wholesaler</t>
        </is>
      </c>
      <c r="G137" s="10" t="inlineStr">
        <is>
          <t>Independent</t>
        </is>
      </c>
      <c r="H137" s="10" t="inlineStr">
        <is>
          <t>1</t>
        </is>
      </c>
      <c r="I137" s="10" t="inlineStr">
        <is>
          <t>Saka House, Green Lane</t>
        </is>
      </c>
      <c r="J137" s="10" t="inlineStr">
        <is>
          <t>Liverpool</t>
        </is>
      </c>
      <c r="K137" s="10" t="inlineStr">
        <is>
          <t>L13 7JN</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Independent retailer; Core relevant category</t>
        </is>
      </c>
      <c r="X137" s="10" t="inlineStr">
        <is>
          <t>Not Found</t>
        </is>
      </c>
      <c r="Y137" s="10" t="inlineStr">
        <is>
          <t>Not Found</t>
        </is>
      </c>
      <c r="Z137" s="10" t="inlineStr">
        <is>
          <t>Medium</t>
        </is>
      </c>
      <c r="AA137" s="10" t="inlineStr">
        <is>
          <t>Requires Verification</t>
        </is>
      </c>
      <c r="AB137" s="10" t="inlineStr">
        <is>
          <t>https://www.yell.com/biz/saka-new-delhi-cash-and-carry-liverpool-7373342/</t>
        </is>
      </c>
    </row>
    <row r="138">
      <c r="A138" s="5" t="inlineStr">
        <is>
          <t>WY-0025</t>
        </is>
      </c>
      <c r="B138" s="5" t="inlineStr">
        <is>
          <t>SAVILEPETR-01</t>
        </is>
      </c>
      <c r="C138" s="5" t="inlineStr">
        <is>
          <t>Savile Petroleum Limited</t>
        </is>
      </c>
      <c r="D138" s="5" t="inlineStr">
        <is>
          <t>Dewsbury Service Station (Savile Petroleum)</t>
        </is>
      </c>
      <c r="E138" s="5" t="inlineStr">
        <is>
          <t>Petrol Station / Forecourt</t>
        </is>
      </c>
      <c r="F138" s="5" t="inlineStr">
        <is>
          <t>BP-branded independent forecourt with convenience store</t>
        </is>
      </c>
      <c r="G138" s="5" t="inlineStr">
        <is>
          <t>Independent</t>
        </is>
      </c>
      <c r="H138" s="5" t="inlineStr">
        <is>
          <t>1</t>
        </is>
      </c>
      <c r="I138" s="5" t="inlineStr">
        <is>
          <t>Savile Road</t>
        </is>
      </c>
      <c r="J138" s="5" t="inlineStr">
        <is>
          <t>Dewsbury</t>
        </is>
      </c>
      <c r="K138" s="5" t="inlineStr">
        <is>
          <t>WF12 9LR</t>
        </is>
      </c>
      <c r="L138" s="5" t="inlineStr"/>
      <c r="M138" s="5" t="inlineStr"/>
      <c r="N138" s="5" t="inlineStr"/>
      <c r="O138" s="5" t="inlineStr"/>
      <c r="P138" s="5" t="inlineStr"/>
      <c r="Q138" s="5" t="inlineStr"/>
      <c r="R138" s="5" t="inlineStr"/>
      <c r="S138" s="5" t="inlineStr"/>
      <c r="T138" s="5" t="inlineStr">
        <is>
          <t>05197700</t>
        </is>
      </c>
      <c r="U138" s="5" t="inlineStr">
        <is>
          <t>Active</t>
        </is>
      </c>
      <c r="V138" s="5" t="inlineStr">
        <is>
          <t>Medium</t>
        </is>
      </c>
      <c r="W138" s="5" t="inlineStr">
        <is>
          <t>Multi-site retailer; Independent retailer; Relevant category</t>
        </is>
      </c>
      <c r="X138" s="5" t="inlineStr">
        <is>
          <t>Not Found</t>
        </is>
      </c>
      <c r="Y138" s="5" t="inlineStr">
        <is>
          <t>Not Found</t>
        </is>
      </c>
      <c r="Z138" s="5" t="inlineStr">
        <is>
          <t>Medium</t>
        </is>
      </c>
      <c r="AA138" s="5" t="inlineStr">
        <is>
          <t>Partially Verified</t>
        </is>
      </c>
      <c r="AB138" s="5" t="inlineStr">
        <is>
          <t>https://find-and-update.company-information.service.gov.uk/company/05197700</t>
        </is>
      </c>
    </row>
    <row r="139">
      <c r="A139" s="10" t="inlineStr">
        <is>
          <t>UK-000725</t>
        </is>
      </c>
      <c r="B139" s="10" t="inlineStr">
        <is>
          <t>SCOTVAPES-01</t>
        </is>
      </c>
      <c r="C139" s="10" t="inlineStr">
        <is>
          <t>Scotvapes</t>
        </is>
      </c>
      <c r="D139" s="10" t="inlineStr">
        <is>
          <t>Scotvapes</t>
        </is>
      </c>
      <c r="E139" s="10" t="inlineStr">
        <is>
          <t>Vape Shop</t>
        </is>
      </c>
      <c r="F139" s="10" t="inlineStr">
        <is>
          <t>E-liquid and hardware retailer</t>
        </is>
      </c>
      <c r="G139" s="10" t="inlineStr">
        <is>
          <t>Multi-Site Independent</t>
        </is>
      </c>
      <c r="H139" s="10" t="inlineStr">
        <is>
          <t>2</t>
        </is>
      </c>
      <c r="I139" s="10" t="inlineStr">
        <is>
          <t>73 High Street</t>
        </is>
      </c>
      <c r="J139" s="10" t="inlineStr">
        <is>
          <t>Glasgow</t>
        </is>
      </c>
      <c r="K139" s="10" t="inlineStr">
        <is>
          <t>G1 1NB</t>
        </is>
      </c>
      <c r="L139" s="10" t="inlineStr">
        <is>
          <t>0141 258 7312</t>
        </is>
      </c>
      <c r="M139" s="10" t="inlineStr">
        <is>
          <t>glasgowhigh@scotvapes.com</t>
        </is>
      </c>
      <c r="N139" s="10" t="inlineStr"/>
      <c r="O139" s="10" t="inlineStr">
        <is>
          <t>https://scotvapes.com/</t>
        </is>
      </c>
      <c r="P139" s="10" t="inlineStr"/>
      <c r="Q139" s="10" t="inlineStr"/>
      <c r="R139" s="10" t="inlineStr"/>
      <c r="S139" s="10" t="inlineStr"/>
      <c r="T139" s="10" t="inlineStr"/>
      <c r="U139" s="10" t="inlineStr"/>
      <c r="V139" s="10" t="inlineStr">
        <is>
          <t>High</t>
        </is>
      </c>
      <c r="W139" s="10" t="inlineStr">
        <is>
          <t>Multi-site retailer; Independent retailer; Core relevant category; Public email available; Active website</t>
        </is>
      </c>
      <c r="X139" s="10" t="inlineStr">
        <is>
          <t>Verified directory</t>
        </is>
      </c>
      <c r="Y139" s="10" t="inlineStr">
        <is>
          <t>Publicly Listed</t>
        </is>
      </c>
      <c r="Z139" s="10" t="inlineStr">
        <is>
          <t>Medium</t>
        </is>
      </c>
      <c r="AA139" s="10" t="inlineStr">
        <is>
          <t>Requires Verification</t>
        </is>
      </c>
      <c r="AB139" s="10" t="inlineStr">
        <is>
          <t>https://scotvapes.com/glasgow/</t>
        </is>
      </c>
    </row>
    <row r="140">
      <c r="A140" s="5" t="inlineStr">
        <is>
          <t>UK-000726</t>
        </is>
      </c>
      <c r="B140" s="5" t="inlineStr">
        <is>
          <t>SCOTVAPES-02</t>
        </is>
      </c>
      <c r="C140" s="5" t="inlineStr">
        <is>
          <t>Scotvapes</t>
        </is>
      </c>
      <c r="D140" s="5" t="inlineStr">
        <is>
          <t>Scotvapes</t>
        </is>
      </c>
      <c r="E140" s="5" t="inlineStr">
        <is>
          <t>Vape Shop</t>
        </is>
      </c>
      <c r="F140" s="5" t="inlineStr">
        <is>
          <t>E-liquid and hardware retailer</t>
        </is>
      </c>
      <c r="G140" s="5" t="inlineStr">
        <is>
          <t>Multi-Site Independent</t>
        </is>
      </c>
      <c r="H140" s="5" t="inlineStr">
        <is>
          <t>2</t>
        </is>
      </c>
      <c r="I140" s="5" t="inlineStr">
        <is>
          <t>Woodlands Road</t>
        </is>
      </c>
      <c r="J140" s="5" t="inlineStr">
        <is>
          <t>Glasgow</t>
        </is>
      </c>
      <c r="K140" s="5" t="inlineStr"/>
      <c r="L140" s="5" t="inlineStr">
        <is>
          <t>07426 533474</t>
        </is>
      </c>
      <c r="M140" s="5" t="inlineStr">
        <is>
          <t>website@scotvapes.com</t>
        </is>
      </c>
      <c r="N140" s="5" t="inlineStr"/>
      <c r="O140" s="5" t="inlineStr">
        <is>
          <t>https://scotvapes.com/</t>
        </is>
      </c>
      <c r="P140" s="5" t="inlineStr"/>
      <c r="Q140" s="5" t="inlineStr"/>
      <c r="R140" s="5" t="inlineStr"/>
      <c r="S140" s="5" t="inlineStr"/>
      <c r="T140" s="5" t="inlineStr"/>
      <c r="U140" s="5" t="inlineStr"/>
      <c r="V140" s="5" t="inlineStr">
        <is>
          <t>High</t>
        </is>
      </c>
      <c r="W140" s="5" t="inlineStr">
        <is>
          <t>Multi-site retailer; Independent retailer; Core relevant category; Public email available; Active website</t>
        </is>
      </c>
      <c r="X140" s="5" t="inlineStr">
        <is>
          <t>Verified directory</t>
        </is>
      </c>
      <c r="Y140" s="5" t="inlineStr">
        <is>
          <t>Publicly Listed</t>
        </is>
      </c>
      <c r="Z140" s="5" t="inlineStr">
        <is>
          <t>Low</t>
        </is>
      </c>
      <c r="AA140" s="5" t="inlineStr">
        <is>
          <t>Requires Verification</t>
        </is>
      </c>
      <c r="AB140" s="5" t="inlineStr">
        <is>
          <t>https://scotvapes.com/contact-us/</t>
        </is>
      </c>
    </row>
    <row r="141">
      <c r="A141" s="10" t="inlineStr">
        <is>
          <t>UK-000320</t>
        </is>
      </c>
      <c r="B141" s="10" t="inlineStr">
        <is>
          <t>SIMPLYELIQ-01</t>
        </is>
      </c>
      <c r="C141" s="10" t="inlineStr">
        <is>
          <t>Simply ELiquid</t>
        </is>
      </c>
      <c r="D141" s="10" t="inlineStr">
        <is>
          <t>Simply ELiquid Failsworth</t>
        </is>
      </c>
      <c r="E141" s="10" t="inlineStr">
        <is>
          <t>Vape Shop</t>
        </is>
      </c>
      <c r="F141" s="10" t="inlineStr">
        <is>
          <t>E-liquid &amp; vape hardware</t>
        </is>
      </c>
      <c r="G141" s="10" t="inlineStr">
        <is>
          <t>Multi-Site Independent</t>
        </is>
      </c>
      <c r="H141" s="10" t="inlineStr">
        <is>
          <t>2</t>
        </is>
      </c>
      <c r="I141" s="10" t="inlineStr">
        <is>
          <t>736 Oldham Road</t>
        </is>
      </c>
      <c r="J141" s="10" t="inlineStr">
        <is>
          <t>Failsworth</t>
        </is>
      </c>
      <c r="K141" s="10" t="inlineStr">
        <is>
          <t>M35 9FD</t>
        </is>
      </c>
      <c r="L141" s="10" t="inlineStr"/>
      <c r="M141" s="10" t="inlineStr">
        <is>
          <t>info@simplyeliquid.co.uk</t>
        </is>
      </c>
      <c r="N141" s="10" t="inlineStr"/>
      <c r="O141" s="10" t="inlineStr">
        <is>
          <t>https://www.simplyeliquid.co.uk/pages/simply-eliquid-failsworth-shop</t>
        </is>
      </c>
      <c r="P141" s="10" t="inlineStr"/>
      <c r="Q141" s="10" t="inlineStr"/>
      <c r="R141" s="10" t="inlineStr"/>
      <c r="S141" s="10" t="inlineStr"/>
      <c r="T141" s="10" t="inlineStr"/>
      <c r="U141" s="10" t="inlineStr"/>
      <c r="V141" s="10" t="inlineStr">
        <is>
          <t>High</t>
        </is>
      </c>
      <c r="W141" s="10" t="inlineStr">
        <is>
          <t>Multi-site retailer; Independent retailer; Core relevant category; Public email available; Active website</t>
        </is>
      </c>
      <c r="X141" s="10" t="inlineStr">
        <is>
          <t>Not Found</t>
        </is>
      </c>
      <c r="Y141" s="10" t="inlineStr">
        <is>
          <t>Publicly Listed</t>
        </is>
      </c>
      <c r="Z141" s="10" t="inlineStr">
        <is>
          <t>Medium</t>
        </is>
      </c>
      <c r="AA141" s="10" t="inlineStr">
        <is>
          <t>Requires Verification</t>
        </is>
      </c>
      <c r="AB141" s="10" t="inlineStr">
        <is>
          <t>https://www.simplyeliquid.co.uk/pages/simply-eliquid-failsworth-shop</t>
        </is>
      </c>
    </row>
    <row r="142">
      <c r="A142" s="5" t="inlineStr">
        <is>
          <t>UK-000321</t>
        </is>
      </c>
      <c r="B142" s="5" t="inlineStr">
        <is>
          <t>SIMPLYELIQ-02</t>
        </is>
      </c>
      <c r="C142" s="5" t="inlineStr">
        <is>
          <t>Simply ELiquid</t>
        </is>
      </c>
      <c r="D142" s="5" t="inlineStr">
        <is>
          <t>Simply ELiquid Stockport</t>
        </is>
      </c>
      <c r="E142" s="5" t="inlineStr">
        <is>
          <t>Vape Shop</t>
        </is>
      </c>
      <c r="F142" s="5" t="inlineStr">
        <is>
          <t>E-liquid &amp; vape hardware</t>
        </is>
      </c>
      <c r="G142" s="5" t="inlineStr">
        <is>
          <t>Multi-Site Independent</t>
        </is>
      </c>
      <c r="H142" s="5" t="inlineStr">
        <is>
          <t>2</t>
        </is>
      </c>
      <c r="I142" s="5" t="inlineStr">
        <is>
          <t>69a Merseyway</t>
        </is>
      </c>
      <c r="J142" s="5" t="inlineStr">
        <is>
          <t>Stockport</t>
        </is>
      </c>
      <c r="K142" s="5" t="inlineStr">
        <is>
          <t>SK1 1QW</t>
        </is>
      </c>
      <c r="L142" s="5" t="inlineStr">
        <is>
          <t>0161 429 6016</t>
        </is>
      </c>
      <c r="M142" s="5" t="inlineStr">
        <is>
          <t>info@simplyeliquid.co.uk</t>
        </is>
      </c>
      <c r="N142" s="5" t="inlineStr"/>
      <c r="O142" s="5" t="inlineStr">
        <is>
          <t>https://www.simplyeliquid.co.uk/pages/simply-eliquid-stockport-shop</t>
        </is>
      </c>
      <c r="P142" s="5" t="inlineStr"/>
      <c r="Q142" s="5" t="inlineStr"/>
      <c r="R142" s="5" t="inlineStr"/>
      <c r="S142" s="5" t="inlineStr"/>
      <c r="T142" s="5" t="inlineStr"/>
      <c r="U142" s="5" t="inlineStr"/>
      <c r="V142" s="5" t="inlineStr">
        <is>
          <t>High</t>
        </is>
      </c>
      <c r="W142" s="5" t="inlineStr">
        <is>
          <t>Multi-site retailer; Independent retailer; Core relevant category; Public email available; Active website; Phone verified on official website</t>
        </is>
      </c>
      <c r="X142" s="5" t="inlineStr">
        <is>
          <t>Verified on official website</t>
        </is>
      </c>
      <c r="Y142" s="5" t="inlineStr">
        <is>
          <t>Publicly Listed</t>
        </is>
      </c>
      <c r="Z142" s="5" t="inlineStr">
        <is>
          <t>Medium</t>
        </is>
      </c>
      <c r="AA142" s="5" t="inlineStr">
        <is>
          <t>Requires Verification</t>
        </is>
      </c>
      <c r="AB142" s="5" t="inlineStr">
        <is>
          <t>https://www.simplyeliquid.co.uk/pages/simply-eliquid-stockport-shop</t>
        </is>
      </c>
    </row>
    <row r="143">
      <c r="A143" s="10" t="inlineStr">
        <is>
          <t>WY-0026</t>
        </is>
      </c>
      <c r="B143" s="10" t="inlineStr">
        <is>
          <t>SINGKEEFOO-01</t>
        </is>
      </c>
      <c r="C143" s="10" t="inlineStr">
        <is>
          <t>Sing Kee Foods (Sing-Ying Group)</t>
        </is>
      </c>
      <c r="D143" s="10" t="inlineStr">
        <is>
          <t>Sing Kee Foods (Sheepscar)</t>
        </is>
      </c>
      <c r="E143" s="10" t="inlineStr">
        <is>
          <t>Independent Supermarket</t>
        </is>
      </c>
      <c r="F143" s="10" t="inlineStr">
        <is>
          <t>Chinese / Oriental supermarket and catering supplier</t>
        </is>
      </c>
      <c r="G143" s="10" t="inlineStr">
        <is>
          <t>Multi-Site Independent</t>
        </is>
      </c>
      <c r="H143" s="10" t="inlineStr">
        <is>
          <t>2</t>
        </is>
      </c>
      <c r="I143" s="10" t="inlineStr">
        <is>
          <t>Sing Yang Building, 30-36 Cross Stamford Street</t>
        </is>
      </c>
      <c r="J143" s="10" t="inlineStr">
        <is>
          <t>Leeds</t>
        </is>
      </c>
      <c r="K143" s="10" t="inlineStr">
        <is>
          <t>LS7 1BA</t>
        </is>
      </c>
      <c r="L143" s="10" t="inlineStr">
        <is>
          <t>0113 898 0168</t>
        </is>
      </c>
      <c r="M143" s="10" t="inlineStr"/>
      <c r="N143" s="10" t="inlineStr">
        <is>
          <t>wholesale@singkeefoods.co.uk</t>
        </is>
      </c>
      <c r="O143" s="10" t="inlineStr">
        <is>
          <t>https://singkeefoods.co.uk/gb/</t>
        </is>
      </c>
      <c r="P143" s="10" t="inlineStr">
        <is>
          <t>https://www.facebook.com/singkee.chinesesupermarket/</t>
        </is>
      </c>
      <c r="Q143" s="10" t="inlineStr"/>
      <c r="R143" s="10" t="inlineStr"/>
      <c r="S143" s="10" t="inlineStr"/>
      <c r="T143" s="10" t="inlineStr">
        <is>
          <t>04025779</t>
        </is>
      </c>
      <c r="U143" s="10" t="inlineStr"/>
      <c r="V143" s="10" t="inlineStr">
        <is>
          <t>High</t>
        </is>
      </c>
      <c r="W143" s="10" t="inlineStr">
        <is>
          <t>Multi-site retailer; Independent retailer; Relevant category; Public trade/sales contact; Active website; Social presence</t>
        </is>
      </c>
      <c r="X143" s="10" t="inlineStr">
        <is>
          <t>Verified directory</t>
        </is>
      </c>
      <c r="Y143" s="10" t="inlineStr">
        <is>
          <t>Website Found</t>
        </is>
      </c>
      <c r="Z143" s="10" t="inlineStr">
        <is>
          <t>Medium</t>
        </is>
      </c>
      <c r="AA143" s="10" t="inlineStr">
        <is>
          <t>Partially Verified</t>
        </is>
      </c>
      <c r="AB143" s="10" t="inlineStr">
        <is>
          <t>https://singkeefoods.com/gb/contact-us</t>
        </is>
      </c>
    </row>
    <row r="144">
      <c r="A144" s="5" t="inlineStr">
        <is>
          <t>WY-0027</t>
        </is>
      </c>
      <c r="B144" s="5" t="inlineStr">
        <is>
          <t>SINGKEEFOO-02</t>
        </is>
      </c>
      <c r="C144" s="5" t="inlineStr">
        <is>
          <t>Sing Kee Foods (Sing-Ying Group)</t>
        </is>
      </c>
      <c r="D144" s="5" t="inlineStr">
        <is>
          <t>Sing Kee Oriental Supermarket (Merrion Centre)</t>
        </is>
      </c>
      <c r="E144" s="5" t="inlineStr">
        <is>
          <t>Independent Supermarket</t>
        </is>
      </c>
      <c r="F144" s="5" t="inlineStr">
        <is>
          <t>Chinese / Oriental supermarket</t>
        </is>
      </c>
      <c r="G144" s="5" t="inlineStr">
        <is>
          <t>Multi-Site Independent</t>
        </is>
      </c>
      <c r="H144" s="5" t="inlineStr">
        <is>
          <t>2</t>
        </is>
      </c>
      <c r="I144" s="5" t="inlineStr">
        <is>
          <t>26-28 Woodhouse Lane, Merrion Centre</t>
        </is>
      </c>
      <c r="J144" s="5" t="inlineStr">
        <is>
          <t>Leeds</t>
        </is>
      </c>
      <c r="K144" s="5" t="inlineStr">
        <is>
          <t>LS2 8LX</t>
        </is>
      </c>
      <c r="L144" s="5" t="inlineStr"/>
      <c r="M144" s="5" t="inlineStr"/>
      <c r="N144" s="5" t="inlineStr"/>
      <c r="O144" s="5" t="inlineStr">
        <is>
          <t>https://singkeefoods.co.uk/gb/</t>
        </is>
      </c>
      <c r="P144" s="5" t="inlineStr">
        <is>
          <t>https://www.facebook.com/SingKeeLeedsCentre/</t>
        </is>
      </c>
      <c r="Q144" s="5" t="inlineStr"/>
      <c r="R144" s="5" t="inlineStr"/>
      <c r="S144" s="5" t="inlineStr"/>
      <c r="T144" s="5" t="inlineStr"/>
      <c r="U144" s="5" t="inlineStr"/>
      <c r="V144" s="5" t="inlineStr">
        <is>
          <t>High</t>
        </is>
      </c>
      <c r="W144" s="5" t="inlineStr">
        <is>
          <t>Multi-site retailer; Independent retailer; Relevant category; Active website; Social presence</t>
        </is>
      </c>
      <c r="X144" s="5" t="inlineStr">
        <is>
          <t>Not Found</t>
        </is>
      </c>
      <c r="Y144" s="5" t="inlineStr">
        <is>
          <t>Website Found</t>
        </is>
      </c>
      <c r="Z144" s="5" t="inlineStr">
        <is>
          <t>Medium</t>
        </is>
      </c>
      <c r="AA144" s="5" t="inlineStr">
        <is>
          <t>Requires Verification</t>
        </is>
      </c>
      <c r="AB144" s="5" t="inlineStr">
        <is>
          <t>https://singkeefoods.co.uk/gb/stores</t>
        </is>
      </c>
    </row>
    <row r="145">
      <c r="A145" s="10" t="inlineStr">
        <is>
          <t>UK-000214</t>
        </is>
      </c>
      <c r="B145" s="10" t="inlineStr">
        <is>
          <t>SPAR-01</t>
        </is>
      </c>
      <c r="C145" s="10" t="inlineStr">
        <is>
          <t>Spar</t>
        </is>
      </c>
      <c r="D145" s="10" t="inlineStr">
        <is>
          <t>Spar (Trinity Road, Cleethorpes)</t>
        </is>
      </c>
      <c r="E145" s="10" t="inlineStr">
        <is>
          <t>Convenience Store</t>
        </is>
      </c>
      <c r="F145" s="10" t="inlineStr">
        <is>
          <t>Symbol-group convenience store</t>
        </is>
      </c>
      <c r="G145" s="10" t="inlineStr">
        <is>
          <t>Franchise / Symbol Group</t>
        </is>
      </c>
      <c r="H145" s="10" t="inlineStr">
        <is>
          <t>1</t>
        </is>
      </c>
      <c r="I145" s="10" t="inlineStr">
        <is>
          <t>52 Trinity Road</t>
        </is>
      </c>
      <c r="J145" s="10" t="inlineStr">
        <is>
          <t>Cleethorpes</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Medium</t>
        </is>
      </c>
      <c r="W145" s="10" t="inlineStr">
        <is>
          <t>Multi-site retailer; Independent retailer; Relevant category</t>
        </is>
      </c>
      <c r="X145" s="10" t="inlineStr">
        <is>
          <t>Not Found</t>
        </is>
      </c>
      <c r="Y145" s="10" t="inlineStr">
        <is>
          <t>Not Found</t>
        </is>
      </c>
      <c r="Z145" s="10" t="inlineStr">
        <is>
          <t>Low</t>
        </is>
      </c>
      <c r="AA145" s="10" t="inlineStr">
        <is>
          <t>Requires Verification</t>
        </is>
      </c>
      <c r="AB145" s="10" t="inlineStr">
        <is>
          <t>https://www.192.com/atoz/business/dn35/convenience--stores/</t>
        </is>
      </c>
    </row>
    <row r="146">
      <c r="A146" s="5" t="inlineStr">
        <is>
          <t>WY-0028</t>
        </is>
      </c>
      <c r="B146" s="5" t="inlineStr">
        <is>
          <t>SPEEDPETRO-01</t>
        </is>
      </c>
      <c r="C146" s="5" t="inlineStr">
        <is>
          <t>Speed Petroleum</t>
        </is>
      </c>
      <c r="D146" s="5" t="inlineStr">
        <is>
          <t>Glasshoughton Service Station</t>
        </is>
      </c>
      <c r="E146" s="5" t="inlineStr">
        <is>
          <t>Petrol Station / Forecourt</t>
        </is>
      </c>
      <c r="F146" s="5" t="inlineStr">
        <is>
          <t>BP-branded dealer forecourt with Nisa Local shop</t>
        </is>
      </c>
      <c r="G146" s="5" t="inlineStr">
        <is>
          <t>Franchise / Symbol Group</t>
        </is>
      </c>
      <c r="H146" s="5" t="inlineStr">
        <is>
          <t>1</t>
        </is>
      </c>
      <c r="I146" s="5" t="inlineStr">
        <is>
          <t>Park Road</t>
        </is>
      </c>
      <c r="J146" s="5" t="inlineStr">
        <is>
          <t>Castleford</t>
        </is>
      </c>
      <c r="K146" s="5" t="inlineStr">
        <is>
          <t>WF10 4RS</t>
        </is>
      </c>
      <c r="L146" s="5" t="inlineStr">
        <is>
          <t>01977 278353</t>
        </is>
      </c>
      <c r="M146" s="5" t="inlineStr"/>
      <c r="N146" s="5" t="inlineStr"/>
      <c r="O146" s="5" t="inlineStr">
        <is>
          <t>https://www.nisalocally.co.uk/stores/west-yorkshire/castleford/bp-glasshoughton-ser-st</t>
        </is>
      </c>
      <c r="P146" s="5" t="inlineStr"/>
      <c r="Q146" s="5" t="inlineStr"/>
      <c r="R146" s="5" t="inlineStr"/>
      <c r="S146" s="5" t="inlineStr"/>
      <c r="T146" s="5" t="inlineStr"/>
      <c r="U146" s="5" t="inlineStr"/>
      <c r="V146" s="5" t="inlineStr">
        <is>
          <t>Medium</t>
        </is>
      </c>
      <c r="W146" s="5" t="inlineStr">
        <is>
          <t>Multi-site retailer; Independent retailer; Relevant category; Active website</t>
        </is>
      </c>
      <c r="X146" s="5" t="inlineStr">
        <is>
          <t>Verified directory</t>
        </is>
      </c>
      <c r="Y146" s="5" t="inlineStr">
        <is>
          <t>Not Found</t>
        </is>
      </c>
      <c r="Z146" s="5" t="inlineStr">
        <is>
          <t>Medium</t>
        </is>
      </c>
      <c r="AA146" s="5" t="inlineStr">
        <is>
          <t>Requires Verification</t>
        </is>
      </c>
      <c r="AB146" s="5" t="inlineStr">
        <is>
          <t>https://www.nisalocally.co.uk/stores/west-yorkshire/castleford/bp-glasshoughton-ser-st</t>
        </is>
      </c>
    </row>
    <row r="147">
      <c r="A147" s="10" t="inlineStr">
        <is>
          <t>WY-0029</t>
        </is>
      </c>
      <c r="B147" s="10" t="inlineStr">
        <is>
          <t>TBCASHCARR-01</t>
        </is>
      </c>
      <c r="C147" s="10" t="inlineStr">
        <is>
          <t>TB Cash &amp; Carry</t>
        </is>
      </c>
      <c r="D147" s="10" t="inlineStr">
        <is>
          <t>TB Cash &amp; Carry (Bradford)</t>
        </is>
      </c>
      <c r="E147" s="10" t="inlineStr">
        <is>
          <t>Cash &amp; Carry</t>
        </is>
      </c>
      <c r="F147" s="10" t="inlineStr">
        <is>
          <t>Confectionery, soft drinks, crisps &amp; snacks wholesaler</t>
        </is>
      </c>
      <c r="G147" s="10" t="inlineStr">
        <is>
          <t>Multi-Site Independent</t>
        </is>
      </c>
      <c r="H147" s="10" t="inlineStr">
        <is>
          <t>2</t>
        </is>
      </c>
      <c r="I147" s="10" t="inlineStr">
        <is>
          <t>91 Legrams Lane</t>
        </is>
      </c>
      <c r="J147" s="10" t="inlineStr">
        <is>
          <t>Bradford</t>
        </is>
      </c>
      <c r="K147" s="10" t="inlineStr">
        <is>
          <t>BD7 1NH</t>
        </is>
      </c>
      <c r="L147" s="10" t="inlineStr">
        <is>
          <t>01274 740555</t>
        </is>
      </c>
      <c r="M147" s="10" t="inlineStr">
        <is>
          <t>info@tbcashandcarry.co.uk</t>
        </is>
      </c>
      <c r="N147" s="10" t="inlineStr"/>
      <c r="O147" s="10" t="inlineStr">
        <is>
          <t>https://tbcashandcarry.co.uk/</t>
        </is>
      </c>
      <c r="P147" s="10" t="inlineStr">
        <is>
          <t>https://www.facebook.com/p/TB-Cash-Carry-100077147298501/</t>
        </is>
      </c>
      <c r="Q147" s="10" t="inlineStr"/>
      <c r="R147" s="10" t="inlineStr"/>
      <c r="S147" s="10" t="inlineStr"/>
      <c r="T147" s="10" t="inlineStr"/>
      <c r="U147" s="10" t="inlineStr"/>
      <c r="V147" s="10" t="inlineStr">
        <is>
          <t>High</t>
        </is>
      </c>
      <c r="W147" s="10" t="inlineStr">
        <is>
          <t>Multi-site retailer; Independent retailer; Core relevant category; Public email available; Active website; Social presence</t>
        </is>
      </c>
      <c r="X147" s="10" t="inlineStr">
        <is>
          <t>Verified directory</t>
        </is>
      </c>
      <c r="Y147" s="10" t="inlineStr">
        <is>
          <t>Unverified</t>
        </is>
      </c>
      <c r="Z147" s="10" t="inlineStr">
        <is>
          <t>Medium</t>
        </is>
      </c>
      <c r="AA147" s="10" t="inlineStr">
        <is>
          <t>Verified (website + Companies House)</t>
        </is>
      </c>
      <c r="AB147" s="10" t="inlineStr">
        <is>
          <t>https://tbcashandcarry.co.uk/</t>
        </is>
      </c>
    </row>
    <row r="148">
      <c r="A148" s="5" t="inlineStr">
        <is>
          <t>WY-0030</t>
        </is>
      </c>
      <c r="B148" s="5" t="inlineStr">
        <is>
          <t>TBCASHCARR-02</t>
        </is>
      </c>
      <c r="C148" s="5" t="inlineStr">
        <is>
          <t>TB Cash &amp; Carry</t>
        </is>
      </c>
      <c r="D148" s="5" t="inlineStr">
        <is>
          <t>TB Cash &amp; Carry (Leeds)</t>
        </is>
      </c>
      <c r="E148" s="5" t="inlineStr">
        <is>
          <t>Cash &amp; Carry</t>
        </is>
      </c>
      <c r="F148" s="5" t="inlineStr">
        <is>
          <t>Confectionery, soft drinks, crisps &amp; snacks wholesaler</t>
        </is>
      </c>
      <c r="G148" s="5" t="inlineStr">
        <is>
          <t>Multi-Site Independent</t>
        </is>
      </c>
      <c r="H148" s="5" t="inlineStr">
        <is>
          <t>2</t>
        </is>
      </c>
      <c r="I148" s="5" t="inlineStr">
        <is>
          <t>90 Gelderd Road</t>
        </is>
      </c>
      <c r="J148" s="5" t="inlineStr">
        <is>
          <t>Leeds</t>
        </is>
      </c>
      <c r="K148" s="5" t="inlineStr">
        <is>
          <t>LS12 6HD</t>
        </is>
      </c>
      <c r="L148" s="5" t="inlineStr">
        <is>
          <t>0113 245 1454</t>
        </is>
      </c>
      <c r="M148" s="5" t="inlineStr">
        <is>
          <t>info@tbcashandcarry.co.uk</t>
        </is>
      </c>
      <c r="N148" s="5" t="inlineStr"/>
      <c r="O148" s="5" t="inlineStr">
        <is>
          <t>https://tbcashandcarry.co.uk/</t>
        </is>
      </c>
      <c r="P148" s="5" t="inlineStr">
        <is>
          <t>https://www.facebook.com/p/TB-Cash-Carry-100064390671766/</t>
        </is>
      </c>
      <c r="Q148" s="5" t="inlineStr"/>
      <c r="R148" s="5" t="inlineStr"/>
      <c r="S148" s="5" t="inlineStr"/>
      <c r="T148" s="5" t="inlineStr"/>
      <c r="U148" s="5" t="inlineStr"/>
      <c r="V148" s="5" t="inlineStr">
        <is>
          <t>High</t>
        </is>
      </c>
      <c r="W148" s="5" t="inlineStr">
        <is>
          <t>Multi-site retailer; Independent retailer; Core relevant category; Public email available; Active website; Social presence</t>
        </is>
      </c>
      <c r="X148" s="5" t="inlineStr">
        <is>
          <t>Verified directory</t>
        </is>
      </c>
      <c r="Y148" s="5" t="inlineStr">
        <is>
          <t>Unverified</t>
        </is>
      </c>
      <c r="Z148" s="5" t="inlineStr">
        <is>
          <t>Medium</t>
        </is>
      </c>
      <c r="AA148" s="5" t="inlineStr">
        <is>
          <t>Verified (website + Companies House)</t>
        </is>
      </c>
      <c r="AB148" s="5" t="inlineStr">
        <is>
          <t>https://tbcashandcarry.co.uk/</t>
        </is>
      </c>
    </row>
    <row r="149">
      <c r="A149" s="10" t="inlineStr">
        <is>
          <t>UK-000322</t>
        </is>
      </c>
      <c r="B149" s="10" t="inlineStr">
        <is>
          <t>TEXACOVALE-01</t>
        </is>
      </c>
      <c r="C149" s="10" t="inlineStr">
        <is>
          <t>Texaco (Valero brand)</t>
        </is>
      </c>
      <c r="D149" s="10" t="inlineStr">
        <is>
          <t>Texaco Horwich Service Station</t>
        </is>
      </c>
      <c r="E149" s="10" t="inlineStr">
        <is>
          <t>Petrol Station / Forecourt</t>
        </is>
      </c>
      <c r="F149" s="10" t="inlineStr">
        <is>
          <t>Branded fuel forecourt with shop</t>
        </is>
      </c>
      <c r="G149" s="10" t="inlineStr">
        <is>
          <t>Franchise / Symbol Group</t>
        </is>
      </c>
      <c r="H149" s="10" t="inlineStr">
        <is>
          <t>1</t>
        </is>
      </c>
      <c r="I149" s="10" t="inlineStr">
        <is>
          <t>427 Chorley New Road</t>
        </is>
      </c>
      <c r="J149" s="10" t="inlineStr">
        <is>
          <t>Bolton</t>
        </is>
      </c>
      <c r="K149" s="10" t="inlineStr">
        <is>
          <t>BL6 6DT</t>
        </is>
      </c>
      <c r="L149" s="10" t="inlineStr">
        <is>
          <t>01204 667182</t>
        </is>
      </c>
      <c r="M149" s="10" t="inlineStr"/>
      <c r="N149" s="10" t="inlineStr"/>
      <c r="O149" s="10" t="inlineStr"/>
      <c r="P149" s="10" t="inlineStr"/>
      <c r="Q149" s="10" t="inlineStr"/>
      <c r="R149" s="10" t="inlineStr"/>
      <c r="S149" s="10" t="inlineStr"/>
      <c r="T149" s="10" t="inlineStr"/>
      <c r="U149" s="10" t="inlineStr"/>
      <c r="V149" s="10" t="inlineStr">
        <is>
          <t>Medium</t>
        </is>
      </c>
      <c r="W149" s="10" t="inlineStr">
        <is>
          <t>Multi-site retailer; Independent retailer; Relevant category</t>
        </is>
      </c>
      <c r="X149" s="10" t="inlineStr">
        <is>
          <t>Verified directory</t>
        </is>
      </c>
      <c r="Y149" s="10" t="inlineStr">
        <is>
          <t>Not Found</t>
        </is>
      </c>
      <c r="Z149" s="10" t="inlineStr">
        <is>
          <t>Low</t>
        </is>
      </c>
      <c r="AA149" s="10" t="inlineStr">
        <is>
          <t>Requires Verification</t>
        </is>
      </c>
      <c r="AB149" s="10" t="inlineStr">
        <is>
          <t>https://petrolmap.co.uk/petrol-stations/lancashire/lancashire/horwich-sstn/6836</t>
        </is>
      </c>
    </row>
    <row r="150">
      <c r="A150" s="5" t="inlineStr">
        <is>
          <t>UK-000441</t>
        </is>
      </c>
      <c r="B150" s="5" t="inlineStr">
        <is>
          <t>THEACEOFVA-01</t>
        </is>
      </c>
      <c r="C150" s="5" t="inlineStr">
        <is>
          <t>The Ace Of Vapez</t>
        </is>
      </c>
      <c r="D150" s="5" t="inlineStr">
        <is>
          <t>The Ace Of Vapez - Bentley</t>
        </is>
      </c>
      <c r="E150" s="5" t="inlineStr">
        <is>
          <t>Vape Shop</t>
        </is>
      </c>
      <c r="F150" s="5" t="inlineStr">
        <is>
          <t>Vape retail (multi-site chain)</t>
        </is>
      </c>
      <c r="G150" s="5" t="inlineStr">
        <is>
          <t>Regional Chain</t>
        </is>
      </c>
      <c r="H150" s="5" t="inlineStr">
        <is>
          <t>13</t>
        </is>
      </c>
      <c r="I150" s="5" t="inlineStr">
        <is>
          <t>45 Queen Elizabeth Avenue</t>
        </is>
      </c>
      <c r="J150" s="5" t="inlineStr">
        <is>
          <t>Walsall</t>
        </is>
      </c>
      <c r="K150" s="5" t="inlineStr">
        <is>
          <t>WS2 0BD</t>
        </is>
      </c>
      <c r="L150" s="5" t="inlineStr"/>
      <c r="M150" s="5" t="inlineStr"/>
      <c r="N150" s="5" t="inlineStr"/>
      <c r="O150" s="5" t="inlineStr">
        <is>
          <t>https://www.theaceofvapez.com/pages/retail-locations</t>
        </is>
      </c>
      <c r="P150" s="5" t="inlineStr">
        <is>
          <t>https://www.facebook.com/TheaceofvapezBentley/</t>
        </is>
      </c>
      <c r="Q150" s="5" t="inlineStr"/>
      <c r="R150" s="5" t="inlineStr"/>
      <c r="S150" s="5" t="inlineStr"/>
      <c r="T150" s="5" t="inlineStr">
        <is>
          <t>08760274</t>
        </is>
      </c>
      <c r="U150" s="5" t="inlineStr"/>
      <c r="V150" s="5" t="inlineStr">
        <is>
          <t>High</t>
        </is>
      </c>
      <c r="W150" s="5" t="inlineStr">
        <is>
          <t>Multi-site retailer; Core relevant category; Active website; Social presence</t>
        </is>
      </c>
      <c r="X150" s="5" t="inlineStr">
        <is>
          <t>Not Found</t>
        </is>
      </c>
      <c r="Y150" s="5" t="inlineStr">
        <is>
          <t>Website Found</t>
        </is>
      </c>
      <c r="Z150" s="5" t="inlineStr">
        <is>
          <t>Medium</t>
        </is>
      </c>
      <c r="AA150" s="5" t="inlineStr">
        <is>
          <t>Partially Verified</t>
        </is>
      </c>
      <c r="AB150" s="5" t="inlineStr">
        <is>
          <t>https://www.facebook.com/TheaceofvapezBentley/</t>
        </is>
      </c>
    </row>
    <row r="151">
      <c r="A151" s="10" t="inlineStr">
        <is>
          <t>UK-000442</t>
        </is>
      </c>
      <c r="B151" s="10" t="inlineStr">
        <is>
          <t>THEACEOFVA-02</t>
        </is>
      </c>
      <c r="C151" s="10" t="inlineStr">
        <is>
          <t>The Ace Of Vapez</t>
        </is>
      </c>
      <c r="D151" s="10" t="inlineStr">
        <is>
          <t>The Ace Of Vapez - Bilston</t>
        </is>
      </c>
      <c r="E151" s="10" t="inlineStr">
        <is>
          <t>Vape Shop</t>
        </is>
      </c>
      <c r="F151" s="10" t="inlineStr">
        <is>
          <t>Vape retail (multi-site chain)</t>
        </is>
      </c>
      <c r="G151" s="10" t="inlineStr">
        <is>
          <t>Regional Chain</t>
        </is>
      </c>
      <c r="H151" s="10" t="inlineStr">
        <is>
          <t>13</t>
        </is>
      </c>
      <c r="I151" s="10" t="inlineStr">
        <is>
          <t>Unit 11, Castle Street</t>
        </is>
      </c>
      <c r="J151" s="10" t="inlineStr">
        <is>
          <t>Bilston</t>
        </is>
      </c>
      <c r="K151" s="10" t="inlineStr">
        <is>
          <t>WV14 9EP</t>
        </is>
      </c>
      <c r="L151" s="10" t="inlineStr"/>
      <c r="M151" s="10" t="inlineStr"/>
      <c r="N151" s="10" t="inlineStr"/>
      <c r="O151" s="10" t="inlineStr">
        <is>
          <t>https://www.theaceofvapez.com/pages/retail-locations</t>
        </is>
      </c>
      <c r="P151" s="10" t="inlineStr"/>
      <c r="Q151" s="10" t="inlineStr"/>
      <c r="R151" s="10" t="inlineStr"/>
      <c r="S151" s="10" t="inlineStr"/>
      <c r="T151" s="10" t="inlineStr">
        <is>
          <t>08760274</t>
        </is>
      </c>
      <c r="U151" s="10" t="inlineStr"/>
      <c r="V151" s="10" t="inlineStr">
        <is>
          <t>Medium</t>
        </is>
      </c>
      <c r="W151" s="10" t="inlineStr">
        <is>
          <t>Multi-site retailer; Core relevant category; Active website</t>
        </is>
      </c>
      <c r="X151" s="10" t="inlineStr">
        <is>
          <t>Not Found</t>
        </is>
      </c>
      <c r="Y151" s="10" t="inlineStr">
        <is>
          <t>Website Found</t>
        </is>
      </c>
      <c r="Z151" s="10" t="inlineStr">
        <is>
          <t>Medium</t>
        </is>
      </c>
      <c r="AA151" s="10" t="inlineStr">
        <is>
          <t>Partially Verified</t>
        </is>
      </c>
      <c r="AB151" s="10" t="inlineStr">
        <is>
          <t>https://www.theaceofvapez.com/pages/retail-locations</t>
        </is>
      </c>
    </row>
    <row r="152">
      <c r="A152" s="5" t="inlineStr">
        <is>
          <t>UK-000443</t>
        </is>
      </c>
      <c r="B152" s="5" t="inlineStr">
        <is>
          <t>THEACEOFVA-03</t>
        </is>
      </c>
      <c r="C152" s="5" t="inlineStr">
        <is>
          <t>The Ace Of Vapez</t>
        </is>
      </c>
      <c r="D152" s="5" t="inlineStr">
        <is>
          <t>The Ace Of Vapez - Caldmore Green</t>
        </is>
      </c>
      <c r="E152" s="5" t="inlineStr">
        <is>
          <t>Vape Shop</t>
        </is>
      </c>
      <c r="F152" s="5" t="inlineStr">
        <is>
          <t>Vape retail (multi-site chain)</t>
        </is>
      </c>
      <c r="G152" s="5" t="inlineStr">
        <is>
          <t>Regional Chain</t>
        </is>
      </c>
      <c r="H152" s="5" t="inlineStr">
        <is>
          <t>13</t>
        </is>
      </c>
      <c r="I152" s="5" t="inlineStr">
        <is>
          <t>40-41 Caldmore Green</t>
        </is>
      </c>
      <c r="J152" s="5" t="inlineStr">
        <is>
          <t>Walsall</t>
        </is>
      </c>
      <c r="K152" s="5" t="inlineStr">
        <is>
          <t>WS1 3RW</t>
        </is>
      </c>
      <c r="L152" s="5" t="inlineStr"/>
      <c r="M152" s="5" t="inlineStr"/>
      <c r="N152" s="5" t="inlineStr"/>
      <c r="O152" s="5" t="inlineStr">
        <is>
          <t>https://www.theaceofvapez.com/pages/retail-locations</t>
        </is>
      </c>
      <c r="P152" s="5" t="inlineStr"/>
      <c r="Q152" s="5" t="inlineStr"/>
      <c r="R152" s="5" t="inlineStr"/>
      <c r="S152" s="5" t="inlineStr"/>
      <c r="T152" s="5" t="inlineStr">
        <is>
          <t>08760274</t>
        </is>
      </c>
      <c r="U152" s="5" t="inlineStr"/>
      <c r="V152" s="5" t="inlineStr">
        <is>
          <t>Medium</t>
        </is>
      </c>
      <c r="W152" s="5" t="inlineStr">
        <is>
          <t>Multi-site retailer; Core relevant category; Active website</t>
        </is>
      </c>
      <c r="X152" s="5" t="inlineStr">
        <is>
          <t>Not Found</t>
        </is>
      </c>
      <c r="Y152" s="5" t="inlineStr">
        <is>
          <t>Website Found</t>
        </is>
      </c>
      <c r="Z152" s="5" t="inlineStr">
        <is>
          <t>Medium</t>
        </is>
      </c>
      <c r="AA152" s="5" t="inlineStr">
        <is>
          <t>Partially Verified</t>
        </is>
      </c>
      <c r="AB152" s="5" t="inlineStr">
        <is>
          <t>https://www.theaceofvapez.com/pages/retail-locations</t>
        </is>
      </c>
    </row>
    <row r="153">
      <c r="A153" s="10" t="inlineStr">
        <is>
          <t>UK-000444</t>
        </is>
      </c>
      <c r="B153" s="10" t="inlineStr">
        <is>
          <t>THEACEOFVA-04</t>
        </is>
      </c>
      <c r="C153" s="10" t="inlineStr">
        <is>
          <t>The Ace Of Vapez</t>
        </is>
      </c>
      <c r="D153" s="10" t="inlineStr">
        <is>
          <t>The Ace Of Vapez - Codsall</t>
        </is>
      </c>
      <c r="E153" s="10" t="inlineStr">
        <is>
          <t>Vape Shop</t>
        </is>
      </c>
      <c r="F153" s="10" t="inlineStr">
        <is>
          <t>Vape retail (multi-site chain)</t>
        </is>
      </c>
      <c r="G153" s="10" t="inlineStr">
        <is>
          <t>Regional Chain</t>
        </is>
      </c>
      <c r="H153" s="10" t="inlineStr">
        <is>
          <t>13</t>
        </is>
      </c>
      <c r="I153" s="10" t="inlineStr">
        <is>
          <t>11 Station Road</t>
        </is>
      </c>
      <c r="J153" s="10" t="inlineStr">
        <is>
          <t>Wolverhampton</t>
        </is>
      </c>
      <c r="K153" s="10" t="inlineStr">
        <is>
          <t>WV8 1BX</t>
        </is>
      </c>
      <c r="L153" s="10" t="inlineStr">
        <is>
          <t>01902 276807</t>
        </is>
      </c>
      <c r="M153" s="10" t="inlineStr">
        <is>
          <t>taovcodsall@gmail.com</t>
        </is>
      </c>
      <c r="N153" s="10" t="inlineStr"/>
      <c r="O153" s="10" t="inlineStr">
        <is>
          <t>https://www.theaceofvapez.com/pages/retail-locations</t>
        </is>
      </c>
      <c r="P153" s="10" t="inlineStr">
        <is>
          <t>https://www.facebook.com/TAOVCodsall/</t>
        </is>
      </c>
      <c r="Q153" s="10" t="inlineStr"/>
      <c r="R153" s="10" t="inlineStr"/>
      <c r="S153" s="10" t="inlineStr"/>
      <c r="T153" s="10" t="inlineStr">
        <is>
          <t>08760274</t>
        </is>
      </c>
      <c r="U153" s="10" t="inlineStr"/>
      <c r="V153" s="10" t="inlineStr">
        <is>
          <t>High</t>
        </is>
      </c>
      <c r="W153" s="10" t="inlineStr">
        <is>
          <t>Multi-site retailer; Core relevant category; Public email available; Active website; Social presence; Phone verified on official website</t>
        </is>
      </c>
      <c r="X153" s="10" t="inlineStr">
        <is>
          <t>Verified on official website</t>
        </is>
      </c>
      <c r="Y153" s="10" t="inlineStr">
        <is>
          <t>Publicly Listed</t>
        </is>
      </c>
      <c r="Z153" s="10" t="inlineStr">
        <is>
          <t>High</t>
        </is>
      </c>
      <c r="AA153" s="10" t="inlineStr">
        <is>
          <t>Partially Verified</t>
        </is>
      </c>
      <c r="AB153" s="10" t="inlineStr">
        <is>
          <t>https://www.theaceofvapez.com/pages/contact-us</t>
        </is>
      </c>
    </row>
    <row r="154">
      <c r="A154" s="5" t="inlineStr">
        <is>
          <t>UK-000445</t>
        </is>
      </c>
      <c r="B154" s="5" t="inlineStr">
        <is>
          <t>THEACEOFVA-05</t>
        </is>
      </c>
      <c r="C154" s="5" t="inlineStr">
        <is>
          <t>The Ace Of Vapez</t>
        </is>
      </c>
      <c r="D154" s="5" t="inlineStr">
        <is>
          <t>The Ace Of Vapez - East Park</t>
        </is>
      </c>
      <c r="E154" s="5" t="inlineStr">
        <is>
          <t>Vape Shop</t>
        </is>
      </c>
      <c r="F154" s="5" t="inlineStr">
        <is>
          <t>Vape retail (multi-site chain)</t>
        </is>
      </c>
      <c r="G154" s="5" t="inlineStr">
        <is>
          <t>Regional Chain</t>
        </is>
      </c>
      <c r="H154" s="5" t="inlineStr">
        <is>
          <t>13</t>
        </is>
      </c>
      <c r="I154" s="5" t="inlineStr">
        <is>
          <t>151-153 Willenhall Road</t>
        </is>
      </c>
      <c r="J154" s="5" t="inlineStr">
        <is>
          <t>Wolverhampton</t>
        </is>
      </c>
      <c r="K154" s="5" t="inlineStr">
        <is>
          <t>WV1 2HR</t>
        </is>
      </c>
      <c r="L154" s="5" t="inlineStr">
        <is>
          <t>01902 458119</t>
        </is>
      </c>
      <c r="M154" s="5" t="inlineStr"/>
      <c r="N154" s="5" t="inlineStr"/>
      <c r="O154" s="5" t="inlineStr">
        <is>
          <t>https://www.theaceofvapez.com/pages/retail-locations</t>
        </is>
      </c>
      <c r="P154" s="5" t="inlineStr">
        <is>
          <t>https://www.facebook.com/TAOVWillenhall/</t>
        </is>
      </c>
      <c r="Q154" s="5" t="inlineStr"/>
      <c r="R154" s="5" t="inlineStr"/>
      <c r="S154" s="5" t="inlineStr"/>
      <c r="T154" s="5" t="inlineStr">
        <is>
          <t>08760274</t>
        </is>
      </c>
      <c r="U154" s="5" t="inlineStr"/>
      <c r="V154" s="5" t="inlineStr">
        <is>
          <t>High</t>
        </is>
      </c>
      <c r="W154" s="5" t="inlineStr">
        <is>
          <t>Multi-site retailer; Core relevant category; Active website; Social presence; Phone verified on official website</t>
        </is>
      </c>
      <c r="X154" s="5" t="inlineStr">
        <is>
          <t>Verified on official website</t>
        </is>
      </c>
      <c r="Y154" s="5" t="inlineStr">
        <is>
          <t>Website Found</t>
        </is>
      </c>
      <c r="Z154" s="5" t="inlineStr">
        <is>
          <t>High</t>
        </is>
      </c>
      <c r="AA154" s="5" t="inlineStr">
        <is>
          <t>Verified (website + Companies House)</t>
        </is>
      </c>
      <c r="AB154" s="5" t="inlineStr">
        <is>
          <t>https://www.theaceofvapez.com/pages/retail-locations</t>
        </is>
      </c>
    </row>
    <row r="155">
      <c r="A155" s="10" t="inlineStr">
        <is>
          <t>UK-000446</t>
        </is>
      </c>
      <c r="B155" s="10" t="inlineStr">
        <is>
          <t>THEACEOFVA-06</t>
        </is>
      </c>
      <c r="C155" s="10" t="inlineStr">
        <is>
          <t>The Ace Of Vapez</t>
        </is>
      </c>
      <c r="D155" s="10" t="inlineStr">
        <is>
          <t>The Ace Of Vapez - Scotlands</t>
        </is>
      </c>
      <c r="E155" s="10" t="inlineStr">
        <is>
          <t>Vape Shop</t>
        </is>
      </c>
      <c r="F155" s="10" t="inlineStr">
        <is>
          <t>Vape retail (multi-site chain)</t>
        </is>
      </c>
      <c r="G155" s="10" t="inlineStr">
        <is>
          <t>Regional Chain</t>
        </is>
      </c>
      <c r="H155" s="10" t="inlineStr">
        <is>
          <t>13</t>
        </is>
      </c>
      <c r="I155" s="10" t="inlineStr">
        <is>
          <t>757 Cannock Road</t>
        </is>
      </c>
      <c r="J155" s="10" t="inlineStr">
        <is>
          <t>Wolverhampton</t>
        </is>
      </c>
      <c r="K155" s="10" t="inlineStr">
        <is>
          <t>WV10 8PN</t>
        </is>
      </c>
      <c r="L155" s="10" t="inlineStr">
        <is>
          <t>01902 240425</t>
        </is>
      </c>
      <c r="M155" s="10" t="inlineStr"/>
      <c r="N155" s="10" t="inlineStr"/>
      <c r="O155" s="10" t="inlineStr">
        <is>
          <t>https://www.theaceofvapez.com/pages/retail-locations</t>
        </is>
      </c>
      <c r="P155" s="10" t="inlineStr"/>
      <c r="Q155" s="10" t="inlineStr"/>
      <c r="R155" s="10" t="inlineStr"/>
      <c r="S155" s="10" t="inlineStr"/>
      <c r="T155" s="10" t="inlineStr">
        <is>
          <t>08760274</t>
        </is>
      </c>
      <c r="U155" s="10" t="inlineStr"/>
      <c r="V155" s="10" t="inlineStr">
        <is>
          <t>High</t>
        </is>
      </c>
      <c r="W155" s="10" t="inlineStr">
        <is>
          <t>Multi-site retailer; Core relevant category; Active website; Phone verified on official website</t>
        </is>
      </c>
      <c r="X155" s="10" t="inlineStr">
        <is>
          <t>Verified on official website</t>
        </is>
      </c>
      <c r="Y155" s="10" t="inlineStr">
        <is>
          <t>Website Found</t>
        </is>
      </c>
      <c r="Z155" s="10" t="inlineStr">
        <is>
          <t>High</t>
        </is>
      </c>
      <c r="AA155" s="10" t="inlineStr">
        <is>
          <t>Partially Verified</t>
        </is>
      </c>
      <c r="AB155" s="10" t="inlineStr">
        <is>
          <t>https://www.theaceofvapez.com/pages/retail-locations</t>
        </is>
      </c>
    </row>
    <row r="156">
      <c r="A156" s="5" t="inlineStr">
        <is>
          <t>UK-000447</t>
        </is>
      </c>
      <c r="B156" s="5" t="inlineStr">
        <is>
          <t>THEACEOFVA-07</t>
        </is>
      </c>
      <c r="C156" s="5" t="inlineStr">
        <is>
          <t>The Ace Of Vapez</t>
        </is>
      </c>
      <c r="D156" s="5" t="inlineStr">
        <is>
          <t>The Ace Of Vapez - Willenhall (The Precinct)</t>
        </is>
      </c>
      <c r="E156" s="5" t="inlineStr">
        <is>
          <t>Vape Shop</t>
        </is>
      </c>
      <c r="F156" s="5" t="inlineStr">
        <is>
          <t>Vape retail (multi-site chain)</t>
        </is>
      </c>
      <c r="G156" s="5" t="inlineStr">
        <is>
          <t>Regional Chain</t>
        </is>
      </c>
      <c r="H156" s="5" t="inlineStr">
        <is>
          <t>13</t>
        </is>
      </c>
      <c r="I156" s="5" t="inlineStr">
        <is>
          <t>31 The Precinct</t>
        </is>
      </c>
      <c r="J156" s="5" t="inlineStr">
        <is>
          <t>Willenhall</t>
        </is>
      </c>
      <c r="K156" s="5" t="inlineStr">
        <is>
          <t>WV12 4PZ</t>
        </is>
      </c>
      <c r="L156" s="5" t="inlineStr">
        <is>
          <t>01902 634748</t>
        </is>
      </c>
      <c r="M156" s="5" t="inlineStr"/>
      <c r="N156" s="5" t="inlineStr"/>
      <c r="O156" s="5" t="inlineStr">
        <is>
          <t>https://www.theaceofvapez.com/pages/retail-locations</t>
        </is>
      </c>
      <c r="P156" s="5" t="inlineStr"/>
      <c r="Q156" s="5" t="inlineStr"/>
      <c r="R156" s="5" t="inlineStr"/>
      <c r="S156" s="5" t="inlineStr"/>
      <c r="T156" s="5" t="inlineStr">
        <is>
          <t>08760274</t>
        </is>
      </c>
      <c r="U156" s="5" t="inlineStr"/>
      <c r="V156" s="5" t="inlineStr">
        <is>
          <t>High</t>
        </is>
      </c>
      <c r="W156" s="5" t="inlineStr">
        <is>
          <t>Multi-site retailer; Core relevant category; Active website; Phone verified on official website</t>
        </is>
      </c>
      <c r="X156" s="5" t="inlineStr">
        <is>
          <t>Verified on official website</t>
        </is>
      </c>
      <c r="Y156" s="5" t="inlineStr">
        <is>
          <t>Website Found</t>
        </is>
      </c>
      <c r="Z156" s="5" t="inlineStr">
        <is>
          <t>High</t>
        </is>
      </c>
      <c r="AA156" s="5" t="inlineStr">
        <is>
          <t>Partially Verified</t>
        </is>
      </c>
      <c r="AB156" s="5" t="inlineStr">
        <is>
          <t>https://www.theaceofvapez.com/pages/retail-locations</t>
        </is>
      </c>
    </row>
    <row r="157">
      <c r="A157" s="10" t="inlineStr">
        <is>
          <t>UK-000448</t>
        </is>
      </c>
      <c r="B157" s="10" t="inlineStr">
        <is>
          <t>THEACEOFVA-01</t>
        </is>
      </c>
      <c r="C157" s="10" t="inlineStr">
        <is>
          <t>The Ace of Vapez</t>
        </is>
      </c>
      <c r="D157" s="10" t="inlineStr">
        <is>
          <t>The Ace of Vapez - Acocks Green</t>
        </is>
      </c>
      <c r="E157" s="10" t="inlineStr">
        <is>
          <t>Vape Shop</t>
        </is>
      </c>
      <c r="F157" s="10" t="inlineStr">
        <is>
          <t>Vape hardware and e-liquid retailer</t>
        </is>
      </c>
      <c r="G157" s="10" t="inlineStr">
        <is>
          <t>Regional Chain</t>
        </is>
      </c>
      <c r="H157" s="10" t="inlineStr">
        <is>
          <t>1</t>
        </is>
      </c>
      <c r="I157" s="10" t="inlineStr">
        <is>
          <t>1137 Warwick Road</t>
        </is>
      </c>
      <c r="J157" s="10" t="inlineStr">
        <is>
          <t>Birmingham</t>
        </is>
      </c>
      <c r="K157" s="10" t="inlineStr">
        <is>
          <t>B27 6RA</t>
        </is>
      </c>
      <c r="L157" s="10" t="inlineStr">
        <is>
          <t>0121 492 1290</t>
        </is>
      </c>
      <c r="M157" s="10" t="inlineStr"/>
      <c r="N157" s="10" t="inlineStr"/>
      <c r="O157" s="10" t="inlineStr">
        <is>
          <t>https://www.theaceofvapez.com/</t>
        </is>
      </c>
      <c r="P157" s="10" t="inlineStr"/>
      <c r="Q157" s="10" t="inlineStr"/>
      <c r="R157" s="10" t="inlineStr"/>
      <c r="S157" s="10" t="inlineStr"/>
      <c r="T157" s="10" t="inlineStr"/>
      <c r="U157" s="10" t="inlineStr"/>
      <c r="V157" s="10" t="inlineStr">
        <is>
          <t>Medium</t>
        </is>
      </c>
      <c r="W157" s="10" t="inlineStr">
        <is>
          <t>Multi-site retailer; Core relevant category; Active website</t>
        </is>
      </c>
      <c r="X157" s="10" t="inlineStr">
        <is>
          <t>Verified directory</t>
        </is>
      </c>
      <c r="Y157" s="10" t="inlineStr">
        <is>
          <t>Website Found</t>
        </is>
      </c>
      <c r="Z157" s="10" t="inlineStr">
        <is>
          <t>Medium</t>
        </is>
      </c>
      <c r="AA157" s="10" t="inlineStr">
        <is>
          <t>Requires Verification</t>
        </is>
      </c>
      <c r="AB157" s="10" t="inlineStr">
        <is>
          <t>https://www.theaceofvapez.com/pages/acocks-green</t>
        </is>
      </c>
    </row>
    <row r="158">
      <c r="A158" s="5" t="inlineStr">
        <is>
          <t>UK-000215</t>
        </is>
      </c>
      <c r="B158" s="5" t="inlineStr">
        <is>
          <t>THEDRAMSHO-01</t>
        </is>
      </c>
      <c r="C158" s="5" t="inlineStr">
        <is>
          <t>The Dram Shop</t>
        </is>
      </c>
      <c r="D158" s="5" t="inlineStr">
        <is>
          <t>The Dram Shop</t>
        </is>
      </c>
      <c r="E158" s="5" t="inlineStr">
        <is>
          <t>Off-Licence</t>
        </is>
      </c>
      <c r="F158" s="5" t="inlineStr">
        <is>
          <t>Wine, spirits and craft beer merchant</t>
        </is>
      </c>
      <c r="G158" s="5" t="inlineStr">
        <is>
          <t>Multi-Site Independent</t>
        </is>
      </c>
      <c r="H158" s="5" t="inlineStr">
        <is>
          <t>2</t>
        </is>
      </c>
      <c r="I158" s="5" t="inlineStr">
        <is>
          <t>21 Commonside</t>
        </is>
      </c>
      <c r="J158" s="5" t="inlineStr">
        <is>
          <t>Sheffield</t>
        </is>
      </c>
      <c r="K158" s="5" t="inlineStr">
        <is>
          <t>S10 1GA</t>
        </is>
      </c>
      <c r="L158" s="5" t="inlineStr">
        <is>
          <t>0114 268 3117</t>
        </is>
      </c>
      <c r="M158" s="5" t="inlineStr"/>
      <c r="N158" s="5" t="inlineStr"/>
      <c r="O158" s="5" t="inlineStr"/>
      <c r="P158" s="5" t="inlineStr"/>
      <c r="Q158" s="5" t="inlineStr"/>
      <c r="R158" s="5" t="inlineStr"/>
      <c r="S158" s="5" t="inlineStr"/>
      <c r="T158" s="5" t="inlineStr"/>
      <c r="U158" s="5" t="inlineStr"/>
      <c r="V158" s="5" t="inlineStr">
        <is>
          <t>Medium</t>
        </is>
      </c>
      <c r="W158" s="5" t="inlineStr">
        <is>
          <t>Multi-site retailer; Independent retailer; Relevant category</t>
        </is>
      </c>
      <c r="X158" s="5" t="inlineStr">
        <is>
          <t>Verified directory</t>
        </is>
      </c>
      <c r="Y158" s="5" t="inlineStr">
        <is>
          <t>Not Found</t>
        </is>
      </c>
      <c r="Z158" s="5" t="inlineStr">
        <is>
          <t>Medium</t>
        </is>
      </c>
      <c r="AA158" s="5" t="inlineStr">
        <is>
          <t>Requires Verification</t>
        </is>
      </c>
      <c r="AB158" s="5" t="inlineStr">
        <is>
          <t>https://www.yelp.co.uk/biz/dram-shop-sheffield</t>
        </is>
      </c>
    </row>
    <row r="159">
      <c r="A159" s="10" t="inlineStr">
        <is>
          <t>UK-000323</t>
        </is>
      </c>
      <c r="B159" s="10" t="inlineStr">
        <is>
          <t>THEECIGSTO-01</t>
        </is>
      </c>
      <c r="C159" s="10" t="inlineStr">
        <is>
          <t>The E-Cig Store</t>
        </is>
      </c>
      <c r="D159" s="10" t="inlineStr">
        <is>
          <t>The E-Cig Store (Timperley, Trafford)</t>
        </is>
      </c>
      <c r="E159" s="10" t="inlineStr">
        <is>
          <t>Vape Shop</t>
        </is>
      </c>
      <c r="F159" s="10" t="inlineStr">
        <is>
          <t>Vape hardware, e-liquids &amp; disposables</t>
        </is>
      </c>
      <c r="G159" s="10" t="inlineStr">
        <is>
          <t>Regional Chain</t>
        </is>
      </c>
      <c r="H159" s="10" t="inlineStr">
        <is>
          <t>40</t>
        </is>
      </c>
      <c r="I159" s="10" t="inlineStr">
        <is>
          <t>230 Stockport Road</t>
        </is>
      </c>
      <c r="J159" s="10" t="inlineStr">
        <is>
          <t>Altrincham</t>
        </is>
      </c>
      <c r="K159" s="10" t="inlineStr">
        <is>
          <t>WA15 7UN</t>
        </is>
      </c>
      <c r="L159" s="10" t="inlineStr"/>
      <c r="M159" s="10" t="inlineStr"/>
      <c r="N159" s="10" t="inlineStr"/>
      <c r="O159" s="10" t="inlineStr">
        <is>
          <t>https://theecig.co.uk/</t>
        </is>
      </c>
      <c r="P159" s="10" t="inlineStr">
        <is>
          <t>https://www.facebook.com/theEcigAlti/</t>
        </is>
      </c>
      <c r="Q159" s="10" t="inlineStr"/>
      <c r="R159" s="10" t="inlineStr"/>
      <c r="S159" s="10" t="inlineStr"/>
      <c r="T159" s="10" t="inlineStr"/>
      <c r="U159" s="10" t="inlineStr"/>
      <c r="V159" s="10" t="inlineStr">
        <is>
          <t>High</t>
        </is>
      </c>
      <c r="W159" s="10" t="inlineStr">
        <is>
          <t>Multi-site retailer; Core relevant category; Active website; Social presence</t>
        </is>
      </c>
      <c r="X159" s="10" t="inlineStr">
        <is>
          <t>Not Found</t>
        </is>
      </c>
      <c r="Y159" s="10" t="inlineStr">
        <is>
          <t>Website Found</t>
        </is>
      </c>
      <c r="Z159" s="10" t="inlineStr">
        <is>
          <t>Medium</t>
        </is>
      </c>
      <c r="AA159" s="10" t="inlineStr">
        <is>
          <t>Requires Verification</t>
        </is>
      </c>
      <c r="AB159" s="10" t="inlineStr">
        <is>
          <t>https://theecig.co.uk/pages/the-e-cig-store-timperley</t>
        </is>
      </c>
    </row>
    <row r="160">
      <c r="A160" s="5" t="inlineStr">
        <is>
          <t>UK-000324</t>
        </is>
      </c>
      <c r="B160" s="5" t="inlineStr">
        <is>
          <t>THEECIGSTO-02</t>
        </is>
      </c>
      <c r="C160" s="5" t="inlineStr">
        <is>
          <t>The E-Cig Store</t>
        </is>
      </c>
      <c r="D160" s="5" t="inlineStr">
        <is>
          <t>The E-Cig Store (West Timperley, Trafford)</t>
        </is>
      </c>
      <c r="E160" s="5" t="inlineStr">
        <is>
          <t>Vape Shop</t>
        </is>
      </c>
      <c r="F160" s="5" t="inlineStr">
        <is>
          <t>Vape hardware, e-liquids &amp; disposables</t>
        </is>
      </c>
      <c r="G160" s="5" t="inlineStr">
        <is>
          <t>Regional Chain</t>
        </is>
      </c>
      <c r="H160" s="5" t="inlineStr">
        <is>
          <t>40</t>
        </is>
      </c>
      <c r="I160" s="5" t="inlineStr">
        <is>
          <t>340 Manchester Road</t>
        </is>
      </c>
      <c r="J160" s="5" t="inlineStr">
        <is>
          <t>Altrincham</t>
        </is>
      </c>
      <c r="K160" s="5" t="inlineStr">
        <is>
          <t>WA14 5NH</t>
        </is>
      </c>
      <c r="L160" s="5" t="inlineStr"/>
      <c r="M160" s="5" t="inlineStr"/>
      <c r="N160" s="5" t="inlineStr"/>
      <c r="O160" s="5" t="inlineStr">
        <is>
          <t>https://theecig.co.uk/</t>
        </is>
      </c>
      <c r="P160" s="5" t="inlineStr">
        <is>
          <t>https://www.facebook.com/theEcigAlti/</t>
        </is>
      </c>
      <c r="Q160" s="5" t="inlineStr"/>
      <c r="R160" s="5" t="inlineStr"/>
      <c r="S160" s="5" t="inlineStr"/>
      <c r="T160" s="5" t="inlineStr"/>
      <c r="U160" s="5" t="inlineStr"/>
      <c r="V160" s="5" t="inlineStr">
        <is>
          <t>High</t>
        </is>
      </c>
      <c r="W160" s="5" t="inlineStr">
        <is>
          <t>Multi-site retailer; Core relevant category; Active website; Social presence</t>
        </is>
      </c>
      <c r="X160" s="5" t="inlineStr">
        <is>
          <t>Not Found</t>
        </is>
      </c>
      <c r="Y160" s="5" t="inlineStr">
        <is>
          <t>Website Found</t>
        </is>
      </c>
      <c r="Z160" s="5" t="inlineStr">
        <is>
          <t>Medium</t>
        </is>
      </c>
      <c r="AA160" s="5" t="inlineStr">
        <is>
          <t>Requires Verification</t>
        </is>
      </c>
      <c r="AB160" s="5" t="inlineStr">
        <is>
          <t>https://theecig.co.uk/pages/store-locator</t>
        </is>
      </c>
    </row>
    <row r="161">
      <c r="A161" s="10" t="inlineStr">
        <is>
          <t>UK-000325</t>
        </is>
      </c>
      <c r="B161" s="10" t="inlineStr">
        <is>
          <t>THEECIGSTO-01</t>
        </is>
      </c>
      <c r="C161" s="10" t="inlineStr">
        <is>
          <t>The E-Cig Store UK</t>
        </is>
      </c>
      <c r="D161" s="10" t="inlineStr">
        <is>
          <t>The E-Cig Store Stockport</t>
        </is>
      </c>
      <c r="E161" s="10" t="inlineStr">
        <is>
          <t>Vape Shop</t>
        </is>
      </c>
      <c r="F161" s="10" t="inlineStr"/>
      <c r="G161" s="10" t="inlineStr">
        <is>
          <t>Multi-Site Independent</t>
        </is>
      </c>
      <c r="H161" s="10" t="inlineStr">
        <is>
          <t>1</t>
        </is>
      </c>
      <c r="I161" s="10" t="inlineStr">
        <is>
          <t>Buxton Road</t>
        </is>
      </c>
      <c r="J161" s="10" t="inlineStr">
        <is>
          <t>Stockport</t>
        </is>
      </c>
      <c r="K161" s="10" t="inlineStr"/>
      <c r="L161" s="10" t="inlineStr"/>
      <c r="M161" s="10" t="inlineStr"/>
      <c r="N161" s="10" t="inlineStr"/>
      <c r="O161" s="10" t="inlineStr">
        <is>
          <t>https://theecig.co.uk/pages/the-e-cig-store-stockport</t>
        </is>
      </c>
      <c r="P161" s="10" t="inlineStr"/>
      <c r="Q161" s="10" t="inlineStr"/>
      <c r="R161" s="10" t="inlineStr"/>
      <c r="S161" s="10" t="inlineStr"/>
      <c r="T161" s="10" t="inlineStr"/>
      <c r="U161" s="10" t="inlineStr"/>
      <c r="V161" s="10" t="inlineStr">
        <is>
          <t>High</t>
        </is>
      </c>
      <c r="W161" s="10" t="inlineStr">
        <is>
          <t>Multi-site retailer; Independent retailer; Core relevant category; Active website</t>
        </is>
      </c>
      <c r="X161" s="10" t="inlineStr">
        <is>
          <t>Not Found</t>
        </is>
      </c>
      <c r="Y161" s="10" t="inlineStr">
        <is>
          <t>Website Found</t>
        </is>
      </c>
      <c r="Z161" s="10" t="inlineStr">
        <is>
          <t>Low</t>
        </is>
      </c>
      <c r="AA161" s="10" t="inlineStr">
        <is>
          <t>Requires Verification</t>
        </is>
      </c>
      <c r="AB161" s="10" t="inlineStr">
        <is>
          <t>https://theecig.co.uk/pages/the-e-cig-store-stockport</t>
        </is>
      </c>
    </row>
    <row r="162">
      <c r="A162" s="5" t="inlineStr">
        <is>
          <t>WY-0031</t>
        </is>
      </c>
      <c r="B162" s="5" t="inlineStr">
        <is>
          <t>THEVAPECEN-01</t>
        </is>
      </c>
      <c r="C162" s="5" t="inlineStr">
        <is>
          <t>The Vape Centre</t>
        </is>
      </c>
      <c r="D162" s="5" t="inlineStr">
        <is>
          <t>The Vape Centre (Wetherby)</t>
        </is>
      </c>
      <c r="E162" s="5" t="inlineStr">
        <is>
          <t>Vape Shop</t>
        </is>
      </c>
      <c r="F162" s="5" t="inlineStr"/>
      <c r="G162" s="5" t="inlineStr">
        <is>
          <t>Multi-Site Independent</t>
        </is>
      </c>
      <c r="H162" s="5" t="inlineStr">
        <is>
          <t>2</t>
        </is>
      </c>
      <c r="I162" s="5" t="inlineStr">
        <is>
          <t>16 Market Place</t>
        </is>
      </c>
      <c r="J162" s="5" t="inlineStr">
        <is>
          <t>Wetherby</t>
        </is>
      </c>
      <c r="K162" s="5" t="inlineStr">
        <is>
          <t>LS22 6NE</t>
        </is>
      </c>
      <c r="L162" s="5" t="inlineStr">
        <is>
          <t>07388 892397</t>
        </is>
      </c>
      <c r="M162" s="5" t="inlineStr"/>
      <c r="N162" s="5" t="inlineStr"/>
      <c r="O162" s="5" t="inlineStr">
        <is>
          <t>http://www.thevapecentre.co.uk/</t>
        </is>
      </c>
      <c r="P162" s="5" t="inlineStr"/>
      <c r="Q162" s="5" t="inlineStr"/>
      <c r="R162" s="5" t="inlineStr"/>
      <c r="S162" s="5" t="inlineStr"/>
      <c r="T162" s="5" t="inlineStr"/>
      <c r="U162" s="5" t="inlineStr"/>
      <c r="V162" s="5" t="inlineStr">
        <is>
          <t>High</t>
        </is>
      </c>
      <c r="W162" s="5" t="inlineStr">
        <is>
          <t>Multi-site retailer; Independent retailer; Core relevant category; Active website</t>
        </is>
      </c>
      <c r="X162" s="5" t="inlineStr">
        <is>
          <t>Verified directory</t>
        </is>
      </c>
      <c r="Y162" s="5" t="inlineStr">
        <is>
          <t>Website Found</t>
        </is>
      </c>
      <c r="Z162" s="5" t="inlineStr">
        <is>
          <t>Medium</t>
        </is>
      </c>
      <c r="AA162" s="5" t="inlineStr">
        <is>
          <t>Requires Verification</t>
        </is>
      </c>
      <c r="AB162" s="5" t="inlineStr">
        <is>
          <t>https://wetherbytowncouncil.gov.uk/our-businesses/vape-centre/</t>
        </is>
      </c>
    </row>
    <row r="163">
      <c r="A163" s="10" t="inlineStr">
        <is>
          <t>WY-0032</t>
        </is>
      </c>
      <c r="B163" s="10" t="inlineStr">
        <is>
          <t>TOTALLYWIC-01</t>
        </is>
      </c>
      <c r="C163" s="10" t="inlineStr">
        <is>
          <t>Totally Wicked</t>
        </is>
      </c>
      <c r="D163" s="10" t="inlineStr">
        <is>
          <t>Totally Wicked</t>
        </is>
      </c>
      <c r="E163" s="10" t="inlineStr">
        <is>
          <t>Vape Shop</t>
        </is>
      </c>
      <c r="F163" s="10" t="inlineStr">
        <is>
          <t>E-cigarette and e-liquid chain store</t>
        </is>
      </c>
      <c r="G163" s="10" t="inlineStr">
        <is>
          <t>National Chain</t>
        </is>
      </c>
      <c r="H163" s="10" t="inlineStr"/>
      <c r="I163" s="10" t="inlineStr">
        <is>
          <t>53-55 Bethel Street</t>
        </is>
      </c>
      <c r="J163" s="10" t="inlineStr">
        <is>
          <t>Brighouse</t>
        </is>
      </c>
      <c r="K163" s="10" t="inlineStr">
        <is>
          <t>HD6 1JR</t>
        </is>
      </c>
      <c r="L163" s="10" t="inlineStr">
        <is>
          <t>01484 769431</t>
        </is>
      </c>
      <c r="M163" s="10" t="inlineStr"/>
      <c r="N163" s="10" t="inlineStr"/>
      <c r="O163" s="10" t="inlineStr"/>
      <c r="P163" s="10" t="inlineStr"/>
      <c r="Q163" s="10" t="inlineStr"/>
      <c r="R163" s="10" t="inlineStr"/>
      <c r="S163" s="10" t="inlineStr"/>
      <c r="T163" s="10" t="inlineStr"/>
      <c r="U163" s="10" t="inlineStr"/>
      <c r="V163" s="10" t="inlineStr">
        <is>
          <t>Medium</t>
        </is>
      </c>
      <c r="W163" s="10" t="inlineStr">
        <is>
          <t>Multi-site retailer; Core relevant category</t>
        </is>
      </c>
      <c r="X163" s="10" t="inlineStr">
        <is>
          <t>Verified directory</t>
        </is>
      </c>
      <c r="Y163" s="10" t="inlineStr">
        <is>
          <t>Not Found</t>
        </is>
      </c>
      <c r="Z163" s="10" t="inlineStr">
        <is>
          <t>Medium</t>
        </is>
      </c>
      <c r="AA163" s="10" t="inlineStr">
        <is>
          <t>Requires Verification</t>
        </is>
      </c>
      <c r="AB163" s="10" t="inlineStr">
        <is>
          <t>https://brighouse.cylex-uk.co.uk/vape-shops/</t>
        </is>
      </c>
    </row>
    <row r="164">
      <c r="A164" s="5" t="inlineStr">
        <is>
          <t>WY-0033</t>
        </is>
      </c>
      <c r="B164" s="5" t="inlineStr">
        <is>
          <t>TOTALLYWIC-02</t>
        </is>
      </c>
      <c r="C164" s="5" t="inlineStr">
        <is>
          <t>Totally Wicked</t>
        </is>
      </c>
      <c r="D164" s="5" t="inlineStr">
        <is>
          <t>Totally Wicked</t>
        </is>
      </c>
      <c r="E164" s="5" t="inlineStr">
        <is>
          <t>Vape Shop</t>
        </is>
      </c>
      <c r="F164" s="5" t="inlineStr">
        <is>
          <t>E-cigarette and e-liquid chain store</t>
        </is>
      </c>
      <c r="G164" s="5" t="inlineStr">
        <is>
          <t>National Chain</t>
        </is>
      </c>
      <c r="H164" s="5" t="inlineStr"/>
      <c r="I164" s="5" t="inlineStr">
        <is>
          <t>10 Commercial Street</t>
        </is>
      </c>
      <c r="J164" s="5" t="inlineStr">
        <is>
          <t>Halifax</t>
        </is>
      </c>
      <c r="K164" s="5" t="inlineStr">
        <is>
          <t>HX1 1TA</t>
        </is>
      </c>
      <c r="L164" s="5" t="inlineStr">
        <is>
          <t>01422 320223</t>
        </is>
      </c>
      <c r="M164" s="5" t="inlineStr"/>
      <c r="N164" s="5" t="inlineStr"/>
      <c r="O164" s="5" t="inlineStr">
        <is>
          <t>https://www.totallywicked-eliquid.co.uk/stores/halifax-e-cigs-e-liquid-shop</t>
        </is>
      </c>
      <c r="P164" s="5" t="inlineStr"/>
      <c r="Q164" s="5" t="inlineStr"/>
      <c r="R164" s="5" t="inlineStr"/>
      <c r="S164" s="5" t="inlineStr"/>
      <c r="T164" s="5" t="inlineStr"/>
      <c r="U164" s="5" t="inlineStr"/>
      <c r="V164" s="5" t="inlineStr">
        <is>
          <t>Medium</t>
        </is>
      </c>
      <c r="W164" s="5" t="inlineStr">
        <is>
          <t>Multi-site retailer; Core relevant category; Active website</t>
        </is>
      </c>
      <c r="X164" s="5" t="inlineStr">
        <is>
          <t>Verified directory</t>
        </is>
      </c>
      <c r="Y164" s="5" t="inlineStr">
        <is>
          <t>Website Found</t>
        </is>
      </c>
      <c r="Z164" s="5" t="inlineStr">
        <is>
          <t>Medium</t>
        </is>
      </c>
      <c r="AA164" s="5" t="inlineStr">
        <is>
          <t>Requires Verification</t>
        </is>
      </c>
      <c r="AB164" s="5" t="inlineStr">
        <is>
          <t>https://www.totallywicked-eliquid.co.uk/stores/halifax-e-cigs-e-liquid-shop</t>
        </is>
      </c>
    </row>
    <row r="165">
      <c r="A165" s="10" t="inlineStr">
        <is>
          <t>UK-000561</t>
        </is>
      </c>
      <c r="B165" s="10" t="inlineStr">
        <is>
          <t>TURKISHFOO-01</t>
        </is>
      </c>
      <c r="C165" s="10" t="inlineStr">
        <is>
          <t>Turkish Food Centre</t>
        </is>
      </c>
      <c r="D165" s="10" t="inlineStr">
        <is>
          <t>Turkish Food Centre (Edmonton)</t>
        </is>
      </c>
      <c r="E165" s="10" t="inlineStr">
        <is>
          <t>Independent Supermarket</t>
        </is>
      </c>
      <c r="F165" s="10" t="inlineStr">
        <is>
          <t>Turkish / world-food supermarket</t>
        </is>
      </c>
      <c r="G165" s="10" t="inlineStr">
        <is>
          <t>Multi-Site Independent</t>
        </is>
      </c>
      <c r="H165" s="10" t="inlineStr">
        <is>
          <t>1</t>
        </is>
      </c>
      <c r="I165" s="10" t="inlineStr"/>
      <c r="J165" s="10" t="inlineStr">
        <is>
          <t>Edmonton</t>
        </is>
      </c>
      <c r="K165" s="10" t="inlineStr">
        <is>
          <t>N9</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Independent retailer; Relevant category</t>
        </is>
      </c>
      <c r="X165" s="10" t="inlineStr">
        <is>
          <t>Not Found</t>
        </is>
      </c>
      <c r="Y165" s="10" t="inlineStr">
        <is>
          <t>Not Found</t>
        </is>
      </c>
      <c r="Z165" s="10" t="inlineStr">
        <is>
          <t>Low</t>
        </is>
      </c>
      <c r="AA165" s="10" t="inlineStr">
        <is>
          <t>Requires Verification</t>
        </is>
      </c>
      <c r="AB165" s="10" t="inlineStr">
        <is>
          <t>https://www.yell.com/biz/turkish-food-centre-edmondton-london-487834/</t>
        </is>
      </c>
    </row>
    <row r="166">
      <c r="A166" s="5" t="inlineStr">
        <is>
          <t>UK-000562</t>
        </is>
      </c>
      <c r="B166" s="5" t="inlineStr">
        <is>
          <t>UKECIGSTOR-01</t>
        </is>
      </c>
      <c r="C166" s="5" t="inlineStr">
        <is>
          <t>UK Ecig Store</t>
        </is>
      </c>
      <c r="D166" s="5" t="inlineStr">
        <is>
          <t>UK E-Cig Store (Camden High Street)</t>
        </is>
      </c>
      <c r="E166" s="5" t="inlineStr">
        <is>
          <t>Vape Shop</t>
        </is>
      </c>
      <c r="F166" s="5" t="inlineStr">
        <is>
          <t>Vape hardware &amp; e-liquids</t>
        </is>
      </c>
      <c r="G166" s="5" t="inlineStr">
        <is>
          <t>Regional Chain</t>
        </is>
      </c>
      <c r="H166" s="5" t="inlineStr">
        <is>
          <t>1</t>
        </is>
      </c>
      <c r="I166" s="5" t="inlineStr">
        <is>
          <t>63 Camden High Street</t>
        </is>
      </c>
      <c r="J166" s="5" t="inlineStr">
        <is>
          <t>London</t>
        </is>
      </c>
      <c r="K166" s="5" t="inlineStr">
        <is>
          <t>NW1 7JL</t>
        </is>
      </c>
      <c r="L166" s="5" t="inlineStr">
        <is>
          <t>020 7388 8704</t>
        </is>
      </c>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Core relevant category</t>
        </is>
      </c>
      <c r="X166" s="5" t="inlineStr">
        <is>
          <t>Verified directory</t>
        </is>
      </c>
      <c r="Y166" s="5" t="inlineStr">
        <is>
          <t>Not Found</t>
        </is>
      </c>
      <c r="Z166" s="5" t="inlineStr">
        <is>
          <t>Medium</t>
        </is>
      </c>
      <c r="AA166" s="5" t="inlineStr">
        <is>
          <t>Requires Verification</t>
        </is>
      </c>
      <c r="AB166" s="5" t="inlineStr">
        <is>
          <t>https://www.yell.com/s/vape+shops-camden+town-central+london.html</t>
        </is>
      </c>
    </row>
    <row r="167">
      <c r="A167" s="10" t="inlineStr">
        <is>
          <t>UK-000727</t>
        </is>
      </c>
      <c r="B167" s="10" t="inlineStr">
        <is>
          <t>UNITEDWHOL-01</t>
        </is>
      </c>
      <c r="C167" s="10" t="inlineStr">
        <is>
          <t>United Wholesale (Scotland) Ltd</t>
        </is>
      </c>
      <c r="D167" s="10" t="inlineStr">
        <is>
          <t>United Wholesale (Scotland) Ltd - Maxwell Road</t>
        </is>
      </c>
      <c r="E167" s="10" t="inlineStr">
        <is>
          <t>Cash &amp; Carry</t>
        </is>
      </c>
      <c r="F167" s="10" t="inlineStr">
        <is>
          <t>Grocery cash and carry wholesaler</t>
        </is>
      </c>
      <c r="G167" s="10" t="inlineStr">
        <is>
          <t>Regional Chain</t>
        </is>
      </c>
      <c r="H167" s="10" t="inlineStr">
        <is>
          <t>3</t>
        </is>
      </c>
      <c r="I167" s="10" t="inlineStr">
        <is>
          <t>164-166 Maxwell Road</t>
        </is>
      </c>
      <c r="J167" s="10" t="inlineStr">
        <is>
          <t>Glasgow</t>
        </is>
      </c>
      <c r="K167" s="10" t="inlineStr">
        <is>
          <t>G41 1SS</t>
        </is>
      </c>
      <c r="L167" s="10" t="inlineStr">
        <is>
          <t>0141 429 0909</t>
        </is>
      </c>
      <c r="M167" s="10" t="inlineStr"/>
      <c r="N167" s="10" t="inlineStr"/>
      <c r="O167" s="10" t="inlineStr">
        <is>
          <t>https://uniteduk.co.uk/</t>
        </is>
      </c>
      <c r="P167" s="10" t="inlineStr"/>
      <c r="Q167" s="10" t="inlineStr"/>
      <c r="R167" s="10" t="inlineStr"/>
      <c r="S167" s="10" t="inlineStr"/>
      <c r="T167" s="10" t="inlineStr"/>
      <c r="U167" s="10" t="inlineStr"/>
      <c r="V167" s="10" t="inlineStr">
        <is>
          <t>High</t>
        </is>
      </c>
      <c r="W167" s="10" t="inlineStr">
        <is>
          <t>Multi-site retailer; Core relevant category; Active website; Social presence</t>
        </is>
      </c>
      <c r="X167" s="10" t="inlineStr">
        <is>
          <t>Verified directory</t>
        </is>
      </c>
      <c r="Y167" s="10" t="inlineStr">
        <is>
          <t>Website Found</t>
        </is>
      </c>
      <c r="Z167" s="10" t="inlineStr">
        <is>
          <t>High</t>
        </is>
      </c>
      <c r="AA167" s="10" t="inlineStr">
        <is>
          <t>Requires Verification</t>
        </is>
      </c>
      <c r="AB167" s="10" t="inlineStr">
        <is>
          <t>https://uniteduk.co.uk/about-united-cash-and-carry-wholesale-glasgow/</t>
        </is>
      </c>
    </row>
    <row r="168">
      <c r="A168" s="5" t="inlineStr">
        <is>
          <t>UK-000728</t>
        </is>
      </c>
      <c r="B168" s="5" t="inlineStr">
        <is>
          <t>UNITEDWHOL-02</t>
        </is>
      </c>
      <c r="C168" s="5" t="inlineStr">
        <is>
          <t>United Wholesale (Scotland) Ltd</t>
        </is>
      </c>
      <c r="D168" s="5" t="inlineStr">
        <is>
          <t>United Wholesale (Scotland) Ltd - Queenslie</t>
        </is>
      </c>
      <c r="E168" s="5" t="inlineStr">
        <is>
          <t>Cash &amp; Carry</t>
        </is>
      </c>
      <c r="F168" s="5" t="inlineStr">
        <is>
          <t>Grocery cash and carry wholesaler</t>
        </is>
      </c>
      <c r="G168" s="5" t="inlineStr">
        <is>
          <t>Regional Chain</t>
        </is>
      </c>
      <c r="H168" s="5" t="inlineStr">
        <is>
          <t>3</t>
        </is>
      </c>
      <c r="I168" s="5" t="inlineStr">
        <is>
          <t>110 Easter Queenslie Road</t>
        </is>
      </c>
      <c r="J168" s="5" t="inlineStr">
        <is>
          <t>Glasgow</t>
        </is>
      </c>
      <c r="K168" s="5" t="inlineStr">
        <is>
          <t>G33 4UL</t>
        </is>
      </c>
      <c r="L168" s="5" t="inlineStr"/>
      <c r="M168" s="5" t="inlineStr"/>
      <c r="N168" s="5" t="inlineStr"/>
      <c r="O168" s="5" t="inlineStr">
        <is>
          <t>https://uniteduk.co.uk/</t>
        </is>
      </c>
      <c r="P168" s="5" t="inlineStr"/>
      <c r="Q168" s="5" t="inlineStr"/>
      <c r="R168" s="5" t="inlineStr"/>
      <c r="S168" s="5" t="inlineStr"/>
      <c r="T168" s="5" t="inlineStr"/>
      <c r="U168" s="5" t="inlineStr"/>
      <c r="V168" s="5" t="inlineStr">
        <is>
          <t>Medium</t>
        </is>
      </c>
      <c r="W168" s="5" t="inlineStr">
        <is>
          <t>Multi-site retailer; Core relevant category; Active website</t>
        </is>
      </c>
      <c r="X168" s="5" t="inlineStr">
        <is>
          <t>Not Found</t>
        </is>
      </c>
      <c r="Y168" s="5" t="inlineStr">
        <is>
          <t>Website Found</t>
        </is>
      </c>
      <c r="Z168" s="5" t="inlineStr">
        <is>
          <t>Medium</t>
        </is>
      </c>
      <c r="AA168" s="5" t="inlineStr">
        <is>
          <t>Requires Verification</t>
        </is>
      </c>
      <c r="AB168" s="5" t="inlineStr">
        <is>
          <t>https://unitedwholesalescotland.wordpress.com/our-depots/</t>
        </is>
      </c>
    </row>
    <row r="169">
      <c r="A169" s="10" t="inlineStr">
        <is>
          <t>UK-000216</t>
        </is>
      </c>
      <c r="B169" s="10" t="inlineStr">
        <is>
          <t>VAPEXSTORE-01</t>
        </is>
      </c>
      <c r="C169" s="10" t="inlineStr">
        <is>
          <t>VAPEx Stores</t>
        </is>
      </c>
      <c r="D169" s="10" t="inlineStr">
        <is>
          <t>VAPEx Doncaster</t>
        </is>
      </c>
      <c r="E169" s="10" t="inlineStr">
        <is>
          <t>Vape Shop</t>
        </is>
      </c>
      <c r="F169" s="10" t="inlineStr">
        <is>
          <t>E-cigarette and vape shop</t>
        </is>
      </c>
      <c r="G169" s="10" t="inlineStr">
        <is>
          <t>Multi-Site Independent</t>
        </is>
      </c>
      <c r="H169" s="10" t="inlineStr">
        <is>
          <t>1</t>
        </is>
      </c>
      <c r="I169" s="10" t="inlineStr">
        <is>
          <t>61a Carr House Road</t>
        </is>
      </c>
      <c r="J169" s="10" t="inlineStr">
        <is>
          <t>Doncaster</t>
        </is>
      </c>
      <c r="K169" s="10" t="inlineStr">
        <is>
          <t>DN1 2BY</t>
        </is>
      </c>
      <c r="L169" s="10" t="inlineStr">
        <is>
          <t>01302 315051</t>
        </is>
      </c>
      <c r="M169" s="10" t="inlineStr"/>
      <c r="N169" s="10" t="inlineStr"/>
      <c r="O169" s="10" t="inlineStr">
        <is>
          <t>https://vapexstores.co.uk/dn1</t>
        </is>
      </c>
      <c r="P169" s="10" t="inlineStr">
        <is>
          <t>https://www.facebook.com/vapexdoncaster/</t>
        </is>
      </c>
      <c r="Q169" s="10" t="inlineStr"/>
      <c r="R169" s="10" t="inlineStr"/>
      <c r="S169" s="10" t="inlineStr"/>
      <c r="T169" s="10" t="inlineStr"/>
      <c r="U169" s="10" t="inlineStr"/>
      <c r="V169" s="10" t="inlineStr">
        <is>
          <t>High</t>
        </is>
      </c>
      <c r="W169" s="10" t="inlineStr">
        <is>
          <t>Multi-site retailer; Independent retailer; Core relevant category; Active website; Social presence</t>
        </is>
      </c>
      <c r="X169" s="10" t="inlineStr">
        <is>
          <t>Verified directory</t>
        </is>
      </c>
      <c r="Y169" s="10" t="inlineStr">
        <is>
          <t>Website Found</t>
        </is>
      </c>
      <c r="Z169" s="10" t="inlineStr">
        <is>
          <t>Medium</t>
        </is>
      </c>
      <c r="AA169" s="10" t="inlineStr">
        <is>
          <t>Requires Verification</t>
        </is>
      </c>
      <c r="AB169" s="10" t="inlineStr">
        <is>
          <t>https://directory.gazettelive.co.uk/company/38099bbaff0399ea2ed5ae56d12efd2e</t>
        </is>
      </c>
    </row>
    <row r="170">
      <c r="A170" s="5" t="inlineStr">
        <is>
          <t>UK-000449</t>
        </is>
      </c>
      <c r="B170" s="5" t="inlineStr">
        <is>
          <t>VJVAPOURS-01</t>
        </is>
      </c>
      <c r="C170" s="5" t="inlineStr">
        <is>
          <t>VJ Vapours</t>
        </is>
      </c>
      <c r="D170" s="5" t="inlineStr">
        <is>
          <t>VJ Vapours</t>
        </is>
      </c>
      <c r="E170" s="5" t="inlineStr">
        <is>
          <t>Vape Shop</t>
        </is>
      </c>
      <c r="F170" s="5" t="inlineStr">
        <is>
          <t>Disposables &amp; nic pouches</t>
        </is>
      </c>
      <c r="G170" s="5" t="inlineStr">
        <is>
          <t>Multi-Site Independent</t>
        </is>
      </c>
      <c r="H170" s="5" t="inlineStr">
        <is>
          <t>2</t>
        </is>
      </c>
      <c r="I170" s="5" t="inlineStr">
        <is>
          <t>40 Bridge Street</t>
        </is>
      </c>
      <c r="J170" s="5" t="inlineStr">
        <is>
          <t>Walsall</t>
        </is>
      </c>
      <c r="K170" s="5" t="inlineStr">
        <is>
          <t>WS1 1HR</t>
        </is>
      </c>
      <c r="L170" s="5" t="inlineStr"/>
      <c r="M170" s="5" t="inlineStr"/>
      <c r="N170" s="5" t="inlineStr"/>
      <c r="O170" s="5" t="inlineStr">
        <is>
          <t>https://vjvapours.com/</t>
        </is>
      </c>
      <c r="P170" s="5" t="inlineStr"/>
      <c r="Q170" s="5" t="inlineStr"/>
      <c r="R170" s="5" t="inlineStr"/>
      <c r="S170" s="5" t="inlineStr"/>
      <c r="T170" s="5" t="inlineStr"/>
      <c r="U170" s="5" t="inlineStr"/>
      <c r="V170" s="5" t="inlineStr">
        <is>
          <t>High</t>
        </is>
      </c>
      <c r="W170" s="5" t="inlineStr">
        <is>
          <t>Multi-site retailer; Independent retailer; Core relevant category; Active website</t>
        </is>
      </c>
      <c r="X170" s="5" t="inlineStr">
        <is>
          <t>Not Found</t>
        </is>
      </c>
      <c r="Y170" s="5" t="inlineStr">
        <is>
          <t>Website Found</t>
        </is>
      </c>
      <c r="Z170" s="5" t="inlineStr">
        <is>
          <t>Medium</t>
        </is>
      </c>
      <c r="AA170" s="5" t="inlineStr">
        <is>
          <t>Partially Verified</t>
        </is>
      </c>
      <c r="AB170" s="5" t="inlineStr">
        <is>
          <t>https://vjvapours.com/</t>
        </is>
      </c>
    </row>
    <row r="171">
      <c r="A171" s="10" t="inlineStr">
        <is>
          <t>UK-000729</t>
        </is>
      </c>
      <c r="B171" s="10" t="inlineStr">
        <is>
          <t>VPZ-01</t>
        </is>
      </c>
      <c r="C171" s="10" t="inlineStr">
        <is>
          <t>VPZ</t>
        </is>
      </c>
      <c r="D171" s="10" t="inlineStr">
        <is>
          <t>VPZ Bathgate</t>
        </is>
      </c>
      <c r="E171" s="10" t="inlineStr">
        <is>
          <t>Vape Shop</t>
        </is>
      </c>
      <c r="F171" s="10" t="inlineStr">
        <is>
          <t>Vape kits, e-liquids &amp; disposables</t>
        </is>
      </c>
      <c r="G171" s="10" t="inlineStr">
        <is>
          <t>Regional Chain</t>
        </is>
      </c>
      <c r="H171" s="10" t="inlineStr">
        <is>
          <t>1</t>
        </is>
      </c>
      <c r="I171" s="10" t="inlineStr">
        <is>
          <t>South Mid Street</t>
        </is>
      </c>
      <c r="J171" s="10" t="inlineStr">
        <is>
          <t>Bathgate</t>
        </is>
      </c>
      <c r="K171" s="10" t="inlineStr"/>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Multi-site retailer; Core relevant category</t>
        </is>
      </c>
      <c r="X171" s="10" t="inlineStr">
        <is>
          <t>Not Found</t>
        </is>
      </c>
      <c r="Y171" s="10" t="inlineStr">
        <is>
          <t>Not Found</t>
        </is>
      </c>
      <c r="Z171" s="10" t="inlineStr">
        <is>
          <t>Low</t>
        </is>
      </c>
      <c r="AA171" s="10" t="inlineStr">
        <is>
          <t>Requires Verification</t>
        </is>
      </c>
      <c r="AB171" s="10" t="inlineStr">
        <is>
          <t>https://bathgate.cylex-uk.co.uk/company/vpz-26787205.html</t>
        </is>
      </c>
    </row>
    <row r="172">
      <c r="A172" s="5" t="inlineStr">
        <is>
          <t>UK-000730</t>
        </is>
      </c>
      <c r="B172" s="5" t="inlineStr">
        <is>
          <t>VPZ-02</t>
        </is>
      </c>
      <c r="C172" s="5" t="inlineStr">
        <is>
          <t>VPZ</t>
        </is>
      </c>
      <c r="D172" s="5" t="inlineStr">
        <is>
          <t>VPZ Clydebank</t>
        </is>
      </c>
      <c r="E172" s="5" t="inlineStr">
        <is>
          <t>Vape Shop</t>
        </is>
      </c>
      <c r="F172" s="5" t="inlineStr">
        <is>
          <t>Vape retail chain store</t>
        </is>
      </c>
      <c r="G172" s="5" t="inlineStr">
        <is>
          <t>National Chain</t>
        </is>
      </c>
      <c r="H172" s="5" t="inlineStr">
        <is>
          <t>1</t>
        </is>
      </c>
      <c r="I172" s="5" t="inlineStr">
        <is>
          <t>17 Sylvania Way South</t>
        </is>
      </c>
      <c r="J172" s="5" t="inlineStr">
        <is>
          <t>Clydebank</t>
        </is>
      </c>
      <c r="K172" s="5" t="inlineStr">
        <is>
          <t>G81 1EA</t>
        </is>
      </c>
      <c r="L172" s="5" t="inlineStr">
        <is>
          <t>0141 230 1996</t>
        </is>
      </c>
      <c r="M172" s="5" t="inlineStr"/>
      <c r="N172" s="5" t="inlineStr"/>
      <c r="O172" s="5" t="inlineStr">
        <is>
          <t>https://www.vpz.co.uk/</t>
        </is>
      </c>
      <c r="P172" s="5" t="inlineStr"/>
      <c r="Q172" s="5" t="inlineStr"/>
      <c r="R172" s="5" t="inlineStr"/>
      <c r="S172" s="5" t="inlineStr"/>
      <c r="T172" s="5" t="inlineStr"/>
      <c r="U172" s="5" t="inlineStr"/>
      <c r="V172" s="5" t="inlineStr">
        <is>
          <t>Medium</t>
        </is>
      </c>
      <c r="W172" s="5" t="inlineStr">
        <is>
          <t>Multi-site retailer; Core relevant category; Active website</t>
        </is>
      </c>
      <c r="X172" s="5" t="inlineStr">
        <is>
          <t>Verified directory</t>
        </is>
      </c>
      <c r="Y172" s="5" t="inlineStr">
        <is>
          <t>Website Found</t>
        </is>
      </c>
      <c r="Z172" s="5" t="inlineStr">
        <is>
          <t>Medium</t>
        </is>
      </c>
      <c r="AA172" s="5" t="inlineStr">
        <is>
          <t>Requires Verification</t>
        </is>
      </c>
      <c r="AB172" s="5" t="inlineStr">
        <is>
          <t>https://www.vpz.co.uk/stores/l/clydebank/17-sylvania-way-south/6168779</t>
        </is>
      </c>
    </row>
    <row r="173">
      <c r="A173" s="10" t="inlineStr">
        <is>
          <t>UK-000731</t>
        </is>
      </c>
      <c r="B173" s="10" t="inlineStr">
        <is>
          <t>VPZ-03</t>
        </is>
      </c>
      <c r="C173" s="10" t="inlineStr">
        <is>
          <t>VPZ</t>
        </is>
      </c>
      <c r="D173" s="10" t="inlineStr">
        <is>
          <t>VPZ Dunfermline</t>
        </is>
      </c>
      <c r="E173" s="10" t="inlineStr">
        <is>
          <t>Vape Shop</t>
        </is>
      </c>
      <c r="F173" s="10" t="inlineStr">
        <is>
          <t>Vape kits, e-liquids &amp; disposables</t>
        </is>
      </c>
      <c r="G173" s="10" t="inlineStr">
        <is>
          <t>Regional Chain</t>
        </is>
      </c>
      <c r="H173" s="10" t="inlineStr">
        <is>
          <t>1</t>
        </is>
      </c>
      <c r="I173" s="10" t="inlineStr">
        <is>
          <t>36-38 East Port</t>
        </is>
      </c>
      <c r="J173" s="10" t="inlineStr">
        <is>
          <t>Dunfermline</t>
        </is>
      </c>
      <c r="K173" s="10" t="inlineStr">
        <is>
          <t>KY12 7JB</t>
        </is>
      </c>
      <c r="L173" s="10" t="inlineStr">
        <is>
          <t>01383 871778</t>
        </is>
      </c>
      <c r="M173" s="10" t="inlineStr"/>
      <c r="N173" s="10" t="inlineStr"/>
      <c r="O173" s="10" t="inlineStr"/>
      <c r="P173" s="10" t="inlineStr"/>
      <c r="Q173" s="10" t="inlineStr"/>
      <c r="R173" s="10" t="inlineStr"/>
      <c r="S173" s="10" t="inlineStr"/>
      <c r="T173" s="10" t="inlineStr"/>
      <c r="U173" s="10" t="inlineStr"/>
      <c r="V173" s="10" t="inlineStr">
        <is>
          <t>Medium</t>
        </is>
      </c>
      <c r="W173" s="10" t="inlineStr">
        <is>
          <t>Multi-site retailer; Core relevant category</t>
        </is>
      </c>
      <c r="X173" s="10" t="inlineStr">
        <is>
          <t>Verified directory</t>
        </is>
      </c>
      <c r="Y173" s="10" t="inlineStr">
        <is>
          <t>Not Found</t>
        </is>
      </c>
      <c r="Z173" s="10" t="inlineStr">
        <is>
          <t>Medium</t>
        </is>
      </c>
      <c r="AA173" s="10" t="inlineStr">
        <is>
          <t>Requires Verification</t>
        </is>
      </c>
      <c r="AB173" s="10" t="inlineStr">
        <is>
          <t>https://dunfermline.cylex-uk.co.uk/company/vpz-26787208.html</t>
        </is>
      </c>
    </row>
    <row r="174">
      <c r="A174" s="5" t="inlineStr">
        <is>
          <t>UK-000732</t>
        </is>
      </c>
      <c r="B174" s="5" t="inlineStr">
        <is>
          <t>VPZ-04</t>
        </is>
      </c>
      <c r="C174" s="5" t="inlineStr">
        <is>
          <t>VPZ</t>
        </is>
      </c>
      <c r="D174" s="5" t="inlineStr">
        <is>
          <t>VPZ East Kilbride</t>
        </is>
      </c>
      <c r="E174" s="5" t="inlineStr">
        <is>
          <t>Vape Shop</t>
        </is>
      </c>
      <c r="F174" s="5" t="inlineStr">
        <is>
          <t>Vape retail chain store</t>
        </is>
      </c>
      <c r="G174" s="5" t="inlineStr">
        <is>
          <t>National Chain</t>
        </is>
      </c>
      <c r="H174" s="5" t="inlineStr">
        <is>
          <t>1</t>
        </is>
      </c>
      <c r="I174" s="5" t="inlineStr">
        <is>
          <t>Unit 27, Princes Mall</t>
        </is>
      </c>
      <c r="J174" s="5" t="inlineStr">
        <is>
          <t>East Kilbride</t>
        </is>
      </c>
      <c r="K174" s="5" t="inlineStr">
        <is>
          <t>G74 1LJ</t>
        </is>
      </c>
      <c r="L174" s="5" t="inlineStr">
        <is>
          <t>01355 231707</t>
        </is>
      </c>
      <c r="M174" s="5" t="inlineStr"/>
      <c r="N174" s="5" t="inlineStr"/>
      <c r="O174" s="5" t="inlineStr">
        <is>
          <t>https://www.vpz.co.uk/</t>
        </is>
      </c>
      <c r="P174" s="5" t="inlineStr"/>
      <c r="Q174" s="5" t="inlineStr"/>
      <c r="R174" s="5" t="inlineStr"/>
      <c r="S174" s="5" t="inlineStr"/>
      <c r="T174" s="5" t="inlineStr"/>
      <c r="U174" s="5" t="inlineStr"/>
      <c r="V174" s="5" t="inlineStr">
        <is>
          <t>Medium</t>
        </is>
      </c>
      <c r="W174" s="5" t="inlineStr">
        <is>
          <t>Multi-site retailer; Core relevant category; Active website</t>
        </is>
      </c>
      <c r="X174" s="5" t="inlineStr">
        <is>
          <t>Verified directory</t>
        </is>
      </c>
      <c r="Y174" s="5" t="inlineStr">
        <is>
          <t>Website Found</t>
        </is>
      </c>
      <c r="Z174" s="5" t="inlineStr">
        <is>
          <t>Medium</t>
        </is>
      </c>
      <c r="AA174" s="5" t="inlineStr">
        <is>
          <t>Requires Verification</t>
        </is>
      </c>
      <c r="AB174" s="5" t="inlineStr">
        <is>
          <t>https://www.vpz.co.uk/stores/l/east-kilbride/princes-mall/6168648</t>
        </is>
      </c>
    </row>
    <row r="175">
      <c r="A175" s="10" t="inlineStr">
        <is>
          <t>UK-000733</t>
        </is>
      </c>
      <c r="B175" s="10" t="inlineStr">
        <is>
          <t>VPZ-05</t>
        </is>
      </c>
      <c r="C175" s="10" t="inlineStr">
        <is>
          <t>VPZ</t>
        </is>
      </c>
      <c r="D175" s="10" t="inlineStr">
        <is>
          <t>VPZ Grangemouth</t>
        </is>
      </c>
      <c r="E175" s="10" t="inlineStr">
        <is>
          <t>Vape Shop</t>
        </is>
      </c>
      <c r="F175" s="10" t="inlineStr">
        <is>
          <t>Vape kits, e-liquids &amp; disposables</t>
        </is>
      </c>
      <c r="G175" s="10" t="inlineStr">
        <is>
          <t>Regional Chain</t>
        </is>
      </c>
      <c r="H175" s="10" t="inlineStr">
        <is>
          <t>1</t>
        </is>
      </c>
      <c r="I175" s="10" t="inlineStr">
        <is>
          <t>19 La Porte Precinct</t>
        </is>
      </c>
      <c r="J175" s="10" t="inlineStr">
        <is>
          <t>Grangemouth</t>
        </is>
      </c>
      <c r="K175" s="10" t="inlineStr">
        <is>
          <t>FK3 8AZ</t>
        </is>
      </c>
      <c r="L175" s="10" t="inlineStr">
        <is>
          <t>01324 473182</t>
        </is>
      </c>
      <c r="M175" s="10" t="inlineStr"/>
      <c r="N175" s="10" t="inlineStr"/>
      <c r="O175" s="10" t="inlineStr"/>
      <c r="P175" s="10" t="inlineStr"/>
      <c r="Q175" s="10" t="inlineStr"/>
      <c r="R175" s="10" t="inlineStr"/>
      <c r="S175" s="10" t="inlineStr"/>
      <c r="T175" s="10" t="inlineStr"/>
      <c r="U175" s="10" t="inlineStr"/>
      <c r="V175" s="10" t="inlineStr">
        <is>
          <t>Medium</t>
        </is>
      </c>
      <c r="W175" s="10" t="inlineStr">
        <is>
          <t>Multi-site retailer; Core relevant category</t>
        </is>
      </c>
      <c r="X175" s="10" t="inlineStr">
        <is>
          <t>Verified directory</t>
        </is>
      </c>
      <c r="Y175" s="10" t="inlineStr">
        <is>
          <t>Not Found</t>
        </is>
      </c>
      <c r="Z175" s="10" t="inlineStr">
        <is>
          <t>Medium</t>
        </is>
      </c>
      <c r="AA175" s="10" t="inlineStr">
        <is>
          <t>Requires Verification</t>
        </is>
      </c>
      <c r="AB175" s="10" t="inlineStr">
        <is>
          <t>https://grangemouth.cylex-uk.co.uk/company/vpz-26862956.html</t>
        </is>
      </c>
    </row>
    <row r="176">
      <c r="A176" s="5" t="inlineStr">
        <is>
          <t>UK-000734</t>
        </is>
      </c>
      <c r="B176" s="5" t="inlineStr">
        <is>
          <t>VPZ-06</t>
        </is>
      </c>
      <c r="C176" s="5" t="inlineStr">
        <is>
          <t>VPZ</t>
        </is>
      </c>
      <c r="D176" s="5" t="inlineStr">
        <is>
          <t>VPZ Hamilton</t>
        </is>
      </c>
      <c r="E176" s="5" t="inlineStr">
        <is>
          <t>Vape Shop</t>
        </is>
      </c>
      <c r="F176" s="5" t="inlineStr">
        <is>
          <t>Vape retail chain store</t>
        </is>
      </c>
      <c r="G176" s="5" t="inlineStr">
        <is>
          <t>National Chain</t>
        </is>
      </c>
      <c r="H176" s="5" t="inlineStr">
        <is>
          <t>1</t>
        </is>
      </c>
      <c r="I176" s="5" t="inlineStr">
        <is>
          <t>62-64 Quarry Street</t>
        </is>
      </c>
      <c r="J176" s="5" t="inlineStr">
        <is>
          <t>Hamilton</t>
        </is>
      </c>
      <c r="K176" s="5" t="inlineStr">
        <is>
          <t>ML3 7AU</t>
        </is>
      </c>
      <c r="L176" s="5" t="inlineStr">
        <is>
          <t>01698 423137</t>
        </is>
      </c>
      <c r="M176" s="5" t="inlineStr"/>
      <c r="N176" s="5" t="inlineStr"/>
      <c r="O176" s="5" t="inlineStr">
        <is>
          <t>https://www.vpz.co.uk/</t>
        </is>
      </c>
      <c r="P176" s="5" t="inlineStr"/>
      <c r="Q176" s="5" t="inlineStr"/>
      <c r="R176" s="5" t="inlineStr"/>
      <c r="S176" s="5" t="inlineStr"/>
      <c r="T176" s="5" t="inlineStr"/>
      <c r="U176" s="5" t="inlineStr"/>
      <c r="V176" s="5" t="inlineStr">
        <is>
          <t>Medium</t>
        </is>
      </c>
      <c r="W176" s="5" t="inlineStr">
        <is>
          <t>Multi-site retailer; Core relevant category; Active website</t>
        </is>
      </c>
      <c r="X176" s="5" t="inlineStr">
        <is>
          <t>Verified directory</t>
        </is>
      </c>
      <c r="Y176" s="5" t="inlineStr">
        <is>
          <t>Website Found</t>
        </is>
      </c>
      <c r="Z176" s="5" t="inlineStr">
        <is>
          <t>Medium</t>
        </is>
      </c>
      <c r="AA176" s="5" t="inlineStr">
        <is>
          <t>Requires Verification</t>
        </is>
      </c>
      <c r="AB176" s="5" t="inlineStr">
        <is>
          <t>https://firmania.co.uk/hamilton-south-lanarkshire/vpz-2713256</t>
        </is>
      </c>
    </row>
    <row r="177">
      <c r="A177" s="10" t="inlineStr">
        <is>
          <t>UK-000735</t>
        </is>
      </c>
      <c r="B177" s="10" t="inlineStr">
        <is>
          <t>VPZ-07</t>
        </is>
      </c>
      <c r="C177" s="10" t="inlineStr">
        <is>
          <t>VPZ</t>
        </is>
      </c>
      <c r="D177" s="10" t="inlineStr">
        <is>
          <t>VPZ Kirkcaldy</t>
        </is>
      </c>
      <c r="E177" s="10" t="inlineStr">
        <is>
          <t>Vape Shop</t>
        </is>
      </c>
      <c r="F177" s="10" t="inlineStr">
        <is>
          <t>Vape kits, e-liquids &amp; disposables</t>
        </is>
      </c>
      <c r="G177" s="10" t="inlineStr">
        <is>
          <t>Regional Chain</t>
        </is>
      </c>
      <c r="H177" s="10" t="inlineStr">
        <is>
          <t>1</t>
        </is>
      </c>
      <c r="I177" s="10" t="inlineStr">
        <is>
          <t>High Street</t>
        </is>
      </c>
      <c r="J177" s="10" t="inlineStr">
        <is>
          <t>Kirkcaldy</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Core relevant category</t>
        </is>
      </c>
      <c r="X177" s="10" t="inlineStr">
        <is>
          <t>Not Found</t>
        </is>
      </c>
      <c r="Y177" s="10" t="inlineStr">
        <is>
          <t>Not Found</t>
        </is>
      </c>
      <c r="Z177" s="10" t="inlineStr">
        <is>
          <t>Low</t>
        </is>
      </c>
      <c r="AA177" s="10" t="inlineStr">
        <is>
          <t>Requires Verification</t>
        </is>
      </c>
      <c r="AB177" s="10" t="inlineStr">
        <is>
          <t>https://kirkcaldy.cylex-uk.co.uk/company/vpz-the-vaping-specialist-27217596.html</t>
        </is>
      </c>
    </row>
    <row r="178">
      <c r="A178" s="5" t="inlineStr">
        <is>
          <t>UK-000736</t>
        </is>
      </c>
      <c r="B178" s="5" t="inlineStr">
        <is>
          <t>VPZ-08</t>
        </is>
      </c>
      <c r="C178" s="5" t="inlineStr">
        <is>
          <t>VPZ</t>
        </is>
      </c>
      <c r="D178" s="5" t="inlineStr">
        <is>
          <t>VPZ Leith Walk</t>
        </is>
      </c>
      <c r="E178" s="5" t="inlineStr">
        <is>
          <t>Vape Shop</t>
        </is>
      </c>
      <c r="F178" s="5" t="inlineStr">
        <is>
          <t>Vape kits, e-liquids &amp; disposables</t>
        </is>
      </c>
      <c r="G178" s="5" t="inlineStr">
        <is>
          <t>Regional Chain</t>
        </is>
      </c>
      <c r="H178" s="5" t="inlineStr">
        <is>
          <t>1</t>
        </is>
      </c>
      <c r="I178" s="5" t="inlineStr">
        <is>
          <t>6a Middlefield</t>
        </is>
      </c>
      <c r="J178" s="5" t="inlineStr">
        <is>
          <t>Edinburgh</t>
        </is>
      </c>
      <c r="K178" s="5" t="inlineStr">
        <is>
          <t>EH7 4PF</t>
        </is>
      </c>
      <c r="L178" s="5" t="inlineStr">
        <is>
          <t>0131 561 1300</t>
        </is>
      </c>
      <c r="M178" s="5" t="inlineStr"/>
      <c r="N178" s="5" t="inlineStr"/>
      <c r="O178" s="5" t="inlineStr"/>
      <c r="P178" s="5" t="inlineStr"/>
      <c r="Q178" s="5" t="inlineStr"/>
      <c r="R178" s="5" t="inlineStr"/>
      <c r="S178" s="5" t="inlineStr"/>
      <c r="T178" s="5" t="inlineStr"/>
      <c r="U178" s="5" t="inlineStr"/>
      <c r="V178" s="5" t="inlineStr">
        <is>
          <t>Medium</t>
        </is>
      </c>
      <c r="W178" s="5" t="inlineStr">
        <is>
          <t>Multi-site retailer; Core relevant category</t>
        </is>
      </c>
      <c r="X178" s="5" t="inlineStr">
        <is>
          <t>Verified directory</t>
        </is>
      </c>
      <c r="Y178" s="5" t="inlineStr">
        <is>
          <t>Not Found</t>
        </is>
      </c>
      <c r="Z178" s="5" t="inlineStr">
        <is>
          <t>Medium</t>
        </is>
      </c>
      <c r="AA178" s="5" t="inlineStr">
        <is>
          <t>Requires Verification</t>
        </is>
      </c>
      <c r="AB178" s="5" t="inlineStr">
        <is>
          <t>https://www.yell.com/s/vape+shops-leith.html</t>
        </is>
      </c>
    </row>
    <row r="179">
      <c r="A179" s="10" t="inlineStr">
        <is>
          <t>UK-000737</t>
        </is>
      </c>
      <c r="B179" s="10" t="inlineStr">
        <is>
          <t>VPZ-09</t>
        </is>
      </c>
      <c r="C179" s="10" t="inlineStr">
        <is>
          <t>VPZ</t>
        </is>
      </c>
      <c r="D179" s="10" t="inlineStr">
        <is>
          <t>VPZ Livingston</t>
        </is>
      </c>
      <c r="E179" s="10" t="inlineStr">
        <is>
          <t>Vape Shop</t>
        </is>
      </c>
      <c r="F179" s="10" t="inlineStr">
        <is>
          <t>Vape kits, e-liquids &amp; disposables</t>
        </is>
      </c>
      <c r="G179" s="10" t="inlineStr">
        <is>
          <t>Regional Chain</t>
        </is>
      </c>
      <c r="H179" s="10" t="inlineStr">
        <is>
          <t>1</t>
        </is>
      </c>
      <c r="I179" s="10" t="inlineStr">
        <is>
          <t>Almondvale South</t>
        </is>
      </c>
      <c r="J179" s="10" t="inlineStr">
        <is>
          <t>Livingston</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Multi-site retailer; Core relevant category</t>
        </is>
      </c>
      <c r="X179" s="10" t="inlineStr">
        <is>
          <t>Not Found</t>
        </is>
      </c>
      <c r="Y179" s="10" t="inlineStr">
        <is>
          <t>Not Found</t>
        </is>
      </c>
      <c r="Z179" s="10" t="inlineStr">
        <is>
          <t>Low</t>
        </is>
      </c>
      <c r="AA179" s="10" t="inlineStr">
        <is>
          <t>Requires Verification</t>
        </is>
      </c>
      <c r="AB179" s="10" t="inlineStr">
        <is>
          <t>https://livingston.cylex-uk.co.uk/company/vpz-23906128.html</t>
        </is>
      </c>
    </row>
    <row r="180">
      <c r="A180" s="5" t="inlineStr">
        <is>
          <t>UK-000738</t>
        </is>
      </c>
      <c r="B180" s="5" t="inlineStr">
        <is>
          <t>VPZ-10</t>
        </is>
      </c>
      <c r="C180" s="5" t="inlineStr">
        <is>
          <t>VPZ</t>
        </is>
      </c>
      <c r="D180" s="5" t="inlineStr">
        <is>
          <t>VPZ Motherwell</t>
        </is>
      </c>
      <c r="E180" s="5" t="inlineStr">
        <is>
          <t>Vape Shop</t>
        </is>
      </c>
      <c r="F180" s="5" t="inlineStr">
        <is>
          <t>Vape retail chain store</t>
        </is>
      </c>
      <c r="G180" s="5" t="inlineStr">
        <is>
          <t>National Chain</t>
        </is>
      </c>
      <c r="H180" s="5" t="inlineStr">
        <is>
          <t>1</t>
        </is>
      </c>
      <c r="I180" s="5" t="inlineStr">
        <is>
          <t>11 Brandon Parade South</t>
        </is>
      </c>
      <c r="J180" s="5" t="inlineStr">
        <is>
          <t>Motherwell</t>
        </is>
      </c>
      <c r="K180" s="5" t="inlineStr">
        <is>
          <t>ML1 1RB</t>
        </is>
      </c>
      <c r="L180" s="5" t="inlineStr">
        <is>
          <t>01698 265111</t>
        </is>
      </c>
      <c r="M180" s="5" t="inlineStr"/>
      <c r="N180" s="5" t="inlineStr"/>
      <c r="O180" s="5" t="inlineStr">
        <is>
          <t>https://www.vpz.co.uk/</t>
        </is>
      </c>
      <c r="P180" s="5" t="inlineStr"/>
      <c r="Q180" s="5" t="inlineStr"/>
      <c r="R180" s="5" t="inlineStr"/>
      <c r="S180" s="5" t="inlineStr"/>
      <c r="T180" s="5" t="inlineStr"/>
      <c r="U180" s="5" t="inlineStr"/>
      <c r="V180" s="5" t="inlineStr">
        <is>
          <t>Medium</t>
        </is>
      </c>
      <c r="W180" s="5" t="inlineStr">
        <is>
          <t>Multi-site retailer; Core relevant category; Active website</t>
        </is>
      </c>
      <c r="X180" s="5" t="inlineStr">
        <is>
          <t>Verified directory</t>
        </is>
      </c>
      <c r="Y180" s="5" t="inlineStr">
        <is>
          <t>Website Found</t>
        </is>
      </c>
      <c r="Z180" s="5" t="inlineStr">
        <is>
          <t>Medium</t>
        </is>
      </c>
      <c r="AA180" s="5" t="inlineStr">
        <is>
          <t>Requires Verification</t>
        </is>
      </c>
      <c r="AB180" s="5" t="inlineStr">
        <is>
          <t>https://m.yelp.com/c/motherwell-north-lanarkshire-gb/vapeshops</t>
        </is>
      </c>
    </row>
    <row r="181">
      <c r="A181" s="10" t="inlineStr">
        <is>
          <t>UK-000739</t>
        </is>
      </c>
      <c r="B181" s="10" t="inlineStr">
        <is>
          <t>VPZ-11</t>
        </is>
      </c>
      <c r="C181" s="10" t="inlineStr">
        <is>
          <t>VPZ</t>
        </is>
      </c>
      <c r="D181" s="10" t="inlineStr">
        <is>
          <t>VPZ Paisley</t>
        </is>
      </c>
      <c r="E181" s="10" t="inlineStr">
        <is>
          <t>Vape Shop</t>
        </is>
      </c>
      <c r="F181" s="10" t="inlineStr">
        <is>
          <t>Vape retail chain store</t>
        </is>
      </c>
      <c r="G181" s="10" t="inlineStr">
        <is>
          <t>National Chain</t>
        </is>
      </c>
      <c r="H181" s="10" t="inlineStr">
        <is>
          <t>1</t>
        </is>
      </c>
      <c r="I181" s="10" t="inlineStr">
        <is>
          <t>Unit 3, 4 High Street</t>
        </is>
      </c>
      <c r="J181" s="10" t="inlineStr">
        <is>
          <t>Paisley</t>
        </is>
      </c>
      <c r="K181" s="10" t="inlineStr">
        <is>
          <t>PA1 2YA</t>
        </is>
      </c>
      <c r="L181" s="10" t="inlineStr">
        <is>
          <t>0141 889 3463</t>
        </is>
      </c>
      <c r="M181" s="10" t="inlineStr"/>
      <c r="N181" s="10" t="inlineStr"/>
      <c r="O181" s="10" t="inlineStr">
        <is>
          <t>https://www.vpz.co.uk/</t>
        </is>
      </c>
      <c r="P181" s="10" t="inlineStr"/>
      <c r="Q181" s="10" t="inlineStr"/>
      <c r="R181" s="10" t="inlineStr"/>
      <c r="S181" s="10" t="inlineStr"/>
      <c r="T181" s="10" t="inlineStr"/>
      <c r="U181" s="10" t="inlineStr"/>
      <c r="V181" s="10" t="inlineStr">
        <is>
          <t>Medium</t>
        </is>
      </c>
      <c r="W181" s="10" t="inlineStr">
        <is>
          <t>Multi-site retailer; Core relevant category; Active website</t>
        </is>
      </c>
      <c r="X181" s="10" t="inlineStr">
        <is>
          <t>Verified directory</t>
        </is>
      </c>
      <c r="Y181" s="10" t="inlineStr">
        <is>
          <t>Website Found</t>
        </is>
      </c>
      <c r="Z181" s="10" t="inlineStr">
        <is>
          <t>Medium</t>
        </is>
      </c>
      <c r="AA181" s="10" t="inlineStr">
        <is>
          <t>Requires Verification</t>
        </is>
      </c>
      <c r="AB181" s="10" t="inlineStr">
        <is>
          <t>https://m.yelp.com/biz/vpz-paisley-2</t>
        </is>
      </c>
    </row>
    <row r="182">
      <c r="A182" s="5" t="inlineStr">
        <is>
          <t>UK-000740</t>
        </is>
      </c>
      <c r="B182" s="5" t="inlineStr">
        <is>
          <t>VPZ-12</t>
        </is>
      </c>
      <c r="C182" s="5" t="inlineStr">
        <is>
          <t>VPZ</t>
        </is>
      </c>
      <c r="D182" s="5" t="inlineStr">
        <is>
          <t>VPZ Wishaw</t>
        </is>
      </c>
      <c r="E182" s="5" t="inlineStr">
        <is>
          <t>Vape Shop</t>
        </is>
      </c>
      <c r="F182" s="5" t="inlineStr">
        <is>
          <t>Vape retail chain store</t>
        </is>
      </c>
      <c r="G182" s="5" t="inlineStr">
        <is>
          <t>National Chain</t>
        </is>
      </c>
      <c r="H182" s="5" t="inlineStr">
        <is>
          <t>1</t>
        </is>
      </c>
      <c r="I182" s="5" t="inlineStr">
        <is>
          <t>15 Main Street</t>
        </is>
      </c>
      <c r="J182" s="5" t="inlineStr">
        <is>
          <t>Wishaw</t>
        </is>
      </c>
      <c r="K182" s="5" t="inlineStr">
        <is>
          <t>ML2 7AF</t>
        </is>
      </c>
      <c r="L182" s="5" t="inlineStr">
        <is>
          <t>01698 355102</t>
        </is>
      </c>
      <c r="M182" s="5" t="inlineStr"/>
      <c r="N182" s="5" t="inlineStr"/>
      <c r="O182" s="5" t="inlineStr">
        <is>
          <t>https://www.vpz.co.uk/</t>
        </is>
      </c>
      <c r="P182" s="5" t="inlineStr"/>
      <c r="Q182" s="5" t="inlineStr"/>
      <c r="R182" s="5" t="inlineStr"/>
      <c r="S182" s="5" t="inlineStr"/>
      <c r="T182" s="5" t="inlineStr"/>
      <c r="U182" s="5" t="inlineStr"/>
      <c r="V182" s="5" t="inlineStr">
        <is>
          <t>Medium</t>
        </is>
      </c>
      <c r="W182" s="5" t="inlineStr">
        <is>
          <t>Multi-site retailer; Core relevant category; Active website</t>
        </is>
      </c>
      <c r="X182" s="5" t="inlineStr">
        <is>
          <t>Verified directory</t>
        </is>
      </c>
      <c r="Y182" s="5" t="inlineStr">
        <is>
          <t>Website Found</t>
        </is>
      </c>
      <c r="Z182" s="5" t="inlineStr">
        <is>
          <t>Medium</t>
        </is>
      </c>
      <c r="AA182" s="5" t="inlineStr">
        <is>
          <t>Requires Verification</t>
        </is>
      </c>
      <c r="AB182" s="5" t="inlineStr">
        <is>
          <t>https://wishaw-north-lanarkshire.cylex-uk.co.uk/vape-shops/</t>
        </is>
      </c>
    </row>
    <row r="183">
      <c r="A183" s="10" t="inlineStr">
        <is>
          <t>UK-000217</t>
        </is>
      </c>
      <c r="B183" s="10" t="inlineStr">
        <is>
          <t>VALLIFOREC-01</t>
        </is>
      </c>
      <c r="C183" s="10" t="inlineStr">
        <is>
          <t>Valli Forecourts</t>
        </is>
      </c>
      <c r="D183" s="10" t="inlineStr">
        <is>
          <t>Valli Forecourts (Bawtry Road)</t>
        </is>
      </c>
      <c r="E183" s="10" t="inlineStr">
        <is>
          <t>Petrol Station / Forecourt</t>
        </is>
      </c>
      <c r="F183" s="10" t="inlineStr">
        <is>
          <t>Independent forecourt with convenience store</t>
        </is>
      </c>
      <c r="G183" s="10" t="inlineStr">
        <is>
          <t>Multi-Site Independent</t>
        </is>
      </c>
      <c r="H183" s="10" t="inlineStr">
        <is>
          <t>1</t>
        </is>
      </c>
      <c r="I183" s="10" t="inlineStr">
        <is>
          <t>Bawtry Road</t>
        </is>
      </c>
      <c r="J183" s="10" t="inlineStr">
        <is>
          <t>Doncaster</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Independent retailer; Relevant category</t>
        </is>
      </c>
      <c r="X183" s="10" t="inlineStr">
        <is>
          <t>Not Found</t>
        </is>
      </c>
      <c r="Y183" s="10" t="inlineStr">
        <is>
          <t>Not Found</t>
        </is>
      </c>
      <c r="Z183" s="10" t="inlineStr">
        <is>
          <t>Low</t>
        </is>
      </c>
      <c r="AA183" s="10" t="inlineStr">
        <is>
          <t>Requires Verification</t>
        </is>
      </c>
      <c r="AB183" s="10" t="inlineStr">
        <is>
          <t>https://www.mylocalservices.co.uk/24+Hr+Petrol+Stations-Doncaster.html</t>
        </is>
      </c>
    </row>
    <row r="184">
      <c r="A184" s="5" t="inlineStr">
        <is>
          <t>WY-0034</t>
        </is>
      </c>
      <c r="B184" s="5" t="inlineStr">
        <is>
          <t>VALLIFOREC-01</t>
        </is>
      </c>
      <c r="C184" s="5" t="inlineStr">
        <is>
          <t>Valli Forecourts Ltd</t>
        </is>
      </c>
      <c r="D184" s="5" t="inlineStr">
        <is>
          <t>BP Gledhow Service Station (Valli Forecourts)</t>
        </is>
      </c>
      <c r="E184" s="5" t="inlineStr">
        <is>
          <t>Petrol Station / Forecourt</t>
        </is>
      </c>
      <c r="F184" s="5" t="inlineStr">
        <is>
          <t>BP-branded forecourt with convenience store</t>
        </is>
      </c>
      <c r="G184" s="5" t="inlineStr">
        <is>
          <t>Regional Chain</t>
        </is>
      </c>
      <c r="H184" s="5" t="inlineStr">
        <is>
          <t>16</t>
        </is>
      </c>
      <c r="I184" s="5" t="inlineStr"/>
      <c r="J184" s="5" t="inlineStr">
        <is>
          <t>Leeds</t>
        </is>
      </c>
      <c r="K184" s="5" t="inlineStr">
        <is>
          <t>LS8 4BU</t>
        </is>
      </c>
      <c r="L184" s="5" t="inlineStr"/>
      <c r="M184" s="5" t="inlineStr"/>
      <c r="N184" s="5" t="inlineStr"/>
      <c r="O184" s="5" t="inlineStr">
        <is>
          <t>https://valliforecourts.co.uk/</t>
        </is>
      </c>
      <c r="P184" s="5" t="inlineStr"/>
      <c r="Q184" s="5" t="inlineStr"/>
      <c r="R184" s="5" t="inlineStr"/>
      <c r="S184" s="5" t="inlineStr"/>
      <c r="T184" s="5" t="inlineStr"/>
      <c r="U184" s="5" t="inlineStr"/>
      <c r="V184" s="5" t="inlineStr">
        <is>
          <t>Medium</t>
        </is>
      </c>
      <c r="W184" s="5" t="inlineStr">
        <is>
          <t>Multi-site retailer; Relevant category; Active website</t>
        </is>
      </c>
      <c r="X184" s="5" t="inlineStr">
        <is>
          <t>Not Found</t>
        </is>
      </c>
      <c r="Y184" s="5" t="inlineStr">
        <is>
          <t>Website Found</t>
        </is>
      </c>
      <c r="Z184" s="5" t="inlineStr">
        <is>
          <t>Medium</t>
        </is>
      </c>
      <c r="AA184" s="5" t="inlineStr">
        <is>
          <t>Requires Verification</t>
        </is>
      </c>
      <c r="AB184" s="5" t="inlineStr">
        <is>
          <t>https://www.petrolprices.com/locations/huddersfield</t>
        </is>
      </c>
    </row>
    <row r="185">
      <c r="A185" s="10" t="inlineStr">
        <is>
          <t>WY-0035</t>
        </is>
      </c>
      <c r="B185" s="10" t="inlineStr">
        <is>
          <t>VALLIFOREC-02</t>
        </is>
      </c>
      <c r="C185" s="10" t="inlineStr">
        <is>
          <t>Valli Forecourts Ltd</t>
        </is>
      </c>
      <c r="D185" s="10" t="inlineStr">
        <is>
          <t>Valli Forecourts Ltd (Head Office)</t>
        </is>
      </c>
      <c r="E185" s="10" t="inlineStr">
        <is>
          <t>Petrol Station / Forecourt</t>
        </is>
      </c>
      <c r="F185" s="10" t="inlineStr">
        <is>
          <t>Independent forecourt group head office</t>
        </is>
      </c>
      <c r="G185" s="10" t="inlineStr">
        <is>
          <t>Regional Chain</t>
        </is>
      </c>
      <c r="H185" s="10" t="inlineStr">
        <is>
          <t>16</t>
        </is>
      </c>
      <c r="I185" s="10" t="inlineStr"/>
      <c r="J185" s="10" t="inlineStr">
        <is>
          <t>Leeds</t>
        </is>
      </c>
      <c r="K185" s="10" t="inlineStr"/>
      <c r="L185" s="10" t="inlineStr"/>
      <c r="M185" s="10" t="inlineStr"/>
      <c r="N185" s="10" t="inlineStr"/>
      <c r="O185" s="10" t="inlineStr">
        <is>
          <t>https://valliforecourts.co.uk/</t>
        </is>
      </c>
      <c r="P185" s="10" t="inlineStr"/>
      <c r="Q185" s="10" t="inlineStr"/>
      <c r="R185" s="10" t="inlineStr"/>
      <c r="S185" s="10" t="inlineStr"/>
      <c r="T185" s="10" t="inlineStr"/>
      <c r="U185" s="10" t="inlineStr"/>
      <c r="V185" s="10" t="inlineStr">
        <is>
          <t>Medium</t>
        </is>
      </c>
      <c r="W185" s="10" t="inlineStr">
        <is>
          <t>Multi-site retailer; Relevant category; Active website; Social presence</t>
        </is>
      </c>
      <c r="X185" s="10" t="inlineStr">
        <is>
          <t>Not Found</t>
        </is>
      </c>
      <c r="Y185" s="10" t="inlineStr">
        <is>
          <t>Website Found</t>
        </is>
      </c>
      <c r="Z185" s="10" t="inlineStr">
        <is>
          <t>Low</t>
        </is>
      </c>
      <c r="AA185" s="10" t="inlineStr">
        <is>
          <t>Requires Verification</t>
        </is>
      </c>
      <c r="AB185" s="10" t="inlineStr">
        <is>
          <t>https://www.yorkshire.com/moortown/transport/petrol-stations/valli-forecourts-ltd-head-office</t>
        </is>
      </c>
    </row>
    <row r="186">
      <c r="A186" s="5" t="inlineStr">
        <is>
          <t>UK-000741</t>
        </is>
      </c>
      <c r="B186" s="5" t="inlineStr">
        <is>
          <t>VAPABLE-01</t>
        </is>
      </c>
      <c r="C186" s="5" t="inlineStr">
        <is>
          <t>Vapable</t>
        </is>
      </c>
      <c r="D186" s="5" t="inlineStr">
        <is>
          <t>Vapable Southport</t>
        </is>
      </c>
      <c r="E186" s="5" t="inlineStr">
        <is>
          <t>Vape Shop</t>
        </is>
      </c>
      <c r="F186" s="5" t="inlineStr">
        <is>
          <t>E-cig and e-liquid shop</t>
        </is>
      </c>
      <c r="G186" s="5" t="inlineStr">
        <is>
          <t>Independent</t>
        </is>
      </c>
      <c r="H186" s="5" t="inlineStr">
        <is>
          <t>1</t>
        </is>
      </c>
      <c r="I186" s="5" t="inlineStr"/>
      <c r="J186" s="5" t="inlineStr">
        <is>
          <t>Southport</t>
        </is>
      </c>
      <c r="K186" s="5" t="inlineStr"/>
      <c r="L186" s="5" t="inlineStr">
        <is>
          <t>01704 222999</t>
        </is>
      </c>
      <c r="M186" s="5" t="inlineStr"/>
      <c r="N186" s="5" t="inlineStr"/>
      <c r="O186" s="5" t="inlineStr">
        <is>
          <t>https://vapable.com/southport-vape-shop/</t>
        </is>
      </c>
      <c r="P186" s="5" t="inlineStr"/>
      <c r="Q186" s="5" t="inlineStr"/>
      <c r="R186" s="5" t="inlineStr"/>
      <c r="S186" s="5" t="inlineStr"/>
      <c r="T186" s="5" t="inlineStr"/>
      <c r="U186" s="5" t="inlineStr"/>
      <c r="V186" s="5" t="inlineStr">
        <is>
          <t>High</t>
        </is>
      </c>
      <c r="W186" s="5" t="inlineStr">
        <is>
          <t>Multi-site retailer; Independent retailer; Core relevant category; Active website; Phone verified on official website</t>
        </is>
      </c>
      <c r="X186" s="5" t="inlineStr">
        <is>
          <t>Verified on official website</t>
        </is>
      </c>
      <c r="Y186" s="5" t="inlineStr">
        <is>
          <t>Website Found</t>
        </is>
      </c>
      <c r="Z186" s="5" t="inlineStr">
        <is>
          <t>Low</t>
        </is>
      </c>
      <c r="AA186" s="5" t="inlineStr">
        <is>
          <t>Requires Verification</t>
        </is>
      </c>
      <c r="AB186" s="5" t="inlineStr">
        <is>
          <t>https://vapable.com/southport-vape-shop/</t>
        </is>
      </c>
    </row>
    <row r="187">
      <c r="A187" s="10" t="inlineStr">
        <is>
          <t>WY-0036</t>
        </is>
      </c>
      <c r="B187" s="10" t="inlineStr">
        <is>
          <t>VAPARAMA-01</t>
        </is>
      </c>
      <c r="C187" s="10" t="inlineStr">
        <is>
          <t>Vaparama</t>
        </is>
      </c>
      <c r="D187" s="10" t="inlineStr">
        <is>
          <t>Vaparama (Featherstone)</t>
        </is>
      </c>
      <c r="E187" s="10" t="inlineStr">
        <is>
          <t>Vape Shop</t>
        </is>
      </c>
      <c r="F187" s="10" t="inlineStr">
        <is>
          <t>E-liquid specialist / vape retailer</t>
        </is>
      </c>
      <c r="G187" s="10" t="inlineStr">
        <is>
          <t>Regional Chain</t>
        </is>
      </c>
      <c r="H187" s="10" t="inlineStr">
        <is>
          <t>7</t>
        </is>
      </c>
      <c r="I187" s="10" t="inlineStr">
        <is>
          <t>73-75 Station Lane</t>
        </is>
      </c>
      <c r="J187" s="10" t="inlineStr">
        <is>
          <t>Featherstone</t>
        </is>
      </c>
      <c r="K187" s="10" t="inlineStr">
        <is>
          <t>WF7 5BJ</t>
        </is>
      </c>
      <c r="L187" s="10" t="inlineStr"/>
      <c r="M187" s="10" t="inlineStr"/>
      <c r="N187" s="10" t="inlineStr">
        <is>
          <t>shop@vaparama.co.uk</t>
        </is>
      </c>
      <c r="O187" s="10" t="inlineStr">
        <is>
          <t>https://www.vaparama.co.uk</t>
        </is>
      </c>
      <c r="P187" s="10" t="inlineStr">
        <is>
          <t>https://www.facebook.com/p/Vaparama-100063743672150/</t>
        </is>
      </c>
      <c r="Q187" s="10" t="inlineStr"/>
      <c r="R187" s="10" t="inlineStr"/>
      <c r="S187" s="10" t="inlineStr"/>
      <c r="T187" s="10" t="inlineStr">
        <is>
          <t>09736212</t>
        </is>
      </c>
      <c r="U187" s="10" t="inlineStr">
        <is>
          <t>Active</t>
        </is>
      </c>
      <c r="V187" s="10" t="inlineStr">
        <is>
          <t>High</t>
        </is>
      </c>
      <c r="W187" s="10" t="inlineStr">
        <is>
          <t>Multi-site retailer; Core relevant category; Public email available; Active website; Social presence</t>
        </is>
      </c>
      <c r="X187" s="10" t="inlineStr">
        <is>
          <t>Not Found</t>
        </is>
      </c>
      <c r="Y187" s="10" t="inlineStr">
        <is>
          <t>Publicly Listed</t>
        </is>
      </c>
      <c r="Z187" s="10" t="inlineStr">
        <is>
          <t>Medium</t>
        </is>
      </c>
      <c r="AA187" s="10" t="inlineStr">
        <is>
          <t>Partially Verified</t>
        </is>
      </c>
      <c r="AB187" s="10" t="inlineStr">
        <is>
          <t>https://www.vaparama.co.uk/contact/</t>
        </is>
      </c>
    </row>
    <row r="188">
      <c r="A188" s="5" t="inlineStr">
        <is>
          <t>WY-0037</t>
        </is>
      </c>
      <c r="B188" s="5" t="inlineStr">
        <is>
          <t>VAPARAMA-02</t>
        </is>
      </c>
      <c r="C188" s="5" t="inlineStr">
        <is>
          <t>Vaparama</t>
        </is>
      </c>
      <c r="D188" s="5" t="inlineStr">
        <is>
          <t>Vaparama (Pontefract)</t>
        </is>
      </c>
      <c r="E188" s="5" t="inlineStr">
        <is>
          <t>Vape Shop</t>
        </is>
      </c>
      <c r="F188" s="5" t="inlineStr">
        <is>
          <t>E-liquid specialist / vape retailer and wholesaler</t>
        </is>
      </c>
      <c r="G188" s="5" t="inlineStr">
        <is>
          <t>Regional Chain</t>
        </is>
      </c>
      <c r="H188" s="5" t="inlineStr">
        <is>
          <t>7</t>
        </is>
      </c>
      <c r="I188" s="5" t="inlineStr">
        <is>
          <t>13 Market Place</t>
        </is>
      </c>
      <c r="J188" s="5" t="inlineStr">
        <is>
          <t>Pontefract</t>
        </is>
      </c>
      <c r="K188" s="5" t="inlineStr">
        <is>
          <t>WF8 1AG</t>
        </is>
      </c>
      <c r="L188" s="5" t="inlineStr">
        <is>
          <t>01977 277170</t>
        </is>
      </c>
      <c r="M188" s="5" t="inlineStr">
        <is>
          <t>shop@vaparama.co.uk</t>
        </is>
      </c>
      <c r="N188" s="5" t="inlineStr"/>
      <c r="O188" s="5" t="inlineStr">
        <is>
          <t>https://www.vaparama.co.uk</t>
        </is>
      </c>
      <c r="P188" s="5" t="inlineStr">
        <is>
          <t>https://www.facebook.com/p/Vaparama-100063743672150/</t>
        </is>
      </c>
      <c r="Q188" s="5" t="inlineStr"/>
      <c r="R188" s="5" t="inlineStr"/>
      <c r="S188" s="5" t="inlineStr"/>
      <c r="T188" s="5" t="inlineStr">
        <is>
          <t>09736212</t>
        </is>
      </c>
      <c r="U188" s="5" t="inlineStr">
        <is>
          <t>Active</t>
        </is>
      </c>
      <c r="V188" s="5" t="inlineStr">
        <is>
          <t>High</t>
        </is>
      </c>
      <c r="W188" s="5" t="inlineStr">
        <is>
          <t>Multi-site retailer; Core relevant category; Public email available; Active website; Social presence</t>
        </is>
      </c>
      <c r="X188" s="5" t="inlineStr">
        <is>
          <t>Verified directory</t>
        </is>
      </c>
      <c r="Y188" s="5" t="inlineStr">
        <is>
          <t>Unverified</t>
        </is>
      </c>
      <c r="Z188" s="5" t="inlineStr">
        <is>
          <t>Medium</t>
        </is>
      </c>
      <c r="AA188" s="5" t="inlineStr">
        <is>
          <t>Partially Verified</t>
        </is>
      </c>
      <c r="AB188" s="5" t="inlineStr">
        <is>
          <t>https://find-and-update.company-information.service.gov.uk/company/09736212</t>
        </is>
      </c>
    </row>
    <row r="189">
      <c r="A189" s="10" t="inlineStr">
        <is>
          <t>WY-0038</t>
        </is>
      </c>
      <c r="B189" s="10" t="inlineStr">
        <is>
          <t>VAPARAMA-03</t>
        </is>
      </c>
      <c r="C189" s="10" t="inlineStr">
        <is>
          <t>Vaparama</t>
        </is>
      </c>
      <c r="D189" s="10" t="inlineStr">
        <is>
          <t>Vaparama (Wakefield)</t>
        </is>
      </c>
      <c r="E189" s="10" t="inlineStr">
        <is>
          <t>Vape Shop</t>
        </is>
      </c>
      <c r="F189" s="10" t="inlineStr">
        <is>
          <t>E-liquid specialist / vape retailer</t>
        </is>
      </c>
      <c r="G189" s="10" t="inlineStr">
        <is>
          <t>Regional Chain</t>
        </is>
      </c>
      <c r="H189" s="10" t="inlineStr">
        <is>
          <t>7</t>
        </is>
      </c>
      <c r="I189" s="10" t="inlineStr">
        <is>
          <t>Britannia House, 31 Warrengate</t>
        </is>
      </c>
      <c r="J189" s="10" t="inlineStr">
        <is>
          <t>Wakefield</t>
        </is>
      </c>
      <c r="K189" s="10" t="inlineStr"/>
      <c r="L189" s="10" t="inlineStr"/>
      <c r="M189" s="10" t="inlineStr"/>
      <c r="N189" s="10" t="inlineStr">
        <is>
          <t>shop@vaparama.co.uk</t>
        </is>
      </c>
      <c r="O189" s="10" t="inlineStr">
        <is>
          <t>https://www.vaparama.co.uk</t>
        </is>
      </c>
      <c r="P189" s="10" t="inlineStr">
        <is>
          <t>https://www.facebook.com/p/Vaparama-100063743672150/</t>
        </is>
      </c>
      <c r="Q189" s="10" t="inlineStr"/>
      <c r="R189" s="10" t="inlineStr"/>
      <c r="S189" s="10" t="inlineStr"/>
      <c r="T189" s="10" t="inlineStr">
        <is>
          <t>09736212</t>
        </is>
      </c>
      <c r="U189" s="10" t="inlineStr">
        <is>
          <t>Active</t>
        </is>
      </c>
      <c r="V189" s="10" t="inlineStr">
        <is>
          <t>High</t>
        </is>
      </c>
      <c r="W189" s="10" t="inlineStr">
        <is>
          <t>Multi-site retailer; Core relevant category; Public email available; Active website; Social presence</t>
        </is>
      </c>
      <c r="X189" s="10" t="inlineStr">
        <is>
          <t>Not Found</t>
        </is>
      </c>
      <c r="Y189" s="10" t="inlineStr">
        <is>
          <t>Publicly Listed</t>
        </is>
      </c>
      <c r="Z189" s="10" t="inlineStr">
        <is>
          <t>Medium</t>
        </is>
      </c>
      <c r="AA189" s="10" t="inlineStr">
        <is>
          <t>Partially Verified</t>
        </is>
      </c>
      <c r="AB189" s="10" t="inlineStr">
        <is>
          <t>https://www.vaparama.co.uk/contact/</t>
        </is>
      </c>
    </row>
    <row r="190">
      <c r="A190" s="5" t="inlineStr">
        <is>
          <t>UK-000742</t>
        </is>
      </c>
      <c r="B190" s="5" t="inlineStr">
        <is>
          <t>VAPECITY-01</t>
        </is>
      </c>
      <c r="C190" s="5" t="inlineStr">
        <is>
          <t>Vape City</t>
        </is>
      </c>
      <c r="D190" s="5" t="inlineStr">
        <is>
          <t>Vape City</t>
        </is>
      </c>
      <c r="E190" s="5" t="inlineStr">
        <is>
          <t>Vape Shop</t>
        </is>
      </c>
      <c r="F190" s="5" t="inlineStr">
        <is>
          <t>Vape supplier and retailer</t>
        </is>
      </c>
      <c r="G190" s="5" t="inlineStr">
        <is>
          <t>Multi-Site Independent</t>
        </is>
      </c>
      <c r="H190" s="5" t="inlineStr">
        <is>
          <t>2</t>
        </is>
      </c>
      <c r="I190" s="5" t="inlineStr">
        <is>
          <t>1069 Maryhill Road</t>
        </is>
      </c>
      <c r="J190" s="5" t="inlineStr">
        <is>
          <t>Glasgow</t>
        </is>
      </c>
      <c r="K190" s="5" t="inlineStr">
        <is>
          <t>G20 9AX</t>
        </is>
      </c>
      <c r="L190" s="5" t="inlineStr">
        <is>
          <t>0141 946 2117</t>
        </is>
      </c>
      <c r="M190" s="5" t="inlineStr"/>
      <c r="N190" s="5" t="inlineStr"/>
      <c r="O190" s="5" t="inlineStr">
        <is>
          <t>https://www.vape-city.co.uk/</t>
        </is>
      </c>
      <c r="P190" s="5" t="inlineStr"/>
      <c r="Q190" s="5" t="inlineStr"/>
      <c r="R190" s="5" t="inlineStr"/>
      <c r="S190" s="5" t="inlineStr"/>
      <c r="T190" s="5" t="inlineStr"/>
      <c r="U190" s="5" t="inlineStr"/>
      <c r="V190" s="5" t="inlineStr">
        <is>
          <t>High</t>
        </is>
      </c>
      <c r="W190" s="5" t="inlineStr">
        <is>
          <t>Multi-site retailer; Independent retailer; Core relevant category; Active website</t>
        </is>
      </c>
      <c r="X190" s="5" t="inlineStr">
        <is>
          <t>Verified directory</t>
        </is>
      </c>
      <c r="Y190" s="5" t="inlineStr">
        <is>
          <t>Website Found</t>
        </is>
      </c>
      <c r="Z190" s="5" t="inlineStr">
        <is>
          <t>Medium</t>
        </is>
      </c>
      <c r="AA190" s="5" t="inlineStr">
        <is>
          <t>Requires Verification</t>
        </is>
      </c>
      <c r="AB190" s="5" t="inlineStr">
        <is>
          <t>https://www.vape-city.co.uk/contact.php</t>
        </is>
      </c>
    </row>
    <row r="191">
      <c r="A191" s="10" t="inlineStr">
        <is>
          <t>UK-000218</t>
        </is>
      </c>
      <c r="B191" s="10" t="inlineStr">
        <is>
          <t>VAPESAFE-01</t>
        </is>
      </c>
      <c r="C191" s="10" t="inlineStr">
        <is>
          <t>Vape Safe</t>
        </is>
      </c>
      <c r="D191" s="10" t="inlineStr">
        <is>
          <t>Vape Safe Whitby</t>
        </is>
      </c>
      <c r="E191" s="10" t="inlineStr">
        <is>
          <t>Vape Shop</t>
        </is>
      </c>
      <c r="F191" s="10" t="inlineStr">
        <is>
          <t>Premium e-liquids, pods &amp; mods</t>
        </is>
      </c>
      <c r="G191" s="10" t="inlineStr">
        <is>
          <t>Multi-Site Independent</t>
        </is>
      </c>
      <c r="H191" s="10" t="inlineStr">
        <is>
          <t>2</t>
        </is>
      </c>
      <c r="I191" s="10" t="inlineStr">
        <is>
          <t>24 Baxtergate</t>
        </is>
      </c>
      <c r="J191" s="10" t="inlineStr">
        <is>
          <t>Whitby</t>
        </is>
      </c>
      <c r="K191" s="10" t="inlineStr">
        <is>
          <t>YO21 1BW</t>
        </is>
      </c>
      <c r="L191" s="10" t="inlineStr">
        <is>
          <t>01947 604873</t>
        </is>
      </c>
      <c r="M191" s="10" t="inlineStr"/>
      <c r="N191" s="10" t="inlineStr"/>
      <c r="O191" s="10" t="inlineStr">
        <is>
          <t>https://www.vapesafe.net/</t>
        </is>
      </c>
      <c r="P191" s="10" t="inlineStr"/>
      <c r="Q191" s="10" t="inlineStr"/>
      <c r="R191" s="10" t="inlineStr"/>
      <c r="S191" s="10" t="inlineStr"/>
      <c r="T191" s="10" t="inlineStr"/>
      <c r="U191" s="10" t="inlineStr"/>
      <c r="V191" s="10" t="inlineStr">
        <is>
          <t>High</t>
        </is>
      </c>
      <c r="W191" s="10" t="inlineStr">
        <is>
          <t>Multi-site retailer; Independent retailer; Core relevant category; Active website</t>
        </is>
      </c>
      <c r="X191" s="10" t="inlineStr">
        <is>
          <t>Verified directory</t>
        </is>
      </c>
      <c r="Y191" s="10" t="inlineStr">
        <is>
          <t>Not Found</t>
        </is>
      </c>
      <c r="Z191" s="10" t="inlineStr">
        <is>
          <t>Low</t>
        </is>
      </c>
      <c r="AA191" s="10" t="inlineStr">
        <is>
          <t>Requires Verification</t>
        </is>
      </c>
      <c r="AB191" s="10" t="inlineStr">
        <is>
          <t>https://www.vapesafe.net/</t>
        </is>
      </c>
    </row>
    <row r="192">
      <c r="A192" s="5" t="inlineStr">
        <is>
          <t>UK-000219</t>
        </is>
      </c>
      <c r="B192" s="5" t="inlineStr">
        <is>
          <t>VAPESAFE-02</t>
        </is>
      </c>
      <c r="C192" s="5" t="inlineStr">
        <is>
          <t>Vape Safe</t>
        </is>
      </c>
      <c r="D192" s="5" t="inlineStr">
        <is>
          <t>Vape Safe York</t>
        </is>
      </c>
      <c r="E192" s="5" t="inlineStr">
        <is>
          <t>Vape Shop</t>
        </is>
      </c>
      <c r="F192" s="5" t="inlineStr">
        <is>
          <t>Premium e-liquids, pods &amp; mods</t>
        </is>
      </c>
      <c r="G192" s="5" t="inlineStr">
        <is>
          <t>Multi-Site Independent</t>
        </is>
      </c>
      <c r="H192" s="5" t="inlineStr">
        <is>
          <t>2</t>
        </is>
      </c>
      <c r="I192" s="5" t="inlineStr">
        <is>
          <t>8 Stonegate</t>
        </is>
      </c>
      <c r="J192" s="5" t="inlineStr">
        <is>
          <t>York</t>
        </is>
      </c>
      <c r="K192" s="5" t="inlineStr">
        <is>
          <t>YO1 8AX</t>
        </is>
      </c>
      <c r="L192" s="5" t="inlineStr">
        <is>
          <t>01904 848488</t>
        </is>
      </c>
      <c r="M192" s="5" t="inlineStr"/>
      <c r="N192" s="5" t="inlineStr"/>
      <c r="O192" s="5" t="inlineStr">
        <is>
          <t>https://www.vapesafe.net/</t>
        </is>
      </c>
      <c r="P192" s="5" t="inlineStr"/>
      <c r="Q192" s="5" t="inlineStr"/>
      <c r="R192" s="5" t="inlineStr"/>
      <c r="S192" s="5" t="inlineStr"/>
      <c r="T192" s="5" t="inlineStr"/>
      <c r="U192" s="5" t="inlineStr"/>
      <c r="V192" s="5" t="inlineStr">
        <is>
          <t>High</t>
        </is>
      </c>
      <c r="W192" s="5" t="inlineStr">
        <is>
          <t>Multi-site retailer; Independent retailer; Core relevant category; Active website</t>
        </is>
      </c>
      <c r="X192" s="5" t="inlineStr">
        <is>
          <t>Verified directory</t>
        </is>
      </c>
      <c r="Y192" s="5" t="inlineStr">
        <is>
          <t>Website Found</t>
        </is>
      </c>
      <c r="Z192" s="5" t="inlineStr">
        <is>
          <t>Medium</t>
        </is>
      </c>
      <c r="AA192" s="5" t="inlineStr">
        <is>
          <t>Requires Verification</t>
        </is>
      </c>
      <c r="AB192" s="5" t="inlineStr">
        <is>
          <t>https://www.vapesafe.net/</t>
        </is>
      </c>
    </row>
    <row r="193">
      <c r="A193" s="10" t="inlineStr">
        <is>
          <t>UK-000220</t>
        </is>
      </c>
      <c r="B193" s="10" t="inlineStr">
        <is>
          <t>VAPESHACK-01</t>
        </is>
      </c>
      <c r="C193" s="10" t="inlineStr">
        <is>
          <t>Vape Shack</t>
        </is>
      </c>
      <c r="D193" s="10" t="inlineStr">
        <is>
          <t>The Vape Shack Beverley</t>
        </is>
      </c>
      <c r="E193" s="10" t="inlineStr">
        <is>
          <t>Vape Shop</t>
        </is>
      </c>
      <c r="F193" s="10" t="inlineStr">
        <is>
          <t>E-liquid and e-cigarette shop</t>
        </is>
      </c>
      <c r="G193" s="10" t="inlineStr">
        <is>
          <t>Multi-Site Independent</t>
        </is>
      </c>
      <c r="H193" s="10" t="inlineStr">
        <is>
          <t>2</t>
        </is>
      </c>
      <c r="I193" s="10" t="inlineStr">
        <is>
          <t>7 Sow Hill Road</t>
        </is>
      </c>
      <c r="J193" s="10" t="inlineStr">
        <is>
          <t>Beverley</t>
        </is>
      </c>
      <c r="K193" s="10" t="inlineStr">
        <is>
          <t>HU17 8BG</t>
        </is>
      </c>
      <c r="L193" s="10" t="inlineStr">
        <is>
          <t>07359 267997</t>
        </is>
      </c>
      <c r="M193" s="10" t="inlineStr"/>
      <c r="N193" s="10" t="inlineStr"/>
      <c r="O193" s="10" t="inlineStr">
        <is>
          <t>https://www.vape-shack.co.uk</t>
        </is>
      </c>
      <c r="P193" s="10" t="inlineStr">
        <is>
          <t>https://www.facebook.com/thevapeshackbeverley/</t>
        </is>
      </c>
      <c r="Q193" s="10" t="inlineStr"/>
      <c r="R193" s="10" t="inlineStr"/>
      <c r="S193" s="10" t="inlineStr"/>
      <c r="T193" s="10" t="inlineStr"/>
      <c r="U193" s="10" t="inlineStr"/>
      <c r="V193" s="10" t="inlineStr">
        <is>
          <t>High</t>
        </is>
      </c>
      <c r="W193" s="10" t="inlineStr">
        <is>
          <t>Multi-site retailer; Independent retailer; Core relevant category; Active website; Social presence</t>
        </is>
      </c>
      <c r="X193" s="10" t="inlineStr">
        <is>
          <t>Verified directory</t>
        </is>
      </c>
      <c r="Y193" s="10" t="inlineStr">
        <is>
          <t>Not Found</t>
        </is>
      </c>
      <c r="Z193" s="10" t="inlineStr">
        <is>
          <t>Medium</t>
        </is>
      </c>
      <c r="AA193" s="10" t="inlineStr">
        <is>
          <t>Partially Verified</t>
        </is>
      </c>
      <c r="AB193" s="10" t="inlineStr">
        <is>
          <t>https://www.vape-shack.co.uk/</t>
        </is>
      </c>
    </row>
    <row r="194">
      <c r="A194" s="5" t="inlineStr">
        <is>
          <t>UK-000221</t>
        </is>
      </c>
      <c r="B194" s="5" t="inlineStr">
        <is>
          <t>VAPESHACK-02</t>
        </is>
      </c>
      <c r="C194" s="5" t="inlineStr">
        <is>
          <t>Vape Shack</t>
        </is>
      </c>
      <c r="D194" s="5" t="inlineStr">
        <is>
          <t>Vape Shack Immingham</t>
        </is>
      </c>
      <c r="E194" s="5" t="inlineStr">
        <is>
          <t>Vape Shop</t>
        </is>
      </c>
      <c r="F194" s="5" t="inlineStr">
        <is>
          <t>Vape shop</t>
        </is>
      </c>
      <c r="G194" s="5" t="inlineStr">
        <is>
          <t>Multi-Site Independent</t>
        </is>
      </c>
      <c r="H194" s="5" t="inlineStr">
        <is>
          <t>2</t>
        </is>
      </c>
      <c r="I194" s="5" t="inlineStr">
        <is>
          <t>70 Pelham Road</t>
        </is>
      </c>
      <c r="J194" s="5" t="inlineStr">
        <is>
          <t>Immingham</t>
        </is>
      </c>
      <c r="K194" s="5" t="inlineStr"/>
      <c r="L194" s="5" t="inlineStr">
        <is>
          <t>01469 577493</t>
        </is>
      </c>
      <c r="M194" s="5" t="inlineStr"/>
      <c r="N194" s="5" t="inlineStr"/>
      <c r="O194" s="5" t="inlineStr"/>
      <c r="P194" s="5" t="inlineStr">
        <is>
          <t>https://www.facebook.com/vapeshackimmingham/</t>
        </is>
      </c>
      <c r="Q194" s="5" t="inlineStr"/>
      <c r="R194" s="5" t="inlineStr"/>
      <c r="S194" s="5" t="inlineStr"/>
      <c r="T194" s="5" t="inlineStr"/>
      <c r="U194" s="5" t="inlineStr"/>
      <c r="V194" s="5" t="inlineStr">
        <is>
          <t>High</t>
        </is>
      </c>
      <c r="W194" s="5" t="inlineStr">
        <is>
          <t>Multi-site retailer; Independent retailer; Core relevant category; Social presence</t>
        </is>
      </c>
      <c r="X194" s="5" t="inlineStr">
        <is>
          <t>Verified directory</t>
        </is>
      </c>
      <c r="Y194" s="5" t="inlineStr">
        <is>
          <t>Not Found</t>
        </is>
      </c>
      <c r="Z194" s="5" t="inlineStr">
        <is>
          <t>Low</t>
        </is>
      </c>
      <c r="AA194" s="5" t="inlineStr">
        <is>
          <t>Requires Verification</t>
        </is>
      </c>
      <c r="AB194" s="5" t="inlineStr">
        <is>
          <t>https://www.facebook.com/vapeshackimmingham/</t>
        </is>
      </c>
    </row>
    <row r="195">
      <c r="A195" s="10" t="inlineStr">
        <is>
          <t>UK-000450</t>
        </is>
      </c>
      <c r="B195" s="10" t="inlineStr">
        <is>
          <t>VAPESHOPBI-01</t>
        </is>
      </c>
      <c r="C195" s="10" t="inlineStr">
        <is>
          <t>Vape Shop Birmingham</t>
        </is>
      </c>
      <c r="D195" s="10" t="inlineStr">
        <is>
          <t>Vape Shop Birmingham</t>
        </is>
      </c>
      <c r="E195" s="10" t="inlineStr">
        <is>
          <t>Vape Shop</t>
        </is>
      </c>
      <c r="F195" s="10" t="inlineStr">
        <is>
          <t>Vape hardware and e-liquid retailer</t>
        </is>
      </c>
      <c r="G195" s="10" t="inlineStr">
        <is>
          <t>Regional Chain</t>
        </is>
      </c>
      <c r="H195" s="10" t="inlineStr">
        <is>
          <t>3</t>
        </is>
      </c>
      <c r="I195" s="10" t="inlineStr">
        <is>
          <t>19 Great Western Arcade</t>
        </is>
      </c>
      <c r="J195" s="10" t="inlineStr">
        <is>
          <t>Birmingham</t>
        </is>
      </c>
      <c r="K195" s="10" t="inlineStr">
        <is>
          <t>B2 5HU</t>
        </is>
      </c>
      <c r="L195" s="10" t="inlineStr"/>
      <c r="M195" s="10" t="inlineStr"/>
      <c r="N195" s="10" t="inlineStr"/>
      <c r="O195" s="10" t="inlineStr">
        <is>
          <t>https://vapeshopbirmingham.co.uk/</t>
        </is>
      </c>
      <c r="P195" s="10" t="inlineStr"/>
      <c r="Q195" s="10" t="inlineStr"/>
      <c r="R195" s="10" t="inlineStr"/>
      <c r="S195" s="10" t="inlineStr"/>
      <c r="T195" s="10" t="inlineStr"/>
      <c r="U195" s="10" t="inlineStr"/>
      <c r="V195" s="10" t="inlineStr">
        <is>
          <t>Medium</t>
        </is>
      </c>
      <c r="W195" s="10" t="inlineStr">
        <is>
          <t>Multi-site retailer; Core relevant category; Active website</t>
        </is>
      </c>
      <c r="X195" s="10" t="inlineStr">
        <is>
          <t>Not Found</t>
        </is>
      </c>
      <c r="Y195" s="10" t="inlineStr">
        <is>
          <t>Website Found</t>
        </is>
      </c>
      <c r="Z195" s="10" t="inlineStr">
        <is>
          <t>Medium</t>
        </is>
      </c>
      <c r="AA195" s="10" t="inlineStr">
        <is>
          <t>Requires Verification</t>
        </is>
      </c>
      <c r="AB195" s="10" t="inlineStr">
        <is>
          <t>https://vapeshopbirmingham.co.uk/pages/birmingham-city-centre</t>
        </is>
      </c>
    </row>
    <row r="196">
      <c r="A196" s="5" t="inlineStr">
        <is>
          <t>UK-000222</t>
        </is>
      </c>
      <c r="B196" s="5" t="inlineStr">
        <is>
          <t>VAPESHOPGU-01</t>
        </is>
      </c>
      <c r="C196" s="5" t="inlineStr">
        <is>
          <t>Vape Shop Guy</t>
        </is>
      </c>
      <c r="D196" s="5" t="inlineStr">
        <is>
          <t>Vape Shop Guy Boroughbridge</t>
        </is>
      </c>
      <c r="E196" s="5" t="inlineStr">
        <is>
          <t>Vape Shop</t>
        </is>
      </c>
      <c r="F196" s="5" t="inlineStr">
        <is>
          <t>Vaping products &amp; e-liquids</t>
        </is>
      </c>
      <c r="G196" s="5" t="inlineStr">
        <is>
          <t>Multi-Site Independent</t>
        </is>
      </c>
      <c r="H196" s="5" t="inlineStr">
        <is>
          <t>4</t>
        </is>
      </c>
      <c r="I196" s="5" t="inlineStr">
        <is>
          <t>34 High Street</t>
        </is>
      </c>
      <c r="J196" s="5" t="inlineStr">
        <is>
          <t>Boroughbridge</t>
        </is>
      </c>
      <c r="K196" s="5" t="inlineStr"/>
      <c r="L196" s="5" t="inlineStr">
        <is>
          <t>01423 325924</t>
        </is>
      </c>
      <c r="M196" s="5" t="inlineStr"/>
      <c r="N196" s="5" t="inlineStr"/>
      <c r="O196" s="5" t="inlineStr">
        <is>
          <t>https://vapeshopguy.co.uk/</t>
        </is>
      </c>
      <c r="P196" s="5" t="inlineStr"/>
      <c r="Q196" s="5" t="inlineStr"/>
      <c r="R196" s="5" t="inlineStr"/>
      <c r="S196" s="5" t="inlineStr"/>
      <c r="T196" s="5" t="inlineStr"/>
      <c r="U196" s="5" t="inlineStr"/>
      <c r="V196" s="5" t="inlineStr">
        <is>
          <t>High</t>
        </is>
      </c>
      <c r="W196" s="5" t="inlineStr">
        <is>
          <t>Multi-site retailer; Independent retailer; Core relevant category; Active website; Phone verified on official website</t>
        </is>
      </c>
      <c r="X196" s="5" t="inlineStr">
        <is>
          <t>Verified on official website</t>
        </is>
      </c>
      <c r="Y196" s="5" t="inlineStr">
        <is>
          <t>Website Found</t>
        </is>
      </c>
      <c r="Z196" s="5" t="inlineStr">
        <is>
          <t>Medium</t>
        </is>
      </c>
      <c r="AA196" s="5" t="inlineStr">
        <is>
          <t>Requires Verification</t>
        </is>
      </c>
      <c r="AB196" s="5" t="inlineStr">
        <is>
          <t>https://vapeshopguy.co.uk/locations</t>
        </is>
      </c>
    </row>
    <row r="197">
      <c r="A197" s="10" t="inlineStr">
        <is>
          <t>UK-000223</t>
        </is>
      </c>
      <c r="B197" s="10" t="inlineStr">
        <is>
          <t>VAPESHOPGU-02</t>
        </is>
      </c>
      <c r="C197" s="10" t="inlineStr">
        <is>
          <t>Vape Shop Guy</t>
        </is>
      </c>
      <c r="D197" s="10" t="inlineStr">
        <is>
          <t>Vape Shop Guy Ripon</t>
        </is>
      </c>
      <c r="E197" s="10" t="inlineStr">
        <is>
          <t>Vape Shop</t>
        </is>
      </c>
      <c r="F197" s="10" t="inlineStr">
        <is>
          <t>Vaping products &amp; e-liquids</t>
        </is>
      </c>
      <c r="G197" s="10" t="inlineStr">
        <is>
          <t>Multi-Site Independent</t>
        </is>
      </c>
      <c r="H197" s="10" t="inlineStr">
        <is>
          <t>4</t>
        </is>
      </c>
      <c r="I197" s="10" t="inlineStr">
        <is>
          <t>4 North Street</t>
        </is>
      </c>
      <c r="J197" s="10" t="inlineStr">
        <is>
          <t>Ripon</t>
        </is>
      </c>
      <c r="K197" s="10" t="inlineStr"/>
      <c r="L197" s="10" t="inlineStr"/>
      <c r="M197" s="10" t="inlineStr"/>
      <c r="N197" s="10" t="inlineStr"/>
      <c r="O197" s="10" t="inlineStr">
        <is>
          <t>https://vapeshopguy.co.uk/</t>
        </is>
      </c>
      <c r="P197" s="10" t="inlineStr"/>
      <c r="Q197" s="10" t="inlineStr"/>
      <c r="R197" s="10" t="inlineStr"/>
      <c r="S197" s="10" t="inlineStr"/>
      <c r="T197" s="10" t="inlineStr">
        <is>
          <t>16398053</t>
        </is>
      </c>
      <c r="U197" s="10" t="inlineStr"/>
      <c r="V197" s="10" t="inlineStr">
        <is>
          <t>High</t>
        </is>
      </c>
      <c r="W197" s="10" t="inlineStr">
        <is>
          <t>Multi-site retailer; Independent retailer; Core relevant category; Active website</t>
        </is>
      </c>
      <c r="X197" s="10" t="inlineStr">
        <is>
          <t>Not Found</t>
        </is>
      </c>
      <c r="Y197" s="10" t="inlineStr">
        <is>
          <t>Website Found</t>
        </is>
      </c>
      <c r="Z197" s="10" t="inlineStr">
        <is>
          <t>Medium</t>
        </is>
      </c>
      <c r="AA197" s="10" t="inlineStr">
        <is>
          <t>Requires Verification</t>
        </is>
      </c>
      <c r="AB197" s="10" t="inlineStr">
        <is>
          <t>https://vapeshopguy.co.uk/locations</t>
        </is>
      </c>
    </row>
    <row r="198">
      <c r="A198" s="5" t="inlineStr">
        <is>
          <t>UK-000224</t>
        </is>
      </c>
      <c r="B198" s="5" t="inlineStr">
        <is>
          <t>VAPESHOPGU-03</t>
        </is>
      </c>
      <c r="C198" s="5" t="inlineStr">
        <is>
          <t>Vape Shop Guy</t>
        </is>
      </c>
      <c r="D198" s="5" t="inlineStr">
        <is>
          <t>Vape Shop Guy Thirsk</t>
        </is>
      </c>
      <c r="E198" s="5" t="inlineStr">
        <is>
          <t>Vape Shop</t>
        </is>
      </c>
      <c r="F198" s="5" t="inlineStr">
        <is>
          <t>Vaping products &amp; e-liquids</t>
        </is>
      </c>
      <c r="G198" s="5" t="inlineStr">
        <is>
          <t>Multi-Site Independent</t>
        </is>
      </c>
      <c r="H198" s="5" t="inlineStr">
        <is>
          <t>4</t>
        </is>
      </c>
      <c r="I198" s="5" t="inlineStr">
        <is>
          <t>2 Millgate</t>
        </is>
      </c>
      <c r="J198" s="5" t="inlineStr">
        <is>
          <t>Thirsk</t>
        </is>
      </c>
      <c r="K198" s="5" t="inlineStr"/>
      <c r="L198" s="5" t="inlineStr"/>
      <c r="M198" s="5" t="inlineStr"/>
      <c r="N198" s="5" t="inlineStr"/>
      <c r="O198" s="5" t="inlineStr">
        <is>
          <t>https://vapeshopguy.co.uk/</t>
        </is>
      </c>
      <c r="P198" s="5" t="inlineStr"/>
      <c r="Q198" s="5" t="inlineStr"/>
      <c r="R198" s="5" t="inlineStr"/>
      <c r="S198" s="5" t="inlineStr"/>
      <c r="T198" s="5" t="inlineStr">
        <is>
          <t>15869863</t>
        </is>
      </c>
      <c r="U198" s="5" t="inlineStr"/>
      <c r="V198" s="5" t="inlineStr">
        <is>
          <t>High</t>
        </is>
      </c>
      <c r="W198" s="5" t="inlineStr">
        <is>
          <t>Multi-site retailer; Independent retailer; Core relevant category; Active website</t>
        </is>
      </c>
      <c r="X198" s="5" t="inlineStr">
        <is>
          <t>Not Found</t>
        </is>
      </c>
      <c r="Y198" s="5" t="inlineStr">
        <is>
          <t>Website Found</t>
        </is>
      </c>
      <c r="Z198" s="5" t="inlineStr">
        <is>
          <t>Medium</t>
        </is>
      </c>
      <c r="AA198" s="5" t="inlineStr">
        <is>
          <t>Requires Verification</t>
        </is>
      </c>
      <c r="AB198" s="5" t="inlineStr">
        <is>
          <t>https://vapeshopguy.co.uk/locations</t>
        </is>
      </c>
    </row>
    <row r="199">
      <c r="A199" s="10" t="inlineStr">
        <is>
          <t>UK-000225</t>
        </is>
      </c>
      <c r="B199" s="10" t="inlineStr">
        <is>
          <t>VAPESHOPGU-04</t>
        </is>
      </c>
      <c r="C199" s="10" t="inlineStr">
        <is>
          <t>Vape Shop Guy</t>
        </is>
      </c>
      <c r="D199" s="10" t="inlineStr">
        <is>
          <t>Vapour Worx Knaresborough</t>
        </is>
      </c>
      <c r="E199" s="10" t="inlineStr">
        <is>
          <t>Vape Shop</t>
        </is>
      </c>
      <c r="F199" s="10" t="inlineStr">
        <is>
          <t>Vaping products &amp; e-liquids</t>
        </is>
      </c>
      <c r="G199" s="10" t="inlineStr">
        <is>
          <t>Multi-Site Independent</t>
        </is>
      </c>
      <c r="H199" s="10" t="inlineStr">
        <is>
          <t>4</t>
        </is>
      </c>
      <c r="I199" s="10" t="inlineStr">
        <is>
          <t>39a High Street</t>
        </is>
      </c>
      <c r="J199" s="10" t="inlineStr">
        <is>
          <t>Knaresborough</t>
        </is>
      </c>
      <c r="K199" s="10" t="inlineStr">
        <is>
          <t>HG5 0HB</t>
        </is>
      </c>
      <c r="L199" s="10" t="inlineStr">
        <is>
          <t>01423 610083</t>
        </is>
      </c>
      <c r="M199" s="10" t="inlineStr"/>
      <c r="N199" s="10" t="inlineStr"/>
      <c r="O199" s="10" t="inlineStr">
        <is>
          <t>https://vapeshopguy.co.uk/</t>
        </is>
      </c>
      <c r="P199" s="10" t="inlineStr"/>
      <c r="Q199" s="10" t="inlineStr"/>
      <c r="R199" s="10" t="inlineStr"/>
      <c r="S199" s="10" t="inlineStr"/>
      <c r="T199" s="10" t="inlineStr"/>
      <c r="U199" s="10" t="inlineStr"/>
      <c r="V199" s="10" t="inlineStr">
        <is>
          <t>High</t>
        </is>
      </c>
      <c r="W199" s="10" t="inlineStr">
        <is>
          <t>Multi-site retailer; Independent retailer; Core relevant category; Active website</t>
        </is>
      </c>
      <c r="X199" s="10" t="inlineStr">
        <is>
          <t>Verified directory</t>
        </is>
      </c>
      <c r="Y199" s="10" t="inlineStr">
        <is>
          <t>Website Found</t>
        </is>
      </c>
      <c r="Z199" s="10" t="inlineStr">
        <is>
          <t>Medium</t>
        </is>
      </c>
      <c r="AA199" s="10" t="inlineStr">
        <is>
          <t>Requires Verification</t>
        </is>
      </c>
      <c r="AB199" s="10" t="inlineStr">
        <is>
          <t>https://directory.crewechronicle.co.uk/company/1223189121957890</t>
        </is>
      </c>
    </row>
    <row r="200">
      <c r="A200" s="5" t="inlineStr">
        <is>
          <t>UK-000743</t>
        </is>
      </c>
      <c r="B200" s="5" t="inlineStr">
        <is>
          <t>VAPESHOPNO-01</t>
        </is>
      </c>
      <c r="C200" s="5" t="inlineStr">
        <is>
          <t>Vape Shop No 1 Wirral</t>
        </is>
      </c>
      <c r="D200" s="5" t="inlineStr">
        <is>
          <t>Vape Shop No 1 Wirral - Bebington</t>
        </is>
      </c>
      <c r="E200" s="5" t="inlineStr">
        <is>
          <t>Vape Shop</t>
        </is>
      </c>
      <c r="F200" s="5" t="inlineStr">
        <is>
          <t>Vape and CBD store</t>
        </is>
      </c>
      <c r="G200" s="5" t="inlineStr">
        <is>
          <t>Multi-Site Independent</t>
        </is>
      </c>
      <c r="H200" s="5" t="inlineStr">
        <is>
          <t>3</t>
        </is>
      </c>
      <c r="I200" s="5" t="inlineStr">
        <is>
          <t>224 Bebington Road</t>
        </is>
      </c>
      <c r="J200" s="5" t="inlineStr">
        <is>
          <t>Birkenhead</t>
        </is>
      </c>
      <c r="K200" s="5" t="inlineStr">
        <is>
          <t>CH42 4QF</t>
        </is>
      </c>
      <c r="L200" s="5" t="inlineStr">
        <is>
          <t>0151 208 1706</t>
        </is>
      </c>
      <c r="M200" s="5" t="inlineStr">
        <is>
          <t>orders@vapeshopno1.co.uk</t>
        </is>
      </c>
      <c r="N200" s="5" t="inlineStr">
        <is>
          <t>orders@vapeshopno1.co.uk</t>
        </is>
      </c>
      <c r="O200" s="5" t="inlineStr">
        <is>
          <t>https://vapeshopno1.co.uk/</t>
        </is>
      </c>
      <c r="P200" s="5" t="inlineStr">
        <is>
          <t>https://www.facebook.com/vapeshopno1wirral/</t>
        </is>
      </c>
      <c r="Q200" s="5" t="inlineStr"/>
      <c r="R200" s="5" t="inlineStr"/>
      <c r="S200" s="5" t="inlineStr"/>
      <c r="T200" s="5" t="inlineStr"/>
      <c r="U200" s="5" t="inlineStr"/>
      <c r="V200" s="5" t="inlineStr">
        <is>
          <t>High</t>
        </is>
      </c>
      <c r="W200" s="5" t="inlineStr">
        <is>
          <t>Multi-site retailer; Independent retailer; Core relevant category; Public trade/sales contact; Active website; Social presence</t>
        </is>
      </c>
      <c r="X200" s="5" t="inlineStr">
        <is>
          <t>Verified directory</t>
        </is>
      </c>
      <c r="Y200" s="5" t="inlineStr">
        <is>
          <t>Publicly Listed</t>
        </is>
      </c>
      <c r="Z200" s="5" t="inlineStr">
        <is>
          <t>High</t>
        </is>
      </c>
      <c r="AA200" s="5" t="inlineStr">
        <is>
          <t>Requires Verification</t>
        </is>
      </c>
      <c r="AB200" s="5" t="inlineStr">
        <is>
          <t>https://vapeshopno1.co.uk/contact-us-enquire/</t>
        </is>
      </c>
    </row>
    <row r="201">
      <c r="A201" s="10" t="inlineStr">
        <is>
          <t>UK-000744</t>
        </is>
      </c>
      <c r="B201" s="10" t="inlineStr">
        <is>
          <t>VAPESHOPNO-02</t>
        </is>
      </c>
      <c r="C201" s="10" t="inlineStr">
        <is>
          <t>Vape Shop No 1 Wirral</t>
        </is>
      </c>
      <c r="D201" s="10" t="inlineStr">
        <is>
          <t>Vape Shop No 1 Wirral - Greasby</t>
        </is>
      </c>
      <c r="E201" s="10" t="inlineStr">
        <is>
          <t>Vape Shop</t>
        </is>
      </c>
      <c r="F201" s="10" t="inlineStr">
        <is>
          <t>Vape and CBD store</t>
        </is>
      </c>
      <c r="G201" s="10" t="inlineStr">
        <is>
          <t>Multi-Site Independent</t>
        </is>
      </c>
      <c r="H201" s="10" t="inlineStr">
        <is>
          <t>3</t>
        </is>
      </c>
      <c r="I201" s="10" t="inlineStr">
        <is>
          <t>243 Greasby Road</t>
        </is>
      </c>
      <c r="J201" s="10" t="inlineStr">
        <is>
          <t>Wirral</t>
        </is>
      </c>
      <c r="K201" s="10" t="inlineStr">
        <is>
          <t>CH49 2PG</t>
        </is>
      </c>
      <c r="L201" s="10" t="inlineStr">
        <is>
          <t>0151 677 7533</t>
        </is>
      </c>
      <c r="M201" s="10" t="inlineStr">
        <is>
          <t>orders@vapeshopno1.co.uk</t>
        </is>
      </c>
      <c r="N201" s="10" t="inlineStr">
        <is>
          <t>orders@vapeshopno1.co.uk</t>
        </is>
      </c>
      <c r="O201" s="10" t="inlineStr">
        <is>
          <t>https://vapeshopno1.co.uk/</t>
        </is>
      </c>
      <c r="P201" s="10" t="inlineStr">
        <is>
          <t>https://www.facebook.com/vapeshopno1wirralgreasby/</t>
        </is>
      </c>
      <c r="Q201" s="10" t="inlineStr"/>
      <c r="R201" s="10" t="inlineStr"/>
      <c r="S201" s="10" t="inlineStr"/>
      <c r="T201" s="10" t="inlineStr"/>
      <c r="U201" s="10" t="inlineStr"/>
      <c r="V201" s="10" t="inlineStr">
        <is>
          <t>High</t>
        </is>
      </c>
      <c r="W201" s="10" t="inlineStr">
        <is>
          <t>Multi-site retailer; Independent retailer; Core relevant category; Public trade/sales contact; Active website; Social presence</t>
        </is>
      </c>
      <c r="X201" s="10" t="inlineStr">
        <is>
          <t>Verified directory</t>
        </is>
      </c>
      <c r="Y201" s="10" t="inlineStr">
        <is>
          <t>Publicly Listed</t>
        </is>
      </c>
      <c r="Z201" s="10" t="inlineStr">
        <is>
          <t>High</t>
        </is>
      </c>
      <c r="AA201" s="10" t="inlineStr">
        <is>
          <t>Requires Verification</t>
        </is>
      </c>
      <c r="AB201" s="10" t="inlineStr">
        <is>
          <t>https://vapeshopno1.co.uk/contact-us-enquire/</t>
        </is>
      </c>
    </row>
    <row r="202">
      <c r="A202" s="5" t="inlineStr">
        <is>
          <t>UK-000745</t>
        </is>
      </c>
      <c r="B202" s="5" t="inlineStr">
        <is>
          <t>VAPESHOPNO-03</t>
        </is>
      </c>
      <c r="C202" s="5" t="inlineStr">
        <is>
          <t>Vape Shop No 1 Wirral</t>
        </is>
      </c>
      <c r="D202" s="5" t="inlineStr">
        <is>
          <t>Vape Shop No 1 Wirral - Prenton</t>
        </is>
      </c>
      <c r="E202" s="5" t="inlineStr">
        <is>
          <t>Vape Shop</t>
        </is>
      </c>
      <c r="F202" s="5" t="inlineStr">
        <is>
          <t>Vape and CBD store</t>
        </is>
      </c>
      <c r="G202" s="5" t="inlineStr">
        <is>
          <t>Multi-Site Independent</t>
        </is>
      </c>
      <c r="H202" s="5" t="inlineStr">
        <is>
          <t>3</t>
        </is>
      </c>
      <c r="I202" s="5" t="inlineStr">
        <is>
          <t>4 Townfield Close</t>
        </is>
      </c>
      <c r="J202" s="5" t="inlineStr">
        <is>
          <t>Birkenhead</t>
        </is>
      </c>
      <c r="K202" s="5" t="inlineStr">
        <is>
          <t>CH43 9JW</t>
        </is>
      </c>
      <c r="L202" s="5" t="inlineStr">
        <is>
          <t>0151 652 0512</t>
        </is>
      </c>
      <c r="M202" s="5" t="inlineStr">
        <is>
          <t>orders@vapeshopno1.co.uk</t>
        </is>
      </c>
      <c r="N202" s="5" t="inlineStr">
        <is>
          <t>orders@vapeshopno1.co.uk</t>
        </is>
      </c>
      <c r="O202" s="5" t="inlineStr">
        <is>
          <t>https://vapeshopno1.co.uk/</t>
        </is>
      </c>
      <c r="P202" s="5" t="inlineStr">
        <is>
          <t>https://www.facebook.com/vapeshopno1wirral/</t>
        </is>
      </c>
      <c r="Q202" s="5" t="inlineStr"/>
      <c r="R202" s="5" t="inlineStr"/>
      <c r="S202" s="5" t="inlineStr"/>
      <c r="T202" s="5" t="inlineStr"/>
      <c r="U202" s="5" t="inlineStr"/>
      <c r="V202" s="5" t="inlineStr">
        <is>
          <t>High</t>
        </is>
      </c>
      <c r="W202" s="5" t="inlineStr">
        <is>
          <t>Multi-site retailer; Independent retailer; Core relevant category; Public trade/sales contact; Active website; Social presence</t>
        </is>
      </c>
      <c r="X202" s="5" t="inlineStr">
        <is>
          <t>Verified directory</t>
        </is>
      </c>
      <c r="Y202" s="5" t="inlineStr">
        <is>
          <t>Publicly Listed</t>
        </is>
      </c>
      <c r="Z202" s="5" t="inlineStr">
        <is>
          <t>Medium</t>
        </is>
      </c>
      <c r="AA202" s="5" t="inlineStr">
        <is>
          <t>Requires Verification</t>
        </is>
      </c>
      <c r="AB202" s="5" t="inlineStr">
        <is>
          <t>https://vapeshopno1.co.uk/contact-us-enquire/</t>
        </is>
      </c>
    </row>
    <row r="203">
      <c r="A203" s="10" t="inlineStr">
        <is>
          <t>UK-000563</t>
        </is>
      </c>
      <c r="B203" s="10" t="inlineStr">
        <is>
          <t>VAPESUPERS-01</t>
        </is>
      </c>
      <c r="C203" s="10" t="inlineStr">
        <is>
          <t>Vape Superstore</t>
        </is>
      </c>
      <c r="D203" s="10" t="inlineStr">
        <is>
          <t>Vape Superstore (Walthamstow)</t>
        </is>
      </c>
      <c r="E203" s="10" t="inlineStr">
        <is>
          <t>Vape Shop</t>
        </is>
      </c>
      <c r="F203" s="10" t="inlineStr">
        <is>
          <t>Vape hardware, e-liquids &amp; disposables</t>
        </is>
      </c>
      <c r="G203" s="10" t="inlineStr">
        <is>
          <t>Regional Chain</t>
        </is>
      </c>
      <c r="H203" s="10" t="inlineStr">
        <is>
          <t>2</t>
        </is>
      </c>
      <c r="I203" s="10" t="inlineStr">
        <is>
          <t>Unit 27B, 45 Selborne Road</t>
        </is>
      </c>
      <c r="J203" s="10" t="inlineStr">
        <is>
          <t>Walthamstow</t>
        </is>
      </c>
      <c r="K203" s="10" t="inlineStr">
        <is>
          <t>E17 7JR</t>
        </is>
      </c>
      <c r="L203" s="10" t="inlineStr">
        <is>
          <t>020 8520 5777</t>
        </is>
      </c>
      <c r="M203" s="10" t="inlineStr"/>
      <c r="N203" s="10" t="inlineStr"/>
      <c r="O203" s="10" t="inlineStr"/>
      <c r="P203" s="10" t="inlineStr"/>
      <c r="Q203" s="10" t="inlineStr"/>
      <c r="R203" s="10" t="inlineStr"/>
      <c r="S203" s="10" t="inlineStr"/>
      <c r="T203" s="10" t="inlineStr"/>
      <c r="U203" s="10" t="inlineStr"/>
      <c r="V203" s="10" t="inlineStr">
        <is>
          <t>Medium</t>
        </is>
      </c>
      <c r="W203" s="10" t="inlineStr">
        <is>
          <t>Multi-site retailer; Core relevant category</t>
        </is>
      </c>
      <c r="X203" s="10" t="inlineStr">
        <is>
          <t>Verified directory</t>
        </is>
      </c>
      <c r="Y203" s="10" t="inlineStr">
        <is>
          <t>Not Found</t>
        </is>
      </c>
      <c r="Z203" s="10" t="inlineStr">
        <is>
          <t>Medium</t>
        </is>
      </c>
      <c r="AA203" s="10" t="inlineStr">
        <is>
          <t>Requires Verification</t>
        </is>
      </c>
      <c r="AB203" s="10" t="inlineStr">
        <is>
          <t>https://www.yell.com/biz/vape-superstore-walthamstow-london-9443123/</t>
        </is>
      </c>
    </row>
    <row r="204">
      <c r="A204" s="5" t="inlineStr">
        <is>
          <t>UK-000564</t>
        </is>
      </c>
      <c r="B204" s="5" t="inlineStr">
        <is>
          <t>VAPESUPERS-02</t>
        </is>
      </c>
      <c r="C204" s="5" t="inlineStr">
        <is>
          <t>Vape Superstore</t>
        </is>
      </c>
      <c r="D204" s="5" t="inlineStr">
        <is>
          <t>Vape Superstore Soho</t>
        </is>
      </c>
      <c r="E204" s="5" t="inlineStr">
        <is>
          <t>Vape Shop</t>
        </is>
      </c>
      <c r="F204" s="5" t="inlineStr">
        <is>
          <t>Vape hardware, e-liquids &amp; disposables</t>
        </is>
      </c>
      <c r="G204" s="5" t="inlineStr">
        <is>
          <t>Regional Chain</t>
        </is>
      </c>
      <c r="H204" s="5" t="inlineStr">
        <is>
          <t>1</t>
        </is>
      </c>
      <c r="I204" s="5" t="inlineStr">
        <is>
          <t>51 Rupert Street</t>
        </is>
      </c>
      <c r="J204" s="5" t="inlineStr">
        <is>
          <t>London</t>
        </is>
      </c>
      <c r="K204" s="5" t="inlineStr">
        <is>
          <t>W1D 7PG</t>
        </is>
      </c>
      <c r="L204" s="5" t="inlineStr">
        <is>
          <t>020 7287 4524</t>
        </is>
      </c>
      <c r="M204" s="5" t="inlineStr"/>
      <c r="N204" s="5" t="inlineStr"/>
      <c r="O204" s="5" t="inlineStr"/>
      <c r="P204" s="5" t="inlineStr">
        <is>
          <t>https://www.facebook.com/vapesuperstoresoho</t>
        </is>
      </c>
      <c r="Q204" s="5" t="inlineStr"/>
      <c r="R204" s="5" t="inlineStr"/>
      <c r="S204" s="5" t="inlineStr"/>
      <c r="T204" s="5" t="inlineStr"/>
      <c r="U204" s="5" t="inlineStr"/>
      <c r="V204" s="5" t="inlineStr">
        <is>
          <t>Medium</t>
        </is>
      </c>
      <c r="W204" s="5" t="inlineStr">
        <is>
          <t>Multi-site retailer; Core relevant category; Social presence</t>
        </is>
      </c>
      <c r="X204" s="5" t="inlineStr">
        <is>
          <t>Verified directory</t>
        </is>
      </c>
      <c r="Y204" s="5" t="inlineStr">
        <is>
          <t>Not Found</t>
        </is>
      </c>
      <c r="Z204" s="5" t="inlineStr">
        <is>
          <t>Medium</t>
        </is>
      </c>
      <c r="AA204" s="5" t="inlineStr">
        <is>
          <t>Requires Verification</t>
        </is>
      </c>
      <c r="AB204" s="5" t="inlineStr">
        <is>
          <t>https://www.yell.com/biz/vape-superstore-soho-london-8853461/</t>
        </is>
      </c>
    </row>
    <row r="205">
      <c r="A205" s="10" t="inlineStr">
        <is>
          <t>UK-000326</t>
        </is>
      </c>
      <c r="B205" s="10" t="inlineStr">
        <is>
          <t>VAPEANDWAT-01</t>
        </is>
      </c>
      <c r="C205" s="10" t="inlineStr">
        <is>
          <t>Vape and Watts</t>
        </is>
      </c>
      <c r="D205" s="10" t="inlineStr">
        <is>
          <t>Vape and Watts Hyde</t>
        </is>
      </c>
      <c r="E205" s="10" t="inlineStr">
        <is>
          <t>Vape Shop</t>
        </is>
      </c>
      <c r="F205" s="10" t="inlineStr"/>
      <c r="G205" s="10" t="inlineStr">
        <is>
          <t>Multi-Site Independent</t>
        </is>
      </c>
      <c r="H205" s="10" t="inlineStr">
        <is>
          <t>2</t>
        </is>
      </c>
      <c r="I205" s="10" t="inlineStr">
        <is>
          <t>41 Clarendon Place</t>
        </is>
      </c>
      <c r="J205" s="10" t="inlineStr">
        <is>
          <t>Hyde</t>
        </is>
      </c>
      <c r="K205" s="10" t="inlineStr">
        <is>
          <t>SK14 2ND</t>
        </is>
      </c>
      <c r="L205" s="10" t="inlineStr"/>
      <c r="M205" s="10" t="inlineStr"/>
      <c r="N205" s="10" t="inlineStr"/>
      <c r="O205" s="10" t="inlineStr"/>
      <c r="P205" s="10" t="inlineStr">
        <is>
          <t>https://www.facebook.com/vapeandwatts/</t>
        </is>
      </c>
      <c r="Q205" s="10" t="inlineStr"/>
      <c r="R205" s="10" t="inlineStr"/>
      <c r="S205" s="10" t="inlineStr"/>
      <c r="T205" s="10" t="inlineStr"/>
      <c r="U205" s="10" t="inlineStr"/>
      <c r="V205" s="10" t="inlineStr">
        <is>
          <t>High</t>
        </is>
      </c>
      <c r="W205" s="10" t="inlineStr">
        <is>
          <t>Multi-site retailer; Independent retailer; Core relevant category; Social presence</t>
        </is>
      </c>
      <c r="X205" s="10" t="inlineStr">
        <is>
          <t>Not Found</t>
        </is>
      </c>
      <c r="Y205" s="10" t="inlineStr">
        <is>
          <t>Not Found</t>
        </is>
      </c>
      <c r="Z205" s="10" t="inlineStr">
        <is>
          <t>Low</t>
        </is>
      </c>
      <c r="AA205" s="10" t="inlineStr">
        <is>
          <t>Requires Verification</t>
        </is>
      </c>
      <c r="AB205" s="10" t="inlineStr">
        <is>
          <t>https://www.yell.com/biz/vape-and-watts-hyde-8811054/</t>
        </is>
      </c>
    </row>
    <row r="206">
      <c r="A206" s="5" t="inlineStr">
        <is>
          <t>UK-000327</t>
        </is>
      </c>
      <c r="B206" s="5" t="inlineStr">
        <is>
          <t>VAPEANDWAT-02</t>
        </is>
      </c>
      <c r="C206" s="5" t="inlineStr">
        <is>
          <t>Vape and Watts</t>
        </is>
      </c>
      <c r="D206" s="5" t="inlineStr">
        <is>
          <t>Vape and Watts Royton</t>
        </is>
      </c>
      <c r="E206" s="5" t="inlineStr">
        <is>
          <t>Vape Shop</t>
        </is>
      </c>
      <c r="F206" s="5" t="inlineStr"/>
      <c r="G206" s="5" t="inlineStr">
        <is>
          <t>Multi-Site Independent</t>
        </is>
      </c>
      <c r="H206" s="5" t="inlineStr">
        <is>
          <t>2</t>
        </is>
      </c>
      <c r="I206" s="5" t="inlineStr">
        <is>
          <t>112 Rochdale Road</t>
        </is>
      </c>
      <c r="J206" s="5" t="inlineStr">
        <is>
          <t>Royton</t>
        </is>
      </c>
      <c r="K206" s="5" t="inlineStr">
        <is>
          <t>OL2 6QF</t>
        </is>
      </c>
      <c r="L206" s="5" t="inlineStr"/>
      <c r="M206" s="5" t="inlineStr"/>
      <c r="N206" s="5" t="inlineStr"/>
      <c r="O206" s="5" t="inlineStr"/>
      <c r="P206" s="5" t="inlineStr">
        <is>
          <t>https://www.facebook.com/vapeandwatts/</t>
        </is>
      </c>
      <c r="Q206" s="5" t="inlineStr"/>
      <c r="R206" s="5" t="inlineStr"/>
      <c r="S206" s="5" t="inlineStr"/>
      <c r="T206" s="5" t="inlineStr"/>
      <c r="U206" s="5" t="inlineStr"/>
      <c r="V206" s="5" t="inlineStr">
        <is>
          <t>High</t>
        </is>
      </c>
      <c r="W206" s="5" t="inlineStr">
        <is>
          <t>Multi-site retailer; Independent retailer; Core relevant category; Social presence</t>
        </is>
      </c>
      <c r="X206" s="5" t="inlineStr">
        <is>
          <t>Not Found</t>
        </is>
      </c>
      <c r="Y206" s="5" t="inlineStr">
        <is>
          <t>Not Found</t>
        </is>
      </c>
      <c r="Z206" s="5" t="inlineStr">
        <is>
          <t>Low</t>
        </is>
      </c>
      <c r="AA206" s="5" t="inlineStr">
        <is>
          <t>Requires Verification</t>
        </is>
      </c>
      <c r="AB206" s="5" t="inlineStr">
        <is>
          <t>https://www.facebook.com/vapeandwatts/photos/available-at-royton-and-hyde-store/1539628500256452/</t>
        </is>
      </c>
    </row>
    <row r="207">
      <c r="A207" s="10" t="inlineStr">
        <is>
          <t>UK-000451</t>
        </is>
      </c>
      <c r="B207" s="10" t="inlineStr">
        <is>
          <t>VAPERZCORN-01</t>
        </is>
      </c>
      <c r="C207" s="10" t="inlineStr">
        <is>
          <t>Vaperz Corner</t>
        </is>
      </c>
      <c r="D207" s="10" t="inlineStr">
        <is>
          <t>Vaperz Corner - Acocks Green</t>
        </is>
      </c>
      <c r="E207" s="10" t="inlineStr">
        <is>
          <t>Vape Shop</t>
        </is>
      </c>
      <c r="F207" s="10" t="inlineStr">
        <is>
          <t>Vape hardware and e-liquid retailer</t>
        </is>
      </c>
      <c r="G207" s="10" t="inlineStr">
        <is>
          <t>Multi-Site Independent</t>
        </is>
      </c>
      <c r="H207" s="10" t="inlineStr">
        <is>
          <t>1</t>
        </is>
      </c>
      <c r="I207" s="10" t="inlineStr">
        <is>
          <t>34 Summer Road</t>
        </is>
      </c>
      <c r="J207" s="10" t="inlineStr">
        <is>
          <t>Birmingham</t>
        </is>
      </c>
      <c r="K207" s="10" t="inlineStr">
        <is>
          <t>B27 7UT</t>
        </is>
      </c>
      <c r="L207" s="10" t="inlineStr">
        <is>
          <t>0121 708 2710</t>
        </is>
      </c>
      <c r="M207" s="10" t="inlineStr"/>
      <c r="N207" s="10" t="inlineStr"/>
      <c r="O207" s="10" t="inlineStr">
        <is>
          <t>https://vaperzcorner.com/</t>
        </is>
      </c>
      <c r="P207" s="10" t="inlineStr"/>
      <c r="Q207" s="10" t="inlineStr"/>
      <c r="R207" s="10" t="inlineStr"/>
      <c r="S207" s="10" t="inlineStr"/>
      <c r="T207" s="10" t="inlineStr"/>
      <c r="U207" s="10" t="inlineStr"/>
      <c r="V207" s="10" t="inlineStr">
        <is>
          <t>High</t>
        </is>
      </c>
      <c r="W207" s="10" t="inlineStr">
        <is>
          <t>Multi-site retailer; Independent retailer; Core relevant category; Active website</t>
        </is>
      </c>
      <c r="X207" s="10" t="inlineStr">
        <is>
          <t>Verified directory</t>
        </is>
      </c>
      <c r="Y207" s="10" t="inlineStr">
        <is>
          <t>Website Found</t>
        </is>
      </c>
      <c r="Z207" s="10" t="inlineStr">
        <is>
          <t>Medium</t>
        </is>
      </c>
      <c r="AA207" s="10" t="inlineStr">
        <is>
          <t>Requires Verification</t>
        </is>
      </c>
      <c r="AB207" s="10" t="inlineStr">
        <is>
          <t>https://vaperzcorner.com/locations/</t>
        </is>
      </c>
    </row>
    <row r="208">
      <c r="A208" s="5" t="inlineStr">
        <is>
          <t>UK-000746</t>
        </is>
      </c>
      <c r="B208" s="5" t="inlineStr">
        <is>
          <t>VAPOURZ-01</t>
        </is>
      </c>
      <c r="C208" s="5" t="inlineStr">
        <is>
          <t>Vapourz</t>
        </is>
      </c>
      <c r="D208" s="5" t="inlineStr">
        <is>
          <t>Vapourz Alloa</t>
        </is>
      </c>
      <c r="E208" s="5" t="inlineStr">
        <is>
          <t>Vape Shop</t>
        </is>
      </c>
      <c r="F208" s="5" t="inlineStr">
        <is>
          <t>Vape shop / e-liquids</t>
        </is>
      </c>
      <c r="G208" s="5" t="inlineStr">
        <is>
          <t>Regional Chain</t>
        </is>
      </c>
      <c r="H208" s="5" t="inlineStr">
        <is>
          <t>1</t>
        </is>
      </c>
      <c r="I208" s="5" t="inlineStr">
        <is>
          <t>Mill Street</t>
        </is>
      </c>
      <c r="J208" s="5" t="inlineStr">
        <is>
          <t>Alloa</t>
        </is>
      </c>
      <c r="K208" s="5" t="inlineStr"/>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Multi-site retailer; Core relevant category</t>
        </is>
      </c>
      <c r="X208" s="5" t="inlineStr">
        <is>
          <t>Not Found</t>
        </is>
      </c>
      <c r="Y208" s="5" t="inlineStr">
        <is>
          <t>Not Found</t>
        </is>
      </c>
      <c r="Z208" s="5" t="inlineStr">
        <is>
          <t>Low</t>
        </is>
      </c>
      <c r="AA208" s="5" t="inlineStr">
        <is>
          <t>Requires Verification</t>
        </is>
      </c>
      <c r="AB208" s="5" t="inlineStr">
        <is>
          <t>https://alloa.cylex-uk.co.uk/company/vapourz-26787237.html</t>
        </is>
      </c>
    </row>
    <row r="209">
      <c r="A209" s="10" t="inlineStr">
        <is>
          <t>UK-000747</t>
        </is>
      </c>
      <c r="B209" s="10" t="inlineStr">
        <is>
          <t>VAPOURZ-02</t>
        </is>
      </c>
      <c r="C209" s="10" t="inlineStr">
        <is>
          <t>Vapourz</t>
        </is>
      </c>
      <c r="D209" s="10" t="inlineStr">
        <is>
          <t>Vapourz Falkirk</t>
        </is>
      </c>
      <c r="E209" s="10" t="inlineStr">
        <is>
          <t>Vape Shop</t>
        </is>
      </c>
      <c r="F209" s="10" t="inlineStr">
        <is>
          <t>Vape shop / e-liquids</t>
        </is>
      </c>
      <c r="G209" s="10" t="inlineStr">
        <is>
          <t>Regional Chain</t>
        </is>
      </c>
      <c r="H209" s="10" t="inlineStr">
        <is>
          <t>1</t>
        </is>
      </c>
      <c r="I209" s="10" t="inlineStr">
        <is>
          <t>100 High Street</t>
        </is>
      </c>
      <c r="J209" s="10" t="inlineStr">
        <is>
          <t>Falkirk</t>
        </is>
      </c>
      <c r="K209" s="10" t="inlineStr">
        <is>
          <t>FK1 1NW</t>
        </is>
      </c>
      <c r="L209" s="10" t="inlineStr">
        <is>
          <t>01324 626390</t>
        </is>
      </c>
      <c r="M209" s="10" t="inlineStr"/>
      <c r="N209" s="10" t="inlineStr"/>
      <c r="O209" s="10" t="inlineStr"/>
      <c r="P209" s="10" t="inlineStr"/>
      <c r="Q209" s="10" t="inlineStr"/>
      <c r="R209" s="10" t="inlineStr"/>
      <c r="S209" s="10" t="inlineStr"/>
      <c r="T209" s="10" t="inlineStr"/>
      <c r="U209" s="10" t="inlineStr"/>
      <c r="V209" s="10" t="inlineStr">
        <is>
          <t>Medium</t>
        </is>
      </c>
      <c r="W209" s="10" t="inlineStr">
        <is>
          <t>Multi-site retailer; Core relevant category</t>
        </is>
      </c>
      <c r="X209" s="10" t="inlineStr">
        <is>
          <t>Verified directory</t>
        </is>
      </c>
      <c r="Y209" s="10" t="inlineStr">
        <is>
          <t>Not Found</t>
        </is>
      </c>
      <c r="Z209" s="10" t="inlineStr">
        <is>
          <t>Medium</t>
        </is>
      </c>
      <c r="AA209" s="10" t="inlineStr">
        <is>
          <t>Requires Verification</t>
        </is>
      </c>
      <c r="AB209" s="10" t="inlineStr">
        <is>
          <t>https://falkirk.cylex-uk.co.uk/company/vapourz-26787238.html</t>
        </is>
      </c>
    </row>
    <row r="210">
      <c r="A210" s="5" t="inlineStr">
        <is>
          <t>UK-000748</t>
        </is>
      </c>
      <c r="B210" s="5" t="inlineStr">
        <is>
          <t>VAPOURZ-03</t>
        </is>
      </c>
      <c r="C210" s="5" t="inlineStr">
        <is>
          <t>Vapourz</t>
        </is>
      </c>
      <c r="D210" s="5" t="inlineStr">
        <is>
          <t>Vapourz Kirkcaldy</t>
        </is>
      </c>
      <c r="E210" s="5" t="inlineStr">
        <is>
          <t>Vape Shop</t>
        </is>
      </c>
      <c r="F210" s="5" t="inlineStr">
        <is>
          <t>Vape shop / e-liquids</t>
        </is>
      </c>
      <c r="G210" s="5" t="inlineStr">
        <is>
          <t>Regional Chain</t>
        </is>
      </c>
      <c r="H210" s="5" t="inlineStr">
        <is>
          <t>1</t>
        </is>
      </c>
      <c r="I210" s="5" t="inlineStr">
        <is>
          <t>High Street</t>
        </is>
      </c>
      <c r="J210" s="5" t="inlineStr">
        <is>
          <t>Kirkcaldy</t>
        </is>
      </c>
      <c r="K210" s="5" t="inlineStr"/>
      <c r="L210" s="5" t="inlineStr"/>
      <c r="M210" s="5" t="inlineStr"/>
      <c r="N210" s="5" t="inlineStr"/>
      <c r="O210" s="5" t="inlineStr"/>
      <c r="P210" s="5" t="inlineStr"/>
      <c r="Q210" s="5" t="inlineStr"/>
      <c r="R210" s="5" t="inlineStr"/>
      <c r="S210" s="5" t="inlineStr"/>
      <c r="T210" s="5" t="inlineStr"/>
      <c r="U210" s="5" t="inlineStr"/>
      <c r="V210" s="5" t="inlineStr">
        <is>
          <t>Medium</t>
        </is>
      </c>
      <c r="W210" s="5" t="inlineStr">
        <is>
          <t>Multi-site retailer; Core relevant category</t>
        </is>
      </c>
      <c r="X210" s="5" t="inlineStr">
        <is>
          <t>Not Found</t>
        </is>
      </c>
      <c r="Y210" s="5" t="inlineStr">
        <is>
          <t>Not Found</t>
        </is>
      </c>
      <c r="Z210" s="5" t="inlineStr">
        <is>
          <t>Low</t>
        </is>
      </c>
      <c r="AA210" s="5" t="inlineStr">
        <is>
          <t>Requires Verification</t>
        </is>
      </c>
      <c r="AB210" s="5" t="inlineStr">
        <is>
          <t>https://kirkcaldy.cylex-uk.co.uk/company/vapourz-26862998.html</t>
        </is>
      </c>
    </row>
    <row r="211">
      <c r="A211" s="10" t="inlineStr">
        <is>
          <t>UK-000749</t>
        </is>
      </c>
      <c r="B211" s="10" t="inlineStr">
        <is>
          <t>VAPOURZ-04</t>
        </is>
      </c>
      <c r="C211" s="10" t="inlineStr">
        <is>
          <t>Vapourz</t>
        </is>
      </c>
      <c r="D211" s="10" t="inlineStr">
        <is>
          <t>Vapourz Stirling</t>
        </is>
      </c>
      <c r="E211" s="10" t="inlineStr">
        <is>
          <t>Vape Shop</t>
        </is>
      </c>
      <c r="F211" s="10" t="inlineStr">
        <is>
          <t>Vape shop / e-liquids</t>
        </is>
      </c>
      <c r="G211" s="10" t="inlineStr">
        <is>
          <t>Regional Chain</t>
        </is>
      </c>
      <c r="H211" s="10" t="inlineStr">
        <is>
          <t>1</t>
        </is>
      </c>
      <c r="I211" s="10" t="inlineStr">
        <is>
          <t>King Street</t>
        </is>
      </c>
      <c r="J211" s="10" t="inlineStr">
        <is>
          <t>Stirling</t>
        </is>
      </c>
      <c r="K211" s="10" t="inlineStr"/>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Multi-site retailer; Core relevant category</t>
        </is>
      </c>
      <c r="X211" s="10" t="inlineStr">
        <is>
          <t>Not Found</t>
        </is>
      </c>
      <c r="Y211" s="10" t="inlineStr">
        <is>
          <t>Not Found</t>
        </is>
      </c>
      <c r="Z211" s="10" t="inlineStr">
        <is>
          <t>Low</t>
        </is>
      </c>
      <c r="AA211" s="10" t="inlineStr">
        <is>
          <t>Requires Verification</t>
        </is>
      </c>
      <c r="AB211" s="10" t="inlineStr">
        <is>
          <t>https://stirling.cylex-uk.co.uk/company/vapourz-26641954.html</t>
        </is>
      </c>
    </row>
    <row r="212">
      <c r="A212" s="5" t="inlineStr">
        <is>
          <t>WY-0039</t>
        </is>
      </c>
      <c r="B212" s="5" t="inlineStr">
        <is>
          <t>WOWVAPE-01</t>
        </is>
      </c>
      <c r="C212" s="5" t="inlineStr">
        <is>
          <t>WOW Vape</t>
        </is>
      </c>
      <c r="D212" s="5" t="inlineStr">
        <is>
          <t>WOW Vape (Castleford)</t>
        </is>
      </c>
      <c r="E212" s="5" t="inlineStr">
        <is>
          <t>Vape Shop</t>
        </is>
      </c>
      <c r="F212" s="5" t="inlineStr">
        <is>
          <t>Vape retailer</t>
        </is>
      </c>
      <c r="G212" s="5" t="inlineStr">
        <is>
          <t>Multi-Site Independent</t>
        </is>
      </c>
      <c r="H212" s="5" t="inlineStr">
        <is>
          <t>2</t>
        </is>
      </c>
      <c r="I212" s="5" t="inlineStr">
        <is>
          <t>45 Carlton Street</t>
        </is>
      </c>
      <c r="J212" s="5" t="inlineStr">
        <is>
          <t>Castleford</t>
        </is>
      </c>
      <c r="K212" s="5" t="inlineStr">
        <is>
          <t>WF10 1BA</t>
        </is>
      </c>
      <c r="L212" s="5" t="inlineStr">
        <is>
          <t>01977 516062</t>
        </is>
      </c>
      <c r="M212" s="5" t="inlineStr"/>
      <c r="N212" s="5" t="inlineStr"/>
      <c r="O212" s="5" t="inlineStr">
        <is>
          <t>https://wow-vape.co.uk</t>
        </is>
      </c>
      <c r="P212" s="5" t="inlineStr">
        <is>
          <t>https://www.facebook.com/wowvapecas/</t>
        </is>
      </c>
      <c r="Q212" s="5" t="inlineStr">
        <is>
          <t>https://www.instagram.com/wow_vape_castleford/</t>
        </is>
      </c>
      <c r="R212" s="5" t="inlineStr"/>
      <c r="S212" s="5" t="inlineStr"/>
      <c r="T212" s="5" t="inlineStr"/>
      <c r="U212" s="5" t="inlineStr"/>
      <c r="V212" s="5" t="inlineStr">
        <is>
          <t>High</t>
        </is>
      </c>
      <c r="W212" s="5" t="inlineStr">
        <is>
          <t>Multi-site retailer; Independent retailer; Core relevant category; Active website; Social presence</t>
        </is>
      </c>
      <c r="X212" s="5" t="inlineStr">
        <is>
          <t>Verified directory</t>
        </is>
      </c>
      <c r="Y212" s="5" t="inlineStr">
        <is>
          <t>Not Found</t>
        </is>
      </c>
      <c r="Z212" s="5" t="inlineStr">
        <is>
          <t>Medium</t>
        </is>
      </c>
      <c r="AA212" s="5" t="inlineStr">
        <is>
          <t>Requires Verification</t>
        </is>
      </c>
      <c r="AB212" s="5" t="inlineStr">
        <is>
          <t>https://www.facebook.com/wowvapecas/</t>
        </is>
      </c>
    </row>
    <row r="213">
      <c r="A213" s="10" t="inlineStr">
        <is>
          <t>WY-0040</t>
        </is>
      </c>
      <c r="B213" s="10" t="inlineStr">
        <is>
          <t>WOWVAPE-02</t>
        </is>
      </c>
      <c r="C213" s="10" t="inlineStr">
        <is>
          <t>WOW Vape</t>
        </is>
      </c>
      <c r="D213" s="10" t="inlineStr">
        <is>
          <t>WOW Vape (Wakefield)</t>
        </is>
      </c>
      <c r="E213" s="10" t="inlineStr">
        <is>
          <t>Vape Shop</t>
        </is>
      </c>
      <c r="F213" s="10" t="inlineStr">
        <is>
          <t>Vape retailer</t>
        </is>
      </c>
      <c r="G213" s="10" t="inlineStr">
        <is>
          <t>Multi-Site Independent</t>
        </is>
      </c>
      <c r="H213" s="10" t="inlineStr">
        <is>
          <t>2</t>
        </is>
      </c>
      <c r="I213" s="10" t="inlineStr"/>
      <c r="J213" s="10" t="inlineStr">
        <is>
          <t>Wakefield</t>
        </is>
      </c>
      <c r="K213" s="10" t="inlineStr"/>
      <c r="L213" s="10" t="inlineStr"/>
      <c r="M213" s="10" t="inlineStr"/>
      <c r="N213" s="10" t="inlineStr"/>
      <c r="O213" s="10" t="inlineStr"/>
      <c r="P213" s="10" t="inlineStr"/>
      <c r="Q213" s="10" t="inlineStr">
        <is>
          <t>https://www.instagram.com/wowvapewakefield/</t>
        </is>
      </c>
      <c r="R213" s="10" t="inlineStr"/>
      <c r="S213" s="10" t="inlineStr"/>
      <c r="T213" s="10" t="inlineStr"/>
      <c r="U213" s="10" t="inlineStr"/>
      <c r="V213" s="10" t="inlineStr">
        <is>
          <t>High</t>
        </is>
      </c>
      <c r="W213" s="10" t="inlineStr">
        <is>
          <t>Multi-site retailer; Independent retailer; Core relevant category; Social presence</t>
        </is>
      </c>
      <c r="X213" s="10" t="inlineStr">
        <is>
          <t>Not Found</t>
        </is>
      </c>
      <c r="Y213" s="10" t="inlineStr">
        <is>
          <t>Not Found</t>
        </is>
      </c>
      <c r="Z213" s="10" t="inlineStr">
        <is>
          <t>Low</t>
        </is>
      </c>
      <c r="AA213" s="10" t="inlineStr">
        <is>
          <t>Requires Verification</t>
        </is>
      </c>
      <c r="AB213" s="10" t="inlineStr">
        <is>
          <t>https://www.instagram.com/wowvapewakefield/</t>
        </is>
      </c>
    </row>
    <row r="214">
      <c r="A214" s="5" t="inlineStr">
        <is>
          <t>WY-0041</t>
        </is>
      </c>
      <c r="B214" s="5" t="inlineStr">
        <is>
          <t>WEAREVAPES-01</t>
        </is>
      </c>
      <c r="C214" s="5" t="inlineStr">
        <is>
          <t>We Are Vapes</t>
        </is>
      </c>
      <c r="D214" s="5" t="inlineStr">
        <is>
          <t>We Are Vapes</t>
        </is>
      </c>
      <c r="E214" s="5" t="inlineStr">
        <is>
          <t>Vape Shop</t>
        </is>
      </c>
      <c r="F214" s="5" t="inlineStr">
        <is>
          <t>Vape kits, e-liquids &amp; accessories</t>
        </is>
      </c>
      <c r="G214" s="5" t="inlineStr">
        <is>
          <t>Multi-Site Independent</t>
        </is>
      </c>
      <c r="H214" s="5" t="inlineStr">
        <is>
          <t>3</t>
        </is>
      </c>
      <c r="I214" s="5" t="inlineStr">
        <is>
          <t>287 Tong Street</t>
        </is>
      </c>
      <c r="J214" s="5" t="inlineStr">
        <is>
          <t>Bradford</t>
        </is>
      </c>
      <c r="K214" s="5" t="inlineStr">
        <is>
          <t>BD4 9QJ</t>
        </is>
      </c>
      <c r="L214" s="5" t="inlineStr">
        <is>
          <t>01274 270773</t>
        </is>
      </c>
      <c r="M214" s="5" t="inlineStr"/>
      <c r="N214" s="5" t="inlineStr"/>
      <c r="O214" s="5" t="inlineStr">
        <is>
          <t>https://www.wearevapes.com/</t>
        </is>
      </c>
      <c r="P214" s="5" t="inlineStr"/>
      <c r="Q214" s="5" t="inlineStr"/>
      <c r="R214" s="5" t="inlineStr"/>
      <c r="S214" s="5" t="inlineStr"/>
      <c r="T214" s="5" t="inlineStr"/>
      <c r="U214" s="5" t="inlineStr"/>
      <c r="V214" s="5" t="inlineStr">
        <is>
          <t>High</t>
        </is>
      </c>
      <c r="W214" s="5" t="inlineStr">
        <is>
          <t>Multi-site retailer; Independent retailer; Core relevant category; Active website</t>
        </is>
      </c>
      <c r="X214" s="5" t="inlineStr">
        <is>
          <t>Verified directory</t>
        </is>
      </c>
      <c r="Y214" s="5" t="inlineStr">
        <is>
          <t>Website Found</t>
        </is>
      </c>
      <c r="Z214" s="5" t="inlineStr">
        <is>
          <t>Medium</t>
        </is>
      </c>
      <c r="AA214" s="5" t="inlineStr">
        <is>
          <t>Requires Verification</t>
        </is>
      </c>
      <c r="AB214" s="5" t="inlineStr">
        <is>
          <t>https://www.wearevapes.com/</t>
        </is>
      </c>
    </row>
    <row r="215">
      <c r="A215" s="10" t="inlineStr">
        <is>
          <t>WY-0042</t>
        </is>
      </c>
      <c r="B215" s="10" t="inlineStr">
        <is>
          <t>WEAREVAPES-02</t>
        </is>
      </c>
      <c r="C215" s="10" t="inlineStr">
        <is>
          <t>We Are Vapes</t>
        </is>
      </c>
      <c r="D215" s="10" t="inlineStr">
        <is>
          <t>We Are Vapes</t>
        </is>
      </c>
      <c r="E215" s="10" t="inlineStr">
        <is>
          <t>Vape Shop</t>
        </is>
      </c>
      <c r="F215" s="10" t="inlineStr">
        <is>
          <t>Vape kits, e-liquids &amp; accessories</t>
        </is>
      </c>
      <c r="G215" s="10" t="inlineStr">
        <is>
          <t>Multi-Site Independent</t>
        </is>
      </c>
      <c r="H215" s="10" t="inlineStr">
        <is>
          <t>3</t>
        </is>
      </c>
      <c r="I215" s="10" t="inlineStr">
        <is>
          <t>220 High Street</t>
        </is>
      </c>
      <c r="J215" s="10" t="inlineStr">
        <is>
          <t>Bradford</t>
        </is>
      </c>
      <c r="K215" s="10" t="inlineStr"/>
      <c r="L215" s="10" t="inlineStr">
        <is>
          <t>01274 634327</t>
        </is>
      </c>
      <c r="M215" s="10" t="inlineStr"/>
      <c r="N215" s="10" t="inlineStr"/>
      <c r="O215" s="10" t="inlineStr">
        <is>
          <t>https://www.wearevapes.com/</t>
        </is>
      </c>
      <c r="P215" s="10" t="inlineStr"/>
      <c r="Q215" s="10" t="inlineStr"/>
      <c r="R215" s="10" t="inlineStr"/>
      <c r="S215" s="10" t="inlineStr"/>
      <c r="T215" s="10" t="inlineStr"/>
      <c r="U215" s="10" t="inlineStr"/>
      <c r="V215" s="10" t="inlineStr">
        <is>
          <t>High</t>
        </is>
      </c>
      <c r="W215" s="10" t="inlineStr">
        <is>
          <t>Multi-site retailer; Independent retailer; Core relevant category; Active website</t>
        </is>
      </c>
      <c r="X215" s="10" t="inlineStr">
        <is>
          <t>Verified directory</t>
        </is>
      </c>
      <c r="Y215" s="10" t="inlineStr">
        <is>
          <t>Website Found</t>
        </is>
      </c>
      <c r="Z215" s="10" t="inlineStr">
        <is>
          <t>Medium</t>
        </is>
      </c>
      <c r="AA215" s="10" t="inlineStr">
        <is>
          <t>Requires Verification</t>
        </is>
      </c>
      <c r="AB215" s="10" t="inlineStr">
        <is>
          <t>https://www.wearevapes.com/</t>
        </is>
      </c>
    </row>
    <row r="216">
      <c r="A216" s="5" t="inlineStr">
        <is>
          <t>WY-0043</t>
        </is>
      </c>
      <c r="B216" s="5" t="inlineStr">
        <is>
          <t>WEAREVAPES-03</t>
        </is>
      </c>
      <c r="C216" s="5" t="inlineStr">
        <is>
          <t>We Are Vapes</t>
        </is>
      </c>
      <c r="D216" s="5" t="inlineStr">
        <is>
          <t>We Are Vapes</t>
        </is>
      </c>
      <c r="E216" s="5" t="inlineStr">
        <is>
          <t>Vape Shop</t>
        </is>
      </c>
      <c r="F216" s="5" t="inlineStr">
        <is>
          <t>Vape kits, e-liquids &amp; accessories</t>
        </is>
      </c>
      <c r="G216" s="5" t="inlineStr">
        <is>
          <t>Multi-Site Independent</t>
        </is>
      </c>
      <c r="H216" s="5" t="inlineStr">
        <is>
          <t>3</t>
        </is>
      </c>
      <c r="I216" s="5" t="inlineStr">
        <is>
          <t>446 Killinghall Road</t>
        </is>
      </c>
      <c r="J216" s="5" t="inlineStr">
        <is>
          <t>Bradford</t>
        </is>
      </c>
      <c r="K216" s="5" t="inlineStr"/>
      <c r="L216" s="5" t="inlineStr"/>
      <c r="M216" s="5" t="inlineStr"/>
      <c r="N216" s="5" t="inlineStr"/>
      <c r="O216" s="5" t="inlineStr">
        <is>
          <t>https://www.wearevapes.com/</t>
        </is>
      </c>
      <c r="P216" s="5" t="inlineStr"/>
      <c r="Q216" s="5" t="inlineStr"/>
      <c r="R216" s="5" t="inlineStr"/>
      <c r="S216" s="5" t="inlineStr"/>
      <c r="T216" s="5" t="inlineStr"/>
      <c r="U216" s="5" t="inlineStr"/>
      <c r="V216" s="5" t="inlineStr">
        <is>
          <t>High</t>
        </is>
      </c>
      <c r="W216" s="5" t="inlineStr">
        <is>
          <t>Multi-site retailer; Independent retailer; Core relevant category; Active website</t>
        </is>
      </c>
      <c r="X216" s="5" t="inlineStr">
        <is>
          <t>Not Found</t>
        </is>
      </c>
      <c r="Y216" s="5" t="inlineStr">
        <is>
          <t>Website Found</t>
        </is>
      </c>
      <c r="Z216" s="5" t="inlineStr">
        <is>
          <t>Low</t>
        </is>
      </c>
      <c r="AA216" s="5" t="inlineStr">
        <is>
          <t>Requires Verification</t>
        </is>
      </c>
      <c r="AB216" s="5" t="inlineStr">
        <is>
          <t>https://www.wearevapes.com/</t>
        </is>
      </c>
    </row>
    <row r="217">
      <c r="A217" s="10" t="inlineStr">
        <is>
          <t>UK-000750</t>
        </is>
      </c>
      <c r="B217" s="10" t="inlineStr">
        <is>
          <t>WOODWINTER-01</t>
        </is>
      </c>
      <c r="C217" s="10" t="inlineStr">
        <is>
          <t>WoodWinters</t>
        </is>
      </c>
      <c r="D217" s="10" t="inlineStr">
        <is>
          <t>WoodWinters Wines &amp; Whiskies</t>
        </is>
      </c>
      <c r="E217" s="10" t="inlineStr">
        <is>
          <t>Off-Licence</t>
        </is>
      </c>
      <c r="F217" s="10" t="inlineStr">
        <is>
          <t>Wine &amp; whisky merchant</t>
        </is>
      </c>
      <c r="G217" s="10" t="inlineStr">
        <is>
          <t>Multi-Site Independent</t>
        </is>
      </c>
      <c r="H217" s="10" t="inlineStr">
        <is>
          <t>1</t>
        </is>
      </c>
      <c r="I217" s="10" t="inlineStr">
        <is>
          <t>2c Springbank Road</t>
        </is>
      </c>
      <c r="J217" s="10" t="inlineStr">
        <is>
          <t>Stirling</t>
        </is>
      </c>
      <c r="K217" s="10" t="inlineStr">
        <is>
          <t>FK7 7WR</t>
        </is>
      </c>
      <c r="L217" s="10" t="inlineStr">
        <is>
          <t>01786 448687</t>
        </is>
      </c>
      <c r="M217" s="10" t="inlineStr"/>
      <c r="N217" s="10" t="inlineStr"/>
      <c r="O217" s="10" t="inlineStr"/>
      <c r="P217" s="10" t="inlineStr"/>
      <c r="Q217" s="10" t="inlineStr"/>
      <c r="R217" s="10" t="inlineStr"/>
      <c r="S217" s="10" t="inlineStr"/>
      <c r="T217" s="10" t="inlineStr"/>
      <c r="U217" s="10" t="inlineStr"/>
      <c r="V217" s="10" t="inlineStr">
        <is>
          <t>Medium</t>
        </is>
      </c>
      <c r="W217" s="10" t="inlineStr">
        <is>
          <t>Multi-site retailer; Independent retailer; Relevant category</t>
        </is>
      </c>
      <c r="X217" s="10" t="inlineStr">
        <is>
          <t>Verified directory</t>
        </is>
      </c>
      <c r="Y217" s="10" t="inlineStr">
        <is>
          <t>Not Found</t>
        </is>
      </c>
      <c r="Z217" s="10" t="inlineStr">
        <is>
          <t>Medium</t>
        </is>
      </c>
      <c r="AA217" s="10" t="inlineStr">
        <is>
          <t>Requires Verification</t>
        </is>
      </c>
      <c r="AB217" s="10" t="inlineStr">
        <is>
          <t>https://falkirk.cylex-uk.co.uk/off-licence.html</t>
        </is>
      </c>
    </row>
    <row r="218">
      <c r="A218" s="5" t="inlineStr">
        <is>
          <t>UK-000328</t>
        </is>
      </c>
      <c r="B218" s="5" t="inlineStr">
        <is>
          <t>WORLDWIDEF-01</t>
        </is>
      </c>
      <c r="C218" s="5" t="inlineStr">
        <is>
          <t>Worldwide Foods</t>
        </is>
      </c>
      <c r="D218" s="5" t="inlineStr">
        <is>
          <t>Worldwide Foods (Cheetham Hill)</t>
        </is>
      </c>
      <c r="E218" s="5" t="inlineStr">
        <is>
          <t>Independent Supermarket</t>
        </is>
      </c>
      <c r="F218" s="5" t="inlineStr">
        <is>
          <t>World/ethnic food supermarket (halal)</t>
        </is>
      </c>
      <c r="G218" s="5" t="inlineStr">
        <is>
          <t>Multi-Site Independent</t>
        </is>
      </c>
      <c r="H218" s="5" t="inlineStr">
        <is>
          <t>4</t>
        </is>
      </c>
      <c r="I218" s="5" t="inlineStr">
        <is>
          <t>Crescent Road</t>
        </is>
      </c>
      <c r="J218" s="5" t="inlineStr">
        <is>
          <t>Manchester</t>
        </is>
      </c>
      <c r="K218" s="5" t="inlineStr">
        <is>
          <t>M8 9JX</t>
        </is>
      </c>
      <c r="L218" s="5" t="inlineStr">
        <is>
          <t>0161 740 2690</t>
        </is>
      </c>
      <c r="M218" s="5" t="inlineStr"/>
      <c r="N218" s="5" t="inlineStr"/>
      <c r="O218" s="5" t="inlineStr">
        <is>
          <t>https://worldwidefoods.co.uk/</t>
        </is>
      </c>
      <c r="P218" s="5" t="inlineStr"/>
      <c r="Q218" s="5" t="inlineStr"/>
      <c r="R218" s="5" t="inlineStr"/>
      <c r="S218" s="5" t="inlineStr"/>
      <c r="T218" s="5" t="inlineStr"/>
      <c r="U218" s="5" t="inlineStr"/>
      <c r="V218" s="5" t="inlineStr">
        <is>
          <t>Medium</t>
        </is>
      </c>
      <c r="W218" s="5" t="inlineStr">
        <is>
          <t>Multi-site retailer; Independent retailer; Relevant category; Active website</t>
        </is>
      </c>
      <c r="X218" s="5" t="inlineStr">
        <is>
          <t>Verified directory</t>
        </is>
      </c>
      <c r="Y218" s="5" t="inlineStr">
        <is>
          <t>Website Found</t>
        </is>
      </c>
      <c r="Z218" s="5" t="inlineStr">
        <is>
          <t>Medium</t>
        </is>
      </c>
      <c r="AA218" s="5" t="inlineStr">
        <is>
          <t>Requires Verification</t>
        </is>
      </c>
      <c r="AB218" s="5" t="inlineStr">
        <is>
          <t>https://worldwidefoods.co.uk/locations/</t>
        </is>
      </c>
    </row>
    <row r="219">
      <c r="A219" s="10" t="inlineStr">
        <is>
          <t>UK-000329</t>
        </is>
      </c>
      <c r="B219" s="10" t="inlineStr">
        <is>
          <t>WORLDWIDEF-02</t>
        </is>
      </c>
      <c r="C219" s="10" t="inlineStr">
        <is>
          <t>Worldwide Foods</t>
        </is>
      </c>
      <c r="D219" s="10" t="inlineStr">
        <is>
          <t>Worldwide Foods (Longsight)</t>
        </is>
      </c>
      <c r="E219" s="10" t="inlineStr">
        <is>
          <t>Independent Supermarket</t>
        </is>
      </c>
      <c r="F219" s="10" t="inlineStr">
        <is>
          <t>World/ethnic food supermarket (halal)</t>
        </is>
      </c>
      <c r="G219" s="10" t="inlineStr">
        <is>
          <t>Multi-Site Independent</t>
        </is>
      </c>
      <c r="H219" s="10" t="inlineStr">
        <is>
          <t>4</t>
        </is>
      </c>
      <c r="I219" s="10" t="inlineStr">
        <is>
          <t>24 Slade Lane</t>
        </is>
      </c>
      <c r="J219" s="10" t="inlineStr">
        <is>
          <t>Manchester</t>
        </is>
      </c>
      <c r="K219" s="10" t="inlineStr">
        <is>
          <t>M13 0QE</t>
        </is>
      </c>
      <c r="L219" s="10" t="inlineStr">
        <is>
          <t>0161 256 2985</t>
        </is>
      </c>
      <c r="M219" s="10" t="inlineStr"/>
      <c r="N219" s="10" t="inlineStr"/>
      <c r="O219" s="10" t="inlineStr">
        <is>
          <t>https://worldwidefoods.co.uk/</t>
        </is>
      </c>
      <c r="P219" s="10" t="inlineStr"/>
      <c r="Q219" s="10" t="inlineStr"/>
      <c r="R219" s="10" t="inlineStr"/>
      <c r="S219" s="10" t="inlineStr"/>
      <c r="T219" s="10" t="inlineStr"/>
      <c r="U219" s="10" t="inlineStr"/>
      <c r="V219" s="10" t="inlineStr">
        <is>
          <t>Medium</t>
        </is>
      </c>
      <c r="W219" s="10" t="inlineStr">
        <is>
          <t>Multi-site retailer; Independent retailer; Relevant category; Active website</t>
        </is>
      </c>
      <c r="X219" s="10" t="inlineStr">
        <is>
          <t>Verified directory</t>
        </is>
      </c>
      <c r="Y219" s="10" t="inlineStr">
        <is>
          <t>Website Found</t>
        </is>
      </c>
      <c r="Z219" s="10" t="inlineStr">
        <is>
          <t>Medium</t>
        </is>
      </c>
      <c r="AA219" s="10" t="inlineStr">
        <is>
          <t>Requires Verification</t>
        </is>
      </c>
      <c r="AB219" s="10" t="inlineStr">
        <is>
          <t>https://www.bigreddirectory.com/worldwide-foods-manchester-longsight</t>
        </is>
      </c>
    </row>
    <row r="220">
      <c r="A220" s="5" t="inlineStr">
        <is>
          <t>UK-000330</t>
        </is>
      </c>
      <c r="B220" s="5" t="inlineStr">
        <is>
          <t>WORLDWIDEF-03</t>
        </is>
      </c>
      <c r="C220" s="5" t="inlineStr">
        <is>
          <t>Worldwide Foods</t>
        </is>
      </c>
      <c r="D220" s="5" t="inlineStr">
        <is>
          <t>Worldwide Foods (Old Trafford)</t>
        </is>
      </c>
      <c r="E220" s="5" t="inlineStr">
        <is>
          <t>Independent Supermarket</t>
        </is>
      </c>
      <c r="F220" s="5" t="inlineStr">
        <is>
          <t>World/ethnic food supermarket (halal)</t>
        </is>
      </c>
      <c r="G220" s="5" t="inlineStr">
        <is>
          <t>Multi-Site Independent</t>
        </is>
      </c>
      <c r="H220" s="5" t="inlineStr">
        <is>
          <t>4</t>
        </is>
      </c>
      <c r="I220" s="5" t="inlineStr">
        <is>
          <t>2 Tennis Street</t>
        </is>
      </c>
      <c r="J220" s="5" t="inlineStr">
        <is>
          <t>Manchester</t>
        </is>
      </c>
      <c r="K220" s="5" t="inlineStr">
        <is>
          <t>M16 0LH</t>
        </is>
      </c>
      <c r="L220" s="5" t="inlineStr"/>
      <c r="M220" s="5" t="inlineStr"/>
      <c r="N220" s="5" t="inlineStr"/>
      <c r="O220" s="5" t="inlineStr">
        <is>
          <t>https://worldwidefoods.co.uk/</t>
        </is>
      </c>
      <c r="P220" s="5" t="inlineStr"/>
      <c r="Q220" s="5" t="inlineStr"/>
      <c r="R220" s="5" t="inlineStr"/>
      <c r="S220" s="5" t="inlineStr"/>
      <c r="T220" s="5" t="inlineStr"/>
      <c r="U220" s="5" t="inlineStr"/>
      <c r="V220" s="5" t="inlineStr">
        <is>
          <t>Medium</t>
        </is>
      </c>
      <c r="W220" s="5" t="inlineStr">
        <is>
          <t>Multi-site retailer; Independent retailer; Relevant category; Active website</t>
        </is>
      </c>
      <c r="X220" s="5" t="inlineStr">
        <is>
          <t>Not Found</t>
        </is>
      </c>
      <c r="Y220" s="5" t="inlineStr">
        <is>
          <t>Website Found</t>
        </is>
      </c>
      <c r="Z220" s="5" t="inlineStr">
        <is>
          <t>Low</t>
        </is>
      </c>
      <c r="AA220" s="5" t="inlineStr">
        <is>
          <t>Requires Verification</t>
        </is>
      </c>
      <c r="AB220" s="5" t="inlineStr">
        <is>
          <t>https://worldwidefoods.co.uk/locations/</t>
        </is>
      </c>
    </row>
    <row r="221">
      <c r="A221" s="10" t="inlineStr">
        <is>
          <t>UK-000331</t>
        </is>
      </c>
      <c r="B221" s="10" t="inlineStr">
        <is>
          <t>WORLDWIDEF-04</t>
        </is>
      </c>
      <c r="C221" s="10" t="inlineStr">
        <is>
          <t>Worldwide Foods</t>
        </is>
      </c>
      <c r="D221" s="10" t="inlineStr">
        <is>
          <t>Worldwide Foods (Rusholme)</t>
        </is>
      </c>
      <c r="E221" s="10" t="inlineStr">
        <is>
          <t>Independent Supermarket</t>
        </is>
      </c>
      <c r="F221" s="10" t="inlineStr">
        <is>
          <t>World/ethnic food supermarket (halal)</t>
        </is>
      </c>
      <c r="G221" s="10" t="inlineStr">
        <is>
          <t>Multi-Site Independent</t>
        </is>
      </c>
      <c r="H221" s="10" t="inlineStr">
        <is>
          <t>4</t>
        </is>
      </c>
      <c r="I221" s="10" t="inlineStr">
        <is>
          <t>401 Great Western Street</t>
        </is>
      </c>
      <c r="J221" s="10" t="inlineStr">
        <is>
          <t>Manchester</t>
        </is>
      </c>
      <c r="K221" s="10" t="inlineStr">
        <is>
          <t>M14 4AH</t>
        </is>
      </c>
      <c r="L221" s="10" t="inlineStr">
        <is>
          <t>0161 248 6727</t>
        </is>
      </c>
      <c r="M221" s="10" t="inlineStr"/>
      <c r="N221" s="10" t="inlineStr"/>
      <c r="O221" s="10" t="inlineStr">
        <is>
          <t>https://worldwidefoods.co.uk/</t>
        </is>
      </c>
      <c r="P221" s="10" t="inlineStr"/>
      <c r="Q221" s="10" t="inlineStr"/>
      <c r="R221" s="10" t="inlineStr"/>
      <c r="S221" s="10" t="inlineStr"/>
      <c r="T221" s="10" t="inlineStr"/>
      <c r="U221" s="10" t="inlineStr"/>
      <c r="V221" s="10" t="inlineStr">
        <is>
          <t>Medium</t>
        </is>
      </c>
      <c r="W221" s="10" t="inlineStr">
        <is>
          <t>Multi-site retailer; Independent retailer; Relevant category; Active website</t>
        </is>
      </c>
      <c r="X221" s="10" t="inlineStr">
        <is>
          <t>Verified directory</t>
        </is>
      </c>
      <c r="Y221" s="10" t="inlineStr">
        <is>
          <t>Website Found</t>
        </is>
      </c>
      <c r="Z221" s="10" t="inlineStr">
        <is>
          <t>Medium</t>
        </is>
      </c>
      <c r="AA221" s="10" t="inlineStr">
        <is>
          <t>Requires Verification</t>
        </is>
      </c>
      <c r="AB221" s="10" t="inlineStr">
        <is>
          <t>https://worldwidefoods.co.uk/worldwide-manchester-rusholme/</t>
        </is>
      </c>
    </row>
    <row r="222">
      <c r="A222" s="5" t="inlineStr">
        <is>
          <t>WY-0044</t>
        </is>
      </c>
      <c r="B222" s="5" t="inlineStr">
        <is>
          <t>WORLDWIDEF-01</t>
        </is>
      </c>
      <c r="C222" s="5" t="inlineStr">
        <is>
          <t>Worldwide Foods Group</t>
        </is>
      </c>
      <c r="D222" s="5" t="inlineStr">
        <is>
          <t>Worldwide Foods Bradford (Great Horton Road)</t>
        </is>
      </c>
      <c r="E222" s="5" t="inlineStr">
        <is>
          <t>Independent Supermarket</t>
        </is>
      </c>
      <c r="F222" s="5" t="inlineStr">
        <is>
          <t>Halal / world food supermarket</t>
        </is>
      </c>
      <c r="G222" s="5" t="inlineStr">
        <is>
          <t>Regional Chain</t>
        </is>
      </c>
      <c r="H222" s="5" t="inlineStr"/>
      <c r="I222" s="5" t="inlineStr">
        <is>
          <t>607 Great Horton Road</t>
        </is>
      </c>
      <c r="J222" s="5" t="inlineStr">
        <is>
          <t>Bradford</t>
        </is>
      </c>
      <c r="K222" s="5" t="inlineStr">
        <is>
          <t>BD7 4ED</t>
        </is>
      </c>
      <c r="L222" s="5" t="inlineStr">
        <is>
          <t>01274 572661</t>
        </is>
      </c>
      <c r="M222" s="5" t="inlineStr">
        <is>
          <t>info@worldwidefoods.co.uk</t>
        </is>
      </c>
      <c r="N222" s="5" t="inlineStr"/>
      <c r="O222" s="5" t="inlineStr">
        <is>
          <t>https://worldwidefoods.co.uk/</t>
        </is>
      </c>
      <c r="P222" s="5" t="inlineStr">
        <is>
          <t>https://www.facebook.com/worldwidefoods/</t>
        </is>
      </c>
      <c r="Q222" s="5" t="inlineStr"/>
      <c r="R222" s="5" t="inlineStr"/>
      <c r="S222" s="5" t="inlineStr"/>
      <c r="T222" s="5" t="inlineStr">
        <is>
          <t>04179487</t>
        </is>
      </c>
      <c r="U222" s="5" t="inlineStr"/>
      <c r="V222" s="5" t="inlineStr">
        <is>
          <t>High</t>
        </is>
      </c>
      <c r="W222" s="5" t="inlineStr">
        <is>
          <t>Multi-site retailer; Relevant category; Public email available; Active website; Social presence</t>
        </is>
      </c>
      <c r="X222" s="5" t="inlineStr">
        <is>
          <t>Verified directory</t>
        </is>
      </c>
      <c r="Y222" s="5" t="inlineStr">
        <is>
          <t>Website Found</t>
        </is>
      </c>
      <c r="Z222" s="5" t="inlineStr">
        <is>
          <t>Medium</t>
        </is>
      </c>
      <c r="AA222" s="5" t="inlineStr">
        <is>
          <t>Partially Verified</t>
        </is>
      </c>
      <c r="AB222" s="5" t="inlineStr">
        <is>
          <t>https://worldwidefoods.co.uk/worldwide-bradford-great-horton-road/</t>
        </is>
      </c>
    </row>
    <row r="223">
      <c r="A223" s="10" t="inlineStr">
        <is>
          <t>WY-0045</t>
        </is>
      </c>
      <c r="B223" s="10" t="inlineStr">
        <is>
          <t>WORLDWIDEF-02</t>
        </is>
      </c>
      <c r="C223" s="10" t="inlineStr">
        <is>
          <t>Worldwide Foods Group</t>
        </is>
      </c>
      <c r="D223" s="10" t="inlineStr">
        <is>
          <t>Worldwide Foods Bradford (Leeds Road)</t>
        </is>
      </c>
      <c r="E223" s="10" t="inlineStr">
        <is>
          <t>Independent Supermarket</t>
        </is>
      </c>
      <c r="F223" s="10" t="inlineStr">
        <is>
          <t>Halal / world food supermarket (24 hours)</t>
        </is>
      </c>
      <c r="G223" s="10" t="inlineStr">
        <is>
          <t>Regional Chain</t>
        </is>
      </c>
      <c r="H223" s="10" t="inlineStr"/>
      <c r="I223" s="10" t="inlineStr">
        <is>
          <t>1001 Leeds Road</t>
        </is>
      </c>
      <c r="J223" s="10" t="inlineStr">
        <is>
          <t>Bradford</t>
        </is>
      </c>
      <c r="K223" s="10" t="inlineStr">
        <is>
          <t>BD3 7NH</t>
        </is>
      </c>
      <c r="L223" s="10" t="inlineStr">
        <is>
          <t>01274 656638</t>
        </is>
      </c>
      <c r="M223" s="10" t="inlineStr"/>
      <c r="N223" s="10" t="inlineStr"/>
      <c r="O223" s="10" t="inlineStr">
        <is>
          <t>https://worldwidefoods.co.uk/</t>
        </is>
      </c>
      <c r="P223" s="10" t="inlineStr">
        <is>
          <t>https://www.facebook.com/worldwidefoods/</t>
        </is>
      </c>
      <c r="Q223" s="10" t="inlineStr"/>
      <c r="R223" s="10" t="inlineStr"/>
      <c r="S223" s="10" t="inlineStr"/>
      <c r="T223" s="10" t="inlineStr">
        <is>
          <t>04179487</t>
        </is>
      </c>
      <c r="U223" s="10" t="inlineStr"/>
      <c r="V223" s="10" t="inlineStr">
        <is>
          <t>Medium</t>
        </is>
      </c>
      <c r="W223" s="10" t="inlineStr">
        <is>
          <t>Multi-site retailer; Relevant category; Active website; Social presence</t>
        </is>
      </c>
      <c r="X223" s="10" t="inlineStr">
        <is>
          <t>Verified directory</t>
        </is>
      </c>
      <c r="Y223" s="10" t="inlineStr">
        <is>
          <t>Website Found</t>
        </is>
      </c>
      <c r="Z223" s="10" t="inlineStr">
        <is>
          <t>Medium</t>
        </is>
      </c>
      <c r="AA223" s="10" t="inlineStr">
        <is>
          <t>Partially Verified</t>
        </is>
      </c>
      <c r="AB223" s="10" t="inlineStr">
        <is>
          <t>https://worldwidefoods.co.uk/worldwide-bradford-leeds-road/</t>
        </is>
      </c>
    </row>
    <row r="224">
      <c r="A224" s="5" t="inlineStr">
        <is>
          <t>WY-0046</t>
        </is>
      </c>
      <c r="B224" s="5" t="inlineStr">
        <is>
          <t>WORLDWIDEF-03</t>
        </is>
      </c>
      <c r="C224" s="5" t="inlineStr">
        <is>
          <t>Worldwide Foods Group</t>
        </is>
      </c>
      <c r="D224" s="5" t="inlineStr">
        <is>
          <t>Worldwide Foods Bradford (Woodhead Road)</t>
        </is>
      </c>
      <c r="E224" s="5" t="inlineStr">
        <is>
          <t>Independent Supermarket</t>
        </is>
      </c>
      <c r="F224" s="5" t="inlineStr">
        <is>
          <t>Halal / world food supermarket</t>
        </is>
      </c>
      <c r="G224" s="5" t="inlineStr">
        <is>
          <t>Regional Chain</t>
        </is>
      </c>
      <c r="H224" s="5" t="inlineStr"/>
      <c r="I224" s="5" t="inlineStr">
        <is>
          <t>Woodhead Road</t>
        </is>
      </c>
      <c r="J224" s="5" t="inlineStr">
        <is>
          <t>Bradford</t>
        </is>
      </c>
      <c r="K224" s="5" t="inlineStr"/>
      <c r="L224" s="5" t="inlineStr"/>
      <c r="M224" s="5" t="inlineStr"/>
      <c r="N224" s="5" t="inlineStr"/>
      <c r="O224" s="5" t="inlineStr">
        <is>
          <t>https://worldwidefoods.co.uk/</t>
        </is>
      </c>
      <c r="P224" s="5" t="inlineStr">
        <is>
          <t>https://www.facebook.com/worldwidefoods/</t>
        </is>
      </c>
      <c r="Q224" s="5" t="inlineStr"/>
      <c r="R224" s="5" t="inlineStr"/>
      <c r="S224" s="5" t="inlineStr"/>
      <c r="T224" s="5" t="inlineStr">
        <is>
          <t>04179487</t>
        </is>
      </c>
      <c r="U224" s="5" t="inlineStr"/>
      <c r="V224" s="5" t="inlineStr">
        <is>
          <t>Medium</t>
        </is>
      </c>
      <c r="W224" s="5" t="inlineStr">
        <is>
          <t>Multi-site retailer; Relevant category; Active website; Social presence</t>
        </is>
      </c>
      <c r="X224" s="5" t="inlineStr">
        <is>
          <t>Not Found</t>
        </is>
      </c>
      <c r="Y224" s="5" t="inlineStr">
        <is>
          <t>Website Found</t>
        </is>
      </c>
      <c r="Z224" s="5" t="inlineStr">
        <is>
          <t>Low</t>
        </is>
      </c>
      <c r="AA224" s="5" t="inlineStr">
        <is>
          <t>Partially Verified</t>
        </is>
      </c>
      <c r="AB224" s="5" t="inlineStr">
        <is>
          <t>https://worldwidefoods.co.uk/locations/</t>
        </is>
      </c>
    </row>
    <row r="225">
      <c r="A225" s="10" t="inlineStr">
        <is>
          <t>UK-000332</t>
        </is>
      </c>
      <c r="B225" s="10" t="inlineStr">
        <is>
          <t>WORLDWIDEF-01</t>
        </is>
      </c>
      <c r="C225" s="10" t="inlineStr">
        <is>
          <t>Worldwide Foodstores</t>
        </is>
      </c>
      <c r="D225" s="10" t="inlineStr">
        <is>
          <t>Worldwide Foods Rochdale</t>
        </is>
      </c>
      <c r="E225" s="10" t="inlineStr">
        <is>
          <t>Independent Supermarket</t>
        </is>
      </c>
      <c r="F225" s="10" t="inlineStr">
        <is>
          <t>Ethnic / world foods supermarket</t>
        </is>
      </c>
      <c r="G225" s="10" t="inlineStr">
        <is>
          <t>Multi-Site Independent</t>
        </is>
      </c>
      <c r="H225" s="10" t="inlineStr">
        <is>
          <t>1</t>
        </is>
      </c>
      <c r="I225" s="10" t="inlineStr">
        <is>
          <t>Lower Tweedale Street</t>
        </is>
      </c>
      <c r="J225" s="10" t="inlineStr">
        <is>
          <t>Rochdale</t>
        </is>
      </c>
      <c r="K225" s="10" t="inlineStr">
        <is>
          <t>OL11 1HG</t>
        </is>
      </c>
      <c r="L225" s="10" t="inlineStr"/>
      <c r="M225" s="10" t="inlineStr"/>
      <c r="N225" s="10" t="inlineStr"/>
      <c r="O225" s="10" t="inlineStr">
        <is>
          <t>https://worldwidefoods.co.uk/worldwide-rochdale/</t>
        </is>
      </c>
      <c r="P225" s="10" t="inlineStr"/>
      <c r="Q225" s="10" t="inlineStr"/>
      <c r="R225" s="10" t="inlineStr"/>
      <c r="S225" s="10" t="inlineStr"/>
      <c r="T225" s="10" t="inlineStr">
        <is>
          <t>04065792</t>
        </is>
      </c>
      <c r="U225" s="10" t="inlineStr"/>
      <c r="V225" s="10" t="inlineStr">
        <is>
          <t>Medium</t>
        </is>
      </c>
      <c r="W225" s="10" t="inlineStr">
        <is>
          <t>Multi-site retailer; Independent retailer; Relevant category; Active website</t>
        </is>
      </c>
      <c r="X225" s="10" t="inlineStr">
        <is>
          <t>Not Found</t>
        </is>
      </c>
      <c r="Y225" s="10" t="inlineStr">
        <is>
          <t>Website Found</t>
        </is>
      </c>
      <c r="Z225" s="10" t="inlineStr">
        <is>
          <t>Medium</t>
        </is>
      </c>
      <c r="AA225" s="10" t="inlineStr">
        <is>
          <t>Partially Verified</t>
        </is>
      </c>
      <c r="AB225" s="10" t="inlineStr">
        <is>
          <t>https://worldwidefoods.co.uk/worldwide-rochdale/</t>
        </is>
      </c>
    </row>
    <row r="226">
      <c r="A226" s="5" t="inlineStr">
        <is>
          <t>UK-000226</t>
        </is>
      </c>
      <c r="B226" s="5" t="inlineStr">
        <is>
          <t>YORKSHIREA-01</t>
        </is>
      </c>
      <c r="C226" s="5" t="inlineStr">
        <is>
          <t>Yorkshire Agricultural Society</t>
        </is>
      </c>
      <c r="D226" s="5" t="inlineStr">
        <is>
          <t>Fodder</t>
        </is>
      </c>
      <c r="E226" s="5" t="inlineStr">
        <is>
          <t>Independent Supermarket</t>
        </is>
      </c>
      <c r="F226" s="5" t="inlineStr">
        <is>
          <t>Farm shop, food hall &amp; cafe</t>
        </is>
      </c>
      <c r="G226" s="5" t="inlineStr">
        <is>
          <t>Independent</t>
        </is>
      </c>
      <c r="H226" s="5" t="inlineStr">
        <is>
          <t>1</t>
        </is>
      </c>
      <c r="I226" s="5" t="inlineStr">
        <is>
          <t>Great Yorkshire Showground</t>
        </is>
      </c>
      <c r="J226" s="5" t="inlineStr">
        <is>
          <t>Harrogate</t>
        </is>
      </c>
      <c r="K226" s="5" t="inlineStr">
        <is>
          <t>HG2 8NZ</t>
        </is>
      </c>
      <c r="L226" s="5" t="inlineStr">
        <is>
          <t>01423 546111</t>
        </is>
      </c>
      <c r="M226" s="5" t="inlineStr">
        <is>
          <t>enquiries@fodder.co.uk</t>
        </is>
      </c>
      <c r="N226" s="5" t="inlineStr"/>
      <c r="O226" s="5" t="inlineStr">
        <is>
          <t>https://fodder.co.uk/</t>
        </is>
      </c>
      <c r="P226" s="5" t="inlineStr"/>
      <c r="Q226" s="5" t="inlineStr"/>
      <c r="R226" s="5" t="inlineStr"/>
      <c r="S226" s="5" t="inlineStr"/>
      <c r="T226" s="5" t="inlineStr"/>
      <c r="U226" s="5" t="inlineStr"/>
      <c r="V226" s="5" t="inlineStr">
        <is>
          <t>High</t>
        </is>
      </c>
      <c r="W226" s="5" t="inlineStr">
        <is>
          <t>Multi-site retailer; Independent retailer; Relevant category; Public email available; Active website; Phone verified on official website</t>
        </is>
      </c>
      <c r="X226" s="5" t="inlineStr">
        <is>
          <t>Verified on official website</t>
        </is>
      </c>
      <c r="Y226" s="5" t="inlineStr">
        <is>
          <t>Publicly Listed</t>
        </is>
      </c>
      <c r="Z226" s="5" t="inlineStr">
        <is>
          <t>Medium</t>
        </is>
      </c>
      <c r="AA226" s="5" t="inlineStr">
        <is>
          <t>Requires Verification</t>
        </is>
      </c>
      <c r="AB226" s="5" t="inlineStr">
        <is>
          <t>https://fodder.co.uk/</t>
        </is>
      </c>
    </row>
    <row r="227">
      <c r="A227" s="10" t="inlineStr">
        <is>
          <t>UK-000751</t>
        </is>
      </c>
      <c r="B227" s="10" t="inlineStr">
        <is>
          <t>ECIGARUS-01</t>
        </is>
      </c>
      <c r="C227" s="10" t="inlineStr">
        <is>
          <t>e.cig.a.rus</t>
        </is>
      </c>
      <c r="D227" s="10" t="inlineStr">
        <is>
          <t>e.cig.a.rus Hamilton</t>
        </is>
      </c>
      <c r="E227" s="10" t="inlineStr">
        <is>
          <t>Vape Shop</t>
        </is>
      </c>
      <c r="F227" s="10" t="inlineStr">
        <is>
          <t>Vape shop</t>
        </is>
      </c>
      <c r="G227" s="10" t="inlineStr">
        <is>
          <t>Multi-Site Independent</t>
        </is>
      </c>
      <c r="H227" s="10" t="inlineStr">
        <is>
          <t>2</t>
        </is>
      </c>
      <c r="I227" s="10" t="inlineStr">
        <is>
          <t>28 Quarry Street</t>
        </is>
      </c>
      <c r="J227" s="10" t="inlineStr">
        <is>
          <t>Hamilton</t>
        </is>
      </c>
      <c r="K227" s="10" t="inlineStr">
        <is>
          <t>ML3 7AR</t>
        </is>
      </c>
      <c r="L227" s="10" t="inlineStr">
        <is>
          <t>01698 420068</t>
        </is>
      </c>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Independent retailer; Core relevant category</t>
        </is>
      </c>
      <c r="X227" s="10" t="inlineStr">
        <is>
          <t>Verified directory</t>
        </is>
      </c>
      <c r="Y227" s="10" t="inlineStr">
        <is>
          <t>Not Found</t>
        </is>
      </c>
      <c r="Z227" s="10" t="inlineStr">
        <is>
          <t>Medium</t>
        </is>
      </c>
      <c r="AA227" s="10" t="inlineStr">
        <is>
          <t>Requires Verification</t>
        </is>
      </c>
      <c r="AB227" s="10" t="inlineStr">
        <is>
          <t>https://ecigdirectory.co.uk/vape-shop/listing/e-cig-a-rus-hamilton</t>
        </is>
      </c>
    </row>
    <row r="228">
      <c r="A228" s="5" t="inlineStr">
        <is>
          <t>UK-000752</t>
        </is>
      </c>
      <c r="B228" s="5" t="inlineStr">
        <is>
          <t>ECIGARUS-02</t>
        </is>
      </c>
      <c r="C228" s="5" t="inlineStr">
        <is>
          <t>e.cig.a.rus</t>
        </is>
      </c>
      <c r="D228" s="5" t="inlineStr">
        <is>
          <t>e.cig.a.rus Wishaw</t>
        </is>
      </c>
      <c r="E228" s="5" t="inlineStr">
        <is>
          <t>Vape Shop</t>
        </is>
      </c>
      <c r="F228" s="5" t="inlineStr">
        <is>
          <t>Vape shop</t>
        </is>
      </c>
      <c r="G228" s="5" t="inlineStr">
        <is>
          <t>Multi-Site Independent</t>
        </is>
      </c>
      <c r="H228" s="5" t="inlineStr">
        <is>
          <t>2</t>
        </is>
      </c>
      <c r="I228" s="5" t="inlineStr">
        <is>
          <t>97 Main Street</t>
        </is>
      </c>
      <c r="J228" s="5" t="inlineStr">
        <is>
          <t>Wishaw</t>
        </is>
      </c>
      <c r="K228" s="5" t="inlineStr">
        <is>
          <t>ML2 7AU</t>
        </is>
      </c>
      <c r="L228" s="5" t="inlineStr">
        <is>
          <t>01698 296440</t>
        </is>
      </c>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Independent retailer; Core relevant category</t>
        </is>
      </c>
      <c r="X228" s="5" t="inlineStr">
        <is>
          <t>Verified directory</t>
        </is>
      </c>
      <c r="Y228" s="5" t="inlineStr">
        <is>
          <t>Not Found</t>
        </is>
      </c>
      <c r="Z228" s="5" t="inlineStr">
        <is>
          <t>Medium</t>
        </is>
      </c>
      <c r="AA228" s="5" t="inlineStr">
        <is>
          <t>Requires Verification</t>
        </is>
      </c>
      <c r="AB228" s="5" t="inlineStr">
        <is>
          <t>https://ecigdirectory.co.uk/vape-shop/listing/e-cig-a-rus-wishaw</t>
        </is>
      </c>
    </row>
    <row r="229">
      <c r="A229" s="10" t="inlineStr">
        <is>
          <t>UK-000227</t>
        </is>
      </c>
      <c r="B229" s="10" t="inlineStr">
        <is>
          <t>ECIGARETTE-01</t>
        </is>
      </c>
      <c r="C229" s="10" t="inlineStr">
        <is>
          <t>eCigarette Outlet</t>
        </is>
      </c>
      <c r="D229" s="10" t="inlineStr">
        <is>
          <t>eCigarette Outlet</t>
        </is>
      </c>
      <c r="E229" s="10" t="inlineStr">
        <is>
          <t>Vape Shop</t>
        </is>
      </c>
      <c r="F229" s="10" t="inlineStr">
        <is>
          <t>E-cigarette specialist chain</t>
        </is>
      </c>
      <c r="G229" s="10" t="inlineStr">
        <is>
          <t>Regional Chain</t>
        </is>
      </c>
      <c r="H229" s="10" t="inlineStr">
        <is>
          <t>6</t>
        </is>
      </c>
      <c r="I229" s="10" t="inlineStr">
        <is>
          <t>53 Jameson Street</t>
        </is>
      </c>
      <c r="J229" s="10" t="inlineStr">
        <is>
          <t>Kingston upon Hull</t>
        </is>
      </c>
      <c r="K229" s="10" t="inlineStr"/>
      <c r="L229" s="10" t="inlineStr"/>
      <c r="M229" s="10" t="inlineStr">
        <is>
          <t>customer.service@ecigaretteoutlet.co.uk</t>
        </is>
      </c>
      <c r="N229" s="10" t="inlineStr"/>
      <c r="O229" s="10" t="inlineStr">
        <is>
          <t>https://ecigaretteoutlet.co.uk</t>
        </is>
      </c>
      <c r="P229" s="10" t="inlineStr">
        <is>
          <t>https://www.facebook.com/EcigaretteoutletHull/</t>
        </is>
      </c>
      <c r="Q229" s="10" t="inlineStr"/>
      <c r="R229" s="10" t="inlineStr"/>
      <c r="S229" s="10" t="inlineStr"/>
      <c r="T229" s="10" t="inlineStr"/>
      <c r="U229" s="10" t="inlineStr"/>
      <c r="V229" s="10" t="inlineStr">
        <is>
          <t>High</t>
        </is>
      </c>
      <c r="W229" s="10" t="inlineStr">
        <is>
          <t>Multi-site retailer; Core relevant category; Public email available; Active website; Social presence</t>
        </is>
      </c>
      <c r="X229" s="10" t="inlineStr">
        <is>
          <t>Not Found</t>
        </is>
      </c>
      <c r="Y229" s="10" t="inlineStr">
        <is>
          <t>Publicly Listed</t>
        </is>
      </c>
      <c r="Z229" s="10" t="inlineStr">
        <is>
          <t>Medium</t>
        </is>
      </c>
      <c r="AA229" s="10" t="inlineStr">
        <is>
          <t>Partially Verified</t>
        </is>
      </c>
      <c r="AB229" s="10" t="inlineStr">
        <is>
          <t>https://www.facebook.com/EcigaretteoutletHull/</t>
        </is>
      </c>
    </row>
    <row r="230">
      <c r="A230" s="5" t="inlineStr">
        <is>
          <t>UK-000228</t>
        </is>
      </c>
      <c r="B230" s="5" t="inlineStr">
        <is>
          <t>ECIGARETTE-02</t>
        </is>
      </c>
      <c r="C230" s="5" t="inlineStr">
        <is>
          <t>eCigarette Outlet</t>
        </is>
      </c>
      <c r="D230" s="5" t="inlineStr">
        <is>
          <t>eCigarette Outlet Cleethorpes</t>
        </is>
      </c>
      <c r="E230" s="5" t="inlineStr">
        <is>
          <t>Vape Shop</t>
        </is>
      </c>
      <c r="F230" s="5" t="inlineStr">
        <is>
          <t>E-cigarette specialist chain</t>
        </is>
      </c>
      <c r="G230" s="5" t="inlineStr">
        <is>
          <t>Regional Chain</t>
        </is>
      </c>
      <c r="H230" s="5" t="inlineStr">
        <is>
          <t>1</t>
        </is>
      </c>
      <c r="I230" s="5" t="inlineStr">
        <is>
          <t>3 St Peter's Avenue</t>
        </is>
      </c>
      <c r="J230" s="5" t="inlineStr">
        <is>
          <t>Cleethorpes</t>
        </is>
      </c>
      <c r="K230" s="5" t="inlineStr">
        <is>
          <t>DN35 8HQ</t>
        </is>
      </c>
      <c r="L230" s="5" t="inlineStr">
        <is>
          <t>01472 694619</t>
        </is>
      </c>
      <c r="M230" s="5" t="inlineStr">
        <is>
          <t>customer.service@ecigaretteoutlet.co.uk</t>
        </is>
      </c>
      <c r="N230" s="5" t="inlineStr"/>
      <c r="O230" s="5" t="inlineStr">
        <is>
          <t>https://ecigaretteoutlet.co.uk</t>
        </is>
      </c>
      <c r="P230" s="5" t="inlineStr"/>
      <c r="Q230" s="5" t="inlineStr"/>
      <c r="R230" s="5" t="inlineStr"/>
      <c r="S230" s="5" t="inlineStr"/>
      <c r="T230" s="5" t="inlineStr"/>
      <c r="U230" s="5" t="inlineStr"/>
      <c r="V230" s="5" t="inlineStr">
        <is>
          <t>High</t>
        </is>
      </c>
      <c r="W230" s="5" t="inlineStr">
        <is>
          <t>Multi-site retailer; Core relevant category; Public email available; Active website</t>
        </is>
      </c>
      <c r="X230" s="5" t="inlineStr">
        <is>
          <t>Verified directory</t>
        </is>
      </c>
      <c r="Y230" s="5" t="inlineStr">
        <is>
          <t>Publicly Listed</t>
        </is>
      </c>
      <c r="Z230" s="5" t="inlineStr">
        <is>
          <t>Medium</t>
        </is>
      </c>
      <c r="AA230" s="5" t="inlineStr">
        <is>
          <t>Partially Verified</t>
        </is>
      </c>
      <c r="AB230" s="5" t="inlineStr">
        <is>
          <t>https://vapeshop-nearme.com/listing/ecigarette-outlet-cleethorpes/</t>
        </is>
      </c>
    </row>
    <row r="231">
      <c r="A231" s="10" t="inlineStr">
        <is>
          <t>UK-000229</t>
        </is>
      </c>
      <c r="B231" s="10" t="inlineStr">
        <is>
          <t>ECIGARETTE-03</t>
        </is>
      </c>
      <c r="C231" s="10" t="inlineStr">
        <is>
          <t>eCigarette Outlet</t>
        </is>
      </c>
      <c r="D231" s="10" t="inlineStr">
        <is>
          <t>eCigarette Outlet Scunthorpe</t>
        </is>
      </c>
      <c r="E231" s="10" t="inlineStr">
        <is>
          <t>Vape Shop</t>
        </is>
      </c>
      <c r="F231" s="10" t="inlineStr">
        <is>
          <t>E-cigarette specialist chain</t>
        </is>
      </c>
      <c r="G231" s="10" t="inlineStr">
        <is>
          <t>Regional Chain</t>
        </is>
      </c>
      <c r="H231" s="10" t="inlineStr">
        <is>
          <t>1</t>
        </is>
      </c>
      <c r="I231" s="10" t="inlineStr">
        <is>
          <t>14 Laneham Street</t>
        </is>
      </c>
      <c r="J231" s="10" t="inlineStr">
        <is>
          <t>Scunthorpe</t>
        </is>
      </c>
      <c r="K231" s="10" t="inlineStr">
        <is>
          <t>DN15 6LJ</t>
        </is>
      </c>
      <c r="L231" s="10" t="inlineStr"/>
      <c r="M231" s="10" t="inlineStr">
        <is>
          <t>customer.service@ecigaretteoutlet.co.uk</t>
        </is>
      </c>
      <c r="N231" s="10" t="inlineStr"/>
      <c r="O231" s="10" t="inlineStr">
        <is>
          <t>https://ecigaretteoutlet.co.uk</t>
        </is>
      </c>
      <c r="P231" s="10" t="inlineStr">
        <is>
          <t>https://www.facebook.com/Ecigaretteoutlet/</t>
        </is>
      </c>
      <c r="Q231" s="10" t="inlineStr"/>
      <c r="R231" s="10" t="inlineStr"/>
      <c r="S231" s="10" t="inlineStr"/>
      <c r="T231" s="10" t="inlineStr"/>
      <c r="U231" s="10" t="inlineStr"/>
      <c r="V231" s="10" t="inlineStr">
        <is>
          <t>High</t>
        </is>
      </c>
      <c r="W231" s="10" t="inlineStr">
        <is>
          <t>Multi-site retailer; Core relevant category; Public email available; Active website; Social presence</t>
        </is>
      </c>
      <c r="X231" s="10" t="inlineStr">
        <is>
          <t>Not Found</t>
        </is>
      </c>
      <c r="Y231" s="10" t="inlineStr">
        <is>
          <t>Publicly Listed</t>
        </is>
      </c>
      <c r="Z231" s="10" t="inlineStr">
        <is>
          <t>Medium</t>
        </is>
      </c>
      <c r="AA231" s="10" t="inlineStr">
        <is>
          <t>Partially Verified</t>
        </is>
      </c>
      <c r="AB231" s="10" t="inlineStr">
        <is>
          <t>https://www.facebook.com/Ecigaretteoutlet/</t>
        </is>
      </c>
    </row>
    <row r="232">
      <c r="A232" s="5" t="inlineStr">
        <is>
          <t>UK-000230</t>
        </is>
      </c>
      <c r="B232" s="5" t="inlineStr">
        <is>
          <t>IVAPESTORE-01</t>
        </is>
      </c>
      <c r="C232" s="5" t="inlineStr">
        <is>
          <t>iVape Store</t>
        </is>
      </c>
      <c r="D232" s="5" t="inlineStr">
        <is>
          <t>iVape Harrogate</t>
        </is>
      </c>
      <c r="E232" s="5" t="inlineStr">
        <is>
          <t>Vape Shop</t>
        </is>
      </c>
      <c r="F232" s="5" t="inlineStr">
        <is>
          <t>Disposables, e-liquids &amp; devices</t>
        </is>
      </c>
      <c r="G232" s="5" t="inlineStr">
        <is>
          <t>Regional Chain</t>
        </is>
      </c>
      <c r="H232" s="5" t="inlineStr"/>
      <c r="I232" s="5" t="inlineStr">
        <is>
          <t>8 Beulah Street</t>
        </is>
      </c>
      <c r="J232" s="5" t="inlineStr">
        <is>
          <t>Harrogate</t>
        </is>
      </c>
      <c r="K232" s="5" t="inlineStr">
        <is>
          <t>HG1 1QQ</t>
        </is>
      </c>
      <c r="L232" s="5" t="inlineStr">
        <is>
          <t>01423 509009</t>
        </is>
      </c>
      <c r="M232" s="5" t="inlineStr"/>
      <c r="N232" s="5" t="inlineStr"/>
      <c r="O232" s="5" t="inlineStr">
        <is>
          <t>https://ivapestore.co.uk/stores/ivape-harrogate</t>
        </is>
      </c>
      <c r="P232" s="5" t="inlineStr">
        <is>
          <t>https://www.facebook.com/iVapeHarrogateUK/</t>
        </is>
      </c>
      <c r="Q232" s="5" t="inlineStr"/>
      <c r="R232" s="5" t="inlineStr"/>
      <c r="S232" s="5" t="inlineStr"/>
      <c r="T232" s="5" t="inlineStr"/>
      <c r="U232" s="5" t="inlineStr"/>
      <c r="V232" s="5" t="inlineStr">
        <is>
          <t>High</t>
        </is>
      </c>
      <c r="W232" s="5" t="inlineStr">
        <is>
          <t>Multi-site retailer; Core relevant category; Active website; Social presence</t>
        </is>
      </c>
      <c r="X232" s="5" t="inlineStr">
        <is>
          <t>Verified directory</t>
        </is>
      </c>
      <c r="Y232" s="5" t="inlineStr">
        <is>
          <t>Website Found</t>
        </is>
      </c>
      <c r="Z232" s="5" t="inlineStr">
        <is>
          <t>Medium</t>
        </is>
      </c>
      <c r="AA232" s="5" t="inlineStr">
        <is>
          <t>Requires Verification</t>
        </is>
      </c>
      <c r="AB232" s="5" t="inlineStr">
        <is>
          <t>https://ivapestore.co.uk/stores/ivape-harrogate</t>
        </is>
      </c>
    </row>
    <row r="233">
      <c r="A233" s="10" t="inlineStr">
        <is>
          <t>UK-000565</t>
        </is>
      </c>
      <c r="B233" s="10" t="inlineStr">
        <is>
          <t>MYCIGARA-01</t>
        </is>
      </c>
      <c r="C233" s="10" t="inlineStr">
        <is>
          <t>myCigara</t>
        </is>
      </c>
      <c r="D233" s="10" t="inlineStr">
        <is>
          <t>myCigara - Hammersmith (King Street)</t>
        </is>
      </c>
      <c r="E233" s="10" t="inlineStr">
        <is>
          <t>Vape Shop</t>
        </is>
      </c>
      <c r="F233" s="10" t="inlineStr">
        <is>
          <t>Vape store &amp; e-liquids</t>
        </is>
      </c>
      <c r="G233" s="10" t="inlineStr">
        <is>
          <t>Regional Chain</t>
        </is>
      </c>
      <c r="H233" s="10" t="inlineStr">
        <is>
          <t>1</t>
        </is>
      </c>
      <c r="I233" s="10" t="inlineStr">
        <is>
          <t>106 King Street</t>
        </is>
      </c>
      <c r="J233" s="10" t="inlineStr">
        <is>
          <t>London</t>
        </is>
      </c>
      <c r="K233" s="10" t="inlineStr">
        <is>
          <t>W6 0QP</t>
        </is>
      </c>
      <c r="L233" s="10" t="inlineStr"/>
      <c r="M233" s="10" t="inlineStr"/>
      <c r="N233" s="10" t="inlineStr"/>
      <c r="O233" s="10" t="inlineStr">
        <is>
          <t>https://www.mycigara.com/</t>
        </is>
      </c>
      <c r="P233" s="10" t="inlineStr"/>
      <c r="Q233" s="10" t="inlineStr"/>
      <c r="R233" s="10" t="inlineStr"/>
      <c r="S233" s="10" t="inlineStr"/>
      <c r="T233" s="10" t="inlineStr"/>
      <c r="U233" s="10" t="inlineStr"/>
      <c r="V233" s="10" t="inlineStr">
        <is>
          <t>Medium</t>
        </is>
      </c>
      <c r="W233" s="10" t="inlineStr">
        <is>
          <t>Multi-site retailer; Core relevant category; Active website</t>
        </is>
      </c>
      <c r="X233" s="10" t="inlineStr">
        <is>
          <t>Not Found</t>
        </is>
      </c>
      <c r="Y233" s="10" t="inlineStr">
        <is>
          <t>Not Found</t>
        </is>
      </c>
      <c r="Z233" s="10" t="inlineStr">
        <is>
          <t>Low</t>
        </is>
      </c>
      <c r="AA233" s="10" t="inlineStr">
        <is>
          <t>Requires Verification</t>
        </is>
      </c>
      <c r="AB233" s="10" t="inlineStr">
        <is>
          <t>https://www.yell.com/biz/cigara-hammersmith-and-fulham-london-8957652/</t>
        </is>
      </c>
    </row>
    <row r="234">
      <c r="A234" s="5" t="inlineStr">
        <is>
          <t>UK-000566</t>
        </is>
      </c>
      <c r="B234" s="5" t="inlineStr">
        <is>
          <t>MYCIGARA-02</t>
        </is>
      </c>
      <c r="C234" s="5" t="inlineStr">
        <is>
          <t>myCigara</t>
        </is>
      </c>
      <c r="D234" s="5" t="inlineStr">
        <is>
          <t>myCigara - Holborn (Theobald's Road)</t>
        </is>
      </c>
      <c r="E234" s="5" t="inlineStr">
        <is>
          <t>Vape Shop</t>
        </is>
      </c>
      <c r="F234" s="5" t="inlineStr">
        <is>
          <t>Vape store &amp; e-liquids</t>
        </is>
      </c>
      <c r="G234" s="5" t="inlineStr">
        <is>
          <t>Regional Chain</t>
        </is>
      </c>
      <c r="H234" s="5" t="inlineStr">
        <is>
          <t>1</t>
        </is>
      </c>
      <c r="I234" s="5" t="inlineStr">
        <is>
          <t>41 Theobald's Road</t>
        </is>
      </c>
      <c r="J234" s="5" t="inlineStr">
        <is>
          <t>London</t>
        </is>
      </c>
      <c r="K234" s="5" t="inlineStr">
        <is>
          <t>WC1X 8SP</t>
        </is>
      </c>
      <c r="L234" s="5" t="inlineStr">
        <is>
          <t>020 7242 0800</t>
        </is>
      </c>
      <c r="M234" s="5" t="inlineStr"/>
      <c r="N234" s="5" t="inlineStr"/>
      <c r="O234" s="5" t="inlineStr">
        <is>
          <t>https://www.mycigara.com/</t>
        </is>
      </c>
      <c r="P234" s="5" t="inlineStr"/>
      <c r="Q234" s="5" t="inlineStr"/>
      <c r="R234" s="5" t="inlineStr"/>
      <c r="S234" s="5" t="inlineStr"/>
      <c r="T234" s="5" t="inlineStr"/>
      <c r="U234" s="5" t="inlineStr"/>
      <c r="V234" s="5" t="inlineStr">
        <is>
          <t>Medium</t>
        </is>
      </c>
      <c r="W234" s="5" t="inlineStr">
        <is>
          <t>Multi-site retailer; Core relevant category; Active website</t>
        </is>
      </c>
      <c r="X234" s="5" t="inlineStr">
        <is>
          <t>Verified directory</t>
        </is>
      </c>
      <c r="Y234" s="5" t="inlineStr">
        <is>
          <t>Not Found</t>
        </is>
      </c>
      <c r="Z234" s="5" t="inlineStr">
        <is>
          <t>Medium</t>
        </is>
      </c>
      <c r="AA234" s="5" t="inlineStr">
        <is>
          <t>Requires Verification</t>
        </is>
      </c>
      <c r="AB234" s="5" t="inlineStr">
        <is>
          <t>https://www.mycigara.com/pages/mycigara-vape-shop-store-locator</t>
        </is>
      </c>
    </row>
    <row r="235">
      <c r="A235" s="10" t="inlineStr">
        <is>
          <t>WY-0185</t>
        </is>
      </c>
      <c r="B235" s="10" t="inlineStr">
        <is>
          <t>WY-0185-01</t>
        </is>
      </c>
      <c r="C235" s="10" t="inlineStr"/>
      <c r="D235" s="10" t="inlineStr">
        <is>
          <t>Wakefield Road Service Station (Featherstone)</t>
        </is>
      </c>
      <c r="E235" s="10" t="inlineStr">
        <is>
          <t>Petrol Station / Forecourt</t>
        </is>
      </c>
      <c r="F235" s="10" t="inlineStr">
        <is>
          <t>Forecourt with convenience store</t>
        </is>
      </c>
      <c r="G235" s="10" t="inlineStr">
        <is>
          <t>Multi-Site Independent</t>
        </is>
      </c>
      <c r="H235" s="10" t="inlineStr">
        <is>
          <t>3</t>
        </is>
      </c>
      <c r="I235" s="10" t="inlineStr">
        <is>
          <t>Wakefield Road</t>
        </is>
      </c>
      <c r="J235" s="10" t="inlineStr">
        <is>
          <t>Featherstone</t>
        </is>
      </c>
      <c r="K235" s="10" t="inlineStr"/>
      <c r="L235" s="10" t="inlineStr"/>
      <c r="M235" s="10" t="inlineStr"/>
      <c r="N235" s="10" t="inlineStr"/>
      <c r="O235" s="10" t="inlineStr"/>
      <c r="P235" s="10" t="inlineStr"/>
      <c r="Q235" s="10" t="inlineStr"/>
      <c r="R235" s="10" t="inlineStr">
        <is>
          <t>Saqib Javaid; Zeeshan Ali</t>
        </is>
      </c>
      <c r="S235" s="10" t="inlineStr">
        <is>
          <t>Owners / Operators</t>
        </is>
      </c>
      <c r="T235" s="10" t="inlineStr"/>
      <c r="U235" s="10" t="inlineStr"/>
      <c r="V235" s="10" t="inlineStr">
        <is>
          <t>Medium</t>
        </is>
      </c>
      <c r="W235" s="10" t="inlineStr">
        <is>
          <t>Multi-site retailer; Independent retailer; Relevant category</t>
        </is>
      </c>
      <c r="X235" s="10" t="inlineStr">
        <is>
          <t>Not Found</t>
        </is>
      </c>
      <c r="Y235" s="10" t="inlineStr">
        <is>
          <t>Not Found</t>
        </is>
      </c>
      <c r="Z235" s="10" t="inlineStr">
        <is>
          <t>Low</t>
        </is>
      </c>
      <c r="AA235" s="10" t="inlineStr">
        <is>
          <t>Requires Verification</t>
        </is>
      </c>
      <c r="AB235" s="10" t="inlineStr">
        <is>
          <t>https://forecourttrader.co.uk/latest-news/forecourt-operator-duo-add-wakefield-road-service-station-to-portfolio/708047.article</t>
        </is>
      </c>
    </row>
  </sheetData>
  <autoFilter ref="A1:AB23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44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UK-000419</t>
        </is>
      </c>
      <c r="B6" s="5" t="inlineStr">
        <is>
          <t>AZADSUPERM-01</t>
        </is>
      </c>
      <c r="C6" s="5" t="inlineStr">
        <is>
          <t>Azad Supermarket</t>
        </is>
      </c>
      <c r="D6" s="5" t="inlineStr">
        <is>
          <t>Azad Supermarket - Alum Rock</t>
        </is>
      </c>
      <c r="E6" s="5" t="inlineStr">
        <is>
          <t>Independent Supermarket</t>
        </is>
      </c>
      <c r="F6" s="5" t="inlineStr">
        <is>
          <t>Halal / world food supermarket</t>
        </is>
      </c>
      <c r="G6" s="5" t="inlineStr">
        <is>
          <t>Multi-Site Independent</t>
        </is>
      </c>
      <c r="H6" s="5" t="inlineStr">
        <is>
          <t>1</t>
        </is>
      </c>
      <c r="I6" s="5" t="inlineStr">
        <is>
          <t>733 Alum Rock Road</t>
        </is>
      </c>
      <c r="J6" s="5" t="inlineStr">
        <is>
          <t>Birmingham</t>
        </is>
      </c>
      <c r="K6" s="5" t="inlineStr">
        <is>
          <t>B8 2NY</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Medium</t>
        </is>
      </c>
      <c r="AA6" s="5" t="inlineStr">
        <is>
          <t>Requires Verification</t>
        </is>
      </c>
      <c r="AB6" s="5" t="inlineStr">
        <is>
          <t>https://halalhmc.org/outlets/azad-supermarket-alum-rock/</t>
        </is>
      </c>
    </row>
    <row r="7">
      <c r="A7" s="10" t="inlineStr">
        <is>
          <t>UK-000421</t>
        </is>
      </c>
      <c r="B7" s="10" t="inlineStr">
        <is>
          <t>AZADSUPERM-03</t>
        </is>
      </c>
      <c r="C7" s="10" t="inlineStr">
        <is>
          <t>Azad Supermarket</t>
        </is>
      </c>
      <c r="D7" s="10" t="inlineStr">
        <is>
          <t>Azad Supermarket - Sparkbrook (Ladypool Road)</t>
        </is>
      </c>
      <c r="E7" s="10" t="inlineStr">
        <is>
          <t>Independent Supermarket</t>
        </is>
      </c>
      <c r="F7" s="10" t="inlineStr">
        <is>
          <t>Halal / world food supermarket</t>
        </is>
      </c>
      <c r="G7" s="10" t="inlineStr">
        <is>
          <t>Multi-Site Independent</t>
        </is>
      </c>
      <c r="H7" s="10" t="inlineStr">
        <is>
          <t>1</t>
        </is>
      </c>
      <c r="I7" s="10" t="inlineStr">
        <is>
          <t>132-136 Ladypool Road</t>
        </is>
      </c>
      <c r="J7" s="10" t="inlineStr">
        <is>
          <t>Birmingham</t>
        </is>
      </c>
      <c r="K7" s="10" t="inlineStr">
        <is>
          <t>B12 8JA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https://www.ubereats.com/gb/store/azad-supermarket/JDnk99jbUOmiPnraKoxqGw</t>
        </is>
      </c>
    </row>
    <row r="8">
      <c r="A8" s="5" t="inlineStr">
        <is>
          <t>UK-000297</t>
        </is>
      </c>
      <c r="B8" s="5" t="inlineStr">
        <is>
          <t>BARGAINBOO-02</t>
        </is>
      </c>
      <c r="C8" s="5" t="inlineStr">
        <is>
          <t>Bargain Booze (Bestway Retail)</t>
        </is>
      </c>
      <c r="D8" s="5" t="inlineStr">
        <is>
          <t>Bargain Booze Plus Ashton-in-Makerfield</t>
        </is>
      </c>
      <c r="E8" s="5" t="inlineStr">
        <is>
          <t>Off-Licence</t>
        </is>
      </c>
      <c r="F8" s="5" t="inlineStr">
        <is>
          <t>Off-licence and convenience</t>
        </is>
      </c>
      <c r="G8" s="5" t="inlineStr">
        <is>
          <t>Franchise / Symbol Group</t>
        </is>
      </c>
      <c r="H8" s="5" t="inlineStr">
        <is>
          <t>1</t>
        </is>
      </c>
      <c r="I8" s="5" t="inlineStr">
        <is>
          <t>333-333a Wigan Road</t>
        </is>
      </c>
      <c r="J8" s="5" t="inlineStr">
        <is>
          <t>Wigan</t>
        </is>
      </c>
      <c r="K8" s="5" t="inlineStr">
        <is>
          <t>WN4 9SX</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https://directory.gazettelive.co.uk/company/438385185382400</t>
        </is>
      </c>
    </row>
    <row r="9">
      <c r="A9" s="10" t="inlineStr">
        <is>
          <t>UK-000692</t>
        </is>
      </c>
      <c r="B9" s="10" t="inlineStr">
        <is>
          <t>BARGAINBOO-03</t>
        </is>
      </c>
      <c r="C9" s="10" t="inlineStr">
        <is>
          <t>Bargain Booze (Bestway Retail)</t>
        </is>
      </c>
      <c r="D9" s="10" t="inlineStr">
        <is>
          <t>Bargain Booze Select Convenience - Newton-le-Willows</t>
        </is>
      </c>
      <c r="E9" s="10" t="inlineStr">
        <is>
          <t>Off-Licence</t>
        </is>
      </c>
      <c r="F9" s="10" t="inlineStr">
        <is>
          <t>Off-licence / convenience (symbol group)</t>
        </is>
      </c>
      <c r="G9" s="10" t="inlineStr">
        <is>
          <t>Franchise / Symbol Group</t>
        </is>
      </c>
      <c r="H9" s="10" t="inlineStr">
        <is>
          <t>1</t>
        </is>
      </c>
      <c r="I9" s="10" t="inlineStr">
        <is>
          <t>76b High Street</t>
        </is>
      </c>
      <c r="J9" s="10" t="inlineStr">
        <is>
          <t>Newton-le-Willows</t>
        </is>
      </c>
      <c r="K9" s="10" t="inlineStr">
        <is>
          <t>WA12 9SH</t>
        </is>
      </c>
      <c r="L9" s="10" t="inlineStr"/>
      <c r="M9" s="10" t="inlineStr"/>
      <c r="N9" s="10" t="inlineStr"/>
      <c r="O9" s="10" t="inlineStr">
        <is>
          <t>https://branches.bargainbooze.co.uk/newton-le-willows/76b-high-street.html</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Website Found</t>
        </is>
      </c>
      <c r="Z9" s="10" t="inlineStr">
        <is>
          <t>Medium</t>
        </is>
      </c>
      <c r="AA9" s="10" t="inlineStr">
        <is>
          <t>Requires Verification</t>
        </is>
      </c>
      <c r="AB9" s="10" t="inlineStr">
        <is>
          <t>https://branches.bargainbooze.co.uk/newton-le-willows/76b-high-street.html</t>
        </is>
      </c>
    </row>
    <row r="10">
      <c r="A10" s="5" t="inlineStr">
        <is>
          <t>UK-000694</t>
        </is>
      </c>
      <c r="B10" s="5" t="inlineStr">
        <is>
          <t>BESTONEBES-01</t>
        </is>
      </c>
      <c r="C10" s="5" t="inlineStr">
        <is>
          <t>Best-one (Bestway)</t>
        </is>
      </c>
      <c r="D10" s="5" t="inlineStr">
        <is>
          <t>Best-one - Charles Street</t>
        </is>
      </c>
      <c r="E10" s="5" t="inlineStr">
        <is>
          <t>Convenience Store</t>
        </is>
      </c>
      <c r="F10" s="5" t="inlineStr">
        <is>
          <t>Best-one symbol convenience store</t>
        </is>
      </c>
      <c r="G10" s="5" t="inlineStr">
        <is>
          <t>Franchise / Symbol Group</t>
        </is>
      </c>
      <c r="H10" s="5" t="inlineStr">
        <is>
          <t>1</t>
        </is>
      </c>
      <c r="I10" s="5" t="inlineStr">
        <is>
          <t>23 Charles Street</t>
        </is>
      </c>
      <c r="J10" s="5" t="inlineStr">
        <is>
          <t>St Helens</t>
        </is>
      </c>
      <c r="K10" s="5" t="inlineStr">
        <is>
          <t>WA10 1LA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https://st-helens-merseyside.cylex-uk.co.uk/convenience-stores/</t>
        </is>
      </c>
    </row>
    <row r="11">
      <c r="A11" s="10" t="inlineStr">
        <is>
          <t>UK-000695</t>
        </is>
      </c>
      <c r="B11" s="10" t="inlineStr">
        <is>
          <t>BESTONEBES-02</t>
        </is>
      </c>
      <c r="C11" s="10" t="inlineStr">
        <is>
          <t>Best-one (Bestway)</t>
        </is>
      </c>
      <c r="D11" s="10" t="inlineStr">
        <is>
          <t>Best-one - Crow Lane East</t>
        </is>
      </c>
      <c r="E11" s="10" t="inlineStr">
        <is>
          <t>Convenience Store</t>
        </is>
      </c>
      <c r="F11" s="10" t="inlineStr">
        <is>
          <t>Best-one symbol convenience store</t>
        </is>
      </c>
      <c r="G11" s="10" t="inlineStr">
        <is>
          <t>Franchise / Symbol Group</t>
        </is>
      </c>
      <c r="H11" s="10" t="inlineStr">
        <is>
          <t>1</t>
        </is>
      </c>
      <c r="I11" s="10" t="inlineStr">
        <is>
          <t>215 Crow Lane East</t>
        </is>
      </c>
      <c r="J11" s="10" t="inlineStr">
        <is>
          <t>Newton-le-Willows</t>
        </is>
      </c>
      <c r="K11" s="10" t="inlineStr">
        <is>
          <t>WA12 9UB</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https://www.mylocalservices.co.uk/Convenience+Stores-Newton+Le+Willows.html</t>
        </is>
      </c>
    </row>
    <row r="12">
      <c r="A12" s="5" t="inlineStr">
        <is>
          <t>UK-000696</t>
        </is>
      </c>
      <c r="B12" s="5" t="inlineStr">
        <is>
          <t>BESTONEBES-01</t>
        </is>
      </c>
      <c r="C12" s="5" t="inlineStr">
        <is>
          <t>Best-one (Bestway) symbol group</t>
        </is>
      </c>
      <c r="D12" s="5" t="inlineStr">
        <is>
          <t>Best-one Paisley (Greenhill Road)</t>
        </is>
      </c>
      <c r="E12" s="5" t="inlineStr">
        <is>
          <t>Convenience Store</t>
        </is>
      </c>
      <c r="F12" s="5" t="inlineStr">
        <is>
          <t>Symbol-group convenience store</t>
        </is>
      </c>
      <c r="G12" s="5" t="inlineStr">
        <is>
          <t>Franchise / Symbol Group</t>
        </is>
      </c>
      <c r="H12" s="5" t="inlineStr">
        <is>
          <t>1</t>
        </is>
      </c>
      <c r="I12" s="5" t="inlineStr">
        <is>
          <t>35 Greenhill Road</t>
        </is>
      </c>
      <c r="J12" s="5" t="inlineStr">
        <is>
          <t>Paisley</t>
        </is>
      </c>
      <c r="K12" s="5" t="inlineStr">
        <is>
          <t>PA3 1RN</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https://www.yell.com/s/grocers+and+convenience+stores-paisley.html</t>
        </is>
      </c>
    </row>
    <row r="13">
      <c r="A13" s="10" t="inlineStr">
        <is>
          <t>UK-000299</t>
        </is>
      </c>
      <c r="B13" s="10" t="inlineStr">
        <is>
          <t>BESTWAYBES-01</t>
        </is>
      </c>
      <c r="C13" s="10" t="inlineStr">
        <is>
          <t>Bestway (Best-one symbol group)</t>
        </is>
      </c>
      <c r="D13" s="10" t="inlineStr">
        <is>
          <t>Best One (Liverpool Road, Eccles)</t>
        </is>
      </c>
      <c r="E13" s="10" t="inlineStr">
        <is>
          <t>Off-Licence</t>
        </is>
      </c>
      <c r="F13" s="10" t="inlineStr">
        <is>
          <t>Convenience &amp; off-licence (symbol group)</t>
        </is>
      </c>
      <c r="G13" s="10" t="inlineStr">
        <is>
          <t>Franchise / Symbol Group</t>
        </is>
      </c>
      <c r="H13" s="10" t="inlineStr">
        <is>
          <t>1</t>
        </is>
      </c>
      <c r="I13" s="10" t="inlineStr">
        <is>
          <t>213-217 Liverpool Road</t>
        </is>
      </c>
      <c r="J13" s="10" t="inlineStr">
        <is>
          <t>Eccles</t>
        </is>
      </c>
      <c r="K13" s="10" t="inlineStr">
        <is>
          <t>M30 0QW</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https://www.24houralcohol.co.uk/salford-off-licences</t>
        </is>
      </c>
    </row>
    <row r="14">
      <c r="A14" s="5" t="inlineStr">
        <is>
          <t>UK-000697</t>
        </is>
      </c>
      <c r="B14" s="5" t="inlineStr">
        <is>
          <t>BESTWAYRET-01</t>
        </is>
      </c>
      <c r="C14" s="5" t="inlineStr">
        <is>
          <t>Bestway Retail (Bargain Booze)</t>
        </is>
      </c>
      <c r="D14" s="5" t="inlineStr">
        <is>
          <t>Bargain Booze - Page Moss</t>
        </is>
      </c>
      <c r="E14" s="5" t="inlineStr">
        <is>
          <t>Off-Licence</t>
        </is>
      </c>
      <c r="F14" s="5" t="inlineStr">
        <is>
          <t>Off-licence / convenience (symbol group)</t>
        </is>
      </c>
      <c r="G14" s="5" t="inlineStr">
        <is>
          <t>Franchise / Symbol Group</t>
        </is>
      </c>
      <c r="H14" s="5" t="inlineStr">
        <is>
          <t>1</t>
        </is>
      </c>
      <c r="I14" s="5" t="inlineStr">
        <is>
          <t>9 Pagemoss Parade</t>
        </is>
      </c>
      <c r="J14" s="5" t="inlineStr">
        <is>
          <t>Liverpool</t>
        </is>
      </c>
      <c r="K14" s="5" t="inlineStr">
        <is>
          <t>L36 2PA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https://huyton.cylex-uk.co.uk/convenience-stores/</t>
        </is>
      </c>
    </row>
    <row r="15">
      <c r="A15" s="10" t="inlineStr">
        <is>
          <t>UK-000698</t>
        </is>
      </c>
      <c r="B15" s="10" t="inlineStr">
        <is>
          <t>BESTWAYRET-02</t>
        </is>
      </c>
      <c r="C15" s="10" t="inlineStr">
        <is>
          <t>Bestway Retail (Bargain Booze)</t>
        </is>
      </c>
      <c r="D15" s="10" t="inlineStr">
        <is>
          <t>Bargain Booze - Prescot Road</t>
        </is>
      </c>
      <c r="E15" s="10" t="inlineStr">
        <is>
          <t>Off-Licence</t>
        </is>
      </c>
      <c r="F15" s="10" t="inlineStr">
        <is>
          <t>Off-licence / convenience (symbol group)</t>
        </is>
      </c>
      <c r="G15" s="10" t="inlineStr">
        <is>
          <t>Franchise / Symbol Group</t>
        </is>
      </c>
      <c r="H15" s="10" t="inlineStr">
        <is>
          <t>1</t>
        </is>
      </c>
      <c r="I15" s="10" t="inlineStr">
        <is>
          <t>557 Prescot Road</t>
        </is>
      </c>
      <c r="J15" s="10" t="inlineStr">
        <is>
          <t>Liverpool</t>
        </is>
      </c>
      <c r="K15" s="10" t="inlineStr">
        <is>
          <t>L13 5UX</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https://liverpool.cylex-uk.co.uk/vape-shops/?dst=old-swan</t>
        </is>
      </c>
    </row>
    <row r="16">
      <c r="A16" s="5" t="inlineStr">
        <is>
          <t>UK-000699</t>
        </is>
      </c>
      <c r="B16" s="5" t="inlineStr">
        <is>
          <t>BESTWAYRET-03</t>
        </is>
      </c>
      <c r="C16" s="5" t="inlineStr">
        <is>
          <t>Bestway Retail (Bargain Booze)</t>
        </is>
      </c>
      <c r="D16" s="5" t="inlineStr">
        <is>
          <t>Bargain Booze - West Derby Road</t>
        </is>
      </c>
      <c r="E16" s="5" t="inlineStr">
        <is>
          <t>Off-Licence</t>
        </is>
      </c>
      <c r="F16" s="5" t="inlineStr">
        <is>
          <t>Off-licence / convenience (symbol group)</t>
        </is>
      </c>
      <c r="G16" s="5" t="inlineStr">
        <is>
          <t>Franchise / Symbol Group</t>
        </is>
      </c>
      <c r="H16" s="5" t="inlineStr">
        <is>
          <t>1</t>
        </is>
      </c>
      <c r="I16" s="5" t="inlineStr">
        <is>
          <t>525 West Derby Road</t>
        </is>
      </c>
      <c r="J16" s="5" t="inlineStr">
        <is>
          <t>Liverpool</t>
        </is>
      </c>
      <c r="K16" s="5" t="inlineStr">
        <is>
          <t>L13 8AA</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https://liverpool.cylex-uk.co.uk/vape-shops/?dst=old-swan</t>
        </is>
      </c>
    </row>
    <row r="17">
      <c r="A17" s="10" t="inlineStr">
        <is>
          <t>UK-000700</t>
        </is>
      </c>
      <c r="B17" s="10" t="inlineStr">
        <is>
          <t>BESTWAYRET-01</t>
        </is>
      </c>
      <c r="C17" s="10" t="inlineStr">
        <is>
          <t>Bestway Retail (Best-one)</t>
        </is>
      </c>
      <c r="D17" s="10" t="inlineStr">
        <is>
          <t>Best-one - Elgin Court</t>
        </is>
      </c>
      <c r="E17" s="10" t="inlineStr">
        <is>
          <t>Convenience Store</t>
        </is>
      </c>
      <c r="F17" s="10" t="inlineStr">
        <is>
          <t>Convenience store (symbol group)</t>
        </is>
      </c>
      <c r="G17" s="10" t="inlineStr">
        <is>
          <t>Franchise / Symbol Group</t>
        </is>
      </c>
      <c r="H17" s="10" t="inlineStr">
        <is>
          <t>1</t>
        </is>
      </c>
      <c r="I17" s="10" t="inlineStr">
        <is>
          <t>6 Elgin Court</t>
        </is>
      </c>
      <c r="J17" s="10" t="inlineStr">
        <is>
          <t>Prescot</t>
        </is>
      </c>
      <c r="K17" s="10" t="inlineStr">
        <is>
          <t>L35 0QW</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https://www.192.com/atoz/business/prescot-l35/convenience-stores/best-one/c272bbf3-defd-410c-93e2-54df41799bbd/ugc/</t>
        </is>
      </c>
    </row>
    <row r="18">
      <c r="A18" s="5" t="inlineStr">
        <is>
          <t>UK-000701</t>
        </is>
      </c>
      <c r="B18" s="5" t="inlineStr">
        <is>
          <t>BESTWAYRET-02</t>
        </is>
      </c>
      <c r="C18" s="5" t="inlineStr">
        <is>
          <t>Bestway Retail (Best-one)</t>
        </is>
      </c>
      <c r="D18" s="5" t="inlineStr">
        <is>
          <t>Best-one - Halsnead Avenue</t>
        </is>
      </c>
      <c r="E18" s="5" t="inlineStr">
        <is>
          <t>Convenience Store</t>
        </is>
      </c>
      <c r="F18" s="5" t="inlineStr">
        <is>
          <t>Convenience store (symbol group)</t>
        </is>
      </c>
      <c r="G18" s="5" t="inlineStr">
        <is>
          <t>Franchise / Symbol Group</t>
        </is>
      </c>
      <c r="H18" s="5" t="inlineStr">
        <is>
          <t>1</t>
        </is>
      </c>
      <c r="I18" s="5" t="inlineStr">
        <is>
          <t>1 Halsnead Avenue</t>
        </is>
      </c>
      <c r="J18" s="5" t="inlineStr">
        <is>
          <t>Prescot</t>
        </is>
      </c>
      <c r="K18" s="5" t="inlineStr">
        <is>
          <t>L35 3SD</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https://www.192.com/atoz/business/prescot-l35/convenience-stores/best-one/c272bbf3-defd-410c-93e2-54df41799bbd/ugc/</t>
        </is>
      </c>
    </row>
    <row r="19">
      <c r="A19" s="10" t="inlineStr">
        <is>
          <t>UK-000702</t>
        </is>
      </c>
      <c r="B19" s="10" t="inlineStr">
        <is>
          <t>BESTWAYRET-03</t>
        </is>
      </c>
      <c r="C19" s="10" t="inlineStr">
        <is>
          <t>Bestway Retail (Best-one)</t>
        </is>
      </c>
      <c r="D19" s="10" t="inlineStr">
        <is>
          <t>Best-one - Loweswater Way</t>
        </is>
      </c>
      <c r="E19" s="10" t="inlineStr">
        <is>
          <t>Convenience Store</t>
        </is>
      </c>
      <c r="F19" s="10" t="inlineStr">
        <is>
          <t>Convenience store (symbol group)</t>
        </is>
      </c>
      <c r="G19" s="10" t="inlineStr">
        <is>
          <t>Franchise / Symbol Group</t>
        </is>
      </c>
      <c r="H19" s="10" t="inlineStr">
        <is>
          <t>1</t>
        </is>
      </c>
      <c r="I19" s="10" t="inlineStr">
        <is>
          <t>3 Loweswater Way</t>
        </is>
      </c>
      <c r="J19" s="10" t="inlineStr">
        <is>
          <t>Liverpool</t>
        </is>
      </c>
      <c r="K19" s="10" t="inlineStr">
        <is>
          <t>L33 2DL</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https://kirkby.cylex-uk.co.uk/convenience-stores/</t>
        </is>
      </c>
    </row>
    <row r="20">
      <c r="A20" s="5" t="inlineStr">
        <is>
          <t>UK-000703</t>
        </is>
      </c>
      <c r="B20" s="5" t="inlineStr">
        <is>
          <t>BESTWAYRET-04</t>
        </is>
      </c>
      <c r="C20" s="5" t="inlineStr">
        <is>
          <t>Bestway Retail (Best-one)</t>
        </is>
      </c>
      <c r="D20" s="5" t="inlineStr">
        <is>
          <t>Best-one - Westhall Avenue</t>
        </is>
      </c>
      <c r="E20" s="5" t="inlineStr">
        <is>
          <t>Convenience Store</t>
        </is>
      </c>
      <c r="F20" s="5" t="inlineStr">
        <is>
          <t>Convenience store (symbol group)</t>
        </is>
      </c>
      <c r="G20" s="5" t="inlineStr">
        <is>
          <t>Franchise / Symbol Group</t>
        </is>
      </c>
      <c r="H20" s="5" t="inlineStr">
        <is>
          <t>1</t>
        </is>
      </c>
      <c r="I20" s="5" t="inlineStr">
        <is>
          <t>Westhall Avenue</t>
        </is>
      </c>
      <c r="J20" s="5" t="inlineStr">
        <is>
          <t>Liverpool</t>
        </is>
      </c>
      <c r="K20" s="5" t="inlineStr">
        <is>
          <t>L33 0XE</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https://kirkby.cylex-uk.co.uk/convenience-stores/</t>
        </is>
      </c>
    </row>
    <row r="21">
      <c r="A21" s="10" t="inlineStr">
        <is>
          <t>UK-000551</t>
        </is>
      </c>
      <c r="B21" s="10" t="inlineStr">
        <is>
          <t>CITYOFLOND-01</t>
        </is>
      </c>
      <c r="C21" s="10" t="inlineStr">
        <is>
          <t>City of London Cigars</t>
        </is>
      </c>
      <c r="D21" s="10" t="inlineStr">
        <is>
          <t>City of London Cigars - Victoria</t>
        </is>
      </c>
      <c r="E21" s="10" t="inlineStr">
        <is>
          <t>Tobacco Specialist</t>
        </is>
      </c>
      <c r="F21" s="10" t="inlineStr">
        <is>
          <t>Cigar merchant &amp; spirits</t>
        </is>
      </c>
      <c r="G21" s="10" t="inlineStr">
        <is>
          <t>Multi-Site Independent</t>
        </is>
      </c>
      <c r="H21" s="10" t="inlineStr">
        <is>
          <t>1</t>
        </is>
      </c>
      <c r="I21" s="10" t="inlineStr">
        <is>
          <t>97 Buckingham Palace Road</t>
        </is>
      </c>
      <c r="J21" s="10" t="inlineStr">
        <is>
          <t>London</t>
        </is>
      </c>
      <c r="K21" s="10" t="inlineStr">
        <is>
          <t>SW1W 0RP</t>
        </is>
      </c>
      <c r="L21" s="10" t="inlineStr"/>
      <c r="M21" s="10" t="inlineStr"/>
      <c r="N21" s="10" t="inlineStr"/>
      <c r="O21" s="10" t="inlineStr">
        <is>
          <t>https://cityoflondoncigars.com/</t>
        </is>
      </c>
      <c r="P21" s="10" t="inlineStr">
        <is>
          <t>https://www.facebook.com/people/City-of-London-Cigars/61563679750215/</t>
        </is>
      </c>
      <c r="Q21" s="10" t="inlineStr"/>
      <c r="R21" s="10" t="inlineStr"/>
      <c r="S21" s="10" t="inlineStr"/>
      <c r="T21" s="10" t="inlineStr">
        <is>
          <t>15478996</t>
        </is>
      </c>
      <c r="U21" s="10" t="inlineStr"/>
      <c r="V21" s="10" t="inlineStr">
        <is>
          <t>High</t>
        </is>
      </c>
      <c r="W21" s="10" t="inlineStr">
        <is>
          <t>Multi-site retailer; Independent retailer; Core relevant category; Active website; Social presence</t>
        </is>
      </c>
      <c r="X21" s="10" t="inlineStr">
        <is>
          <t>Not Found</t>
        </is>
      </c>
      <c r="Y21" s="10" t="inlineStr">
        <is>
          <t>Website Found</t>
        </is>
      </c>
      <c r="Z21" s="10" t="inlineStr">
        <is>
          <t>Medium</t>
        </is>
      </c>
      <c r="AA21" s="10" t="inlineStr">
        <is>
          <t>Requires Verification</t>
        </is>
      </c>
      <c r="AB21" s="10" t="inlineStr">
        <is>
          <t>https://find-and-update.company-information.service.gov.uk/company/15478996</t>
        </is>
      </c>
    </row>
    <row r="22">
      <c r="A22" s="5" t="inlineStr">
        <is>
          <t>UK-000195</t>
        </is>
      </c>
      <c r="B22" s="5" t="inlineStr">
        <is>
          <t>COSTCUTTER-01</t>
        </is>
      </c>
      <c r="C22" s="5" t="inlineStr">
        <is>
          <t>Costcutter</t>
        </is>
      </c>
      <c r="D22" s="5" t="inlineStr">
        <is>
          <t>Costcutter Tadcaster</t>
        </is>
      </c>
      <c r="E22" s="5" t="inlineStr">
        <is>
          <t>Convenience Store</t>
        </is>
      </c>
      <c r="F22" s="5" t="inlineStr">
        <is>
          <t>Symbol-group convenience store</t>
        </is>
      </c>
      <c r="G22" s="5" t="inlineStr">
        <is>
          <t>Franchise / Symbol Group</t>
        </is>
      </c>
      <c r="H22" s="5" t="inlineStr">
        <is>
          <t>1</t>
        </is>
      </c>
      <c r="I22" s="5" t="inlineStr"/>
      <c r="J22" s="5" t="inlineStr">
        <is>
          <t>Tadcaster</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https://www.yorkshire.com/tadcaster/shopping/corner-shops/costcutter-16</t>
        </is>
      </c>
    </row>
    <row r="23">
      <c r="A23" s="10" t="inlineStr">
        <is>
          <t>UK-000301</t>
        </is>
      </c>
      <c r="B23" s="10" t="inlineStr">
        <is>
          <t>COSTCUTTER-01</t>
        </is>
      </c>
      <c r="C23" s="10" t="inlineStr">
        <is>
          <t>Costcutter (Bestway Retail)</t>
        </is>
      </c>
      <c r="D23" s="10" t="inlineStr">
        <is>
          <t>Costcutter Shevington</t>
        </is>
      </c>
      <c r="E23" s="10" t="inlineStr">
        <is>
          <t>Convenience Store</t>
        </is>
      </c>
      <c r="F23" s="10" t="inlineStr">
        <is>
          <t>Symbol-group convenience store</t>
        </is>
      </c>
      <c r="G23" s="10" t="inlineStr">
        <is>
          <t>Franchise / Symbol Group</t>
        </is>
      </c>
      <c r="H23" s="10" t="inlineStr">
        <is>
          <t>1</t>
        </is>
      </c>
      <c r="I23" s="10" t="inlineStr">
        <is>
          <t>126 Wigan Lower Road</t>
        </is>
      </c>
      <c r="J23" s="10" t="inlineStr">
        <is>
          <t>Wigan</t>
        </is>
      </c>
      <c r="K23" s="10" t="inlineStr">
        <is>
          <t>WN6 8JP</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https://www.bigreddirectory.com/costcutter-shevington-wigan</t>
        </is>
      </c>
    </row>
    <row r="24">
      <c r="A24" s="5" t="inlineStr">
        <is>
          <t>UK-000302</t>
        </is>
      </c>
      <c r="B24" s="5" t="inlineStr">
        <is>
          <t>COSTSAVER-01</t>
        </is>
      </c>
      <c r="C24" s="5" t="inlineStr">
        <is>
          <t>Costsaver</t>
        </is>
      </c>
      <c r="D24" s="5" t="inlineStr">
        <is>
          <t>Costsaver Convenience Store Whitefield</t>
        </is>
      </c>
      <c r="E24" s="5" t="inlineStr">
        <is>
          <t>Convenience Store</t>
        </is>
      </c>
      <c r="F24" s="5" t="inlineStr"/>
      <c r="G24" s="5" t="inlineStr">
        <is>
          <t>Franchise / Symbol Group</t>
        </is>
      </c>
      <c r="H24" s="5" t="inlineStr">
        <is>
          <t>1</t>
        </is>
      </c>
      <c r="I24" s="5" t="inlineStr">
        <is>
          <t>1 Radcliffe New Road</t>
        </is>
      </c>
      <c r="J24" s="5" t="inlineStr">
        <is>
          <t>Whitefield</t>
        </is>
      </c>
      <c r="K24" s="5" t="inlineStr">
        <is>
          <t>M45 7QX</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https://licensing.bury.gov.uk/PAforLalpacLIVE/1/LicensingActPremises/Search/1614</t>
        </is>
      </c>
    </row>
    <row r="25">
      <c r="A25" s="10" t="inlineStr">
        <is>
          <t>UK-000552</t>
        </is>
      </c>
      <c r="B25" s="10" t="inlineStr">
        <is>
          <t>DHAMECHAFO-01</t>
        </is>
      </c>
      <c r="C25" s="10" t="inlineStr">
        <is>
          <t>Dhamecha Foods</t>
        </is>
      </c>
      <c r="D25" s="10" t="inlineStr">
        <is>
          <t>Dhamecha Cash &amp; Carry (Wembley)</t>
        </is>
      </c>
      <c r="E25" s="10" t="inlineStr">
        <is>
          <t>Cash &amp; Carry</t>
        </is>
      </c>
      <c r="F25" s="10" t="inlineStr"/>
      <c r="G25" s="10" t="inlineStr">
        <is>
          <t>Regional Chain</t>
        </is>
      </c>
      <c r="H25" s="10" t="inlineStr">
        <is>
          <t>1</t>
        </is>
      </c>
      <c r="I25" s="10" t="inlineStr">
        <is>
          <t>First Way</t>
        </is>
      </c>
      <c r="J25" s="10" t="inlineStr">
        <is>
          <t>Wembley</t>
        </is>
      </c>
      <c r="K25" s="10" t="inlineStr">
        <is>
          <t>HA9 0TU</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Core relevant category</t>
        </is>
      </c>
      <c r="X25" s="10" t="inlineStr">
        <is>
          <t>Not Found</t>
        </is>
      </c>
      <c r="Y25" s="10" t="inlineStr">
        <is>
          <t>Not Found</t>
        </is>
      </c>
      <c r="Z25" s="10" t="inlineStr">
        <is>
          <t>Medium</t>
        </is>
      </c>
      <c r="AA25" s="10" t="inlineStr">
        <is>
          <t>Requires Verification</t>
        </is>
      </c>
      <c r="AB25" s="10" t="inlineStr">
        <is>
          <t>https://www.yell.com/biz/dhamecha-cash-and-carry-wembley-3748600/</t>
        </is>
      </c>
    </row>
    <row r="26">
      <c r="A26" s="5" t="inlineStr">
        <is>
          <t>UK-000424</t>
        </is>
      </c>
      <c r="B26" s="5" t="inlineStr">
        <is>
          <t>EASTENDFOO-01</t>
        </is>
      </c>
      <c r="C26" s="5" t="inlineStr">
        <is>
          <t>East End Foods PLC</t>
        </is>
      </c>
      <c r="D26" s="5" t="inlineStr">
        <is>
          <t>East End Foods (West Bromwich)</t>
        </is>
      </c>
      <c r="E26" s="5" t="inlineStr">
        <is>
          <t>Cash &amp; Carry</t>
        </is>
      </c>
      <c r="F26" s="5" t="inlineStr">
        <is>
          <t>Cash &amp; carry / world food wholesaler</t>
        </is>
      </c>
      <c r="G26" s="5" t="inlineStr">
        <is>
          <t>Regional Chain</t>
        </is>
      </c>
      <c r="H26" s="5" t="inlineStr">
        <is>
          <t>1</t>
        </is>
      </c>
      <c r="I26" s="5" t="inlineStr"/>
      <c r="J26" s="5" t="inlineStr">
        <is>
          <t>West Bromwich</t>
        </is>
      </c>
      <c r="K26" s="5" t="inlineStr">
        <is>
          <t>B71 4EA</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Core relevant category</t>
        </is>
      </c>
      <c r="X26" s="5" t="inlineStr">
        <is>
          <t>Not Found</t>
        </is>
      </c>
      <c r="Y26" s="5" t="inlineStr">
        <is>
          <t>Not Found</t>
        </is>
      </c>
      <c r="Z26" s="5" t="inlineStr">
        <is>
          <t>Medium</t>
        </is>
      </c>
      <c r="AA26" s="5" t="inlineStr">
        <is>
          <t>Requires Verification</t>
        </is>
      </c>
      <c r="AB26" s="5" t="inlineStr">
        <is>
          <t>https://www.192.com/atoz/business/west-bromwich-b71/cash-and-carry-wholesalers/east-end-foods/0f373c9585cc38569ca90e77514ccba5124f5435/ml/</t>
        </is>
      </c>
    </row>
    <row r="27">
      <c r="A27" s="10" t="inlineStr">
        <is>
          <t>UK-000196</t>
        </is>
      </c>
      <c r="B27" s="10" t="inlineStr">
        <is>
          <t>ELECTRICVA-01</t>
        </is>
      </c>
      <c r="C27" s="10" t="inlineStr">
        <is>
          <t>Electric Vape</t>
        </is>
      </c>
      <c r="D27" s="10" t="inlineStr">
        <is>
          <t>Electric Vape Rotherham</t>
        </is>
      </c>
      <c r="E27" s="10" t="inlineStr">
        <is>
          <t>Vape Shop</t>
        </is>
      </c>
      <c r="F27" s="10" t="inlineStr">
        <is>
          <t>Market-stall vape shop</t>
        </is>
      </c>
      <c r="G27" s="10" t="inlineStr">
        <is>
          <t>Multi-Site Independent</t>
        </is>
      </c>
      <c r="H27" s="10" t="inlineStr">
        <is>
          <t>1</t>
        </is>
      </c>
      <c r="I27" s="10" t="inlineStr">
        <is>
          <t>Units 53 and 55, Rotherham Centenary Indoor Market (Ground Floor)</t>
        </is>
      </c>
      <c r="J27" s="10" t="inlineStr">
        <is>
          <t>Rotherham</t>
        </is>
      </c>
      <c r="K27" s="10" t="inlineStr">
        <is>
          <t>S65 1EL</t>
        </is>
      </c>
      <c r="L27" s="10" t="inlineStr"/>
      <c r="M27" s="10" t="inlineStr"/>
      <c r="N27" s="10" t="inlineStr"/>
      <c r="O27" s="10" t="inlineStr">
        <is>
          <t>https://www.electricvape.co.uk/rotherham-shop</t>
        </is>
      </c>
      <c r="P27" s="10" t="inlineStr"/>
      <c r="Q27" s="10" t="inlineStr"/>
      <c r="R27" s="10" t="inlineStr"/>
      <c r="S27" s="10" t="inlineStr"/>
      <c r="T27" s="10" t="inlineStr"/>
      <c r="U27" s="10" t="inlineStr"/>
      <c r="V27" s="10" t="inlineStr">
        <is>
          <t>High</t>
        </is>
      </c>
      <c r="W27" s="10" t="inlineStr">
        <is>
          <t>Multi-site retailer; Independent retailer; Core relevant category; Active website</t>
        </is>
      </c>
      <c r="X27" s="10" t="inlineStr">
        <is>
          <t>Not Found</t>
        </is>
      </c>
      <c r="Y27" s="10" t="inlineStr">
        <is>
          <t>Website Found</t>
        </is>
      </c>
      <c r="Z27" s="10" t="inlineStr">
        <is>
          <t>Medium</t>
        </is>
      </c>
      <c r="AA27" s="10" t="inlineStr">
        <is>
          <t>Requires Verification</t>
        </is>
      </c>
      <c r="AB27" s="10" t="inlineStr">
        <is>
          <t>https://www.electricvape.co.uk/rotherham-shop</t>
        </is>
      </c>
    </row>
    <row r="28">
      <c r="A28" s="5" t="inlineStr">
        <is>
          <t>UK-000197</t>
        </is>
      </c>
      <c r="B28" s="5" t="inlineStr">
        <is>
          <t>ELECTRICVA-02</t>
        </is>
      </c>
      <c r="C28" s="5" t="inlineStr">
        <is>
          <t>Electric Vape</t>
        </is>
      </c>
      <c r="D28" s="5" t="inlineStr">
        <is>
          <t>Electric Vaper Barnsley</t>
        </is>
      </c>
      <c r="E28" s="5" t="inlineStr">
        <is>
          <t>Vape Shop</t>
        </is>
      </c>
      <c r="F28" s="5" t="inlineStr">
        <is>
          <t>Vape shop</t>
        </is>
      </c>
      <c r="G28" s="5" t="inlineStr">
        <is>
          <t>Multi-Site Independent</t>
        </is>
      </c>
      <c r="H28" s="5" t="inlineStr">
        <is>
          <t>1</t>
        </is>
      </c>
      <c r="I28" s="5" t="inlineStr">
        <is>
          <t>11 May Day Green Arcade</t>
        </is>
      </c>
      <c r="J28" s="5" t="inlineStr">
        <is>
          <t>Barnsley</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Core relevant category</t>
        </is>
      </c>
      <c r="X28" s="5" t="inlineStr">
        <is>
          <t>Not Found</t>
        </is>
      </c>
      <c r="Y28" s="5" t="inlineStr">
        <is>
          <t>Not Found</t>
        </is>
      </c>
      <c r="Z28" s="5" t="inlineStr">
        <is>
          <t>Low</t>
        </is>
      </c>
      <c r="AA28" s="5" t="inlineStr">
        <is>
          <t>Requires Verification</t>
        </is>
      </c>
      <c r="AB28" s="5" t="inlineStr">
        <is>
          <t>https://ecigdirectory.co.uk/vape-shop/listing/electric-vaper-barnsley</t>
        </is>
      </c>
    </row>
    <row r="29">
      <c r="A29" s="10" t="inlineStr">
        <is>
          <t>UK-000425</t>
        </is>
      </c>
      <c r="B29" s="10" t="inlineStr">
        <is>
          <t>ELECTROMIS-01</t>
        </is>
      </c>
      <c r="C29" s="10" t="inlineStr">
        <is>
          <t>Electromist</t>
        </is>
      </c>
      <c r="D29" s="10" t="inlineStr">
        <is>
          <t>Electromist Halesowen</t>
        </is>
      </c>
      <c r="E29" s="10" t="inlineStr">
        <is>
          <t>Vape Shop</t>
        </is>
      </c>
      <c r="F29" s="10" t="inlineStr">
        <is>
          <t>Vape kits, e-liquids &amp; accessories</t>
        </is>
      </c>
      <c r="G29" s="10" t="inlineStr">
        <is>
          <t>Multi-Site Independent</t>
        </is>
      </c>
      <c r="H29" s="10" t="inlineStr">
        <is>
          <t>2</t>
        </is>
      </c>
      <c r="I29" s="10" t="inlineStr">
        <is>
          <t>4-5 Great Cornbow</t>
        </is>
      </c>
      <c r="J29" s="10" t="inlineStr">
        <is>
          <t>Halesowen</t>
        </is>
      </c>
      <c r="K29" s="10" t="inlineStr">
        <is>
          <t>B63 3AB</t>
        </is>
      </c>
      <c r="L29" s="10" t="inlineStr"/>
      <c r="M29" s="10" t="inlineStr"/>
      <c r="N29" s="10" t="inlineStr"/>
      <c r="O29" s="10" t="inlineStr">
        <is>
          <t>https://electromist.co.uk/</t>
        </is>
      </c>
      <c r="P29" s="10" t="inlineStr"/>
      <c r="Q29" s="10" t="inlineStr"/>
      <c r="R29" s="10" t="inlineStr"/>
      <c r="S29" s="10" t="inlineStr"/>
      <c r="T29" s="10" t="inlineStr"/>
      <c r="U29" s="10" t="inlineStr"/>
      <c r="V29" s="10" t="inlineStr">
        <is>
          <t>High</t>
        </is>
      </c>
      <c r="W29" s="10" t="inlineStr">
        <is>
          <t>Multi-site retailer; Independent retailer; Core relevant category; Active website</t>
        </is>
      </c>
      <c r="X29" s="10" t="inlineStr">
        <is>
          <t>Not Found</t>
        </is>
      </c>
      <c r="Y29" s="10" t="inlineStr">
        <is>
          <t>Website Found</t>
        </is>
      </c>
      <c r="Z29" s="10" t="inlineStr">
        <is>
          <t>Medium</t>
        </is>
      </c>
      <c r="AA29" s="10" t="inlineStr">
        <is>
          <t>Requires Verification</t>
        </is>
      </c>
      <c r="AB29" s="10" t="inlineStr">
        <is>
          <t>https://electromist.co.uk/</t>
        </is>
      </c>
    </row>
    <row r="30">
      <c r="A30" s="5" t="inlineStr">
        <is>
          <t>UK-000553</t>
        </is>
      </c>
      <c r="B30" s="5" t="inlineStr">
        <is>
          <t>EVAPO-01</t>
        </is>
      </c>
      <c r="C30" s="5" t="inlineStr">
        <is>
          <t>Evapo</t>
        </is>
      </c>
      <c r="D30" s="5" t="inlineStr">
        <is>
          <t>Evapo - Hammersmith Broadway</t>
        </is>
      </c>
      <c r="E30" s="5" t="inlineStr">
        <is>
          <t>Vape Shop</t>
        </is>
      </c>
      <c r="F30" s="5" t="inlineStr">
        <is>
          <t>Vape hardware, e-liquids &amp; disposables</t>
        </is>
      </c>
      <c r="G30" s="5" t="inlineStr">
        <is>
          <t>Regional Chain</t>
        </is>
      </c>
      <c r="H30" s="5" t="inlineStr">
        <is>
          <t>1</t>
        </is>
      </c>
      <c r="I30" s="5" t="inlineStr">
        <is>
          <t>Unit 24b, Hammersmith Broadway Shopping Centre</t>
        </is>
      </c>
      <c r="J30" s="5" t="inlineStr">
        <is>
          <t>London</t>
        </is>
      </c>
      <c r="K30" s="5" t="inlineStr">
        <is>
          <t>W6 9YE</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Core relevant category</t>
        </is>
      </c>
      <c r="X30" s="5" t="inlineStr">
        <is>
          <t>Not Found</t>
        </is>
      </c>
      <c r="Y30" s="5" t="inlineStr">
        <is>
          <t>Not Found</t>
        </is>
      </c>
      <c r="Z30" s="5" t="inlineStr">
        <is>
          <t>Low</t>
        </is>
      </c>
      <c r="AA30" s="5" t="inlineStr">
        <is>
          <t>Requires Verification</t>
        </is>
      </c>
      <c r="AB30" s="5" t="inlineStr">
        <is>
          <t>https://www.yell.com/biz/evapo-hammersmith-london-9576528/</t>
        </is>
      </c>
    </row>
    <row r="31">
      <c r="A31" s="10" t="inlineStr">
        <is>
          <t>UK-000707</t>
        </is>
      </c>
      <c r="B31" s="10" t="inlineStr">
        <is>
          <t>FOODPLUS-01</t>
        </is>
      </c>
      <c r="C31" s="10" t="inlineStr">
        <is>
          <t>Food Plus</t>
        </is>
      </c>
      <c r="D31" s="10" t="inlineStr">
        <is>
          <t>Food Plus (Polski Sklep Wawel)</t>
        </is>
      </c>
      <c r="E31" s="10" t="inlineStr">
        <is>
          <t>Independent Supermarket</t>
        </is>
      </c>
      <c r="F31" s="10" t="inlineStr">
        <is>
          <t>Polish / international grocery</t>
        </is>
      </c>
      <c r="G31" s="10" t="inlineStr">
        <is>
          <t>Franchise / Symbol Group</t>
        </is>
      </c>
      <c r="H31" s="10" t="inlineStr">
        <is>
          <t>1</t>
        </is>
      </c>
      <c r="I31" s="10" t="inlineStr"/>
      <c r="J31" s="10" t="inlineStr">
        <is>
          <t>Birkenhead</t>
        </is>
      </c>
      <c r="K31" s="10" t="inlineStr">
        <is>
          <t>CH41 2QQ</t>
        </is>
      </c>
      <c r="L31" s="10" t="inlineStr"/>
      <c r="M31" s="10" t="inlineStr"/>
      <c r="N31" s="10" t="inlineStr"/>
      <c r="O31" s="10" t="inlineStr">
        <is>
          <t>https://www.foodplus.eu/</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Not Found</t>
        </is>
      </c>
      <c r="Y31" s="10" t="inlineStr">
        <is>
          <t>Website Found</t>
        </is>
      </c>
      <c r="Z31" s="10" t="inlineStr">
        <is>
          <t>Low</t>
        </is>
      </c>
      <c r="AA31" s="10" t="inlineStr">
        <is>
          <t>Requires Verification</t>
        </is>
      </c>
      <c r="AB31" s="10" t="inlineStr">
        <is>
          <t>https://www.foodplus.eu/en/products/food-plus-polski-sklep-wawel-ch41-2qq-birkenhead</t>
        </is>
      </c>
    </row>
    <row r="32">
      <c r="A32" s="5" t="inlineStr">
        <is>
          <t>UK-000199</t>
        </is>
      </c>
      <c r="B32" s="5" t="inlineStr">
        <is>
          <t>FOODPLUS-02</t>
        </is>
      </c>
      <c r="C32" s="5" t="inlineStr">
        <is>
          <t>Food Plus</t>
        </is>
      </c>
      <c r="D32" s="5" t="inlineStr">
        <is>
          <t>Food Plus Hexthorpe (Polski Sklep)</t>
        </is>
      </c>
      <c r="E32" s="5" t="inlineStr">
        <is>
          <t>Independent Supermarket</t>
        </is>
      </c>
      <c r="F32" s="5" t="inlineStr">
        <is>
          <t>Polish / European grocery store</t>
        </is>
      </c>
      <c r="G32" s="5" t="inlineStr">
        <is>
          <t>Franchise / Symbol Group</t>
        </is>
      </c>
      <c r="H32" s="5" t="inlineStr">
        <is>
          <t>1</t>
        </is>
      </c>
      <c r="I32" s="5" t="inlineStr"/>
      <c r="J32" s="5" t="inlineStr">
        <is>
          <t>Doncaster</t>
        </is>
      </c>
      <c r="K32" s="5" t="inlineStr">
        <is>
          <t>DN4 0BD</t>
        </is>
      </c>
      <c r="L32" s="5" t="inlineStr"/>
      <c r="M32" s="5" t="inlineStr"/>
      <c r="N32" s="5" t="inlineStr"/>
      <c r="O32" s="5" t="inlineStr">
        <is>
          <t>https://www.foodplus.eu/</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Not Found</t>
        </is>
      </c>
      <c r="Y32" s="5" t="inlineStr">
        <is>
          <t>Website Found</t>
        </is>
      </c>
      <c r="Z32" s="5" t="inlineStr">
        <is>
          <t>Low</t>
        </is>
      </c>
      <c r="AA32" s="5" t="inlineStr">
        <is>
          <t>Requires Verification</t>
        </is>
      </c>
      <c r="AB32" s="5" t="inlineStr">
        <is>
          <t>https://www.foodplus.eu/en/map/food-plus-polski-sklep-hexthorpe-dn4-0bd-doncaster</t>
        </is>
      </c>
    </row>
    <row r="33">
      <c r="A33" s="10" t="inlineStr">
        <is>
          <t>UK-000200</t>
        </is>
      </c>
      <c r="B33" s="10" t="inlineStr">
        <is>
          <t>FOODPLUS-03</t>
        </is>
      </c>
      <c r="C33" s="10" t="inlineStr">
        <is>
          <t>Food Plus</t>
        </is>
      </c>
      <c r="D33" s="10" t="inlineStr">
        <is>
          <t>Food Plus Rotherham (Polski Sklep)</t>
        </is>
      </c>
      <c r="E33" s="10" t="inlineStr">
        <is>
          <t>Independent Supermarket</t>
        </is>
      </c>
      <c r="F33" s="10" t="inlineStr">
        <is>
          <t>Polish / European grocery store</t>
        </is>
      </c>
      <c r="G33" s="10" t="inlineStr">
        <is>
          <t>Franchise / Symbol Group</t>
        </is>
      </c>
      <c r="H33" s="10" t="inlineStr">
        <is>
          <t>1</t>
        </is>
      </c>
      <c r="I33" s="10" t="inlineStr"/>
      <c r="J33" s="10" t="inlineStr">
        <is>
          <t>Rotherham</t>
        </is>
      </c>
      <c r="K33" s="10" t="inlineStr"/>
      <c r="L33" s="10" t="inlineStr"/>
      <c r="M33" s="10" t="inlineStr"/>
      <c r="N33" s="10" t="inlineStr"/>
      <c r="O33" s="10" t="inlineStr">
        <is>
          <t>https://www.foodplus.eu/</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Website Found</t>
        </is>
      </c>
      <c r="Z33" s="10" t="inlineStr">
        <is>
          <t>Low</t>
        </is>
      </c>
      <c r="AA33" s="10" t="inlineStr">
        <is>
          <t>Requires Verification</t>
        </is>
      </c>
      <c r="AB33" s="10" t="inlineStr">
        <is>
          <t>https://www.yorkshire.com/rotherham/shopping/grocers</t>
        </is>
      </c>
    </row>
    <row r="34">
      <c r="A34" s="5" t="inlineStr">
        <is>
          <t>UK-000307</t>
        </is>
      </c>
      <c r="B34" s="5" t="inlineStr">
        <is>
          <t>GOLOCALPAR-01</t>
        </is>
      </c>
      <c r="C34" s="5" t="inlineStr">
        <is>
          <t>Go Local (Parfetts)</t>
        </is>
      </c>
      <c r="D34" s="5" t="inlineStr">
        <is>
          <t>Go Local - Hyde Convenience Store</t>
        </is>
      </c>
      <c r="E34" s="5" t="inlineStr">
        <is>
          <t>Convenience Store</t>
        </is>
      </c>
      <c r="F34" s="5" t="inlineStr">
        <is>
          <t>Symbol group convenience</t>
        </is>
      </c>
      <c r="G34" s="5" t="inlineStr">
        <is>
          <t>Franchise / Symbol Group</t>
        </is>
      </c>
      <c r="H34" s="5" t="inlineStr">
        <is>
          <t>1</t>
        </is>
      </c>
      <c r="I34" s="5" t="inlineStr">
        <is>
          <t>119 Bennett Street</t>
        </is>
      </c>
      <c r="J34" s="5" t="inlineStr">
        <is>
          <t>Hyde</t>
        </is>
      </c>
      <c r="K34" s="5" t="inlineStr">
        <is>
          <t>SK14 4SS</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https://ratings.food.gov.uk/business/444647</t>
        </is>
      </c>
    </row>
    <row r="35">
      <c r="A35" s="10" t="inlineStr">
        <is>
          <t>UK-000308</t>
        </is>
      </c>
      <c r="B35" s="10" t="inlineStr">
        <is>
          <t>GOLOCALPAR-02</t>
        </is>
      </c>
      <c r="C35" s="10" t="inlineStr">
        <is>
          <t>Go Local (Parfetts)</t>
        </is>
      </c>
      <c r="D35" s="10" t="inlineStr">
        <is>
          <t>Go Local Extra (Hannah's Convenience)</t>
        </is>
      </c>
      <c r="E35" s="10" t="inlineStr">
        <is>
          <t>Convenience Store</t>
        </is>
      </c>
      <c r="F35" s="10" t="inlineStr">
        <is>
          <t>Symbol group convenience</t>
        </is>
      </c>
      <c r="G35" s="10" t="inlineStr">
        <is>
          <t>Franchise / Symbol Group</t>
        </is>
      </c>
      <c r="H35" s="10" t="inlineStr">
        <is>
          <t>1</t>
        </is>
      </c>
      <c r="I35" s="10" t="inlineStr">
        <is>
          <t>290 Grimshaw Lane</t>
        </is>
      </c>
      <c r="J35" s="10" t="inlineStr">
        <is>
          <t>Middleton</t>
        </is>
      </c>
      <c r="K35" s="10" t="inlineStr">
        <is>
          <t>M24 2XL</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https://www.yelp.com/search?find_desc=Off+Licence&amp;find_loc=Middleton,+Greater+Manchester</t>
        </is>
      </c>
    </row>
    <row r="36">
      <c r="A36" s="5" t="inlineStr">
        <is>
          <t>UK-000428</t>
        </is>
      </c>
      <c r="B36" s="5" t="inlineStr">
        <is>
          <t>GOLOCALPAR-03</t>
        </is>
      </c>
      <c r="C36" s="5" t="inlineStr">
        <is>
          <t>Go Local (Parfetts)</t>
        </is>
      </c>
      <c r="D36" s="5" t="inlineStr">
        <is>
          <t>Go Local Tibbi Convenience Store</t>
        </is>
      </c>
      <c r="E36" s="5" t="inlineStr">
        <is>
          <t>Convenience Store</t>
        </is>
      </c>
      <c r="F36" s="5" t="inlineStr">
        <is>
          <t>Symbol-group convenience store</t>
        </is>
      </c>
      <c r="G36" s="5" t="inlineStr">
        <is>
          <t>Franchise / Symbol Group</t>
        </is>
      </c>
      <c r="H36" s="5" t="inlineStr">
        <is>
          <t>1</t>
        </is>
      </c>
      <c r="I36" s="5" t="inlineStr"/>
      <c r="J36" s="5" t="inlineStr">
        <is>
          <t>Tipton</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https://tipton.cylex-uk.co.uk/company/go-local-tibbi-convenience-store-26088834.html</t>
        </is>
      </c>
    </row>
    <row r="37">
      <c r="A37" s="10" t="inlineStr">
        <is>
          <t>UK-000555</t>
        </is>
      </c>
      <c r="B37" s="10" t="inlineStr">
        <is>
          <t>HOUSEOFVAP-01</t>
        </is>
      </c>
      <c r="C37" s="10" t="inlineStr">
        <is>
          <t>House of Vapes London</t>
        </is>
      </c>
      <c r="D37" s="10" t="inlineStr">
        <is>
          <t>House of Vapes London - Notting Hill</t>
        </is>
      </c>
      <c r="E37" s="10" t="inlineStr">
        <is>
          <t>Vape Shop</t>
        </is>
      </c>
      <c r="F37" s="10" t="inlineStr">
        <is>
          <t>Vape hardware, e-liquids &amp; disposables</t>
        </is>
      </c>
      <c r="G37" s="10" t="inlineStr">
        <is>
          <t>Regional Chain</t>
        </is>
      </c>
      <c r="H37" s="10" t="inlineStr">
        <is>
          <t>1</t>
        </is>
      </c>
      <c r="I37" s="10" t="inlineStr">
        <is>
          <t>195 Portobello Road</t>
        </is>
      </c>
      <c r="J37" s="10" t="inlineStr">
        <is>
          <t>London</t>
        </is>
      </c>
      <c r="K37" s="10" t="inlineStr">
        <is>
          <t>W11 2ED</t>
        </is>
      </c>
      <c r="L37" s="10" t="inlineStr"/>
      <c r="M37" s="10" t="inlineStr"/>
      <c r="N37" s="10" t="inlineStr"/>
      <c r="O37" s="10" t="inlineStr">
        <is>
          <t>https://www.houseofvapeslondon.co.uk/</t>
        </is>
      </c>
      <c r="P37" s="10" t="inlineStr">
        <is>
          <t>https://www.facebook.com/houseofvapes.london/</t>
        </is>
      </c>
      <c r="Q37" s="10" t="inlineStr"/>
      <c r="R37" s="10" t="inlineStr"/>
      <c r="S37" s="10" t="inlineStr"/>
      <c r="T37" s="10" t="inlineStr">
        <is>
          <t>14483837</t>
        </is>
      </c>
      <c r="U37" s="10" t="inlineStr"/>
      <c r="V37" s="10" t="inlineStr">
        <is>
          <t>High</t>
        </is>
      </c>
      <c r="W37" s="10" t="inlineStr">
        <is>
          <t>Multi-site retailer; Core relevant category; Active website; Social presence</t>
        </is>
      </c>
      <c r="X37" s="10" t="inlineStr">
        <is>
          <t>Not Found</t>
        </is>
      </c>
      <c r="Y37" s="10" t="inlineStr">
        <is>
          <t>Not Found</t>
        </is>
      </c>
      <c r="Z37" s="10" t="inlineStr">
        <is>
          <t>Medium</t>
        </is>
      </c>
      <c r="AA37" s="10" t="inlineStr">
        <is>
          <t>Requires Verification</t>
        </is>
      </c>
      <c r="AB37" s="10" t="inlineStr">
        <is>
          <t>https://find-and-update.company-information.service.gov.uk/company/14483837</t>
        </is>
      </c>
    </row>
    <row r="38">
      <c r="A38" s="5" t="inlineStr">
        <is>
          <t>UK-000430</t>
        </is>
      </c>
      <c r="B38" s="5" t="inlineStr">
        <is>
          <t>HYPERAMAPL-01</t>
        </is>
      </c>
      <c r="C38" s="5" t="inlineStr">
        <is>
          <t>Hyperama PLC</t>
        </is>
      </c>
      <c r="D38" s="5" t="inlineStr">
        <is>
          <t>Hyperama Wholesale West Bromwich</t>
        </is>
      </c>
      <c r="E38" s="5" t="inlineStr">
        <is>
          <t>Cash &amp; Carry</t>
        </is>
      </c>
      <c r="F38" s="5" t="inlineStr">
        <is>
          <t>Cash &amp; carry wholesaler</t>
        </is>
      </c>
      <c r="G38" s="5" t="inlineStr">
        <is>
          <t>Regional Chain</t>
        </is>
      </c>
      <c r="H38" s="5" t="inlineStr">
        <is>
          <t>1</t>
        </is>
      </c>
      <c r="I38" s="5" t="inlineStr"/>
      <c r="J38" s="5" t="inlineStr">
        <is>
          <t>West Bromwich</t>
        </is>
      </c>
      <c r="K38" s="5" t="inlineStr">
        <is>
          <t>B70</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Core relevant category</t>
        </is>
      </c>
      <c r="X38" s="5" t="inlineStr">
        <is>
          <t>Not Found</t>
        </is>
      </c>
      <c r="Y38" s="5" t="inlineStr">
        <is>
          <t>Not Found</t>
        </is>
      </c>
      <c r="Z38" s="5" t="inlineStr">
        <is>
          <t>Medium</t>
        </is>
      </c>
      <c r="AA38" s="5" t="inlineStr">
        <is>
          <t>Requires Verification</t>
        </is>
      </c>
      <c r="AB38" s="5" t="inlineStr">
        <is>
          <t>https://www.yell.com/biz/hyperama-wholesale-west-bromwich-1694009/</t>
        </is>
      </c>
    </row>
    <row r="39">
      <c r="A39" s="10" t="inlineStr">
        <is>
          <t>WY-0016</t>
        </is>
      </c>
      <c r="B39" s="10" t="inlineStr">
        <is>
          <t>KARANRETAI-01</t>
        </is>
      </c>
      <c r="C39" s="10" t="inlineStr">
        <is>
          <t>Karan Retail Ltd</t>
        </is>
      </c>
      <c r="D39" s="10" t="inlineStr">
        <is>
          <t>Chidswell Service Station (Karan Retail)</t>
        </is>
      </c>
      <c r="E39" s="10" t="inlineStr">
        <is>
          <t>Petrol Station / Forecourt</t>
        </is>
      </c>
      <c r="F39" s="10" t="inlineStr">
        <is>
          <t>Forecourt with convenience store</t>
        </is>
      </c>
      <c r="G39" s="10" t="inlineStr">
        <is>
          <t>Multi-Site Independent</t>
        </is>
      </c>
      <c r="H39" s="10" t="inlineStr"/>
      <c r="I39" s="10" t="inlineStr">
        <is>
          <t>Off A653 (Chidswell)</t>
        </is>
      </c>
      <c r="J39" s="10" t="inlineStr">
        <is>
          <t>Dewsbury</t>
        </is>
      </c>
      <c r="K39" s="10" t="inlineStr"/>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https://www.asiantrader.biz/karan-retail-chidswell-service-station-acquisition</t>
        </is>
      </c>
    </row>
    <row r="40">
      <c r="A40" s="5" t="inlineStr">
        <is>
          <t>UK-000309</t>
        </is>
      </c>
      <c r="B40" s="5" t="inlineStr">
        <is>
          <t>LONDIS-02</t>
        </is>
      </c>
      <c r="C40" s="5" t="inlineStr">
        <is>
          <t>Londis</t>
        </is>
      </c>
      <c r="D40" s="5" t="inlineStr">
        <is>
          <t>Shell Bramhall Service Station</t>
        </is>
      </c>
      <c r="E40" s="5" t="inlineStr">
        <is>
          <t>Petrol Station / Forecourt</t>
        </is>
      </c>
      <c r="F40" s="5" t="inlineStr">
        <is>
          <t>Forecourt convenience (symbol group)</t>
        </is>
      </c>
      <c r="G40" s="5" t="inlineStr">
        <is>
          <t>Franchise / Symbol Group</t>
        </is>
      </c>
      <c r="H40" s="5" t="inlineStr">
        <is>
          <t>1</t>
        </is>
      </c>
      <c r="I40" s="5" t="inlineStr"/>
      <c r="J40" s="5" t="inlineStr">
        <is>
          <t>Bramhall</t>
        </is>
      </c>
      <c r="K40" s="5" t="inlineStr"/>
      <c r="L40" s="5" t="inlineStr"/>
      <c r="M40" s="5" t="inlineStr"/>
      <c r="N40" s="5" t="inlineStr"/>
      <c r="O40" s="5" t="inlineStr">
        <is>
          <t>https://www.londis.co.uk/our-stores/shell-bramhall-service-station</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Website Found</t>
        </is>
      </c>
      <c r="Z40" s="5" t="inlineStr">
        <is>
          <t>Low</t>
        </is>
      </c>
      <c r="AA40" s="5" t="inlineStr">
        <is>
          <t>Requires Verification</t>
        </is>
      </c>
      <c r="AB40" s="5" t="inlineStr">
        <is>
          <t>https://www.londis.co.uk/our-stores/shell-bramhall-service-station</t>
        </is>
      </c>
    </row>
    <row r="41">
      <c r="A41" s="10" t="inlineStr">
        <is>
          <t>UK-000431</t>
        </is>
      </c>
      <c r="B41" s="10" t="inlineStr">
        <is>
          <t>LONDISBOOK-01</t>
        </is>
      </c>
      <c r="C41" s="10" t="inlineStr">
        <is>
          <t>Londis (Booker symbol group)</t>
        </is>
      </c>
      <c r="D41" s="10" t="inlineStr">
        <is>
          <t>Londis Hall Green</t>
        </is>
      </c>
      <c r="E41" s="10" t="inlineStr">
        <is>
          <t>Convenience Store</t>
        </is>
      </c>
      <c r="F41" s="10" t="inlineStr">
        <is>
          <t>Symbol-group convenience store</t>
        </is>
      </c>
      <c r="G41" s="10" t="inlineStr">
        <is>
          <t>Franchise / Symbol Group</t>
        </is>
      </c>
      <c r="H41" s="10" t="inlineStr">
        <is>
          <t>1</t>
        </is>
      </c>
      <c r="I41" s="10" t="inlineStr"/>
      <c r="J41" s="10" t="inlineStr">
        <is>
          <t>Birmingham</t>
        </is>
      </c>
      <c r="K41" s="10" t="inlineStr"/>
      <c r="L41" s="10" t="inlineStr"/>
      <c r="M41" s="10" t="inlineStr"/>
      <c r="N41" s="10" t="inlineStr"/>
      <c r="O41" s="10" t="inlineStr">
        <is>
          <t>https://www.londis.co.uk/our-stores/londis-hall-green</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Not Found</t>
        </is>
      </c>
      <c r="Y41" s="10" t="inlineStr">
        <is>
          <t>Website Found</t>
        </is>
      </c>
      <c r="Z41" s="10" t="inlineStr">
        <is>
          <t>Low</t>
        </is>
      </c>
      <c r="AA41" s="10" t="inlineStr">
        <is>
          <t>Requires Verification</t>
        </is>
      </c>
      <c r="AB41" s="10" t="inlineStr">
        <is>
          <t>https://www.londis.co.uk/our-stores/londis-hall-green</t>
        </is>
      </c>
    </row>
    <row r="42">
      <c r="A42" s="5" t="inlineStr">
        <is>
          <t>WY-0020</t>
        </is>
      </c>
      <c r="B42" s="5" t="inlineStr">
        <is>
          <t>MULLACO-02</t>
        </is>
      </c>
      <c r="C42" s="5" t="inlineStr">
        <is>
          <t>Mullaco</t>
        </is>
      </c>
      <c r="D42" s="5" t="inlineStr">
        <is>
          <t>Mullaco Minimarket (Dewsbury)</t>
        </is>
      </c>
      <c r="E42" s="5" t="inlineStr">
        <is>
          <t>Convenience Store</t>
        </is>
      </c>
      <c r="F42" s="5" t="inlineStr">
        <is>
          <t>World foods minimarket</t>
        </is>
      </c>
      <c r="G42" s="5" t="inlineStr">
        <is>
          <t>Regional Chain</t>
        </is>
      </c>
      <c r="H42" s="5" t="inlineStr">
        <is>
          <t>3</t>
        </is>
      </c>
      <c r="I42" s="5" t="inlineStr"/>
      <c r="J42" s="5" t="inlineStr">
        <is>
          <t>Dewsbury</t>
        </is>
      </c>
      <c r="K42" s="5" t="inlineStr">
        <is>
          <t>WF12 9LX</t>
        </is>
      </c>
      <c r="L42" s="5" t="inlineStr"/>
      <c r="M42" s="5" t="inlineStr"/>
      <c r="N42" s="5" t="inlineStr"/>
      <c r="O42" s="5" t="inlineStr">
        <is>
          <t>https://mullaco.co.uk/</t>
        </is>
      </c>
      <c r="P42" s="5" t="inlineStr">
        <is>
          <t>https://www.facebook.com/mullaco.supermarket/</t>
        </is>
      </c>
      <c r="Q42" s="5" t="inlineStr"/>
      <c r="R42" s="5" t="inlineStr"/>
      <c r="S42" s="5" t="inlineStr"/>
      <c r="T42" s="5" t="inlineStr"/>
      <c r="U42" s="5" t="inlineStr"/>
      <c r="V42" s="5" t="inlineStr">
        <is>
          <t>Medium</t>
        </is>
      </c>
      <c r="W42" s="5" t="inlineStr">
        <is>
          <t>Multi-site retailer; Relevant category; Active website; Social presence</t>
        </is>
      </c>
      <c r="X42" s="5" t="inlineStr">
        <is>
          <t>Not Found</t>
        </is>
      </c>
      <c r="Y42" s="5" t="inlineStr">
        <is>
          <t>Website Found</t>
        </is>
      </c>
      <c r="Z42" s="5" t="inlineStr">
        <is>
          <t>Medium</t>
        </is>
      </c>
      <c r="AA42" s="5" t="inlineStr">
        <is>
          <t>Requires Verification</t>
        </is>
      </c>
      <c r="AB42" s="5" t="inlineStr">
        <is>
          <t>https://www.facebook.com/mullaco.supermarket/</t>
        </is>
      </c>
    </row>
    <row r="43">
      <c r="A43" s="10" t="inlineStr">
        <is>
          <t>UK-000313</t>
        </is>
      </c>
      <c r="B43" s="10" t="inlineStr">
        <is>
          <t>NISA-01</t>
        </is>
      </c>
      <c r="C43" s="10" t="inlineStr">
        <is>
          <t>Nisa</t>
        </is>
      </c>
      <c r="D43" s="10" t="inlineStr">
        <is>
          <t>Multisaver Nisa Local Dukinfield</t>
        </is>
      </c>
      <c r="E43" s="10" t="inlineStr">
        <is>
          <t>Convenience Store</t>
        </is>
      </c>
      <c r="F43" s="10" t="inlineStr">
        <is>
          <t>Symbol group convenience</t>
        </is>
      </c>
      <c r="G43" s="10" t="inlineStr">
        <is>
          <t>Franchise / Symbol Group</t>
        </is>
      </c>
      <c r="H43" s="10" t="inlineStr">
        <is>
          <t>1</t>
        </is>
      </c>
      <c r="I43" s="10" t="inlineStr">
        <is>
          <t>105 Chapel Street</t>
        </is>
      </c>
      <c r="J43" s="10" t="inlineStr">
        <is>
          <t>Dukinfield</t>
        </is>
      </c>
      <c r="K43" s="10" t="inlineStr">
        <is>
          <t>SK16 4QJ</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https://ratings.food.gov.uk/business/200382/multisaver-nisa-local-dukinfield</t>
        </is>
      </c>
    </row>
    <row r="44">
      <c r="A44" s="5" t="inlineStr">
        <is>
          <t>UK-000201</t>
        </is>
      </c>
      <c r="B44" s="5" t="inlineStr">
        <is>
          <t>NISA-02</t>
        </is>
      </c>
      <c r="C44" s="5" t="inlineStr">
        <is>
          <t>Nisa</t>
        </is>
      </c>
      <c r="D44" s="5" t="inlineStr">
        <is>
          <t>Nisa Express Grimsby (Victor Street)</t>
        </is>
      </c>
      <c r="E44" s="5" t="inlineStr">
        <is>
          <t>Convenience Store</t>
        </is>
      </c>
      <c r="F44" s="5" t="inlineStr">
        <is>
          <t>Symbol-group convenience store</t>
        </is>
      </c>
      <c r="G44" s="5" t="inlineStr">
        <is>
          <t>Franchise / Symbol Group</t>
        </is>
      </c>
      <c r="H44" s="5" t="inlineStr">
        <is>
          <t>1</t>
        </is>
      </c>
      <c r="I44" s="5" t="inlineStr">
        <is>
          <t>129 Victor Street</t>
        </is>
      </c>
      <c r="J44" s="5" t="inlineStr">
        <is>
          <t>Grimsby</t>
        </is>
      </c>
      <c r="K44" s="5" t="inlineStr"/>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https://www.nisalocally.co.uk/stores/north-east-lincs/grimsby/129-victor-st</t>
        </is>
      </c>
    </row>
    <row r="45">
      <c r="A45" s="10" t="inlineStr">
        <is>
          <t>UK-000202</t>
        </is>
      </c>
      <c r="B45" s="10" t="inlineStr">
        <is>
          <t>NISA-03</t>
        </is>
      </c>
      <c r="C45" s="10" t="inlineStr">
        <is>
          <t>Nisa</t>
        </is>
      </c>
      <c r="D45" s="10" t="inlineStr">
        <is>
          <t>Nisa Local Cleethorpes (Grimsby Road)</t>
        </is>
      </c>
      <c r="E45" s="10" t="inlineStr">
        <is>
          <t>Convenience Store</t>
        </is>
      </c>
      <c r="F45" s="10" t="inlineStr">
        <is>
          <t>Symbol-group convenience store</t>
        </is>
      </c>
      <c r="G45" s="10" t="inlineStr">
        <is>
          <t>Franchise / Symbol Group</t>
        </is>
      </c>
      <c r="H45" s="10" t="inlineStr">
        <is>
          <t>1</t>
        </is>
      </c>
      <c r="I45" s="10" t="inlineStr">
        <is>
          <t>29-31 Grimsby Road</t>
        </is>
      </c>
      <c r="J45" s="10" t="inlineStr">
        <is>
          <t>Cleethorpes</t>
        </is>
      </c>
      <c r="K45" s="10" t="inlineStr"/>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https://ratings.food.gov.uk/business/1631635/nisa-local-grimsby-local-store</t>
        </is>
      </c>
    </row>
    <row r="46">
      <c r="A46" s="5" t="inlineStr">
        <is>
          <t>UK-000434</t>
        </is>
      </c>
      <c r="B46" s="5" t="inlineStr">
        <is>
          <t>NISACOOPSY-01</t>
        </is>
      </c>
      <c r="C46" s="5" t="inlineStr">
        <is>
          <t>Nisa (Co-op symbol group)</t>
        </is>
      </c>
      <c r="D46" s="5" t="inlineStr">
        <is>
          <t>Nisa Local - 555 Bloxwich Road</t>
        </is>
      </c>
      <c r="E46" s="5" t="inlineStr">
        <is>
          <t>Convenience Store</t>
        </is>
      </c>
      <c r="F46" s="5" t="inlineStr">
        <is>
          <t>Convenience &amp; off-licence</t>
        </is>
      </c>
      <c r="G46" s="5" t="inlineStr">
        <is>
          <t>Franchise / Symbol Group</t>
        </is>
      </c>
      <c r="H46" s="5" t="inlineStr">
        <is>
          <t>1</t>
        </is>
      </c>
      <c r="I46" s="5" t="inlineStr">
        <is>
          <t>555 Bloxwich Road</t>
        </is>
      </c>
      <c r="J46" s="5" t="inlineStr">
        <is>
          <t>Walsall</t>
        </is>
      </c>
      <c r="K46" s="5" t="inlineStr">
        <is>
          <t>WS3 2XD</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https://www.mylocalservices.co.uk/Nisa+Local-Walsall-3137056.html</t>
        </is>
      </c>
    </row>
    <row r="47">
      <c r="A47" s="10" t="inlineStr">
        <is>
          <t>UK-000435</t>
        </is>
      </c>
      <c r="B47" s="10" t="inlineStr">
        <is>
          <t>NISACOOPSY-02</t>
        </is>
      </c>
      <c r="C47" s="10" t="inlineStr">
        <is>
          <t>Nisa (Co-op symbol group)</t>
        </is>
      </c>
      <c r="D47" s="10" t="inlineStr">
        <is>
          <t>Nisa Local - Sneyd Hall Road</t>
        </is>
      </c>
      <c r="E47" s="10" t="inlineStr">
        <is>
          <t>Convenience Store</t>
        </is>
      </c>
      <c r="F47" s="10" t="inlineStr">
        <is>
          <t>Convenience &amp; off-licence</t>
        </is>
      </c>
      <c r="G47" s="10" t="inlineStr">
        <is>
          <t>Franchise / Symbol Group</t>
        </is>
      </c>
      <c r="H47" s="10" t="inlineStr">
        <is>
          <t>1</t>
        </is>
      </c>
      <c r="I47" s="10" t="inlineStr">
        <is>
          <t>2 Sneyd Hall Road</t>
        </is>
      </c>
      <c r="J47" s="10" t="inlineStr">
        <is>
          <t>Walsall</t>
        </is>
      </c>
      <c r="K47" s="10" t="inlineStr">
        <is>
          <t>WS3 2NP</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https://citikey.uk/display/nisa-local-XXJDK</t>
        </is>
      </c>
    </row>
    <row r="48">
      <c r="A48" s="5" t="inlineStr">
        <is>
          <t>UK-000436</t>
        </is>
      </c>
      <c r="B48" s="5" t="inlineStr">
        <is>
          <t>NISACOOPSY-03</t>
        </is>
      </c>
      <c r="C48" s="5" t="inlineStr">
        <is>
          <t>Nisa (Co-op symbol group)</t>
        </is>
      </c>
      <c r="D48" s="5" t="inlineStr">
        <is>
          <t>Nisa Today's - 619 Bloxwich Road</t>
        </is>
      </c>
      <c r="E48" s="5" t="inlineStr">
        <is>
          <t>Convenience Store</t>
        </is>
      </c>
      <c r="F48" s="5" t="inlineStr">
        <is>
          <t>Convenience &amp; off-licence</t>
        </is>
      </c>
      <c r="G48" s="5" t="inlineStr">
        <is>
          <t>Franchise / Symbol Group</t>
        </is>
      </c>
      <c r="H48" s="5" t="inlineStr">
        <is>
          <t>1</t>
        </is>
      </c>
      <c r="I48" s="5" t="inlineStr">
        <is>
          <t>619 Bloxwich Road</t>
        </is>
      </c>
      <c r="J48" s="5" t="inlineStr">
        <is>
          <t>Walsall</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https://www.localstore.co.uk/store/353534/nisa-todays/walsall/</t>
        </is>
      </c>
    </row>
    <row r="49">
      <c r="A49" s="10" t="inlineStr">
        <is>
          <t>UK-000314</t>
        </is>
      </c>
      <c r="B49" s="10" t="inlineStr">
        <is>
          <t>NISACOOP-01</t>
        </is>
      </c>
      <c r="C49" s="10" t="inlineStr">
        <is>
          <t>Nisa (Co-op)</t>
        </is>
      </c>
      <c r="D49" s="10" t="inlineStr">
        <is>
          <t>Nisa Local Marsh Green</t>
        </is>
      </c>
      <c r="E49" s="10" t="inlineStr">
        <is>
          <t>Convenience Store</t>
        </is>
      </c>
      <c r="F49" s="10" t="inlineStr">
        <is>
          <t>Symbol-group convenience store</t>
        </is>
      </c>
      <c r="G49" s="10" t="inlineStr">
        <is>
          <t>Franchise / Symbol Group</t>
        </is>
      </c>
      <c r="H49" s="10" t="inlineStr">
        <is>
          <t>1</t>
        </is>
      </c>
      <c r="I49" s="10" t="inlineStr">
        <is>
          <t>101-103 Kitt Green Road</t>
        </is>
      </c>
      <c r="J49" s="10" t="inlineStr">
        <is>
          <t>Wigan</t>
        </is>
      </c>
      <c r="K49" s="10" t="inlineStr">
        <is>
          <t>WN5 0EE</t>
        </is>
      </c>
      <c r="L49" s="10" t="inlineStr"/>
      <c r="M49" s="10" t="inlineStr"/>
      <c r="N49" s="10" t="inlineStr"/>
      <c r="O49" s="10" t="inlineStr">
        <is>
          <t>https://www.nisalocally.co.uk/</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Not Found</t>
        </is>
      </c>
      <c r="Z49" s="10" t="inlineStr">
        <is>
          <t>Low</t>
        </is>
      </c>
      <c r="AA49" s="10" t="inlineStr">
        <is>
          <t>Requires Verification</t>
        </is>
      </c>
      <c r="AB49" s="10" t="inlineStr">
        <is>
          <t>https://www.nisalocally.co.uk/stores/greater-manchester/wigan</t>
        </is>
      </c>
    </row>
    <row r="50">
      <c r="A50" s="5" t="inlineStr">
        <is>
          <t>UK-000203</t>
        </is>
      </c>
      <c r="B50" s="5" t="inlineStr">
        <is>
          <t>PARFETTSTH-01</t>
        </is>
      </c>
      <c r="C50" s="5" t="inlineStr">
        <is>
          <t>Parfetts / The Local</t>
        </is>
      </c>
      <c r="D50" s="5" t="inlineStr">
        <is>
          <t>The Local (Marfleet Lane)</t>
        </is>
      </c>
      <c r="E50" s="5" t="inlineStr">
        <is>
          <t>Convenience Store</t>
        </is>
      </c>
      <c r="F50" s="5" t="inlineStr">
        <is>
          <t>Symbol-group convenience store</t>
        </is>
      </c>
      <c r="G50" s="5" t="inlineStr">
        <is>
          <t>Franchise / Symbol Group</t>
        </is>
      </c>
      <c r="H50" s="5" t="inlineStr">
        <is>
          <t>1</t>
        </is>
      </c>
      <c r="I50" s="5" t="inlineStr">
        <is>
          <t>Marfleet Lane</t>
        </is>
      </c>
      <c r="J50" s="5" t="inlineStr">
        <is>
          <t>Kingston upon Hull</t>
        </is>
      </c>
      <c r="K50" s="5" t="inlineStr"/>
      <c r="L50" s="5" t="inlineStr"/>
      <c r="M50" s="5" t="inlineStr"/>
      <c r="N50" s="5" t="inlineStr"/>
      <c r="O50" s="5" t="inlineStr"/>
      <c r="P50" s="5" t="inlineStr"/>
      <c r="Q50" s="5" t="inlineStr"/>
      <c r="R50" s="5" t="inlineStr">
        <is>
          <t>Prasath Balakrishnan</t>
        </is>
      </c>
      <c r="S50" s="5" t="inlineStr">
        <is>
          <t>Owner</t>
        </is>
      </c>
      <c r="T50" s="5" t="inlineStr"/>
      <c r="U50" s="5" t="inlineStr"/>
      <c r="V50" s="5" t="inlineStr">
        <is>
          <t>Medium</t>
        </is>
      </c>
      <c r="W50" s="5" t="inlineStr">
        <is>
          <t>Multi-site retailer; Independent retailer; Relevant category</t>
        </is>
      </c>
      <c r="X50" s="5" t="inlineStr">
        <is>
          <t>Not Found</t>
        </is>
      </c>
      <c r="Y50" s="5" t="inlineStr">
        <is>
          <t>Not Found</t>
        </is>
      </c>
      <c r="Z50" s="5" t="inlineStr">
        <is>
          <t>Medium</t>
        </is>
      </c>
      <c r="AA50" s="5" t="inlineStr">
        <is>
          <t>Requires Verification</t>
        </is>
      </c>
      <c r="AB50" s="5" t="inlineStr">
        <is>
          <t>https://wholesalemanager.co.uk/new-the-local-store-opens-in-hull/</t>
        </is>
      </c>
    </row>
    <row r="51">
      <c r="A51" s="10" t="inlineStr">
        <is>
          <t>UK-000316</t>
        </is>
      </c>
      <c r="B51" s="10" t="inlineStr">
        <is>
          <t>PREMIERBOO-01</t>
        </is>
      </c>
      <c r="C51" s="10" t="inlineStr">
        <is>
          <t>Premier (Booker Group)</t>
        </is>
      </c>
      <c r="D51" s="10" t="inlineStr">
        <is>
          <t>Premier Store Leigh (Kirkhall Lane)</t>
        </is>
      </c>
      <c r="E51" s="10" t="inlineStr">
        <is>
          <t>Convenience Store</t>
        </is>
      </c>
      <c r="F51" s="10" t="inlineStr">
        <is>
          <t>Symbol-group convenience store</t>
        </is>
      </c>
      <c r="G51" s="10" t="inlineStr">
        <is>
          <t>Franchise / Symbol Group</t>
        </is>
      </c>
      <c r="H51" s="10" t="inlineStr">
        <is>
          <t>1</t>
        </is>
      </c>
      <c r="I51" s="10" t="inlineStr">
        <is>
          <t>41 Kirkhall Lane</t>
        </is>
      </c>
      <c r="J51" s="10" t="inlineStr">
        <is>
          <t>Leigh</t>
        </is>
      </c>
      <c r="K51" s="10" t="inlineStr">
        <is>
          <t>WN7 1SA</t>
        </is>
      </c>
      <c r="L51" s="10" t="inlineStr"/>
      <c r="M51" s="10" t="inlineStr"/>
      <c r="N51" s="10" t="inlineStr"/>
      <c r="O51" s="10" t="inlineStr">
        <is>
          <t>https://www.premier-stores.co.uk/</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Not Found</t>
        </is>
      </c>
      <c r="Y51" s="10" t="inlineStr">
        <is>
          <t>Not Found</t>
        </is>
      </c>
      <c r="Z51" s="10" t="inlineStr">
        <is>
          <t>Low</t>
        </is>
      </c>
      <c r="AA51" s="10" t="inlineStr">
        <is>
          <t>Requires Verification</t>
        </is>
      </c>
      <c r="AB51" s="10" t="inlineStr">
        <is>
          <t>https://www.yell.com/biz/premier-leigh-4398851/</t>
        </is>
      </c>
    </row>
    <row r="52">
      <c r="A52" s="5" t="inlineStr">
        <is>
          <t>UK-000317</t>
        </is>
      </c>
      <c r="B52" s="5" t="inlineStr">
        <is>
          <t>PREMIERBOO-02</t>
        </is>
      </c>
      <c r="C52" s="5" t="inlineStr">
        <is>
          <t>Premier (Booker Group)</t>
        </is>
      </c>
      <c r="D52" s="5" t="inlineStr">
        <is>
          <t>Premier Store Wigan (Ormskirk Road)</t>
        </is>
      </c>
      <c r="E52" s="5" t="inlineStr">
        <is>
          <t>Convenience Store</t>
        </is>
      </c>
      <c r="F52" s="5" t="inlineStr">
        <is>
          <t>Symbol-group convenience store</t>
        </is>
      </c>
      <c r="G52" s="5" t="inlineStr">
        <is>
          <t>Franchise / Symbol Group</t>
        </is>
      </c>
      <c r="H52" s="5" t="inlineStr">
        <is>
          <t>1</t>
        </is>
      </c>
      <c r="I52" s="5" t="inlineStr">
        <is>
          <t>751 Ormskirk Road</t>
        </is>
      </c>
      <c r="J52" s="5" t="inlineStr">
        <is>
          <t>Wigan</t>
        </is>
      </c>
      <c r="K52" s="5" t="inlineStr">
        <is>
          <t>WN5 8AT</t>
        </is>
      </c>
      <c r="L52" s="5" t="inlineStr"/>
      <c r="M52" s="5" t="inlineStr"/>
      <c r="N52" s="5" t="inlineStr"/>
      <c r="O52" s="5" t="inlineStr">
        <is>
          <t>https://www.premier-stores.co.uk/</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Not Found</t>
        </is>
      </c>
      <c r="Z52" s="5" t="inlineStr">
        <is>
          <t>Low</t>
        </is>
      </c>
      <c r="AA52" s="5" t="inlineStr">
        <is>
          <t>Requires Verification</t>
        </is>
      </c>
      <c r="AB52" s="5" t="inlineStr">
        <is>
          <t>https://wigan.cylex-uk.co.uk/company/premier-19271504.html</t>
        </is>
      </c>
    </row>
    <row r="53">
      <c r="A53" s="10" t="inlineStr">
        <is>
          <t>UK-000204</t>
        </is>
      </c>
      <c r="B53" s="10" t="inlineStr">
        <is>
          <t>PREMIERBOO-03</t>
        </is>
      </c>
      <c r="C53" s="10" t="inlineStr">
        <is>
          <t>Premier (Booker Group)</t>
        </is>
      </c>
      <c r="D53" s="10" t="inlineStr">
        <is>
          <t>Premier Stores Ripon</t>
        </is>
      </c>
      <c r="E53" s="10" t="inlineStr">
        <is>
          <t>Convenience Store</t>
        </is>
      </c>
      <c r="F53" s="10" t="inlineStr">
        <is>
          <t>Symbol-group convenience store</t>
        </is>
      </c>
      <c r="G53" s="10" t="inlineStr">
        <is>
          <t>Franchise / Symbol Group</t>
        </is>
      </c>
      <c r="H53" s="10" t="inlineStr">
        <is>
          <t>1</t>
        </is>
      </c>
      <c r="I53" s="10" t="inlineStr">
        <is>
          <t>64 Bondgate</t>
        </is>
      </c>
      <c r="J53" s="10" t="inlineStr">
        <is>
          <t>Ripon</t>
        </is>
      </c>
      <c r="K53" s="10" t="inlineStr"/>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Low</t>
        </is>
      </c>
      <c r="AA53" s="10" t="inlineStr">
        <is>
          <t>Requires Verification</t>
        </is>
      </c>
      <c r="AB53" s="10" t="inlineStr">
        <is>
          <t>https://www.localstore.co.uk/store/394275/premier-stores/ripon/</t>
        </is>
      </c>
    </row>
    <row r="54">
      <c r="A54" s="5" t="inlineStr">
        <is>
          <t>UK-000439</t>
        </is>
      </c>
      <c r="B54" s="5" t="inlineStr">
        <is>
          <t>PREMIERBOO-03</t>
        </is>
      </c>
      <c r="C54" s="5" t="inlineStr">
        <is>
          <t>Premier (Booker symbol group)</t>
        </is>
      </c>
      <c r="D54" s="5" t="inlineStr">
        <is>
          <t>Premier - 570 Bloxwich Road</t>
        </is>
      </c>
      <c r="E54" s="5" t="inlineStr">
        <is>
          <t>Convenience Store</t>
        </is>
      </c>
      <c r="F54" s="5" t="inlineStr">
        <is>
          <t>Convenience &amp; off-licence</t>
        </is>
      </c>
      <c r="G54" s="5" t="inlineStr">
        <is>
          <t>Franchise / Symbol Group</t>
        </is>
      </c>
      <c r="H54" s="5" t="inlineStr">
        <is>
          <t>1</t>
        </is>
      </c>
      <c r="I54" s="5" t="inlineStr">
        <is>
          <t>570 Bloxwich Road</t>
        </is>
      </c>
      <c r="J54" s="5" t="inlineStr">
        <is>
          <t>Walsall</t>
        </is>
      </c>
      <c r="K54" s="5" t="inlineStr">
        <is>
          <t>WS3 2BB</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Not Found</t>
        </is>
      </c>
      <c r="Y54" s="5" t="inlineStr">
        <is>
          <t>Not Found</t>
        </is>
      </c>
      <c r="Z54" s="5" t="inlineStr">
        <is>
          <t>Low</t>
        </is>
      </c>
      <c r="AA54" s="5" t="inlineStr">
        <is>
          <t>Requires Verification</t>
        </is>
      </c>
      <c r="AB54" s="5" t="inlineStr">
        <is>
          <t>https://walsall.cylex-uk.co.uk/company/premier---bloxwich-road-convenience-store-23827914.html</t>
        </is>
      </c>
    </row>
    <row r="55">
      <c r="A55" s="10" t="inlineStr">
        <is>
          <t>UK-000440</t>
        </is>
      </c>
      <c r="B55" s="10" t="inlineStr">
        <is>
          <t>PREMIERBOO-04</t>
        </is>
      </c>
      <c r="C55" s="10" t="inlineStr">
        <is>
          <t>Premier (Booker symbol group)</t>
        </is>
      </c>
      <c r="D55" s="10" t="inlineStr">
        <is>
          <t>Premier - Bloxwich Road Convenience Store &amp; Post Office</t>
        </is>
      </c>
      <c r="E55" s="10" t="inlineStr">
        <is>
          <t>Convenience Store</t>
        </is>
      </c>
      <c r="F55" s="10" t="inlineStr">
        <is>
          <t>Convenience &amp; post office</t>
        </is>
      </c>
      <c r="G55" s="10" t="inlineStr">
        <is>
          <t>Franchise / Symbol Group</t>
        </is>
      </c>
      <c r="H55" s="10" t="inlineStr">
        <is>
          <t>1</t>
        </is>
      </c>
      <c r="I55" s="10" t="inlineStr">
        <is>
          <t>133-135 Bloxwich Road</t>
        </is>
      </c>
      <c r="J55" s="10" t="inlineStr">
        <is>
          <t>Walsall</t>
        </is>
      </c>
      <c r="K55" s="10" t="inlineStr">
        <is>
          <t>WS2 8BS</t>
        </is>
      </c>
      <c r="L55" s="10" t="inlineStr"/>
      <c r="M55" s="10" t="inlineStr"/>
      <c r="N55" s="10" t="inlineStr"/>
      <c r="O55" s="10" t="inlineStr">
        <is>
          <t>https://www.premier-stores.co.uk/our-stores/bloxwich-road-convenience-store</t>
        </is>
      </c>
      <c r="P55" s="10" t="inlineStr">
        <is>
          <t>https://www.facebook.com/bloxwichroadconveniencestore/</t>
        </is>
      </c>
      <c r="Q55" s="10" t="inlineStr"/>
      <c r="R55" s="10" t="inlineStr"/>
      <c r="S55" s="10" t="inlineStr"/>
      <c r="T55" s="10" t="inlineStr"/>
      <c r="U55" s="10" t="inlineStr"/>
      <c r="V55" s="10" t="inlineStr">
        <is>
          <t>High</t>
        </is>
      </c>
      <c r="W55" s="10" t="inlineStr">
        <is>
          <t>Multi-site retailer; Independent retailer; Relevant category; Active website; Social presence</t>
        </is>
      </c>
      <c r="X55" s="10" t="inlineStr">
        <is>
          <t>Not Found</t>
        </is>
      </c>
      <c r="Y55" s="10" t="inlineStr">
        <is>
          <t>Not Found</t>
        </is>
      </c>
      <c r="Z55" s="10" t="inlineStr">
        <is>
          <t>Medium</t>
        </is>
      </c>
      <c r="AA55" s="10" t="inlineStr">
        <is>
          <t>Partially Verified</t>
        </is>
      </c>
      <c r="AB55" s="10" t="inlineStr">
        <is>
          <t>https://www.premier-stores.co.uk/our-stores/bloxwich-road-convenience-store</t>
        </is>
      </c>
    </row>
    <row r="56">
      <c r="A56" s="5" t="inlineStr">
        <is>
          <t>UK-000715</t>
        </is>
      </c>
      <c r="B56" s="5" t="inlineStr">
        <is>
          <t>PREMIERBOO-01</t>
        </is>
      </c>
      <c r="C56" s="5" t="inlineStr">
        <is>
          <t>Premier (Booker)</t>
        </is>
      </c>
      <c r="D56" s="5" t="inlineStr">
        <is>
          <t>Dalry Premier Store</t>
        </is>
      </c>
      <c r="E56" s="5" t="inlineStr">
        <is>
          <t>Convenience Store</t>
        </is>
      </c>
      <c r="F56" s="5" t="inlineStr">
        <is>
          <t>Symbol-group convenience &amp; off-licence</t>
        </is>
      </c>
      <c r="G56" s="5" t="inlineStr">
        <is>
          <t>Franchise / Symbol Group</t>
        </is>
      </c>
      <c r="H56" s="5" t="inlineStr">
        <is>
          <t>1</t>
        </is>
      </c>
      <c r="I56" s="5" t="inlineStr">
        <is>
          <t>25 Dalry Road</t>
        </is>
      </c>
      <c r="J56" s="5" t="inlineStr">
        <is>
          <t>Edinburgh</t>
        </is>
      </c>
      <c r="K56" s="5" t="inlineStr">
        <is>
          <t>EH11 2BQ</t>
        </is>
      </c>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https://edinburgh.cylex-uk.co.uk/convenience-stores/?dst=dalry</t>
        </is>
      </c>
    </row>
    <row r="57">
      <c r="A57" s="10" t="inlineStr">
        <is>
          <t>UK-000205</t>
        </is>
      </c>
      <c r="B57" s="10" t="inlineStr">
        <is>
          <t>PREMIERBOO-02</t>
        </is>
      </c>
      <c r="C57" s="10" t="inlineStr">
        <is>
          <t>Premier (Booker)</t>
        </is>
      </c>
      <c r="D57" s="10" t="inlineStr">
        <is>
          <t>Firth Park Convenience Store</t>
        </is>
      </c>
      <c r="E57" s="10" t="inlineStr">
        <is>
          <t>Convenience Store</t>
        </is>
      </c>
      <c r="F57" s="10" t="inlineStr">
        <is>
          <t>Convenience store (symbol group)</t>
        </is>
      </c>
      <c r="G57" s="10" t="inlineStr">
        <is>
          <t>Franchise / Symbol Group</t>
        </is>
      </c>
      <c r="H57" s="10" t="inlineStr">
        <is>
          <t>1</t>
        </is>
      </c>
      <c r="I57" s="10" t="inlineStr">
        <is>
          <t>11-13 Stubbin Lane</t>
        </is>
      </c>
      <c r="J57" s="10" t="inlineStr">
        <is>
          <t>Sheffield</t>
        </is>
      </c>
      <c r="K57" s="10" t="inlineStr">
        <is>
          <t>S5 6QG</t>
        </is>
      </c>
      <c r="L57" s="10" t="inlineStr"/>
      <c r="M57" s="10" t="inlineStr"/>
      <c r="N57" s="10" t="inlineStr"/>
      <c r="O57" s="10" t="inlineStr">
        <is>
          <t>https://www.premier-stores.co.uk/our-stores/firth-park-convenience-store</t>
        </is>
      </c>
      <c r="P57" s="10" t="inlineStr"/>
      <c r="Q57" s="10" t="inlineStr"/>
      <c r="R57" s="10" t="inlineStr"/>
      <c r="S57" s="10" t="inlineStr"/>
      <c r="T57" s="10" t="inlineStr"/>
      <c r="U57" s="10" t="inlineStr"/>
      <c r="V57" s="10" t="inlineStr">
        <is>
          <t>Medium</t>
        </is>
      </c>
      <c r="W57" s="10" t="inlineStr">
        <is>
          <t>Multi-site retailer; Independent retailer; Relevant category; Active website</t>
        </is>
      </c>
      <c r="X57" s="10" t="inlineStr">
        <is>
          <t>Not Found</t>
        </is>
      </c>
      <c r="Y57" s="10" t="inlineStr">
        <is>
          <t>Not Found</t>
        </is>
      </c>
      <c r="Z57" s="10" t="inlineStr">
        <is>
          <t>Low</t>
        </is>
      </c>
      <c r="AA57" s="10" t="inlineStr">
        <is>
          <t>Requires Verification</t>
        </is>
      </c>
      <c r="AB57" s="10" t="inlineStr">
        <is>
          <t>https://www.premier-stores.co.uk/our-stores/firth-park-convenience-store</t>
        </is>
      </c>
    </row>
    <row r="58">
      <c r="A58" s="5" t="inlineStr">
        <is>
          <t>UK-000716</t>
        </is>
      </c>
      <c r="B58" s="5" t="inlineStr">
        <is>
          <t>PREMIERBOO-03</t>
        </is>
      </c>
      <c r="C58" s="5" t="inlineStr">
        <is>
          <t>Premier (Booker)</t>
        </is>
      </c>
      <c r="D58" s="5" t="inlineStr">
        <is>
          <t>Grange Road West Convenience Store</t>
        </is>
      </c>
      <c r="E58" s="5" t="inlineStr">
        <is>
          <t>Convenience Store</t>
        </is>
      </c>
      <c r="F58" s="5" t="inlineStr">
        <is>
          <t>Premier symbol convenience store</t>
        </is>
      </c>
      <c r="G58" s="5" t="inlineStr">
        <is>
          <t>Franchise / Symbol Group</t>
        </is>
      </c>
      <c r="H58" s="5" t="inlineStr">
        <is>
          <t>1</t>
        </is>
      </c>
      <c r="I58" s="5" t="inlineStr">
        <is>
          <t>82-84 Grange Road West</t>
        </is>
      </c>
      <c r="J58" s="5" t="inlineStr">
        <is>
          <t>Birkenhead</t>
        </is>
      </c>
      <c r="K58" s="5" t="inlineStr">
        <is>
          <t>CH41 4DB</t>
        </is>
      </c>
      <c r="L58" s="5" t="inlineStr"/>
      <c r="M58" s="5" t="inlineStr"/>
      <c r="N58" s="5" t="inlineStr"/>
      <c r="O58" s="5" t="inlineStr">
        <is>
          <t>https://www.premier-stores.co.uk/our-stores/grange-road-west-convenience-store</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Not Found</t>
        </is>
      </c>
      <c r="Y58" s="5" t="inlineStr">
        <is>
          <t>Website Found</t>
        </is>
      </c>
      <c r="Z58" s="5" t="inlineStr">
        <is>
          <t>Medium</t>
        </is>
      </c>
      <c r="AA58" s="5" t="inlineStr">
        <is>
          <t>Requires Verification</t>
        </is>
      </c>
      <c r="AB58" s="5" t="inlineStr">
        <is>
          <t>https://www.premier-stores.co.uk/our-stores/grange-road-west-convenience-store</t>
        </is>
      </c>
    </row>
    <row r="59">
      <c r="A59" s="10" t="inlineStr">
        <is>
          <t>UK-000206</t>
        </is>
      </c>
      <c r="B59" s="10" t="inlineStr">
        <is>
          <t>PREMIERBOO-04</t>
        </is>
      </c>
      <c r="C59" s="10" t="inlineStr">
        <is>
          <t>Premier (Booker)</t>
        </is>
      </c>
      <c r="D59" s="10" t="inlineStr">
        <is>
          <t>Premier (Grimsby Road, Cleethorpes)</t>
        </is>
      </c>
      <c r="E59" s="10" t="inlineStr">
        <is>
          <t>Convenience Store</t>
        </is>
      </c>
      <c r="F59" s="10" t="inlineStr">
        <is>
          <t>Symbol-group convenience store</t>
        </is>
      </c>
      <c r="G59" s="10" t="inlineStr">
        <is>
          <t>Franchise / Symbol Group</t>
        </is>
      </c>
      <c r="H59" s="10" t="inlineStr">
        <is>
          <t>1</t>
        </is>
      </c>
      <c r="I59" s="10" t="inlineStr">
        <is>
          <t>141-143 Grimsby Road</t>
        </is>
      </c>
      <c r="J59" s="10" t="inlineStr">
        <is>
          <t>Cleethorpes</t>
        </is>
      </c>
      <c r="K59" s="10" t="inlineStr"/>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https://www.premier-stores.co.uk/our-stores/grimsby-road</t>
        </is>
      </c>
    </row>
    <row r="60">
      <c r="A60" s="5" t="inlineStr">
        <is>
          <t>UK-000208</t>
        </is>
      </c>
      <c r="B60" s="5" t="inlineStr">
        <is>
          <t>PREMIERBOO-06</t>
        </is>
      </c>
      <c r="C60" s="5" t="inlineStr">
        <is>
          <t>Premier (Booker)</t>
        </is>
      </c>
      <c r="D60" s="5" t="inlineStr">
        <is>
          <t>Premier Super Convenience Store Barnsley</t>
        </is>
      </c>
      <c r="E60" s="5" t="inlineStr">
        <is>
          <t>Convenience Store</t>
        </is>
      </c>
      <c r="F60" s="5" t="inlineStr">
        <is>
          <t>Convenience store (symbol group)</t>
        </is>
      </c>
      <c r="G60" s="5" t="inlineStr">
        <is>
          <t>Franchise / Symbol Group</t>
        </is>
      </c>
      <c r="H60" s="5" t="inlineStr">
        <is>
          <t>1</t>
        </is>
      </c>
      <c r="I60" s="5" t="inlineStr">
        <is>
          <t>38-40 Dodworth Road</t>
        </is>
      </c>
      <c r="J60" s="5" t="inlineStr">
        <is>
          <t>Barnsley</t>
        </is>
      </c>
      <c r="K60" s="5" t="inlineStr"/>
      <c r="L60" s="5" t="inlineStr"/>
      <c r="M60" s="5" t="inlineStr"/>
      <c r="N60" s="5" t="inlineStr"/>
      <c r="O60" s="5" t="inlineStr"/>
      <c r="P60" s="5" t="inlineStr">
        <is>
          <t>https://web.facebook.com/premier3840/</t>
        </is>
      </c>
      <c r="Q60" s="5" t="inlineStr"/>
      <c r="R60" s="5" t="inlineStr"/>
      <c r="S60" s="5" t="inlineStr"/>
      <c r="T60" s="5" t="inlineStr"/>
      <c r="U60" s="5" t="inlineStr"/>
      <c r="V60" s="5" t="inlineStr">
        <is>
          <t>Medium</t>
        </is>
      </c>
      <c r="W60" s="5" t="inlineStr">
        <is>
          <t>Multi-site retailer; Independent retailer; Relevant category; Social presence</t>
        </is>
      </c>
      <c r="X60" s="5" t="inlineStr">
        <is>
          <t>Not Found</t>
        </is>
      </c>
      <c r="Y60" s="5" t="inlineStr">
        <is>
          <t>Not Found</t>
        </is>
      </c>
      <c r="Z60" s="5" t="inlineStr">
        <is>
          <t>Low</t>
        </is>
      </c>
      <c r="AA60" s="5" t="inlineStr">
        <is>
          <t>Requires Verification</t>
        </is>
      </c>
      <c r="AB60" s="5" t="inlineStr">
        <is>
          <t>https://web.facebook.com/premier3840/</t>
        </is>
      </c>
    </row>
    <row r="61">
      <c r="A61" s="10" t="inlineStr">
        <is>
          <t>UK-000209</t>
        </is>
      </c>
      <c r="B61" s="10" t="inlineStr">
        <is>
          <t>PREMIERBOO-07</t>
        </is>
      </c>
      <c r="C61" s="10" t="inlineStr">
        <is>
          <t>Premier (Booker)</t>
        </is>
      </c>
      <c r="D61" s="10" t="inlineStr">
        <is>
          <t>Premier Wombwell Convenience Store</t>
        </is>
      </c>
      <c r="E61" s="10" t="inlineStr">
        <is>
          <t>Convenience Store</t>
        </is>
      </c>
      <c r="F61" s="10" t="inlineStr">
        <is>
          <t>Convenience store (symbol group)</t>
        </is>
      </c>
      <c r="G61" s="10" t="inlineStr">
        <is>
          <t>Franchise / Symbol Group</t>
        </is>
      </c>
      <c r="H61" s="10" t="inlineStr">
        <is>
          <t>1</t>
        </is>
      </c>
      <c r="I61" s="10" t="inlineStr">
        <is>
          <t>2 Pearson Crescent</t>
        </is>
      </c>
      <c r="J61" s="10" t="inlineStr">
        <is>
          <t>Barnsley</t>
        </is>
      </c>
      <c r="K61" s="10" t="inlineStr">
        <is>
          <t>S73 8SN</t>
        </is>
      </c>
      <c r="L61" s="10" t="inlineStr"/>
      <c r="M61" s="10" t="inlineStr"/>
      <c r="N61" s="10" t="inlineStr"/>
      <c r="O61" s="10" t="inlineStr">
        <is>
          <t>https://www.premier-stores.co.uk/our-stores/wombwell-convenience-store</t>
        </is>
      </c>
      <c r="P61" s="10" t="inlineStr"/>
      <c r="Q61" s="10" t="inlineStr"/>
      <c r="R61" s="10" t="inlineStr"/>
      <c r="S61" s="10" t="inlineStr"/>
      <c r="T61" s="10" t="inlineStr"/>
      <c r="U61" s="10" t="inlineStr"/>
      <c r="V61" s="10" t="inlineStr">
        <is>
          <t>Medium</t>
        </is>
      </c>
      <c r="W61" s="10" t="inlineStr">
        <is>
          <t>Multi-site retailer; Independent retailer; Relevant category; Active website</t>
        </is>
      </c>
      <c r="X61" s="10" t="inlineStr">
        <is>
          <t>Not Found</t>
        </is>
      </c>
      <c r="Y61" s="10" t="inlineStr">
        <is>
          <t>Not Found</t>
        </is>
      </c>
      <c r="Z61" s="10" t="inlineStr">
        <is>
          <t>Low</t>
        </is>
      </c>
      <c r="AA61" s="10" t="inlineStr">
        <is>
          <t>Requires Verification</t>
        </is>
      </c>
      <c r="AB61" s="10" t="inlineStr">
        <is>
          <t>https://www.premier-stores.co.uk/our-stores/wombwell-convenience-store</t>
        </is>
      </c>
    </row>
    <row r="62">
      <c r="A62" s="5" t="inlineStr">
        <is>
          <t>UK-000210</t>
        </is>
      </c>
      <c r="B62" s="5" t="inlineStr">
        <is>
          <t>PREMIERBOO-08</t>
        </is>
      </c>
      <c r="C62" s="5" t="inlineStr">
        <is>
          <t>Premier (Booker)</t>
        </is>
      </c>
      <c r="D62" s="5" t="inlineStr">
        <is>
          <t>Sheffield Road Premier Convenience Store</t>
        </is>
      </c>
      <c r="E62" s="5" t="inlineStr">
        <is>
          <t>Convenience Store</t>
        </is>
      </c>
      <c r="F62" s="5" t="inlineStr">
        <is>
          <t>Convenience store (symbol group)</t>
        </is>
      </c>
      <c r="G62" s="5" t="inlineStr">
        <is>
          <t>Franchise / Symbol Group</t>
        </is>
      </c>
      <c r="H62" s="5" t="inlineStr">
        <is>
          <t>1</t>
        </is>
      </c>
      <c r="I62" s="5" t="inlineStr">
        <is>
          <t>110-112 Sheffield Road</t>
        </is>
      </c>
      <c r="J62" s="5" t="inlineStr">
        <is>
          <t>Barnsley</t>
        </is>
      </c>
      <c r="K62" s="5" t="inlineStr">
        <is>
          <t>S70 1JB</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https://www.barnsley.gov.uk/services/licences-and-permissions/premises-licences/pending-premises-licence-applications/sheffield-road-premier-convenience-store-application-for-a-new-premises-licence</t>
        </is>
      </c>
    </row>
    <row r="63">
      <c r="A63" s="10" t="inlineStr">
        <is>
          <t>UK-000560</t>
        </is>
      </c>
      <c r="B63" s="10" t="inlineStr">
        <is>
          <t>QUALITYFOO-02</t>
        </is>
      </c>
      <c r="C63" s="10" t="inlineStr">
        <is>
          <t>Quality Foods</t>
        </is>
      </c>
      <c r="D63" s="10" t="inlineStr">
        <is>
          <t>Quality Foods (Ilford)</t>
        </is>
      </c>
      <c r="E63" s="10" t="inlineStr">
        <is>
          <t>Independent Supermarket</t>
        </is>
      </c>
      <c r="F63" s="10" t="inlineStr">
        <is>
          <t>Asian / world-food supermarket</t>
        </is>
      </c>
      <c r="G63" s="10" t="inlineStr">
        <is>
          <t>Multi-Site Independent</t>
        </is>
      </c>
      <c r="H63" s="10" t="inlineStr">
        <is>
          <t>1</t>
        </is>
      </c>
      <c r="I63" s="10" t="inlineStr">
        <is>
          <t>135 High Road</t>
        </is>
      </c>
      <c r="J63" s="10" t="inlineStr">
        <is>
          <t>Ilford</t>
        </is>
      </c>
      <c r="K63" s="10" t="inlineStr">
        <is>
          <t>IG1 1DE</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Independent retailer; Relevant category</t>
        </is>
      </c>
      <c r="X63" s="10" t="inlineStr">
        <is>
          <t>Not Found</t>
        </is>
      </c>
      <c r="Y63" s="10" t="inlineStr">
        <is>
          <t>Not Found</t>
        </is>
      </c>
      <c r="Z63" s="10" t="inlineStr">
        <is>
          <t>Medium</t>
        </is>
      </c>
      <c r="AA63" s="10" t="inlineStr">
        <is>
          <t>Requires Verification</t>
        </is>
      </c>
      <c r="AB63" s="10" t="inlineStr">
        <is>
          <t>https://www.yell.com/biz/quality-foods-ilford-364548/</t>
        </is>
      </c>
    </row>
    <row r="64">
      <c r="A64" s="5" t="inlineStr">
        <is>
          <t>UK-000211</t>
        </is>
      </c>
      <c r="B64" s="5" t="inlineStr">
        <is>
          <t>SMKD-04</t>
        </is>
      </c>
      <c r="C64" s="5" t="inlineStr">
        <is>
          <t>SMKD</t>
        </is>
      </c>
      <c r="D64" s="5" t="inlineStr">
        <is>
          <t>SMKD Barnsley</t>
        </is>
      </c>
      <c r="E64" s="5" t="inlineStr">
        <is>
          <t>Vape Shop</t>
        </is>
      </c>
      <c r="F64" s="5" t="inlineStr">
        <is>
          <t>E-cigarette and vape shop</t>
        </is>
      </c>
      <c r="G64" s="5" t="inlineStr">
        <is>
          <t>Regional Chain</t>
        </is>
      </c>
      <c r="H64" s="5" t="inlineStr">
        <is>
          <t>2</t>
        </is>
      </c>
      <c r="I64" s="5" t="inlineStr">
        <is>
          <t>New Street</t>
        </is>
      </c>
      <c r="J64" s="5" t="inlineStr">
        <is>
          <t>Barnsley</t>
        </is>
      </c>
      <c r="K64" s="5" t="inlineStr"/>
      <c r="L64" s="5" t="inlineStr"/>
      <c r="M64" s="5" t="inlineStr"/>
      <c r="N64" s="5" t="inlineStr"/>
      <c r="O64" s="5" t="inlineStr">
        <is>
          <t>https://smkd.com/</t>
        </is>
      </c>
      <c r="P64" s="5" t="inlineStr"/>
      <c r="Q64" s="5" t="inlineStr"/>
      <c r="R64" s="5" t="inlineStr"/>
      <c r="S64" s="5" t="inlineStr"/>
      <c r="T64" s="5" t="inlineStr"/>
      <c r="U64" s="5" t="inlineStr"/>
      <c r="V64" s="5" t="inlineStr">
        <is>
          <t>Medium</t>
        </is>
      </c>
      <c r="W64" s="5" t="inlineStr">
        <is>
          <t>Multi-site retailer; Core relevant category; Active website</t>
        </is>
      </c>
      <c r="X64" s="5" t="inlineStr">
        <is>
          <t>Not Found</t>
        </is>
      </c>
      <c r="Y64" s="5" t="inlineStr">
        <is>
          <t>Website Found</t>
        </is>
      </c>
      <c r="Z64" s="5" t="inlineStr">
        <is>
          <t>Low</t>
        </is>
      </c>
      <c r="AA64" s="5" t="inlineStr">
        <is>
          <t>Requires Verification</t>
        </is>
      </c>
      <c r="AB64" s="5" t="inlineStr">
        <is>
          <t>https://smkd.com/vape-shop-locator/smkd-barnsley-vape-shop-new-street/</t>
        </is>
      </c>
    </row>
    <row r="65">
      <c r="A65" s="10" t="inlineStr">
        <is>
          <t>UK-000213</t>
        </is>
      </c>
      <c r="B65" s="10" t="inlineStr">
        <is>
          <t>SPAR-01</t>
        </is>
      </c>
      <c r="C65" s="10" t="inlineStr">
        <is>
          <t>SPAR</t>
        </is>
      </c>
      <c r="D65" s="10" t="inlineStr">
        <is>
          <t>SPAR Barnsley Road</t>
        </is>
      </c>
      <c r="E65" s="10" t="inlineStr">
        <is>
          <t>Convenience Store</t>
        </is>
      </c>
      <c r="F65" s="10" t="inlineStr">
        <is>
          <t>Convenience store (symbol group)</t>
        </is>
      </c>
      <c r="G65" s="10" t="inlineStr">
        <is>
          <t>Franchise / Symbol Group</t>
        </is>
      </c>
      <c r="H65" s="10" t="inlineStr">
        <is>
          <t>1</t>
        </is>
      </c>
      <c r="I65" s="10" t="inlineStr">
        <is>
          <t>Barnsley Road</t>
        </is>
      </c>
      <c r="J65" s="10" t="inlineStr">
        <is>
          <t>Barnsley</t>
        </is>
      </c>
      <c r="K65" s="10" t="inlineStr"/>
      <c r="L65" s="10" t="inlineStr"/>
      <c r="M65" s="10" t="inlineStr"/>
      <c r="N65" s="10" t="inlineStr"/>
      <c r="O65" s="10" t="inlineStr">
        <is>
          <t>https://www.spar.co.uk/store-locator/afb31700-spar-barnsley-road</t>
        </is>
      </c>
      <c r="P65" s="10" t="inlineStr"/>
      <c r="Q65" s="10" t="inlineStr"/>
      <c r="R65" s="10" t="inlineStr"/>
      <c r="S65" s="10" t="inlineStr"/>
      <c r="T65" s="10" t="inlineStr"/>
      <c r="U65" s="10" t="inlineStr"/>
      <c r="V65" s="10" t="inlineStr">
        <is>
          <t>Medium</t>
        </is>
      </c>
      <c r="W65" s="10" t="inlineStr">
        <is>
          <t>Multi-site retailer; Independent retailer; Relevant category; Active website</t>
        </is>
      </c>
      <c r="X65" s="10" t="inlineStr">
        <is>
          <t>Not Found</t>
        </is>
      </c>
      <c r="Y65" s="10" t="inlineStr">
        <is>
          <t>Not Found</t>
        </is>
      </c>
      <c r="Z65" s="10" t="inlineStr">
        <is>
          <t>Low</t>
        </is>
      </c>
      <c r="AA65" s="10" t="inlineStr">
        <is>
          <t>Requires Verification</t>
        </is>
      </c>
      <c r="AB65" s="10" t="inlineStr">
        <is>
          <t>https://www.spar.co.uk/store-locator/afb31700-spar-barnsley-road</t>
        </is>
      </c>
    </row>
    <row r="66">
      <c r="A66" s="5" t="inlineStr">
        <is>
          <t>UK-000722</t>
        </is>
      </c>
      <c r="B66" s="5" t="inlineStr">
        <is>
          <t>SPAR-03</t>
        </is>
      </c>
      <c r="C66" s="5" t="inlineStr">
        <is>
          <t>SPAR</t>
        </is>
      </c>
      <c r="D66" s="5" t="inlineStr">
        <is>
          <t>SPAR Harington Road</t>
        </is>
      </c>
      <c r="E66" s="5" t="inlineStr">
        <is>
          <t>Convenience Store</t>
        </is>
      </c>
      <c r="F66" s="5" t="inlineStr">
        <is>
          <t>Spar symbol convenience store</t>
        </is>
      </c>
      <c r="G66" s="5" t="inlineStr">
        <is>
          <t>Franchise / Symbol Group</t>
        </is>
      </c>
      <c r="H66" s="5" t="inlineStr">
        <is>
          <t>1</t>
        </is>
      </c>
      <c r="I66" s="5" t="inlineStr">
        <is>
          <t>Harington Road</t>
        </is>
      </c>
      <c r="J66" s="5" t="inlineStr">
        <is>
          <t>Formby</t>
        </is>
      </c>
      <c r="K66" s="5" t="inlineStr"/>
      <c r="L66" s="5" t="inlineStr"/>
      <c r="M66" s="5" t="inlineStr"/>
      <c r="N66" s="5" t="inlineStr"/>
      <c r="O66" s="5" t="inlineStr">
        <is>
          <t>https://www.spar.co.uk/store-locator/hal27302-spar-harington-road</t>
        </is>
      </c>
      <c r="P66" s="5" t="inlineStr"/>
      <c r="Q66" s="5" t="inlineStr"/>
      <c r="R66" s="5" t="inlineStr"/>
      <c r="S66" s="5" t="inlineStr"/>
      <c r="T66" s="5" t="inlineStr"/>
      <c r="U66" s="5" t="inlineStr"/>
      <c r="V66" s="5" t="inlineStr">
        <is>
          <t>Medium</t>
        </is>
      </c>
      <c r="W66" s="5" t="inlineStr">
        <is>
          <t>Multi-site retailer; Independent retailer; Relevant category; Active website</t>
        </is>
      </c>
      <c r="X66" s="5" t="inlineStr">
        <is>
          <t>Not Found</t>
        </is>
      </c>
      <c r="Y66" s="5" t="inlineStr">
        <is>
          <t>Website Found</t>
        </is>
      </c>
      <c r="Z66" s="5" t="inlineStr">
        <is>
          <t>Low</t>
        </is>
      </c>
      <c r="AA66" s="5" t="inlineStr">
        <is>
          <t>Requires Verification</t>
        </is>
      </c>
      <c r="AB66" s="5" t="inlineStr">
        <is>
          <t>https://www.spar.co.uk/store-locator/hal27302-spar-harington-road</t>
        </is>
      </c>
    </row>
    <row r="67">
      <c r="A67" s="10" t="inlineStr">
        <is>
          <t>UK-000319</t>
        </is>
      </c>
      <c r="B67" s="10" t="inlineStr">
        <is>
          <t>SPAR-04</t>
        </is>
      </c>
      <c r="C67" s="10" t="inlineStr">
        <is>
          <t>SPAR</t>
        </is>
      </c>
      <c r="D67" s="10" t="inlineStr">
        <is>
          <t>SPAR Radcliffe</t>
        </is>
      </c>
      <c r="E67" s="10" t="inlineStr">
        <is>
          <t>Convenience Store</t>
        </is>
      </c>
      <c r="F67" s="10" t="inlineStr">
        <is>
          <t>Symbol-group convenience store</t>
        </is>
      </c>
      <c r="G67" s="10" t="inlineStr">
        <is>
          <t>Franchise / Symbol Group</t>
        </is>
      </c>
      <c r="H67" s="10" t="inlineStr">
        <is>
          <t>1</t>
        </is>
      </c>
      <c r="I67" s="10" t="inlineStr">
        <is>
          <t>207 Bury &amp; Bolton Road</t>
        </is>
      </c>
      <c r="J67" s="10" t="inlineStr">
        <is>
          <t>Radcliffe</t>
        </is>
      </c>
      <c r="K67" s="10" t="inlineStr">
        <is>
          <t>M26 4JY</t>
        </is>
      </c>
      <c r="L67" s="10" t="inlineStr"/>
      <c r="M67" s="10" t="inlineStr"/>
      <c r="N67" s="10" t="inlineStr"/>
      <c r="O67" s="10" t="inlineStr">
        <is>
          <t>https://www.spar.co.uk/</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Not Found</t>
        </is>
      </c>
      <c r="Z67" s="10" t="inlineStr">
        <is>
          <t>Low</t>
        </is>
      </c>
      <c r="AA67" s="10" t="inlineStr">
        <is>
          <t>Requires Verification</t>
        </is>
      </c>
      <c r="AB67" s="10" t="inlineStr">
        <is>
          <t>https://www.spar.co.uk/store-locator/hal36921-spar-radcliffe</t>
        </is>
      </c>
    </row>
    <row r="68">
      <c r="A68" s="5" t="inlineStr">
        <is>
          <t>UK-000723</t>
        </is>
      </c>
      <c r="B68" s="5" t="inlineStr">
        <is>
          <t>SPARJAMESH-01</t>
        </is>
      </c>
      <c r="C68" s="5" t="inlineStr">
        <is>
          <t>SPAR (James Hall / Hunt's)</t>
        </is>
      </c>
      <c r="D68" s="5" t="inlineStr">
        <is>
          <t>Hunt's Spar Freshfield</t>
        </is>
      </c>
      <c r="E68" s="5" t="inlineStr">
        <is>
          <t>Convenience Store</t>
        </is>
      </c>
      <c r="F68" s="5" t="inlineStr">
        <is>
          <t>Spar symbol convenience store</t>
        </is>
      </c>
      <c r="G68" s="5" t="inlineStr">
        <is>
          <t>Franchise / Symbol Group</t>
        </is>
      </c>
      <c r="H68" s="5" t="inlineStr">
        <is>
          <t>1</t>
        </is>
      </c>
      <c r="I68" s="5" t="inlineStr"/>
      <c r="J68" s="5" t="inlineStr">
        <is>
          <t>Formby</t>
        </is>
      </c>
      <c r="K68" s="5" t="inlineStr"/>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https://www.conveniencestore.co.uk/store-development/hunts-spar-freshfield-formby/564152.article</t>
        </is>
      </c>
    </row>
    <row r="69">
      <c r="A69" s="10" t="inlineStr">
        <is>
          <t>UK-000724</t>
        </is>
      </c>
      <c r="B69" s="10" t="inlineStr">
        <is>
          <t>SAKALIMITE-01</t>
        </is>
      </c>
      <c r="C69" s="10" t="inlineStr">
        <is>
          <t>Saka Limited</t>
        </is>
      </c>
      <c r="D69" s="10" t="inlineStr">
        <is>
          <t>New Delhi Cash &amp; Carry</t>
        </is>
      </c>
      <c r="E69" s="10" t="inlineStr">
        <is>
          <t>Cash &amp; Carry</t>
        </is>
      </c>
      <c r="F69" s="10" t="inlineStr">
        <is>
          <t>Grocery &amp; catering wholesaler</t>
        </is>
      </c>
      <c r="G69" s="10" t="inlineStr">
        <is>
          <t>Independent</t>
        </is>
      </c>
      <c r="H69" s="10" t="inlineStr">
        <is>
          <t>1</t>
        </is>
      </c>
      <c r="I69" s="10" t="inlineStr">
        <is>
          <t>Saka House, Green Lane</t>
        </is>
      </c>
      <c r="J69" s="10" t="inlineStr">
        <is>
          <t>Liverpool</t>
        </is>
      </c>
      <c r="K69" s="10" t="inlineStr">
        <is>
          <t>L13 7JN</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Core relevant category</t>
        </is>
      </c>
      <c r="X69" s="10" t="inlineStr">
        <is>
          <t>Not Found</t>
        </is>
      </c>
      <c r="Y69" s="10" t="inlineStr">
        <is>
          <t>Not Found</t>
        </is>
      </c>
      <c r="Z69" s="10" t="inlineStr">
        <is>
          <t>Medium</t>
        </is>
      </c>
      <c r="AA69" s="10" t="inlineStr">
        <is>
          <t>Requires Verification</t>
        </is>
      </c>
      <c r="AB69" s="10" t="inlineStr">
        <is>
          <t>https://www.yell.com/biz/saka-new-delhi-cash-and-carry-liverpool-7373342/</t>
        </is>
      </c>
    </row>
    <row r="70">
      <c r="A70" s="5" t="inlineStr">
        <is>
          <t>WY-0025</t>
        </is>
      </c>
      <c r="B70" s="5" t="inlineStr">
        <is>
          <t>SAVILEPETR-01</t>
        </is>
      </c>
      <c r="C70" s="5" t="inlineStr">
        <is>
          <t>Savile Petroleum Limited</t>
        </is>
      </c>
      <c r="D70" s="5" t="inlineStr">
        <is>
          <t>Dewsbury Service Station (Savile Petroleum)</t>
        </is>
      </c>
      <c r="E70" s="5" t="inlineStr">
        <is>
          <t>Petrol Station / Forecourt</t>
        </is>
      </c>
      <c r="F70" s="5" t="inlineStr">
        <is>
          <t>BP-branded independent forecourt with convenience store</t>
        </is>
      </c>
      <c r="G70" s="5" t="inlineStr">
        <is>
          <t>Independent</t>
        </is>
      </c>
      <c r="H70" s="5" t="inlineStr">
        <is>
          <t>1</t>
        </is>
      </c>
      <c r="I70" s="5" t="inlineStr">
        <is>
          <t>Savile Road</t>
        </is>
      </c>
      <c r="J70" s="5" t="inlineStr">
        <is>
          <t>Dewsbury</t>
        </is>
      </c>
      <c r="K70" s="5" t="inlineStr">
        <is>
          <t>WF12 9LR</t>
        </is>
      </c>
      <c r="L70" s="5" t="inlineStr"/>
      <c r="M70" s="5" t="inlineStr"/>
      <c r="N70" s="5" t="inlineStr"/>
      <c r="O70" s="5" t="inlineStr"/>
      <c r="P70" s="5" t="inlineStr"/>
      <c r="Q70" s="5" t="inlineStr"/>
      <c r="R70" s="5" t="inlineStr"/>
      <c r="S70" s="5" t="inlineStr"/>
      <c r="T70" s="5" t="inlineStr">
        <is>
          <t>05197700</t>
        </is>
      </c>
      <c r="U70" s="5" t="inlineStr">
        <is>
          <t>Active</t>
        </is>
      </c>
      <c r="V70" s="5" t="inlineStr">
        <is>
          <t>Medium</t>
        </is>
      </c>
      <c r="W70" s="5" t="inlineStr">
        <is>
          <t>Multi-site retailer; Independent retailer; Relevant category</t>
        </is>
      </c>
      <c r="X70" s="5" t="inlineStr">
        <is>
          <t>Not Found</t>
        </is>
      </c>
      <c r="Y70" s="5" t="inlineStr">
        <is>
          <t>Not Found</t>
        </is>
      </c>
      <c r="Z70" s="5" t="inlineStr">
        <is>
          <t>Medium</t>
        </is>
      </c>
      <c r="AA70" s="5" t="inlineStr">
        <is>
          <t>Partially Verified</t>
        </is>
      </c>
      <c r="AB70" s="5" t="inlineStr">
        <is>
          <t>https://find-and-update.company-information.service.gov.uk/company/05197700</t>
        </is>
      </c>
    </row>
    <row r="71">
      <c r="A71" s="10" t="inlineStr">
        <is>
          <t>WY-0027</t>
        </is>
      </c>
      <c r="B71" s="10" t="inlineStr">
        <is>
          <t>SINGKEEFOO-02</t>
        </is>
      </c>
      <c r="C71" s="10" t="inlineStr">
        <is>
          <t>Sing Kee Foods (Sing-Ying Group)</t>
        </is>
      </c>
      <c r="D71" s="10" t="inlineStr">
        <is>
          <t>Sing Kee Oriental Supermarket (Merrion Centre)</t>
        </is>
      </c>
      <c r="E71" s="10" t="inlineStr">
        <is>
          <t>Independent Supermarket</t>
        </is>
      </c>
      <c r="F71" s="10" t="inlineStr">
        <is>
          <t>Chinese / Oriental supermarket</t>
        </is>
      </c>
      <c r="G71" s="10" t="inlineStr">
        <is>
          <t>Multi-Site Independent</t>
        </is>
      </c>
      <c r="H71" s="10" t="inlineStr">
        <is>
          <t>2</t>
        </is>
      </c>
      <c r="I71" s="10" t="inlineStr">
        <is>
          <t>26-28 Woodhouse Lane, Merrion Centre</t>
        </is>
      </c>
      <c r="J71" s="10" t="inlineStr">
        <is>
          <t>Leeds</t>
        </is>
      </c>
      <c r="K71" s="10" t="inlineStr">
        <is>
          <t>LS2 8LX</t>
        </is>
      </c>
      <c r="L71" s="10" t="inlineStr"/>
      <c r="M71" s="10" t="inlineStr"/>
      <c r="N71" s="10" t="inlineStr"/>
      <c r="O71" s="10" t="inlineStr">
        <is>
          <t>https://singkeefoods.co.uk/gb/</t>
        </is>
      </c>
      <c r="P71" s="10" t="inlineStr">
        <is>
          <t>https://www.facebook.com/SingKeeLeedsCentre/</t>
        </is>
      </c>
      <c r="Q71" s="10" t="inlineStr"/>
      <c r="R71" s="10" t="inlineStr"/>
      <c r="S71" s="10" t="inlineStr"/>
      <c r="T71" s="10" t="inlineStr"/>
      <c r="U71" s="10" t="inlineStr"/>
      <c r="V71" s="10" t="inlineStr">
        <is>
          <t>High</t>
        </is>
      </c>
      <c r="W71" s="10" t="inlineStr">
        <is>
          <t>Multi-site retailer; Independent retailer; Relevant category; Active website; Social presence</t>
        </is>
      </c>
      <c r="X71" s="10" t="inlineStr">
        <is>
          <t>Not Found</t>
        </is>
      </c>
      <c r="Y71" s="10" t="inlineStr">
        <is>
          <t>Website Found</t>
        </is>
      </c>
      <c r="Z71" s="10" t="inlineStr">
        <is>
          <t>Medium</t>
        </is>
      </c>
      <c r="AA71" s="10" t="inlineStr">
        <is>
          <t>Requires Verification</t>
        </is>
      </c>
      <c r="AB71" s="10" t="inlineStr">
        <is>
          <t>https://singkeefoods.co.uk/gb/stores</t>
        </is>
      </c>
    </row>
    <row r="72">
      <c r="A72" s="5" t="inlineStr">
        <is>
          <t>UK-000214</t>
        </is>
      </c>
      <c r="B72" s="5" t="inlineStr">
        <is>
          <t>SPAR-01</t>
        </is>
      </c>
      <c r="C72" s="5" t="inlineStr">
        <is>
          <t>Spar</t>
        </is>
      </c>
      <c r="D72" s="5" t="inlineStr">
        <is>
          <t>Spar (Trinity Road, Cleethorpes)</t>
        </is>
      </c>
      <c r="E72" s="5" t="inlineStr">
        <is>
          <t>Convenience Store</t>
        </is>
      </c>
      <c r="F72" s="5" t="inlineStr">
        <is>
          <t>Symbol-group convenience store</t>
        </is>
      </c>
      <c r="G72" s="5" t="inlineStr">
        <is>
          <t>Franchise / Symbol Group</t>
        </is>
      </c>
      <c r="H72" s="5" t="inlineStr">
        <is>
          <t>1</t>
        </is>
      </c>
      <c r="I72" s="5" t="inlineStr">
        <is>
          <t>52 Trinity Road</t>
        </is>
      </c>
      <c r="J72" s="5" t="inlineStr">
        <is>
          <t>Cleethorpes</t>
        </is>
      </c>
      <c r="K72" s="5" t="inlineStr"/>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https://www.192.com/atoz/business/dn35/convenience--stores/</t>
        </is>
      </c>
    </row>
    <row r="73">
      <c r="A73" s="10" t="inlineStr">
        <is>
          <t>UK-000441</t>
        </is>
      </c>
      <c r="B73" s="10" t="inlineStr">
        <is>
          <t>THEACEOFVA-01</t>
        </is>
      </c>
      <c r="C73" s="10" t="inlineStr">
        <is>
          <t>The Ace Of Vapez</t>
        </is>
      </c>
      <c r="D73" s="10" t="inlineStr">
        <is>
          <t>The Ace Of Vapez - Bentley</t>
        </is>
      </c>
      <c r="E73" s="10" t="inlineStr">
        <is>
          <t>Vape Shop</t>
        </is>
      </c>
      <c r="F73" s="10" t="inlineStr">
        <is>
          <t>Vape retail (multi-site chain)</t>
        </is>
      </c>
      <c r="G73" s="10" t="inlineStr">
        <is>
          <t>Regional Chain</t>
        </is>
      </c>
      <c r="H73" s="10" t="inlineStr">
        <is>
          <t>13</t>
        </is>
      </c>
      <c r="I73" s="10" t="inlineStr">
        <is>
          <t>45 Queen Elizabeth Avenue</t>
        </is>
      </c>
      <c r="J73" s="10" t="inlineStr">
        <is>
          <t>Walsall</t>
        </is>
      </c>
      <c r="K73" s="10" t="inlineStr">
        <is>
          <t>WS2 0BD</t>
        </is>
      </c>
      <c r="L73" s="10" t="inlineStr"/>
      <c r="M73" s="10" t="inlineStr"/>
      <c r="N73" s="10" t="inlineStr"/>
      <c r="O73" s="10" t="inlineStr">
        <is>
          <t>https://www.theaceofvapez.com/pages/retail-locations</t>
        </is>
      </c>
      <c r="P73" s="10" t="inlineStr">
        <is>
          <t>https://www.facebook.com/TheaceofvapezBentley/</t>
        </is>
      </c>
      <c r="Q73" s="10" t="inlineStr"/>
      <c r="R73" s="10" t="inlineStr"/>
      <c r="S73" s="10" t="inlineStr"/>
      <c r="T73" s="10" t="inlineStr">
        <is>
          <t>08760274</t>
        </is>
      </c>
      <c r="U73" s="10" t="inlineStr"/>
      <c r="V73" s="10" t="inlineStr">
        <is>
          <t>High</t>
        </is>
      </c>
      <c r="W73" s="10" t="inlineStr">
        <is>
          <t>Multi-site retailer; Core relevant category; Active website; Social presence</t>
        </is>
      </c>
      <c r="X73" s="10" t="inlineStr">
        <is>
          <t>Not Found</t>
        </is>
      </c>
      <c r="Y73" s="10" t="inlineStr">
        <is>
          <t>Website Found</t>
        </is>
      </c>
      <c r="Z73" s="10" t="inlineStr">
        <is>
          <t>Medium</t>
        </is>
      </c>
      <c r="AA73" s="10" t="inlineStr">
        <is>
          <t>Partially Verified</t>
        </is>
      </c>
      <c r="AB73" s="10" t="inlineStr">
        <is>
          <t>https://www.facebook.com/TheaceofvapezBentley/</t>
        </is>
      </c>
    </row>
    <row r="74">
      <c r="A74" s="5" t="inlineStr">
        <is>
          <t>UK-000442</t>
        </is>
      </c>
      <c r="B74" s="5" t="inlineStr">
        <is>
          <t>THEACEOFVA-02</t>
        </is>
      </c>
      <c r="C74" s="5" t="inlineStr">
        <is>
          <t>The Ace Of Vapez</t>
        </is>
      </c>
      <c r="D74" s="5" t="inlineStr">
        <is>
          <t>The Ace Of Vapez - Bilston</t>
        </is>
      </c>
      <c r="E74" s="5" t="inlineStr">
        <is>
          <t>Vape Shop</t>
        </is>
      </c>
      <c r="F74" s="5" t="inlineStr">
        <is>
          <t>Vape retail (multi-site chain)</t>
        </is>
      </c>
      <c r="G74" s="5" t="inlineStr">
        <is>
          <t>Regional Chain</t>
        </is>
      </c>
      <c r="H74" s="5" t="inlineStr">
        <is>
          <t>13</t>
        </is>
      </c>
      <c r="I74" s="5" t="inlineStr">
        <is>
          <t>Unit 11, Castle Street</t>
        </is>
      </c>
      <c r="J74" s="5" t="inlineStr">
        <is>
          <t>Bilston</t>
        </is>
      </c>
      <c r="K74" s="5" t="inlineStr">
        <is>
          <t>WV14 9EP</t>
        </is>
      </c>
      <c r="L74" s="5" t="inlineStr"/>
      <c r="M74" s="5" t="inlineStr"/>
      <c r="N74" s="5" t="inlineStr"/>
      <c r="O74" s="5" t="inlineStr">
        <is>
          <t>https://www.theaceofvapez.com/pages/retail-locations</t>
        </is>
      </c>
      <c r="P74" s="5" t="inlineStr"/>
      <c r="Q74" s="5" t="inlineStr"/>
      <c r="R74" s="5" t="inlineStr"/>
      <c r="S74" s="5" t="inlineStr"/>
      <c r="T74" s="5" t="inlineStr">
        <is>
          <t>08760274</t>
        </is>
      </c>
      <c r="U74" s="5" t="inlineStr"/>
      <c r="V74" s="5" t="inlineStr">
        <is>
          <t>Medium</t>
        </is>
      </c>
      <c r="W74" s="5" t="inlineStr">
        <is>
          <t>Multi-site retailer; Core relevant category; Active website</t>
        </is>
      </c>
      <c r="X74" s="5" t="inlineStr">
        <is>
          <t>Not Found</t>
        </is>
      </c>
      <c r="Y74" s="5" t="inlineStr">
        <is>
          <t>Website Found</t>
        </is>
      </c>
      <c r="Z74" s="5" t="inlineStr">
        <is>
          <t>Medium</t>
        </is>
      </c>
      <c r="AA74" s="5" t="inlineStr">
        <is>
          <t>Partially Verified</t>
        </is>
      </c>
      <c r="AB74" s="5" t="inlineStr">
        <is>
          <t>https://www.theaceofvapez.com/pages/retail-locations</t>
        </is>
      </c>
    </row>
    <row r="75">
      <c r="A75" s="10" t="inlineStr">
        <is>
          <t>UK-000443</t>
        </is>
      </c>
      <c r="B75" s="10" t="inlineStr">
        <is>
          <t>THEACEOFVA-03</t>
        </is>
      </c>
      <c r="C75" s="10" t="inlineStr">
        <is>
          <t>The Ace Of Vapez</t>
        </is>
      </c>
      <c r="D75" s="10" t="inlineStr">
        <is>
          <t>The Ace Of Vapez - Caldmore Green</t>
        </is>
      </c>
      <c r="E75" s="10" t="inlineStr">
        <is>
          <t>Vape Shop</t>
        </is>
      </c>
      <c r="F75" s="10" t="inlineStr">
        <is>
          <t>Vape retail (multi-site chain)</t>
        </is>
      </c>
      <c r="G75" s="10" t="inlineStr">
        <is>
          <t>Regional Chain</t>
        </is>
      </c>
      <c r="H75" s="10" t="inlineStr">
        <is>
          <t>13</t>
        </is>
      </c>
      <c r="I75" s="10" t="inlineStr">
        <is>
          <t>40-41 Caldmore Green</t>
        </is>
      </c>
      <c r="J75" s="10" t="inlineStr">
        <is>
          <t>Walsall</t>
        </is>
      </c>
      <c r="K75" s="10" t="inlineStr">
        <is>
          <t>WS1 3RW</t>
        </is>
      </c>
      <c r="L75" s="10" t="inlineStr"/>
      <c r="M75" s="10" t="inlineStr"/>
      <c r="N75" s="10" t="inlineStr"/>
      <c r="O75" s="10" t="inlineStr">
        <is>
          <t>https://www.theaceofvapez.com/pages/retail-locations</t>
        </is>
      </c>
      <c r="P75" s="10" t="inlineStr"/>
      <c r="Q75" s="10" t="inlineStr"/>
      <c r="R75" s="10" t="inlineStr"/>
      <c r="S75" s="10" t="inlineStr"/>
      <c r="T75" s="10" t="inlineStr">
        <is>
          <t>08760274</t>
        </is>
      </c>
      <c r="U75" s="10" t="inlineStr"/>
      <c r="V75" s="10" t="inlineStr">
        <is>
          <t>Medium</t>
        </is>
      </c>
      <c r="W75" s="10" t="inlineStr">
        <is>
          <t>Multi-site retailer; Core relevant category; Active website</t>
        </is>
      </c>
      <c r="X75" s="10" t="inlineStr">
        <is>
          <t>Not Found</t>
        </is>
      </c>
      <c r="Y75" s="10" t="inlineStr">
        <is>
          <t>Website Found</t>
        </is>
      </c>
      <c r="Z75" s="10" t="inlineStr">
        <is>
          <t>Medium</t>
        </is>
      </c>
      <c r="AA75" s="10" t="inlineStr">
        <is>
          <t>Partially Verified</t>
        </is>
      </c>
      <c r="AB75" s="10" t="inlineStr">
        <is>
          <t>https://www.theaceofvapez.com/pages/retail-locations</t>
        </is>
      </c>
    </row>
    <row r="76">
      <c r="A76" s="5" t="inlineStr">
        <is>
          <t>UK-000323</t>
        </is>
      </c>
      <c r="B76" s="5" t="inlineStr">
        <is>
          <t>THEECIGSTO-01</t>
        </is>
      </c>
      <c r="C76" s="5" t="inlineStr">
        <is>
          <t>The E-Cig Store</t>
        </is>
      </c>
      <c r="D76" s="5" t="inlineStr">
        <is>
          <t>The E-Cig Store (Timperley, Trafford)</t>
        </is>
      </c>
      <c r="E76" s="5" t="inlineStr">
        <is>
          <t>Vape Shop</t>
        </is>
      </c>
      <c r="F76" s="5" t="inlineStr">
        <is>
          <t>Vape hardware, e-liquids &amp; disposables</t>
        </is>
      </c>
      <c r="G76" s="5" t="inlineStr">
        <is>
          <t>Regional Chain</t>
        </is>
      </c>
      <c r="H76" s="5" t="inlineStr">
        <is>
          <t>40</t>
        </is>
      </c>
      <c r="I76" s="5" t="inlineStr">
        <is>
          <t>230 Stockport Road</t>
        </is>
      </c>
      <c r="J76" s="5" t="inlineStr">
        <is>
          <t>Altrincham</t>
        </is>
      </c>
      <c r="K76" s="5" t="inlineStr">
        <is>
          <t>WA15 7UN</t>
        </is>
      </c>
      <c r="L76" s="5" t="inlineStr"/>
      <c r="M76" s="5" t="inlineStr"/>
      <c r="N76" s="5" t="inlineStr"/>
      <c r="O76" s="5" t="inlineStr">
        <is>
          <t>https://theecig.co.uk/</t>
        </is>
      </c>
      <c r="P76" s="5" t="inlineStr">
        <is>
          <t>https://www.facebook.com/theEcigAlti/</t>
        </is>
      </c>
      <c r="Q76" s="5" t="inlineStr"/>
      <c r="R76" s="5" t="inlineStr"/>
      <c r="S76" s="5" t="inlineStr"/>
      <c r="T76" s="5" t="inlineStr"/>
      <c r="U76" s="5" t="inlineStr"/>
      <c r="V76" s="5" t="inlineStr">
        <is>
          <t>High</t>
        </is>
      </c>
      <c r="W76" s="5" t="inlineStr">
        <is>
          <t>Multi-site retailer; Core relevant category; Active website; Social presence</t>
        </is>
      </c>
      <c r="X76" s="5" t="inlineStr">
        <is>
          <t>Not Found</t>
        </is>
      </c>
      <c r="Y76" s="5" t="inlineStr">
        <is>
          <t>Website Found</t>
        </is>
      </c>
      <c r="Z76" s="5" t="inlineStr">
        <is>
          <t>Medium</t>
        </is>
      </c>
      <c r="AA76" s="5" t="inlineStr">
        <is>
          <t>Requires Verification</t>
        </is>
      </c>
      <c r="AB76" s="5" t="inlineStr">
        <is>
          <t>https://theecig.co.uk/pages/the-e-cig-store-timperley</t>
        </is>
      </c>
    </row>
    <row r="77">
      <c r="A77" s="10" t="inlineStr">
        <is>
          <t>UK-000324</t>
        </is>
      </c>
      <c r="B77" s="10" t="inlineStr">
        <is>
          <t>THEECIGSTO-02</t>
        </is>
      </c>
      <c r="C77" s="10" t="inlineStr">
        <is>
          <t>The E-Cig Store</t>
        </is>
      </c>
      <c r="D77" s="10" t="inlineStr">
        <is>
          <t>The E-Cig Store (West Timperley, Trafford)</t>
        </is>
      </c>
      <c r="E77" s="10" t="inlineStr">
        <is>
          <t>Vape Shop</t>
        </is>
      </c>
      <c r="F77" s="10" t="inlineStr">
        <is>
          <t>Vape hardware, e-liquids &amp; disposables</t>
        </is>
      </c>
      <c r="G77" s="10" t="inlineStr">
        <is>
          <t>Regional Chain</t>
        </is>
      </c>
      <c r="H77" s="10" t="inlineStr">
        <is>
          <t>40</t>
        </is>
      </c>
      <c r="I77" s="10" t="inlineStr">
        <is>
          <t>340 Manchester Road</t>
        </is>
      </c>
      <c r="J77" s="10" t="inlineStr">
        <is>
          <t>Altrincham</t>
        </is>
      </c>
      <c r="K77" s="10" t="inlineStr">
        <is>
          <t>WA14 5NH</t>
        </is>
      </c>
      <c r="L77" s="10" t="inlineStr"/>
      <c r="M77" s="10" t="inlineStr"/>
      <c r="N77" s="10" t="inlineStr"/>
      <c r="O77" s="10" t="inlineStr">
        <is>
          <t>https://theecig.co.uk/</t>
        </is>
      </c>
      <c r="P77" s="10" t="inlineStr">
        <is>
          <t>https://www.facebook.com/theEcigAlti/</t>
        </is>
      </c>
      <c r="Q77" s="10" t="inlineStr"/>
      <c r="R77" s="10" t="inlineStr"/>
      <c r="S77" s="10" t="inlineStr"/>
      <c r="T77" s="10" t="inlineStr"/>
      <c r="U77" s="10" t="inlineStr"/>
      <c r="V77" s="10" t="inlineStr">
        <is>
          <t>High</t>
        </is>
      </c>
      <c r="W77" s="10" t="inlineStr">
        <is>
          <t>Multi-site retailer; Core relevant category; Active website; Social presence</t>
        </is>
      </c>
      <c r="X77" s="10" t="inlineStr">
        <is>
          <t>Not Found</t>
        </is>
      </c>
      <c r="Y77" s="10" t="inlineStr">
        <is>
          <t>Website Found</t>
        </is>
      </c>
      <c r="Z77" s="10" t="inlineStr">
        <is>
          <t>Medium</t>
        </is>
      </c>
      <c r="AA77" s="10" t="inlineStr">
        <is>
          <t>Requires Verification</t>
        </is>
      </c>
      <c r="AB77" s="10" t="inlineStr">
        <is>
          <t>https://theecig.co.uk/pages/store-locator</t>
        </is>
      </c>
    </row>
    <row r="78">
      <c r="A78" s="5" t="inlineStr">
        <is>
          <t>UK-000325</t>
        </is>
      </c>
      <c r="B78" s="5" t="inlineStr">
        <is>
          <t>THEECIGSTO-01</t>
        </is>
      </c>
      <c r="C78" s="5" t="inlineStr">
        <is>
          <t>The E-Cig Store UK</t>
        </is>
      </c>
      <c r="D78" s="5" t="inlineStr">
        <is>
          <t>The E-Cig Store Stockport</t>
        </is>
      </c>
      <c r="E78" s="5" t="inlineStr">
        <is>
          <t>Vape Shop</t>
        </is>
      </c>
      <c r="F78" s="5" t="inlineStr"/>
      <c r="G78" s="5" t="inlineStr">
        <is>
          <t>Multi-Site Independent</t>
        </is>
      </c>
      <c r="H78" s="5" t="inlineStr">
        <is>
          <t>1</t>
        </is>
      </c>
      <c r="I78" s="5" t="inlineStr">
        <is>
          <t>Buxton Road</t>
        </is>
      </c>
      <c r="J78" s="5" t="inlineStr">
        <is>
          <t>Stockport</t>
        </is>
      </c>
      <c r="K78" s="5" t="inlineStr"/>
      <c r="L78" s="5" t="inlineStr"/>
      <c r="M78" s="5" t="inlineStr"/>
      <c r="N78" s="5" t="inlineStr"/>
      <c r="O78" s="5" t="inlineStr">
        <is>
          <t>https://theecig.co.uk/pages/the-e-cig-store-stockport</t>
        </is>
      </c>
      <c r="P78" s="5" t="inlineStr"/>
      <c r="Q78" s="5" t="inlineStr"/>
      <c r="R78" s="5" t="inlineStr"/>
      <c r="S78" s="5" t="inlineStr"/>
      <c r="T78" s="5" t="inlineStr"/>
      <c r="U78" s="5" t="inlineStr"/>
      <c r="V78" s="5" t="inlineStr">
        <is>
          <t>High</t>
        </is>
      </c>
      <c r="W78" s="5" t="inlineStr">
        <is>
          <t>Multi-site retailer; Independent retailer; Core relevant category; Active website</t>
        </is>
      </c>
      <c r="X78" s="5" t="inlineStr">
        <is>
          <t>Not Found</t>
        </is>
      </c>
      <c r="Y78" s="5" t="inlineStr">
        <is>
          <t>Website Found</t>
        </is>
      </c>
      <c r="Z78" s="5" t="inlineStr">
        <is>
          <t>Low</t>
        </is>
      </c>
      <c r="AA78" s="5" t="inlineStr">
        <is>
          <t>Requires Verification</t>
        </is>
      </c>
      <c r="AB78" s="5" t="inlineStr">
        <is>
          <t>https://theecig.co.uk/pages/the-e-cig-store-stockport</t>
        </is>
      </c>
    </row>
    <row r="79">
      <c r="A79" s="10" t="inlineStr">
        <is>
          <t>UK-000561</t>
        </is>
      </c>
      <c r="B79" s="10" t="inlineStr">
        <is>
          <t>TURKISHFOO-01</t>
        </is>
      </c>
      <c r="C79" s="10" t="inlineStr">
        <is>
          <t>Turkish Food Centre</t>
        </is>
      </c>
      <c r="D79" s="10" t="inlineStr">
        <is>
          <t>Turkish Food Centre (Edmonton)</t>
        </is>
      </c>
      <c r="E79" s="10" t="inlineStr">
        <is>
          <t>Independent Supermarket</t>
        </is>
      </c>
      <c r="F79" s="10" t="inlineStr">
        <is>
          <t>Turkish / world-food supermarket</t>
        </is>
      </c>
      <c r="G79" s="10" t="inlineStr">
        <is>
          <t>Multi-Site Independent</t>
        </is>
      </c>
      <c r="H79" s="10" t="inlineStr">
        <is>
          <t>1</t>
        </is>
      </c>
      <c r="I79" s="10" t="inlineStr"/>
      <c r="J79" s="10" t="inlineStr">
        <is>
          <t>Edmonton</t>
        </is>
      </c>
      <c r="K79" s="10" t="inlineStr">
        <is>
          <t>N9</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Not Found</t>
        </is>
      </c>
      <c r="Y79" s="10" t="inlineStr">
        <is>
          <t>Not Found</t>
        </is>
      </c>
      <c r="Z79" s="10" t="inlineStr">
        <is>
          <t>Low</t>
        </is>
      </c>
      <c r="AA79" s="10" t="inlineStr">
        <is>
          <t>Requires Verification</t>
        </is>
      </c>
      <c r="AB79" s="10" t="inlineStr">
        <is>
          <t>https://www.yell.com/biz/turkish-food-centre-edmondton-london-487834/</t>
        </is>
      </c>
    </row>
    <row r="80">
      <c r="A80" s="5" t="inlineStr">
        <is>
          <t>UK-000728</t>
        </is>
      </c>
      <c r="B80" s="5" t="inlineStr">
        <is>
          <t>UNITEDWHOL-02</t>
        </is>
      </c>
      <c r="C80" s="5" t="inlineStr">
        <is>
          <t>United Wholesale (Scotland) Ltd</t>
        </is>
      </c>
      <c r="D80" s="5" t="inlineStr">
        <is>
          <t>United Wholesale (Scotland) Ltd - Queenslie</t>
        </is>
      </c>
      <c r="E80" s="5" t="inlineStr">
        <is>
          <t>Cash &amp; Carry</t>
        </is>
      </c>
      <c r="F80" s="5" t="inlineStr">
        <is>
          <t>Grocery cash and carry wholesaler</t>
        </is>
      </c>
      <c r="G80" s="5" t="inlineStr">
        <is>
          <t>Regional Chain</t>
        </is>
      </c>
      <c r="H80" s="5" t="inlineStr">
        <is>
          <t>3</t>
        </is>
      </c>
      <c r="I80" s="5" t="inlineStr">
        <is>
          <t>110 Easter Queenslie Road</t>
        </is>
      </c>
      <c r="J80" s="5" t="inlineStr">
        <is>
          <t>Glasgow</t>
        </is>
      </c>
      <c r="K80" s="5" t="inlineStr">
        <is>
          <t>G33 4UL</t>
        </is>
      </c>
      <c r="L80" s="5" t="inlineStr"/>
      <c r="M80" s="5" t="inlineStr"/>
      <c r="N80" s="5" t="inlineStr"/>
      <c r="O80" s="5" t="inlineStr">
        <is>
          <t>https://uniteduk.co.uk/</t>
        </is>
      </c>
      <c r="P80" s="5" t="inlineStr"/>
      <c r="Q80" s="5" t="inlineStr"/>
      <c r="R80" s="5" t="inlineStr"/>
      <c r="S80" s="5" t="inlineStr"/>
      <c r="T80" s="5" t="inlineStr"/>
      <c r="U80" s="5" t="inlineStr"/>
      <c r="V80" s="5" t="inlineStr">
        <is>
          <t>Medium</t>
        </is>
      </c>
      <c r="W80" s="5" t="inlineStr">
        <is>
          <t>Multi-site retailer; Core relevant category; Active website</t>
        </is>
      </c>
      <c r="X80" s="5" t="inlineStr">
        <is>
          <t>Not Found</t>
        </is>
      </c>
      <c r="Y80" s="5" t="inlineStr">
        <is>
          <t>Website Found</t>
        </is>
      </c>
      <c r="Z80" s="5" t="inlineStr">
        <is>
          <t>Medium</t>
        </is>
      </c>
      <c r="AA80" s="5" t="inlineStr">
        <is>
          <t>Requires Verification</t>
        </is>
      </c>
      <c r="AB80" s="5" t="inlineStr">
        <is>
          <t>https://unitedwholesalescotland.wordpress.com/our-depots/</t>
        </is>
      </c>
    </row>
    <row r="81">
      <c r="A81" s="10" t="inlineStr">
        <is>
          <t>UK-000449</t>
        </is>
      </c>
      <c r="B81" s="10" t="inlineStr">
        <is>
          <t>VJVAPOURS-01</t>
        </is>
      </c>
      <c r="C81" s="10" t="inlineStr">
        <is>
          <t>VJ Vapours</t>
        </is>
      </c>
      <c r="D81" s="10" t="inlineStr">
        <is>
          <t>VJ Vapours</t>
        </is>
      </c>
      <c r="E81" s="10" t="inlineStr">
        <is>
          <t>Vape Shop</t>
        </is>
      </c>
      <c r="F81" s="10" t="inlineStr">
        <is>
          <t>Disposables &amp; nic pouches</t>
        </is>
      </c>
      <c r="G81" s="10" t="inlineStr">
        <is>
          <t>Multi-Site Independent</t>
        </is>
      </c>
      <c r="H81" s="10" t="inlineStr">
        <is>
          <t>2</t>
        </is>
      </c>
      <c r="I81" s="10" t="inlineStr">
        <is>
          <t>40 Bridge Street</t>
        </is>
      </c>
      <c r="J81" s="10" t="inlineStr">
        <is>
          <t>Walsall</t>
        </is>
      </c>
      <c r="K81" s="10" t="inlineStr">
        <is>
          <t>WS1 1HR</t>
        </is>
      </c>
      <c r="L81" s="10" t="inlineStr"/>
      <c r="M81" s="10" t="inlineStr"/>
      <c r="N81" s="10" t="inlineStr"/>
      <c r="O81" s="10" t="inlineStr">
        <is>
          <t>https://vjvapours.com/</t>
        </is>
      </c>
      <c r="P81" s="10" t="inlineStr"/>
      <c r="Q81" s="10" t="inlineStr"/>
      <c r="R81" s="10" t="inlineStr"/>
      <c r="S81" s="10" t="inlineStr"/>
      <c r="T81" s="10" t="inlineStr"/>
      <c r="U81" s="10" t="inlineStr"/>
      <c r="V81" s="10" t="inlineStr">
        <is>
          <t>High</t>
        </is>
      </c>
      <c r="W81" s="10" t="inlineStr">
        <is>
          <t>Multi-site retailer; Independent retailer; Core relevant category; Active website</t>
        </is>
      </c>
      <c r="X81" s="10" t="inlineStr">
        <is>
          <t>Not Found</t>
        </is>
      </c>
      <c r="Y81" s="10" t="inlineStr">
        <is>
          <t>Website Found</t>
        </is>
      </c>
      <c r="Z81" s="10" t="inlineStr">
        <is>
          <t>Medium</t>
        </is>
      </c>
      <c r="AA81" s="10" t="inlineStr">
        <is>
          <t>Partially Verified</t>
        </is>
      </c>
      <c r="AB81" s="10" t="inlineStr">
        <is>
          <t>https://vjvapours.com/</t>
        </is>
      </c>
    </row>
    <row r="82">
      <c r="A82" s="5" t="inlineStr">
        <is>
          <t>UK-000729</t>
        </is>
      </c>
      <c r="B82" s="5" t="inlineStr">
        <is>
          <t>VPZ-01</t>
        </is>
      </c>
      <c r="C82" s="5" t="inlineStr">
        <is>
          <t>VPZ</t>
        </is>
      </c>
      <c r="D82" s="5" t="inlineStr">
        <is>
          <t>VPZ Bathgate</t>
        </is>
      </c>
      <c r="E82" s="5" t="inlineStr">
        <is>
          <t>Vape Shop</t>
        </is>
      </c>
      <c r="F82" s="5" t="inlineStr">
        <is>
          <t>Vape kits, e-liquids &amp; disposables</t>
        </is>
      </c>
      <c r="G82" s="5" t="inlineStr">
        <is>
          <t>Regional Chain</t>
        </is>
      </c>
      <c r="H82" s="5" t="inlineStr">
        <is>
          <t>1</t>
        </is>
      </c>
      <c r="I82" s="5" t="inlineStr">
        <is>
          <t>South Mid Street</t>
        </is>
      </c>
      <c r="J82" s="5" t="inlineStr">
        <is>
          <t>Bathgate</t>
        </is>
      </c>
      <c r="K82" s="5" t="inlineStr"/>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Core relevant category</t>
        </is>
      </c>
      <c r="X82" s="5" t="inlineStr">
        <is>
          <t>Not Found</t>
        </is>
      </c>
      <c r="Y82" s="5" t="inlineStr">
        <is>
          <t>Not Found</t>
        </is>
      </c>
      <c r="Z82" s="5" t="inlineStr">
        <is>
          <t>Low</t>
        </is>
      </c>
      <c r="AA82" s="5" t="inlineStr">
        <is>
          <t>Requires Verification</t>
        </is>
      </c>
      <c r="AB82" s="5" t="inlineStr">
        <is>
          <t>https://bathgate.cylex-uk.co.uk/company/vpz-26787205.html</t>
        </is>
      </c>
    </row>
    <row r="83">
      <c r="A83" s="10" t="inlineStr">
        <is>
          <t>UK-000735</t>
        </is>
      </c>
      <c r="B83" s="10" t="inlineStr">
        <is>
          <t>VPZ-07</t>
        </is>
      </c>
      <c r="C83" s="10" t="inlineStr">
        <is>
          <t>VPZ</t>
        </is>
      </c>
      <c r="D83" s="10" t="inlineStr">
        <is>
          <t>VPZ Kirkcaldy</t>
        </is>
      </c>
      <c r="E83" s="10" t="inlineStr">
        <is>
          <t>Vape Shop</t>
        </is>
      </c>
      <c r="F83" s="10" t="inlineStr">
        <is>
          <t>Vape kits, e-liquids &amp; disposables</t>
        </is>
      </c>
      <c r="G83" s="10" t="inlineStr">
        <is>
          <t>Regional Chain</t>
        </is>
      </c>
      <c r="H83" s="10" t="inlineStr">
        <is>
          <t>1</t>
        </is>
      </c>
      <c r="I83" s="10" t="inlineStr">
        <is>
          <t>High Street</t>
        </is>
      </c>
      <c r="J83" s="10" t="inlineStr">
        <is>
          <t>Kirkcaldy</t>
        </is>
      </c>
      <c r="K83" s="10" t="inlineStr"/>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Core relevant category</t>
        </is>
      </c>
      <c r="X83" s="10" t="inlineStr">
        <is>
          <t>Not Found</t>
        </is>
      </c>
      <c r="Y83" s="10" t="inlineStr">
        <is>
          <t>Not Found</t>
        </is>
      </c>
      <c r="Z83" s="10" t="inlineStr">
        <is>
          <t>Low</t>
        </is>
      </c>
      <c r="AA83" s="10" t="inlineStr">
        <is>
          <t>Requires Verification</t>
        </is>
      </c>
      <c r="AB83" s="10" t="inlineStr">
        <is>
          <t>https://kirkcaldy.cylex-uk.co.uk/company/vpz-the-vaping-specialist-27217596.html</t>
        </is>
      </c>
    </row>
    <row r="84">
      <c r="A84" s="5" t="inlineStr">
        <is>
          <t>UK-000737</t>
        </is>
      </c>
      <c r="B84" s="5" t="inlineStr">
        <is>
          <t>VPZ-09</t>
        </is>
      </c>
      <c r="C84" s="5" t="inlineStr">
        <is>
          <t>VPZ</t>
        </is>
      </c>
      <c r="D84" s="5" t="inlineStr">
        <is>
          <t>VPZ Livingston</t>
        </is>
      </c>
      <c r="E84" s="5" t="inlineStr">
        <is>
          <t>Vape Shop</t>
        </is>
      </c>
      <c r="F84" s="5" t="inlineStr">
        <is>
          <t>Vape kits, e-liquids &amp; disposables</t>
        </is>
      </c>
      <c r="G84" s="5" t="inlineStr">
        <is>
          <t>Regional Chain</t>
        </is>
      </c>
      <c r="H84" s="5" t="inlineStr">
        <is>
          <t>1</t>
        </is>
      </c>
      <c r="I84" s="5" t="inlineStr">
        <is>
          <t>Almondvale South</t>
        </is>
      </c>
      <c r="J84" s="5" t="inlineStr">
        <is>
          <t>Livingston</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Core relevant category</t>
        </is>
      </c>
      <c r="X84" s="5" t="inlineStr">
        <is>
          <t>Not Found</t>
        </is>
      </c>
      <c r="Y84" s="5" t="inlineStr">
        <is>
          <t>Not Found</t>
        </is>
      </c>
      <c r="Z84" s="5" t="inlineStr">
        <is>
          <t>Low</t>
        </is>
      </c>
      <c r="AA84" s="5" t="inlineStr">
        <is>
          <t>Requires Verification</t>
        </is>
      </c>
      <c r="AB84" s="5" t="inlineStr">
        <is>
          <t>https://livingston.cylex-uk.co.uk/company/vpz-23906128.html</t>
        </is>
      </c>
    </row>
    <row r="85">
      <c r="A85" s="10" t="inlineStr">
        <is>
          <t>UK-000217</t>
        </is>
      </c>
      <c r="B85" s="10" t="inlineStr">
        <is>
          <t>VALLIFOREC-01</t>
        </is>
      </c>
      <c r="C85" s="10" t="inlineStr">
        <is>
          <t>Valli Forecourts</t>
        </is>
      </c>
      <c r="D85" s="10" t="inlineStr">
        <is>
          <t>Valli Forecourts (Bawtry Road)</t>
        </is>
      </c>
      <c r="E85" s="10" t="inlineStr">
        <is>
          <t>Petrol Station / Forecourt</t>
        </is>
      </c>
      <c r="F85" s="10" t="inlineStr">
        <is>
          <t>Independent forecourt with convenience store</t>
        </is>
      </c>
      <c r="G85" s="10" t="inlineStr">
        <is>
          <t>Multi-Site Independent</t>
        </is>
      </c>
      <c r="H85" s="10" t="inlineStr">
        <is>
          <t>1</t>
        </is>
      </c>
      <c r="I85" s="10" t="inlineStr">
        <is>
          <t>Bawtry Road</t>
        </is>
      </c>
      <c r="J85" s="10" t="inlineStr">
        <is>
          <t>Doncaster</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https://www.mylocalservices.co.uk/24+Hr+Petrol+Stations-Doncaster.html</t>
        </is>
      </c>
    </row>
    <row r="86">
      <c r="A86" s="5" t="inlineStr">
        <is>
          <t>WY-0034</t>
        </is>
      </c>
      <c r="B86" s="5" t="inlineStr">
        <is>
          <t>VALLIFOREC-01</t>
        </is>
      </c>
      <c r="C86" s="5" t="inlineStr">
        <is>
          <t>Valli Forecourts Ltd</t>
        </is>
      </c>
      <c r="D86" s="5" t="inlineStr">
        <is>
          <t>BP Gledhow Service Station (Valli Forecourts)</t>
        </is>
      </c>
      <c r="E86" s="5" t="inlineStr">
        <is>
          <t>Petrol Station / Forecourt</t>
        </is>
      </c>
      <c r="F86" s="5" t="inlineStr">
        <is>
          <t>BP-branded forecourt with convenience store</t>
        </is>
      </c>
      <c r="G86" s="5" t="inlineStr">
        <is>
          <t>Regional Chain</t>
        </is>
      </c>
      <c r="H86" s="5" t="inlineStr">
        <is>
          <t>16</t>
        </is>
      </c>
      <c r="I86" s="5" t="inlineStr"/>
      <c r="J86" s="5" t="inlineStr">
        <is>
          <t>Leeds</t>
        </is>
      </c>
      <c r="K86" s="5" t="inlineStr">
        <is>
          <t>LS8 4BU</t>
        </is>
      </c>
      <c r="L86" s="5" t="inlineStr"/>
      <c r="M86" s="5" t="inlineStr"/>
      <c r="N86" s="5" t="inlineStr"/>
      <c r="O86" s="5" t="inlineStr">
        <is>
          <t>https://valliforecourts.co.uk/</t>
        </is>
      </c>
      <c r="P86" s="5" t="inlineStr"/>
      <c r="Q86" s="5" t="inlineStr"/>
      <c r="R86" s="5" t="inlineStr"/>
      <c r="S86" s="5" t="inlineStr"/>
      <c r="T86" s="5" t="inlineStr"/>
      <c r="U86" s="5" t="inlineStr"/>
      <c r="V86" s="5" t="inlineStr">
        <is>
          <t>Medium</t>
        </is>
      </c>
      <c r="W86" s="5" t="inlineStr">
        <is>
          <t>Multi-site retailer; Relevant category; Active website</t>
        </is>
      </c>
      <c r="X86" s="5" t="inlineStr">
        <is>
          <t>Not Found</t>
        </is>
      </c>
      <c r="Y86" s="5" t="inlineStr">
        <is>
          <t>Website Found</t>
        </is>
      </c>
      <c r="Z86" s="5" t="inlineStr">
        <is>
          <t>Medium</t>
        </is>
      </c>
      <c r="AA86" s="5" t="inlineStr">
        <is>
          <t>Requires Verification</t>
        </is>
      </c>
      <c r="AB86" s="5" t="inlineStr">
        <is>
          <t>https://www.petrolprices.com/locations/huddersfield</t>
        </is>
      </c>
    </row>
    <row r="87">
      <c r="A87" s="10" t="inlineStr">
        <is>
          <t>WY-0035</t>
        </is>
      </c>
      <c r="B87" s="10" t="inlineStr">
        <is>
          <t>VALLIFOREC-02</t>
        </is>
      </c>
      <c r="C87" s="10" t="inlineStr">
        <is>
          <t>Valli Forecourts Ltd</t>
        </is>
      </c>
      <c r="D87" s="10" t="inlineStr">
        <is>
          <t>Valli Forecourts Ltd (Head Office)</t>
        </is>
      </c>
      <c r="E87" s="10" t="inlineStr">
        <is>
          <t>Petrol Station / Forecourt</t>
        </is>
      </c>
      <c r="F87" s="10" t="inlineStr">
        <is>
          <t>Independent forecourt group head office</t>
        </is>
      </c>
      <c r="G87" s="10" t="inlineStr">
        <is>
          <t>Regional Chain</t>
        </is>
      </c>
      <c r="H87" s="10" t="inlineStr">
        <is>
          <t>16</t>
        </is>
      </c>
      <c r="I87" s="10" t="inlineStr"/>
      <c r="J87" s="10" t="inlineStr">
        <is>
          <t>Leeds</t>
        </is>
      </c>
      <c r="K87" s="10" t="inlineStr"/>
      <c r="L87" s="10" t="inlineStr"/>
      <c r="M87" s="10" t="inlineStr"/>
      <c r="N87" s="10" t="inlineStr"/>
      <c r="O87" s="10" t="inlineStr">
        <is>
          <t>https://valliforecourts.co.uk/</t>
        </is>
      </c>
      <c r="P87" s="10" t="inlineStr"/>
      <c r="Q87" s="10" t="inlineStr"/>
      <c r="R87" s="10" t="inlineStr"/>
      <c r="S87" s="10" t="inlineStr"/>
      <c r="T87" s="10" t="inlineStr"/>
      <c r="U87" s="10" t="inlineStr"/>
      <c r="V87" s="10" t="inlineStr">
        <is>
          <t>Medium</t>
        </is>
      </c>
      <c r="W87" s="10" t="inlineStr">
        <is>
          <t>Multi-site retailer; Relevant category; Active website; Social presence</t>
        </is>
      </c>
      <c r="X87" s="10" t="inlineStr">
        <is>
          <t>Not Found</t>
        </is>
      </c>
      <c r="Y87" s="10" t="inlineStr">
        <is>
          <t>Website Found</t>
        </is>
      </c>
      <c r="Z87" s="10" t="inlineStr">
        <is>
          <t>Low</t>
        </is>
      </c>
      <c r="AA87" s="10" t="inlineStr">
        <is>
          <t>Requires Verification</t>
        </is>
      </c>
      <c r="AB87" s="10" t="inlineStr">
        <is>
          <t>https://www.yorkshire.com/moortown/transport/petrol-stations/valli-forecourts-ltd-head-office</t>
        </is>
      </c>
    </row>
    <row r="88">
      <c r="A88" s="5" t="inlineStr">
        <is>
          <t>UK-000450</t>
        </is>
      </c>
      <c r="B88" s="5" t="inlineStr">
        <is>
          <t>VAPESHOPBI-01</t>
        </is>
      </c>
      <c r="C88" s="5" t="inlineStr">
        <is>
          <t>Vape Shop Birmingham</t>
        </is>
      </c>
      <c r="D88" s="5" t="inlineStr">
        <is>
          <t>Vape Shop Birmingham</t>
        </is>
      </c>
      <c r="E88" s="5" t="inlineStr">
        <is>
          <t>Vape Shop</t>
        </is>
      </c>
      <c r="F88" s="5" t="inlineStr">
        <is>
          <t>Vape hardware and e-liquid retailer</t>
        </is>
      </c>
      <c r="G88" s="5" t="inlineStr">
        <is>
          <t>Regional Chain</t>
        </is>
      </c>
      <c r="H88" s="5" t="inlineStr">
        <is>
          <t>3</t>
        </is>
      </c>
      <c r="I88" s="5" t="inlineStr">
        <is>
          <t>19 Great Western Arcade</t>
        </is>
      </c>
      <c r="J88" s="5" t="inlineStr">
        <is>
          <t>Birmingham</t>
        </is>
      </c>
      <c r="K88" s="5" t="inlineStr">
        <is>
          <t>B2 5HU</t>
        </is>
      </c>
      <c r="L88" s="5" t="inlineStr"/>
      <c r="M88" s="5" t="inlineStr"/>
      <c r="N88" s="5" t="inlineStr"/>
      <c r="O88" s="5" t="inlineStr">
        <is>
          <t>https://vapeshopbirmingham.co.uk/</t>
        </is>
      </c>
      <c r="P88" s="5" t="inlineStr"/>
      <c r="Q88" s="5" t="inlineStr"/>
      <c r="R88" s="5" t="inlineStr"/>
      <c r="S88" s="5" t="inlineStr"/>
      <c r="T88" s="5" t="inlineStr"/>
      <c r="U88" s="5" t="inlineStr"/>
      <c r="V88" s="5" t="inlineStr">
        <is>
          <t>Medium</t>
        </is>
      </c>
      <c r="W88" s="5" t="inlineStr">
        <is>
          <t>Multi-site retailer; Core relevant category; Active website</t>
        </is>
      </c>
      <c r="X88" s="5" t="inlineStr">
        <is>
          <t>Not Found</t>
        </is>
      </c>
      <c r="Y88" s="5" t="inlineStr">
        <is>
          <t>Website Found</t>
        </is>
      </c>
      <c r="Z88" s="5" t="inlineStr">
        <is>
          <t>Medium</t>
        </is>
      </c>
      <c r="AA88" s="5" t="inlineStr">
        <is>
          <t>Requires Verification</t>
        </is>
      </c>
      <c r="AB88" s="5" t="inlineStr">
        <is>
          <t>https://vapeshopbirmingham.co.uk/pages/birmingham-city-centre</t>
        </is>
      </c>
    </row>
    <row r="89">
      <c r="A89" s="10" t="inlineStr">
        <is>
          <t>UK-000223</t>
        </is>
      </c>
      <c r="B89" s="10" t="inlineStr">
        <is>
          <t>VAPESHOPGU-02</t>
        </is>
      </c>
      <c r="C89" s="10" t="inlineStr">
        <is>
          <t>Vape Shop Guy</t>
        </is>
      </c>
      <c r="D89" s="10" t="inlineStr">
        <is>
          <t>Vape Shop Guy Ripon</t>
        </is>
      </c>
      <c r="E89" s="10" t="inlineStr">
        <is>
          <t>Vape Shop</t>
        </is>
      </c>
      <c r="F89" s="10" t="inlineStr">
        <is>
          <t>Vaping products &amp; e-liquids</t>
        </is>
      </c>
      <c r="G89" s="10" t="inlineStr">
        <is>
          <t>Multi-Site Independent</t>
        </is>
      </c>
      <c r="H89" s="10" t="inlineStr">
        <is>
          <t>4</t>
        </is>
      </c>
      <c r="I89" s="10" t="inlineStr">
        <is>
          <t>4 North Street</t>
        </is>
      </c>
      <c r="J89" s="10" t="inlineStr">
        <is>
          <t>Ripon</t>
        </is>
      </c>
      <c r="K89" s="10" t="inlineStr"/>
      <c r="L89" s="10" t="inlineStr"/>
      <c r="M89" s="10" t="inlineStr"/>
      <c r="N89" s="10" t="inlineStr"/>
      <c r="O89" s="10" t="inlineStr">
        <is>
          <t>https://vapeshopguy.co.uk/</t>
        </is>
      </c>
      <c r="P89" s="10" t="inlineStr"/>
      <c r="Q89" s="10" t="inlineStr"/>
      <c r="R89" s="10" t="inlineStr"/>
      <c r="S89" s="10" t="inlineStr"/>
      <c r="T89" s="10" t="inlineStr">
        <is>
          <t>16398053</t>
        </is>
      </c>
      <c r="U89" s="10" t="inlineStr"/>
      <c r="V89" s="10" t="inlineStr">
        <is>
          <t>High</t>
        </is>
      </c>
      <c r="W89" s="10" t="inlineStr">
        <is>
          <t>Multi-site retailer; Independent retailer; Core relevant category; Active website</t>
        </is>
      </c>
      <c r="X89" s="10" t="inlineStr">
        <is>
          <t>Not Found</t>
        </is>
      </c>
      <c r="Y89" s="10" t="inlineStr">
        <is>
          <t>Website Found</t>
        </is>
      </c>
      <c r="Z89" s="10" t="inlineStr">
        <is>
          <t>Medium</t>
        </is>
      </c>
      <c r="AA89" s="10" t="inlineStr">
        <is>
          <t>Requires Verification</t>
        </is>
      </c>
      <c r="AB89" s="10" t="inlineStr">
        <is>
          <t>https://vapeshopguy.co.uk/locations</t>
        </is>
      </c>
    </row>
    <row r="90">
      <c r="A90" s="5" t="inlineStr">
        <is>
          <t>UK-000224</t>
        </is>
      </c>
      <c r="B90" s="5" t="inlineStr">
        <is>
          <t>VAPESHOPGU-03</t>
        </is>
      </c>
      <c r="C90" s="5" t="inlineStr">
        <is>
          <t>Vape Shop Guy</t>
        </is>
      </c>
      <c r="D90" s="5" t="inlineStr">
        <is>
          <t>Vape Shop Guy Thirsk</t>
        </is>
      </c>
      <c r="E90" s="5" t="inlineStr">
        <is>
          <t>Vape Shop</t>
        </is>
      </c>
      <c r="F90" s="5" t="inlineStr">
        <is>
          <t>Vaping products &amp; e-liquids</t>
        </is>
      </c>
      <c r="G90" s="5" t="inlineStr">
        <is>
          <t>Multi-Site Independent</t>
        </is>
      </c>
      <c r="H90" s="5" t="inlineStr">
        <is>
          <t>4</t>
        </is>
      </c>
      <c r="I90" s="5" t="inlineStr">
        <is>
          <t>2 Millgate</t>
        </is>
      </c>
      <c r="J90" s="5" t="inlineStr">
        <is>
          <t>Thirsk</t>
        </is>
      </c>
      <c r="K90" s="5" t="inlineStr"/>
      <c r="L90" s="5" t="inlineStr"/>
      <c r="M90" s="5" t="inlineStr"/>
      <c r="N90" s="5" t="inlineStr"/>
      <c r="O90" s="5" t="inlineStr">
        <is>
          <t>https://vapeshopguy.co.uk/</t>
        </is>
      </c>
      <c r="P90" s="5" t="inlineStr"/>
      <c r="Q90" s="5" t="inlineStr"/>
      <c r="R90" s="5" t="inlineStr"/>
      <c r="S90" s="5" t="inlineStr"/>
      <c r="T90" s="5" t="inlineStr">
        <is>
          <t>15869863</t>
        </is>
      </c>
      <c r="U90" s="5" t="inlineStr"/>
      <c r="V90" s="5" t="inlineStr">
        <is>
          <t>High</t>
        </is>
      </c>
      <c r="W90" s="5" t="inlineStr">
        <is>
          <t>Multi-site retailer; Independent retailer; Core relevant category; Active website</t>
        </is>
      </c>
      <c r="X90" s="5" t="inlineStr">
        <is>
          <t>Not Found</t>
        </is>
      </c>
      <c r="Y90" s="5" t="inlineStr">
        <is>
          <t>Website Found</t>
        </is>
      </c>
      <c r="Z90" s="5" t="inlineStr">
        <is>
          <t>Medium</t>
        </is>
      </c>
      <c r="AA90" s="5" t="inlineStr">
        <is>
          <t>Requires Verification</t>
        </is>
      </c>
      <c r="AB90" s="5" t="inlineStr">
        <is>
          <t>https://vapeshopguy.co.uk/locations</t>
        </is>
      </c>
    </row>
    <row r="91">
      <c r="A91" s="10" t="inlineStr">
        <is>
          <t>UK-000326</t>
        </is>
      </c>
      <c r="B91" s="10" t="inlineStr">
        <is>
          <t>VAPEANDWAT-01</t>
        </is>
      </c>
      <c r="C91" s="10" t="inlineStr">
        <is>
          <t>Vape and Watts</t>
        </is>
      </c>
      <c r="D91" s="10" t="inlineStr">
        <is>
          <t>Vape and Watts Hyde</t>
        </is>
      </c>
      <c r="E91" s="10" t="inlineStr">
        <is>
          <t>Vape Shop</t>
        </is>
      </c>
      <c r="F91" s="10" t="inlineStr"/>
      <c r="G91" s="10" t="inlineStr">
        <is>
          <t>Multi-Site Independent</t>
        </is>
      </c>
      <c r="H91" s="10" t="inlineStr">
        <is>
          <t>2</t>
        </is>
      </c>
      <c r="I91" s="10" t="inlineStr">
        <is>
          <t>41 Clarendon Place</t>
        </is>
      </c>
      <c r="J91" s="10" t="inlineStr">
        <is>
          <t>Hyde</t>
        </is>
      </c>
      <c r="K91" s="10" t="inlineStr">
        <is>
          <t>SK14 2ND</t>
        </is>
      </c>
      <c r="L91" s="10" t="inlineStr"/>
      <c r="M91" s="10" t="inlineStr"/>
      <c r="N91" s="10" t="inlineStr"/>
      <c r="O91" s="10" t="inlineStr"/>
      <c r="P91" s="10" t="inlineStr">
        <is>
          <t>https://www.facebook.com/vapeandwatts/</t>
        </is>
      </c>
      <c r="Q91" s="10" t="inlineStr"/>
      <c r="R91" s="10" t="inlineStr"/>
      <c r="S91" s="10" t="inlineStr"/>
      <c r="T91" s="10" t="inlineStr"/>
      <c r="U91" s="10" t="inlineStr"/>
      <c r="V91" s="10" t="inlineStr">
        <is>
          <t>High</t>
        </is>
      </c>
      <c r="W91" s="10" t="inlineStr">
        <is>
          <t>Multi-site retailer; Independent retailer; Core relevant category; Social presence</t>
        </is>
      </c>
      <c r="X91" s="10" t="inlineStr">
        <is>
          <t>Not Found</t>
        </is>
      </c>
      <c r="Y91" s="10" t="inlineStr">
        <is>
          <t>Not Found</t>
        </is>
      </c>
      <c r="Z91" s="10" t="inlineStr">
        <is>
          <t>Low</t>
        </is>
      </c>
      <c r="AA91" s="10" t="inlineStr">
        <is>
          <t>Requires Verification</t>
        </is>
      </c>
      <c r="AB91" s="10" t="inlineStr">
        <is>
          <t>https://www.yell.com/biz/vape-and-watts-hyde-8811054/</t>
        </is>
      </c>
    </row>
    <row r="92">
      <c r="A92" s="5" t="inlineStr">
        <is>
          <t>UK-000327</t>
        </is>
      </c>
      <c r="B92" s="5" t="inlineStr">
        <is>
          <t>VAPEANDWAT-02</t>
        </is>
      </c>
      <c r="C92" s="5" t="inlineStr">
        <is>
          <t>Vape and Watts</t>
        </is>
      </c>
      <c r="D92" s="5" t="inlineStr">
        <is>
          <t>Vape and Watts Royton</t>
        </is>
      </c>
      <c r="E92" s="5" t="inlineStr">
        <is>
          <t>Vape Shop</t>
        </is>
      </c>
      <c r="F92" s="5" t="inlineStr"/>
      <c r="G92" s="5" t="inlineStr">
        <is>
          <t>Multi-Site Independent</t>
        </is>
      </c>
      <c r="H92" s="5" t="inlineStr">
        <is>
          <t>2</t>
        </is>
      </c>
      <c r="I92" s="5" t="inlineStr">
        <is>
          <t>112 Rochdale Road</t>
        </is>
      </c>
      <c r="J92" s="5" t="inlineStr">
        <is>
          <t>Royton</t>
        </is>
      </c>
      <c r="K92" s="5" t="inlineStr">
        <is>
          <t>OL2 6QF</t>
        </is>
      </c>
      <c r="L92" s="5" t="inlineStr"/>
      <c r="M92" s="5" t="inlineStr"/>
      <c r="N92" s="5" t="inlineStr"/>
      <c r="O92" s="5" t="inlineStr"/>
      <c r="P92" s="5" t="inlineStr">
        <is>
          <t>https://www.facebook.com/vapeandwatts/</t>
        </is>
      </c>
      <c r="Q92" s="5" t="inlineStr"/>
      <c r="R92" s="5" t="inlineStr"/>
      <c r="S92" s="5" t="inlineStr"/>
      <c r="T92" s="5" t="inlineStr"/>
      <c r="U92" s="5" t="inlineStr"/>
      <c r="V92" s="5" t="inlineStr">
        <is>
          <t>High</t>
        </is>
      </c>
      <c r="W92" s="5" t="inlineStr">
        <is>
          <t>Multi-site retailer; Independent retailer; Core relevant category; Social presence</t>
        </is>
      </c>
      <c r="X92" s="5" t="inlineStr">
        <is>
          <t>Not Found</t>
        </is>
      </c>
      <c r="Y92" s="5" t="inlineStr">
        <is>
          <t>Not Found</t>
        </is>
      </c>
      <c r="Z92" s="5" t="inlineStr">
        <is>
          <t>Low</t>
        </is>
      </c>
      <c r="AA92" s="5" t="inlineStr">
        <is>
          <t>Requires Verification</t>
        </is>
      </c>
      <c r="AB92" s="5" t="inlineStr">
        <is>
          <t>https://www.facebook.com/vapeandwatts/photos/available-at-royton-and-hyde-store/1539628500256452/</t>
        </is>
      </c>
    </row>
    <row r="93">
      <c r="A93" s="10" t="inlineStr">
        <is>
          <t>UK-000746</t>
        </is>
      </c>
      <c r="B93" s="10" t="inlineStr">
        <is>
          <t>VAPOURZ-01</t>
        </is>
      </c>
      <c r="C93" s="10" t="inlineStr">
        <is>
          <t>Vapourz</t>
        </is>
      </c>
      <c r="D93" s="10" t="inlineStr">
        <is>
          <t>Vapourz Alloa</t>
        </is>
      </c>
      <c r="E93" s="10" t="inlineStr">
        <is>
          <t>Vape Shop</t>
        </is>
      </c>
      <c r="F93" s="10" t="inlineStr">
        <is>
          <t>Vape shop / e-liquids</t>
        </is>
      </c>
      <c r="G93" s="10" t="inlineStr">
        <is>
          <t>Regional Chain</t>
        </is>
      </c>
      <c r="H93" s="10" t="inlineStr">
        <is>
          <t>1</t>
        </is>
      </c>
      <c r="I93" s="10" t="inlineStr">
        <is>
          <t>Mill Street</t>
        </is>
      </c>
      <c r="J93" s="10" t="inlineStr">
        <is>
          <t>Alloa</t>
        </is>
      </c>
      <c r="K93" s="10" t="inlineStr"/>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Core relevant category</t>
        </is>
      </c>
      <c r="X93" s="10" t="inlineStr">
        <is>
          <t>Not Found</t>
        </is>
      </c>
      <c r="Y93" s="10" t="inlineStr">
        <is>
          <t>Not Found</t>
        </is>
      </c>
      <c r="Z93" s="10" t="inlineStr">
        <is>
          <t>Low</t>
        </is>
      </c>
      <c r="AA93" s="10" t="inlineStr">
        <is>
          <t>Requires Verification</t>
        </is>
      </c>
      <c r="AB93" s="10" t="inlineStr">
        <is>
          <t>https://alloa.cylex-uk.co.uk/company/vapourz-26787237.html</t>
        </is>
      </c>
    </row>
    <row r="94">
      <c r="A94" s="5" t="inlineStr">
        <is>
          <t>UK-000748</t>
        </is>
      </c>
      <c r="B94" s="5" t="inlineStr">
        <is>
          <t>VAPOURZ-03</t>
        </is>
      </c>
      <c r="C94" s="5" t="inlineStr">
        <is>
          <t>Vapourz</t>
        </is>
      </c>
      <c r="D94" s="5" t="inlineStr">
        <is>
          <t>Vapourz Kirkcaldy</t>
        </is>
      </c>
      <c r="E94" s="5" t="inlineStr">
        <is>
          <t>Vape Shop</t>
        </is>
      </c>
      <c r="F94" s="5" t="inlineStr">
        <is>
          <t>Vape shop / e-liquids</t>
        </is>
      </c>
      <c r="G94" s="5" t="inlineStr">
        <is>
          <t>Regional Chain</t>
        </is>
      </c>
      <c r="H94" s="5" t="inlineStr">
        <is>
          <t>1</t>
        </is>
      </c>
      <c r="I94" s="5" t="inlineStr">
        <is>
          <t>High Street</t>
        </is>
      </c>
      <c r="J94" s="5" t="inlineStr">
        <is>
          <t>Kirkcaldy</t>
        </is>
      </c>
      <c r="K94" s="5" t="inlineStr"/>
      <c r="L94" s="5" t="inlineStr"/>
      <c r="M94" s="5" t="inlineStr"/>
      <c r="N94" s="5" t="inlineStr"/>
      <c r="O94" s="5" t="inlineStr"/>
      <c r="P94" s="5" t="inlineStr"/>
      <c r="Q94" s="5" t="inlineStr"/>
      <c r="R94" s="5" t="inlineStr"/>
      <c r="S94" s="5" t="inlineStr"/>
      <c r="T94" s="5" t="inlineStr"/>
      <c r="U94" s="5" t="inlineStr"/>
      <c r="V94" s="5" t="inlineStr">
        <is>
          <t>Medium</t>
        </is>
      </c>
      <c r="W94" s="5" t="inlineStr">
        <is>
          <t>Multi-site retailer; Core relevant category</t>
        </is>
      </c>
      <c r="X94" s="5" t="inlineStr">
        <is>
          <t>Not Found</t>
        </is>
      </c>
      <c r="Y94" s="5" t="inlineStr">
        <is>
          <t>Not Found</t>
        </is>
      </c>
      <c r="Z94" s="5" t="inlineStr">
        <is>
          <t>Low</t>
        </is>
      </c>
      <c r="AA94" s="5" t="inlineStr">
        <is>
          <t>Requires Verification</t>
        </is>
      </c>
      <c r="AB94" s="5" t="inlineStr">
        <is>
          <t>https://kirkcaldy.cylex-uk.co.uk/company/vapourz-26862998.html</t>
        </is>
      </c>
    </row>
    <row r="95">
      <c r="A95" s="10" t="inlineStr">
        <is>
          <t>UK-000749</t>
        </is>
      </c>
      <c r="B95" s="10" t="inlineStr">
        <is>
          <t>VAPOURZ-04</t>
        </is>
      </c>
      <c r="C95" s="10" t="inlineStr">
        <is>
          <t>Vapourz</t>
        </is>
      </c>
      <c r="D95" s="10" t="inlineStr">
        <is>
          <t>Vapourz Stirling</t>
        </is>
      </c>
      <c r="E95" s="10" t="inlineStr">
        <is>
          <t>Vape Shop</t>
        </is>
      </c>
      <c r="F95" s="10" t="inlineStr">
        <is>
          <t>Vape shop / e-liquids</t>
        </is>
      </c>
      <c r="G95" s="10" t="inlineStr">
        <is>
          <t>Regional Chain</t>
        </is>
      </c>
      <c r="H95" s="10" t="inlineStr">
        <is>
          <t>1</t>
        </is>
      </c>
      <c r="I95" s="10" t="inlineStr">
        <is>
          <t>King Street</t>
        </is>
      </c>
      <c r="J95" s="10" t="inlineStr">
        <is>
          <t>Stirling</t>
        </is>
      </c>
      <c r="K95" s="10" t="inlineStr"/>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Core relevant category</t>
        </is>
      </c>
      <c r="X95" s="10" t="inlineStr">
        <is>
          <t>Not Found</t>
        </is>
      </c>
      <c r="Y95" s="10" t="inlineStr">
        <is>
          <t>Not Found</t>
        </is>
      </c>
      <c r="Z95" s="10" t="inlineStr">
        <is>
          <t>Low</t>
        </is>
      </c>
      <c r="AA95" s="10" t="inlineStr">
        <is>
          <t>Requires Verification</t>
        </is>
      </c>
      <c r="AB95" s="10" t="inlineStr">
        <is>
          <t>https://stirling.cylex-uk.co.uk/company/vapourz-26641954.html</t>
        </is>
      </c>
    </row>
    <row r="96">
      <c r="A96" s="5" t="inlineStr">
        <is>
          <t>WY-0040</t>
        </is>
      </c>
      <c r="B96" s="5" t="inlineStr">
        <is>
          <t>WOWVAPE-02</t>
        </is>
      </c>
      <c r="C96" s="5" t="inlineStr">
        <is>
          <t>WOW Vape</t>
        </is>
      </c>
      <c r="D96" s="5" t="inlineStr">
        <is>
          <t>WOW Vape (Wakefield)</t>
        </is>
      </c>
      <c r="E96" s="5" t="inlineStr">
        <is>
          <t>Vape Shop</t>
        </is>
      </c>
      <c r="F96" s="5" t="inlineStr">
        <is>
          <t>Vape retailer</t>
        </is>
      </c>
      <c r="G96" s="5" t="inlineStr">
        <is>
          <t>Multi-Site Independent</t>
        </is>
      </c>
      <c r="H96" s="5" t="inlineStr">
        <is>
          <t>2</t>
        </is>
      </c>
      <c r="I96" s="5" t="inlineStr"/>
      <c r="J96" s="5" t="inlineStr">
        <is>
          <t>Wakefield</t>
        </is>
      </c>
      <c r="K96" s="5" t="inlineStr"/>
      <c r="L96" s="5" t="inlineStr"/>
      <c r="M96" s="5" t="inlineStr"/>
      <c r="N96" s="5" t="inlineStr"/>
      <c r="O96" s="5" t="inlineStr"/>
      <c r="P96" s="5" t="inlineStr"/>
      <c r="Q96" s="5" t="inlineStr">
        <is>
          <t>https://www.instagram.com/wowvapewakefield/</t>
        </is>
      </c>
      <c r="R96" s="5" t="inlineStr"/>
      <c r="S96" s="5" t="inlineStr"/>
      <c r="T96" s="5" t="inlineStr"/>
      <c r="U96" s="5" t="inlineStr"/>
      <c r="V96" s="5" t="inlineStr">
        <is>
          <t>High</t>
        </is>
      </c>
      <c r="W96" s="5" t="inlineStr">
        <is>
          <t>Multi-site retailer; Independent retailer; Core relevant category; Social presence</t>
        </is>
      </c>
      <c r="X96" s="5" t="inlineStr">
        <is>
          <t>Not Found</t>
        </is>
      </c>
      <c r="Y96" s="5" t="inlineStr">
        <is>
          <t>Not Found</t>
        </is>
      </c>
      <c r="Z96" s="5" t="inlineStr">
        <is>
          <t>Low</t>
        </is>
      </c>
      <c r="AA96" s="5" t="inlineStr">
        <is>
          <t>Requires Verification</t>
        </is>
      </c>
      <c r="AB96" s="5" t="inlineStr">
        <is>
          <t>https://www.instagram.com/wowvapewakefield/</t>
        </is>
      </c>
    </row>
    <row r="97">
      <c r="A97" s="10" t="inlineStr">
        <is>
          <t>WY-0043</t>
        </is>
      </c>
      <c r="B97" s="10" t="inlineStr">
        <is>
          <t>WEAREVAPES-03</t>
        </is>
      </c>
      <c r="C97" s="10" t="inlineStr">
        <is>
          <t>We Are Vapes</t>
        </is>
      </c>
      <c r="D97" s="10" t="inlineStr">
        <is>
          <t>We Are Vapes</t>
        </is>
      </c>
      <c r="E97" s="10" t="inlineStr">
        <is>
          <t>Vape Shop</t>
        </is>
      </c>
      <c r="F97" s="10" t="inlineStr">
        <is>
          <t>Vape kits, e-liquids &amp; accessories</t>
        </is>
      </c>
      <c r="G97" s="10" t="inlineStr">
        <is>
          <t>Multi-Site Independent</t>
        </is>
      </c>
      <c r="H97" s="10" t="inlineStr">
        <is>
          <t>3</t>
        </is>
      </c>
      <c r="I97" s="10" t="inlineStr">
        <is>
          <t>446 Killinghall Road</t>
        </is>
      </c>
      <c r="J97" s="10" t="inlineStr">
        <is>
          <t>Bradford</t>
        </is>
      </c>
      <c r="K97" s="10" t="inlineStr"/>
      <c r="L97" s="10" t="inlineStr"/>
      <c r="M97" s="10" t="inlineStr"/>
      <c r="N97" s="10" t="inlineStr"/>
      <c r="O97" s="10" t="inlineStr">
        <is>
          <t>https://www.wearevapes.com/</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Not Found</t>
        </is>
      </c>
      <c r="Y97" s="10" t="inlineStr">
        <is>
          <t>Website Found</t>
        </is>
      </c>
      <c r="Z97" s="10" t="inlineStr">
        <is>
          <t>Low</t>
        </is>
      </c>
      <c r="AA97" s="10" t="inlineStr">
        <is>
          <t>Requires Verification</t>
        </is>
      </c>
      <c r="AB97" s="10" t="inlineStr">
        <is>
          <t>https://www.wearevapes.com/</t>
        </is>
      </c>
    </row>
    <row r="98">
      <c r="A98" s="5" t="inlineStr">
        <is>
          <t>UK-000330</t>
        </is>
      </c>
      <c r="B98" s="5" t="inlineStr">
        <is>
          <t>WORLDWIDEF-03</t>
        </is>
      </c>
      <c r="C98" s="5" t="inlineStr">
        <is>
          <t>Worldwide Foods</t>
        </is>
      </c>
      <c r="D98" s="5" t="inlineStr">
        <is>
          <t>Worldwide Foods (Old Trafford)</t>
        </is>
      </c>
      <c r="E98" s="5" t="inlineStr">
        <is>
          <t>Independent Supermarket</t>
        </is>
      </c>
      <c r="F98" s="5" t="inlineStr">
        <is>
          <t>World/ethnic food supermarket (halal)</t>
        </is>
      </c>
      <c r="G98" s="5" t="inlineStr">
        <is>
          <t>Multi-Site Independent</t>
        </is>
      </c>
      <c r="H98" s="5" t="inlineStr">
        <is>
          <t>4</t>
        </is>
      </c>
      <c r="I98" s="5" t="inlineStr">
        <is>
          <t>2 Tennis Street</t>
        </is>
      </c>
      <c r="J98" s="5" t="inlineStr">
        <is>
          <t>Manchester</t>
        </is>
      </c>
      <c r="K98" s="5" t="inlineStr">
        <is>
          <t>M16 0LH</t>
        </is>
      </c>
      <c r="L98" s="5" t="inlineStr"/>
      <c r="M98" s="5" t="inlineStr"/>
      <c r="N98" s="5" t="inlineStr"/>
      <c r="O98" s="5" t="inlineStr">
        <is>
          <t>https://worldwidefoods.co.uk/</t>
        </is>
      </c>
      <c r="P98" s="5" t="inlineStr"/>
      <c r="Q98" s="5" t="inlineStr"/>
      <c r="R98" s="5" t="inlineStr"/>
      <c r="S98" s="5" t="inlineStr"/>
      <c r="T98" s="5" t="inlineStr"/>
      <c r="U98" s="5" t="inlineStr"/>
      <c r="V98" s="5" t="inlineStr">
        <is>
          <t>Medium</t>
        </is>
      </c>
      <c r="W98" s="5" t="inlineStr">
        <is>
          <t>Multi-site retailer; Independent retailer; Relevant category; Active website</t>
        </is>
      </c>
      <c r="X98" s="5" t="inlineStr">
        <is>
          <t>Not Found</t>
        </is>
      </c>
      <c r="Y98" s="5" t="inlineStr">
        <is>
          <t>Website Found</t>
        </is>
      </c>
      <c r="Z98" s="5" t="inlineStr">
        <is>
          <t>Low</t>
        </is>
      </c>
      <c r="AA98" s="5" t="inlineStr">
        <is>
          <t>Requires Verification</t>
        </is>
      </c>
      <c r="AB98" s="5" t="inlineStr">
        <is>
          <t>https://worldwidefoods.co.uk/locations/</t>
        </is>
      </c>
    </row>
    <row r="99">
      <c r="A99" s="10" t="inlineStr">
        <is>
          <t>WY-0046</t>
        </is>
      </c>
      <c r="B99" s="10" t="inlineStr">
        <is>
          <t>WORLDWIDEF-03</t>
        </is>
      </c>
      <c r="C99" s="10" t="inlineStr">
        <is>
          <t>Worldwide Foods Group</t>
        </is>
      </c>
      <c r="D99" s="10" t="inlineStr">
        <is>
          <t>Worldwide Foods Bradford (Woodhead Road)</t>
        </is>
      </c>
      <c r="E99" s="10" t="inlineStr">
        <is>
          <t>Independent Supermarket</t>
        </is>
      </c>
      <c r="F99" s="10" t="inlineStr">
        <is>
          <t>Halal / world food supermarket</t>
        </is>
      </c>
      <c r="G99" s="10" t="inlineStr">
        <is>
          <t>Regional Chain</t>
        </is>
      </c>
      <c r="H99" s="10" t="inlineStr"/>
      <c r="I99" s="10" t="inlineStr">
        <is>
          <t>Woodhead Road</t>
        </is>
      </c>
      <c r="J99" s="10" t="inlineStr">
        <is>
          <t>Bradford</t>
        </is>
      </c>
      <c r="K99" s="10" t="inlineStr"/>
      <c r="L99" s="10" t="inlineStr"/>
      <c r="M99" s="10" t="inlineStr"/>
      <c r="N99" s="10" t="inlineStr"/>
      <c r="O99" s="10" t="inlineStr">
        <is>
          <t>https://worldwidefoods.co.uk/</t>
        </is>
      </c>
      <c r="P99" s="10" t="inlineStr">
        <is>
          <t>https://www.facebook.com/worldwidefoods/</t>
        </is>
      </c>
      <c r="Q99" s="10" t="inlineStr"/>
      <c r="R99" s="10" t="inlineStr"/>
      <c r="S99" s="10" t="inlineStr"/>
      <c r="T99" s="10" t="inlineStr">
        <is>
          <t>04179487</t>
        </is>
      </c>
      <c r="U99" s="10" t="inlineStr"/>
      <c r="V99" s="10" t="inlineStr">
        <is>
          <t>Medium</t>
        </is>
      </c>
      <c r="W99" s="10" t="inlineStr">
        <is>
          <t>Multi-site retailer; Relevant category; Active website; Social presence</t>
        </is>
      </c>
      <c r="X99" s="10" t="inlineStr">
        <is>
          <t>Not Found</t>
        </is>
      </c>
      <c r="Y99" s="10" t="inlineStr">
        <is>
          <t>Website Found</t>
        </is>
      </c>
      <c r="Z99" s="10" t="inlineStr">
        <is>
          <t>Low</t>
        </is>
      </c>
      <c r="AA99" s="10" t="inlineStr">
        <is>
          <t>Partially Verified</t>
        </is>
      </c>
      <c r="AB99" s="10" t="inlineStr">
        <is>
          <t>https://worldwidefoods.co.uk/locations/</t>
        </is>
      </c>
    </row>
    <row r="100">
      <c r="A100" s="5" t="inlineStr">
        <is>
          <t>UK-000332</t>
        </is>
      </c>
      <c r="B100" s="5" t="inlineStr">
        <is>
          <t>WORLDWIDEF-01</t>
        </is>
      </c>
      <c r="C100" s="5" t="inlineStr">
        <is>
          <t>Worldwide Foodstores</t>
        </is>
      </c>
      <c r="D100" s="5" t="inlineStr">
        <is>
          <t>Worldwide Foods Rochdale</t>
        </is>
      </c>
      <c r="E100" s="5" t="inlineStr">
        <is>
          <t>Independent Supermarket</t>
        </is>
      </c>
      <c r="F100" s="5" t="inlineStr">
        <is>
          <t>Ethnic / world foods supermarket</t>
        </is>
      </c>
      <c r="G100" s="5" t="inlineStr">
        <is>
          <t>Multi-Site Independent</t>
        </is>
      </c>
      <c r="H100" s="5" t="inlineStr">
        <is>
          <t>1</t>
        </is>
      </c>
      <c r="I100" s="5" t="inlineStr">
        <is>
          <t>Lower Tweedale Street</t>
        </is>
      </c>
      <c r="J100" s="5" t="inlineStr">
        <is>
          <t>Rochdale</t>
        </is>
      </c>
      <c r="K100" s="5" t="inlineStr">
        <is>
          <t>OL11 1HG</t>
        </is>
      </c>
      <c r="L100" s="5" t="inlineStr"/>
      <c r="M100" s="5" t="inlineStr"/>
      <c r="N100" s="5" t="inlineStr"/>
      <c r="O100" s="5" t="inlineStr">
        <is>
          <t>https://worldwidefoods.co.uk/worldwide-rochdale/</t>
        </is>
      </c>
      <c r="P100" s="5" t="inlineStr"/>
      <c r="Q100" s="5" t="inlineStr"/>
      <c r="R100" s="5" t="inlineStr"/>
      <c r="S100" s="5" t="inlineStr"/>
      <c r="T100" s="5" t="inlineStr">
        <is>
          <t>04065792</t>
        </is>
      </c>
      <c r="U100" s="5" t="inlineStr"/>
      <c r="V100" s="5" t="inlineStr">
        <is>
          <t>Medium</t>
        </is>
      </c>
      <c r="W100" s="5" t="inlineStr">
        <is>
          <t>Multi-site retailer; Independent retailer; Relevant category; Active website</t>
        </is>
      </c>
      <c r="X100" s="5" t="inlineStr">
        <is>
          <t>Not Found</t>
        </is>
      </c>
      <c r="Y100" s="5" t="inlineStr">
        <is>
          <t>Website Found</t>
        </is>
      </c>
      <c r="Z100" s="5" t="inlineStr">
        <is>
          <t>Medium</t>
        </is>
      </c>
      <c r="AA100" s="5" t="inlineStr">
        <is>
          <t>Partially Verified</t>
        </is>
      </c>
      <c r="AB100" s="5" t="inlineStr">
        <is>
          <t>https://worldwidefoods.co.uk/worldwide-rochdale/</t>
        </is>
      </c>
    </row>
    <row r="101">
      <c r="A101" s="10" t="inlineStr">
        <is>
          <t>UK-000565</t>
        </is>
      </c>
      <c r="B101" s="10" t="inlineStr">
        <is>
          <t>MYCIGARA-01</t>
        </is>
      </c>
      <c r="C101" s="10" t="inlineStr">
        <is>
          <t>myCigara</t>
        </is>
      </c>
      <c r="D101" s="10" t="inlineStr">
        <is>
          <t>myCigara - Hammersmith (King Street)</t>
        </is>
      </c>
      <c r="E101" s="10" t="inlineStr">
        <is>
          <t>Vape Shop</t>
        </is>
      </c>
      <c r="F101" s="10" t="inlineStr">
        <is>
          <t>Vape store &amp; e-liquids</t>
        </is>
      </c>
      <c r="G101" s="10" t="inlineStr">
        <is>
          <t>Regional Chain</t>
        </is>
      </c>
      <c r="H101" s="10" t="inlineStr">
        <is>
          <t>1</t>
        </is>
      </c>
      <c r="I101" s="10" t="inlineStr">
        <is>
          <t>106 King Street</t>
        </is>
      </c>
      <c r="J101" s="10" t="inlineStr">
        <is>
          <t>London</t>
        </is>
      </c>
      <c r="K101" s="10" t="inlineStr">
        <is>
          <t>W6 0QP</t>
        </is>
      </c>
      <c r="L101" s="10" t="inlineStr"/>
      <c r="M101" s="10" t="inlineStr"/>
      <c r="N101" s="10" t="inlineStr"/>
      <c r="O101" s="10" t="inlineStr">
        <is>
          <t>https://www.mycigara.com/</t>
        </is>
      </c>
      <c r="P101" s="10" t="inlineStr"/>
      <c r="Q101" s="10" t="inlineStr"/>
      <c r="R101" s="10" t="inlineStr"/>
      <c r="S101" s="10" t="inlineStr"/>
      <c r="T101" s="10" t="inlineStr"/>
      <c r="U101" s="10" t="inlineStr"/>
      <c r="V101" s="10" t="inlineStr">
        <is>
          <t>Medium</t>
        </is>
      </c>
      <c r="W101" s="10" t="inlineStr">
        <is>
          <t>Multi-site retailer; Core relevant category; Active website</t>
        </is>
      </c>
      <c r="X101" s="10" t="inlineStr">
        <is>
          <t>Not Found</t>
        </is>
      </c>
      <c r="Y101" s="10" t="inlineStr">
        <is>
          <t>Not Found</t>
        </is>
      </c>
      <c r="Z101" s="10" t="inlineStr">
        <is>
          <t>Low</t>
        </is>
      </c>
      <c r="AA101" s="10" t="inlineStr">
        <is>
          <t>Requires Verification</t>
        </is>
      </c>
      <c r="AB101" s="10" t="inlineStr">
        <is>
          <t>https://www.yell.com/biz/cigara-hammersmith-and-fulham-london-8957652/</t>
        </is>
      </c>
    </row>
    <row r="102">
      <c r="A102" s="5" t="inlineStr">
        <is>
          <t>WY-0047</t>
        </is>
      </c>
      <c r="B102" s="5" t="inlineStr">
        <is>
          <t>WY-0047-01</t>
        </is>
      </c>
      <c r="C102" s="5" t="inlineStr"/>
      <c r="D102" s="5" t="inlineStr">
        <is>
          <t>A &amp; B Stores</t>
        </is>
      </c>
      <c r="E102" s="5" t="inlineStr">
        <is>
          <t>Off-Licence</t>
        </is>
      </c>
      <c r="F102" s="5" t="inlineStr">
        <is>
          <t>Off-licence / convenience</t>
        </is>
      </c>
      <c r="G102" s="5" t="inlineStr">
        <is>
          <t>Independent</t>
        </is>
      </c>
      <c r="H102" s="5" t="inlineStr">
        <is>
          <t>1</t>
        </is>
      </c>
      <c r="I102" s="5" t="inlineStr"/>
      <c r="J102" s="5" t="inlineStr">
        <is>
          <t>Bingley</t>
        </is>
      </c>
      <c r="K102" s="5" t="inlineStr"/>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https://www.yorkshire.com/bingley/shopping/off-license/a-b-stores</t>
        </is>
      </c>
    </row>
    <row r="103">
      <c r="A103" s="10" t="inlineStr">
        <is>
          <t>UK-000567</t>
        </is>
      </c>
      <c r="B103" s="10" t="inlineStr">
        <is>
          <t>UK-000567-01</t>
        </is>
      </c>
      <c r="C103" s="10" t="inlineStr"/>
      <c r="D103" s="10" t="inlineStr">
        <is>
          <t>A &amp; J Minimarket</t>
        </is>
      </c>
      <c r="E103" s="10" t="inlineStr">
        <is>
          <t>Convenience Store</t>
        </is>
      </c>
      <c r="F103" s="10" t="inlineStr"/>
      <c r="G103" s="10" t="inlineStr">
        <is>
          <t>Independent</t>
        </is>
      </c>
      <c r="H103" s="10" t="inlineStr">
        <is>
          <t>1</t>
        </is>
      </c>
      <c r="I103" s="10" t="inlineStr">
        <is>
          <t>68 London Road</t>
        </is>
      </c>
      <c r="J103" s="10" t="inlineStr">
        <is>
          <t>Mitcham</t>
        </is>
      </c>
      <c r="K103" s="10" t="inlineStr">
        <is>
          <t>CR4 4JB</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https://www.yell.com/biz/a-and-j-minimarket-mitcham-6620726/</t>
        </is>
      </c>
    </row>
    <row r="104">
      <c r="A104" s="5" t="inlineStr">
        <is>
          <t>UK-000569</t>
        </is>
      </c>
      <c r="B104" s="5" t="inlineStr">
        <is>
          <t>UK-000569-01</t>
        </is>
      </c>
      <c r="C104" s="5" t="inlineStr"/>
      <c r="D104" s="5" t="inlineStr">
        <is>
          <t>A K S U Food Centre</t>
        </is>
      </c>
      <c r="E104" s="5" t="inlineStr">
        <is>
          <t>Independent Supermarket</t>
        </is>
      </c>
      <c r="F104" s="5" t="inlineStr">
        <is>
          <t>Turkish / world-food supermarket</t>
        </is>
      </c>
      <c r="G104" s="5" t="inlineStr">
        <is>
          <t>Independent</t>
        </is>
      </c>
      <c r="H104" s="5" t="inlineStr">
        <is>
          <t>1</t>
        </is>
      </c>
      <c r="I104" s="5" t="inlineStr"/>
      <c r="J104" s="5" t="inlineStr">
        <is>
          <t>Palmers Green</t>
        </is>
      </c>
      <c r="K104" s="5" t="inlineStr">
        <is>
          <t>N13 6JU</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https://www.192.com/atoz/business/london-n13/supermarkets/a-k-s-u-food-centre/650ad9767a1cc003a2d7c86973b2b2e67b5e7976/ml/</t>
        </is>
      </c>
    </row>
    <row r="105">
      <c r="A105" s="10" t="inlineStr">
        <is>
          <t>UK-000232</t>
        </is>
      </c>
      <c r="B105" s="10" t="inlineStr">
        <is>
          <t>UK-000232-01</t>
        </is>
      </c>
      <c r="C105" s="10" t="inlineStr"/>
      <c r="D105" s="10" t="inlineStr">
        <is>
          <t>AA Off Licence</t>
        </is>
      </c>
      <c r="E105" s="10" t="inlineStr">
        <is>
          <t>Off-Licence</t>
        </is>
      </c>
      <c r="F105" s="10" t="inlineStr">
        <is>
          <t>Off-licence / convenience</t>
        </is>
      </c>
      <c r="G105" s="10" t="inlineStr">
        <is>
          <t>Independent</t>
        </is>
      </c>
      <c r="H105" s="10" t="inlineStr">
        <is>
          <t>1</t>
        </is>
      </c>
      <c r="I105" s="10" t="inlineStr">
        <is>
          <t>Hessle Road</t>
        </is>
      </c>
      <c r="J105" s="10" t="inlineStr">
        <is>
          <t>Kingston upon Hull</t>
        </is>
      </c>
      <c r="K105" s="10" t="inlineStr"/>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Low</t>
        </is>
      </c>
      <c r="AA105" s="10" t="inlineStr">
        <is>
          <t>Requires Verification</t>
        </is>
      </c>
      <c r="AB105" s="10" t="inlineStr">
        <is>
          <t>https://www.yorkshire.com/hull/shopping/off-license/aa-off-licence</t>
        </is>
      </c>
    </row>
    <row r="106">
      <c r="A106" s="5" t="inlineStr">
        <is>
          <t>WY-0048</t>
        </is>
      </c>
      <c r="B106" s="5" t="inlineStr">
        <is>
          <t>WY-0048-01</t>
        </is>
      </c>
      <c r="C106" s="5" t="inlineStr"/>
      <c r="D106" s="5" t="inlineStr">
        <is>
          <t>AV &amp; JI Stores</t>
        </is>
      </c>
      <c r="E106" s="5" t="inlineStr">
        <is>
          <t>Convenience Store</t>
        </is>
      </c>
      <c r="F106" s="5" t="inlineStr">
        <is>
          <t>Premier symbol group convenience store and off-licence</t>
        </is>
      </c>
      <c r="G106" s="5" t="inlineStr">
        <is>
          <t>Franchise / Symbol Group</t>
        </is>
      </c>
      <c r="H106" s="5" t="inlineStr">
        <is>
          <t>1</t>
        </is>
      </c>
      <c r="I106" s="5" t="inlineStr">
        <is>
          <t>12 Albert Road</t>
        </is>
      </c>
      <c r="J106" s="5" t="inlineStr">
        <is>
          <t>Sowerby Bridge</t>
        </is>
      </c>
      <c r="K106" s="5" t="inlineStr">
        <is>
          <t>HX6 2PA</t>
        </is>
      </c>
      <c r="L106" s="5" t="inlineStr"/>
      <c r="M106" s="5" t="inlineStr"/>
      <c r="N106" s="5" t="inlineStr"/>
      <c r="O106" s="5" t="inlineStr"/>
      <c r="P106" s="5" t="inlineStr">
        <is>
          <t>https://www.facebook.com/people/Premier-AV-JI-Stores/61567311514140/</t>
        </is>
      </c>
      <c r="Q106" s="5" t="inlineStr"/>
      <c r="R106" s="5" t="inlineStr"/>
      <c r="S106" s="5" t="inlineStr"/>
      <c r="T106" s="5" t="inlineStr"/>
      <c r="U106" s="5" t="inlineStr"/>
      <c r="V106" s="5" t="inlineStr">
        <is>
          <t>Medium</t>
        </is>
      </c>
      <c r="W106" s="5" t="inlineStr">
        <is>
          <t>Independent retailer; Relevant category; Social presence</t>
        </is>
      </c>
      <c r="X106" s="5" t="inlineStr">
        <is>
          <t>Not Found</t>
        </is>
      </c>
      <c r="Y106" s="5" t="inlineStr">
        <is>
          <t>Not Found</t>
        </is>
      </c>
      <c r="Z106" s="5" t="inlineStr">
        <is>
          <t>Medium</t>
        </is>
      </c>
      <c r="AA106" s="5" t="inlineStr">
        <is>
          <t>Requires Verification</t>
        </is>
      </c>
      <c r="AB106" s="5" t="inlineStr">
        <is>
          <t>https://www.facebook.com/people/Premier-AV-JI-Stores/61567311514140/</t>
        </is>
      </c>
    </row>
    <row r="107">
      <c r="A107" s="10" t="inlineStr">
        <is>
          <t>UK-000571</t>
        </is>
      </c>
      <c r="B107" s="10" t="inlineStr">
        <is>
          <t>UK-000571-01</t>
        </is>
      </c>
      <c r="C107" s="10" t="inlineStr"/>
      <c r="D107" s="10" t="inlineStr">
        <is>
          <t>Adil Cash &amp; Carry</t>
        </is>
      </c>
      <c r="E107" s="10" t="inlineStr">
        <is>
          <t>Cash &amp; Carry</t>
        </is>
      </c>
      <c r="F107" s="10" t="inlineStr">
        <is>
          <t>Wholesale cash &amp; carry</t>
        </is>
      </c>
      <c r="G107" s="10" t="inlineStr">
        <is>
          <t>Independent</t>
        </is>
      </c>
      <c r="H107" s="10" t="inlineStr">
        <is>
          <t>1</t>
        </is>
      </c>
      <c r="I107" s="10" t="inlineStr">
        <is>
          <t>824 High Road</t>
        </is>
      </c>
      <c r="J107" s="10" t="inlineStr">
        <is>
          <t>Leyton</t>
        </is>
      </c>
      <c r="K107" s="10" t="inlineStr">
        <is>
          <t>E10 6AE</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Independent retailer; Core relevant category</t>
        </is>
      </c>
      <c r="X107" s="10" t="inlineStr">
        <is>
          <t>Not Found</t>
        </is>
      </c>
      <c r="Y107" s="10" t="inlineStr">
        <is>
          <t>Not Found</t>
        </is>
      </c>
      <c r="Z107" s="10" t="inlineStr">
        <is>
          <t>Low</t>
        </is>
      </c>
      <c r="AA107" s="10" t="inlineStr">
        <is>
          <t>Requires Verification</t>
        </is>
      </c>
      <c r="AB107" s="10" t="inlineStr">
        <is>
          <t>https://www.yell.com/s/grocers+and+convenience+stores-edmonton-north+london.html</t>
        </is>
      </c>
    </row>
    <row r="108">
      <c r="A108" s="5" t="inlineStr">
        <is>
          <t>UK-000233</t>
        </is>
      </c>
      <c r="B108" s="5" t="inlineStr">
        <is>
          <t>UK-000233-01</t>
        </is>
      </c>
      <c r="C108" s="5" t="inlineStr"/>
      <c r="D108" s="5" t="inlineStr">
        <is>
          <t>Agha Lounge</t>
        </is>
      </c>
      <c r="E108" s="5" t="inlineStr">
        <is>
          <t>Smoke / Shisha Shop</t>
        </is>
      </c>
      <c r="F108" s="5" t="inlineStr">
        <is>
          <t>Shisha bar and restaurant</t>
        </is>
      </c>
      <c r="G108" s="5" t="inlineStr">
        <is>
          <t>Independent</t>
        </is>
      </c>
      <c r="H108" s="5" t="inlineStr">
        <is>
          <t>1</t>
        </is>
      </c>
      <c r="I108" s="5" t="inlineStr">
        <is>
          <t>5 North Bank</t>
        </is>
      </c>
      <c r="J108" s="5" t="inlineStr">
        <is>
          <t>Sheffield</t>
        </is>
      </c>
      <c r="K108" s="5" t="inlineStr"/>
      <c r="L108" s="5" t="inlineStr"/>
      <c r="M108" s="5" t="inlineStr"/>
      <c r="N108" s="5" t="inlineStr"/>
      <c r="O108" s="5" t="inlineStr">
        <is>
          <t>https://aghalounge.com/</t>
        </is>
      </c>
      <c r="P108" s="5" t="inlineStr"/>
      <c r="Q108" s="5" t="inlineStr"/>
      <c r="R108" s="5" t="inlineStr"/>
      <c r="S108" s="5" t="inlineStr"/>
      <c r="T108" s="5" t="inlineStr"/>
      <c r="U108" s="5" t="inlineStr"/>
      <c r="V108" s="5" t="inlineStr">
        <is>
          <t>Medium</t>
        </is>
      </c>
      <c r="W108" s="5" t="inlineStr">
        <is>
          <t>Independent retailer; Core relevant category; Active website</t>
        </is>
      </c>
      <c r="X108" s="5" t="inlineStr">
        <is>
          <t>Not Found</t>
        </is>
      </c>
      <c r="Y108" s="5" t="inlineStr">
        <is>
          <t>Website Found</t>
        </is>
      </c>
      <c r="Z108" s="5" t="inlineStr">
        <is>
          <t>Low</t>
        </is>
      </c>
      <c r="AA108" s="5" t="inlineStr">
        <is>
          <t>Requires Verification</t>
        </is>
      </c>
      <c r="AB108" s="5" t="inlineStr">
        <is>
          <t>https://aghalounge.com/about-us/</t>
        </is>
      </c>
    </row>
    <row r="109">
      <c r="A109" s="10" t="inlineStr">
        <is>
          <t>UK-000336</t>
        </is>
      </c>
      <c r="B109" s="10" t="inlineStr">
        <is>
          <t>UK-000336-01</t>
        </is>
      </c>
      <c r="C109" s="10" t="inlineStr"/>
      <c r="D109" s="10" t="inlineStr">
        <is>
          <t>Ahmed Bros Oldham</t>
        </is>
      </c>
      <c r="E109" s="10" t="inlineStr">
        <is>
          <t>Cash &amp; Carry</t>
        </is>
      </c>
      <c r="F109" s="10" t="inlineStr">
        <is>
          <t>Food &amp; catering wholesale</t>
        </is>
      </c>
      <c r="G109" s="10" t="inlineStr">
        <is>
          <t>Independent</t>
        </is>
      </c>
      <c r="H109" s="10" t="inlineStr">
        <is>
          <t>1</t>
        </is>
      </c>
      <c r="I109" s="10" t="inlineStr"/>
      <c r="J109" s="10" t="inlineStr">
        <is>
          <t>Chadderton</t>
        </is>
      </c>
      <c r="K109" s="10" t="inlineStr"/>
      <c r="L109" s="10" t="inlineStr"/>
      <c r="M109" s="10" t="inlineStr"/>
      <c r="N109" s="10" t="inlineStr"/>
      <c r="O109" s="10" t="inlineStr">
        <is>
          <t>https://abfood.co.uk/</t>
        </is>
      </c>
      <c r="P109" s="10" t="inlineStr"/>
      <c r="Q109" s="10" t="inlineStr"/>
      <c r="R109" s="10" t="inlineStr"/>
      <c r="S109" s="10" t="inlineStr"/>
      <c r="T109" s="10" t="inlineStr"/>
      <c r="U109" s="10" t="inlineStr"/>
      <c r="V109" s="10" t="inlineStr">
        <is>
          <t>Medium</t>
        </is>
      </c>
      <c r="W109" s="10" t="inlineStr">
        <is>
          <t>Independent retailer; Core relevant category; Active website</t>
        </is>
      </c>
      <c r="X109" s="10" t="inlineStr">
        <is>
          <t>Not Found</t>
        </is>
      </c>
      <c r="Y109" s="10" t="inlineStr">
        <is>
          <t>Website Found</t>
        </is>
      </c>
      <c r="Z109" s="10" t="inlineStr">
        <is>
          <t>Low</t>
        </is>
      </c>
      <c r="AA109" s="10" t="inlineStr">
        <is>
          <t>Requires Verification</t>
        </is>
      </c>
      <c r="AB109" s="10" t="inlineStr">
        <is>
          <t>https://abfood.co.uk/</t>
        </is>
      </c>
    </row>
    <row r="110">
      <c r="A110" s="5" t="inlineStr">
        <is>
          <t>WY-0049</t>
        </is>
      </c>
      <c r="B110" s="5" t="inlineStr">
        <is>
          <t>WY-0049-01</t>
        </is>
      </c>
      <c r="C110" s="5" t="inlineStr"/>
      <c r="D110" s="5" t="inlineStr">
        <is>
          <t>Al-Falah Supermarket</t>
        </is>
      </c>
      <c r="E110" s="5" t="inlineStr">
        <is>
          <t>Independent Supermarket</t>
        </is>
      </c>
      <c r="F110" s="5" t="inlineStr">
        <is>
          <t>Halal / international supermarket</t>
        </is>
      </c>
      <c r="G110" s="5" t="inlineStr">
        <is>
          <t>Independent</t>
        </is>
      </c>
      <c r="H110" s="5" t="inlineStr">
        <is>
          <t>1</t>
        </is>
      </c>
      <c r="I110" s="5" t="inlineStr">
        <is>
          <t>150 Manningham Lane</t>
        </is>
      </c>
      <c r="J110" s="5" t="inlineStr">
        <is>
          <t>Bradford</t>
        </is>
      </c>
      <c r="K110" s="5" t="inlineStr"/>
      <c r="L110" s="5" t="inlineStr"/>
      <c r="M110" s="5" t="inlineStr"/>
      <c r="N110" s="5" t="inlineStr"/>
      <c r="O110" s="5" t="inlineStr"/>
      <c r="P110" s="5" t="inlineStr">
        <is>
          <t>https://www.facebook.com/alfalahbradford/</t>
        </is>
      </c>
      <c r="Q110" s="5" t="inlineStr"/>
      <c r="R110" s="5" t="inlineStr"/>
      <c r="S110" s="5" t="inlineStr"/>
      <c r="T110" s="5" t="inlineStr"/>
      <c r="U110" s="5" t="inlineStr"/>
      <c r="V110" s="5" t="inlineStr">
        <is>
          <t>Medium</t>
        </is>
      </c>
      <c r="W110" s="5" t="inlineStr">
        <is>
          <t>Independent retailer; Relevant category; Social presence</t>
        </is>
      </c>
      <c r="X110" s="5" t="inlineStr">
        <is>
          <t>Not Found</t>
        </is>
      </c>
      <c r="Y110" s="5" t="inlineStr">
        <is>
          <t>Not Found</t>
        </is>
      </c>
      <c r="Z110" s="5" t="inlineStr">
        <is>
          <t>Medium</t>
        </is>
      </c>
      <c r="AA110" s="5" t="inlineStr">
        <is>
          <t>Requires Verification</t>
        </is>
      </c>
      <c r="AB110" s="5" t="inlineStr">
        <is>
          <t>https://www.facebook.com/alfalahbradford/</t>
        </is>
      </c>
    </row>
    <row r="111">
      <c r="A111" s="10" t="inlineStr">
        <is>
          <t>UK-000235</t>
        </is>
      </c>
      <c r="B111" s="10" t="inlineStr">
        <is>
          <t>UK-000235-01</t>
        </is>
      </c>
      <c r="C111" s="10" t="inlineStr"/>
      <c r="D111" s="10" t="inlineStr">
        <is>
          <t>Alchemist Vape Shop Parkgate</t>
        </is>
      </c>
      <c r="E111" s="10" t="inlineStr">
        <is>
          <t>Vape Shop</t>
        </is>
      </c>
      <c r="F111" s="10" t="inlineStr">
        <is>
          <t>Vape, e-liquid and CBD shop</t>
        </is>
      </c>
      <c r="G111" s="10" t="inlineStr">
        <is>
          <t>Independent</t>
        </is>
      </c>
      <c r="H111" s="10" t="inlineStr">
        <is>
          <t>1</t>
        </is>
      </c>
      <c r="I111" s="10" t="inlineStr"/>
      <c r="J111" s="10" t="inlineStr">
        <is>
          <t>Rotherham</t>
        </is>
      </c>
      <c r="K111" s="10" t="inlineStr"/>
      <c r="L111" s="10" t="inlineStr"/>
      <c r="M111" s="10" t="inlineStr"/>
      <c r="N111" s="10" t="inlineStr"/>
      <c r="O111" s="10" t="inlineStr"/>
      <c r="P111" s="10" t="inlineStr">
        <is>
          <t>https://www.facebook.com/AlchemistParkgate/</t>
        </is>
      </c>
      <c r="Q111" s="10" t="inlineStr"/>
      <c r="R111" s="10" t="inlineStr"/>
      <c r="S111" s="10" t="inlineStr"/>
      <c r="T111" s="10" t="inlineStr"/>
      <c r="U111" s="10" t="inlineStr"/>
      <c r="V111" s="10" t="inlineStr">
        <is>
          <t>Medium</t>
        </is>
      </c>
      <c r="W111" s="10" t="inlineStr">
        <is>
          <t>Independent retailer; Core relevant category; Social presence</t>
        </is>
      </c>
      <c r="X111" s="10" t="inlineStr">
        <is>
          <t>Not Found</t>
        </is>
      </c>
      <c r="Y111" s="10" t="inlineStr">
        <is>
          <t>Not Found</t>
        </is>
      </c>
      <c r="Z111" s="10" t="inlineStr">
        <is>
          <t>Low</t>
        </is>
      </c>
      <c r="AA111" s="10" t="inlineStr">
        <is>
          <t>Requires Verification</t>
        </is>
      </c>
      <c r="AB111" s="10" t="inlineStr">
        <is>
          <t>https://www.facebook.com/AlchemistParkgate/</t>
        </is>
      </c>
    </row>
    <row r="112">
      <c r="A112" s="5" t="inlineStr">
        <is>
          <t>UK-000754</t>
        </is>
      </c>
      <c r="B112" s="5" t="inlineStr">
        <is>
          <t>UK-000754-01</t>
        </is>
      </c>
      <c r="C112" s="5" t="inlineStr"/>
      <c r="D112" s="5" t="inlineStr">
        <is>
          <t>All n One Mini Convenience</t>
        </is>
      </c>
      <c r="E112" s="5" t="inlineStr">
        <is>
          <t>Convenience Store</t>
        </is>
      </c>
      <c r="F112" s="5" t="inlineStr">
        <is>
          <t>Grocer &amp; convenience store</t>
        </is>
      </c>
      <c r="G112" s="5" t="inlineStr">
        <is>
          <t>Independent</t>
        </is>
      </c>
      <c r="H112" s="5" t="inlineStr">
        <is>
          <t>1</t>
        </is>
      </c>
      <c r="I112" s="5" t="inlineStr">
        <is>
          <t>80 Aigburth Road</t>
        </is>
      </c>
      <c r="J112" s="5" t="inlineStr">
        <is>
          <t>Liverpool</t>
        </is>
      </c>
      <c r="K112" s="5" t="inlineStr">
        <is>
          <t>L17 7BN</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https://www.yell.com/biz/all-n-one-mini-convenience-liverpool-8262944/</t>
        </is>
      </c>
    </row>
    <row r="113">
      <c r="A113" s="10" t="inlineStr">
        <is>
          <t>UK-000577</t>
        </is>
      </c>
      <c r="B113" s="10" t="inlineStr">
        <is>
          <t>UK-000577-01</t>
        </is>
      </c>
      <c r="C113" s="10" t="inlineStr"/>
      <c r="D113" s="10" t="inlineStr">
        <is>
          <t>Amy News &amp; Off Licence</t>
        </is>
      </c>
      <c r="E113" s="10" t="inlineStr">
        <is>
          <t>Newsagent</t>
        </is>
      </c>
      <c r="F113" s="10" t="inlineStr">
        <is>
          <t>Newsagent &amp; off-licence</t>
        </is>
      </c>
      <c r="G113" s="10" t="inlineStr">
        <is>
          <t>Independent</t>
        </is>
      </c>
      <c r="H113" s="10" t="inlineStr">
        <is>
          <t>1</t>
        </is>
      </c>
      <c r="I113" s="10" t="inlineStr">
        <is>
          <t>165 Central Park Road</t>
        </is>
      </c>
      <c r="J113" s="10" t="inlineStr">
        <is>
          <t>East Ham</t>
        </is>
      </c>
      <c r="K113" s="10" t="inlineStr">
        <is>
          <t>E6 3DJ</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Medium</t>
        </is>
      </c>
      <c r="AA113" s="10" t="inlineStr">
        <is>
          <t>Requires Verification</t>
        </is>
      </c>
      <c r="AB113" s="10" t="inlineStr">
        <is>
          <t>https://www.192.com/atoz/business/london-e6/general-and-convenience-stores/amy-news-off-licence/e7b06111de0d8805b7965e40fd9036212d59479d/ml/</t>
        </is>
      </c>
    </row>
    <row r="114">
      <c r="A114" s="5" t="inlineStr">
        <is>
          <t>UK-000578</t>
        </is>
      </c>
      <c r="B114" s="5" t="inlineStr">
        <is>
          <t>UK-000578-01</t>
        </is>
      </c>
      <c r="C114" s="5" t="inlineStr"/>
      <c r="D114" s="5" t="inlineStr">
        <is>
          <t>Anglo Asian Cash &amp; Carry Ltd</t>
        </is>
      </c>
      <c r="E114" s="5" t="inlineStr">
        <is>
          <t>Cash &amp; Carry</t>
        </is>
      </c>
      <c r="F114" s="5" t="inlineStr"/>
      <c r="G114" s="5" t="inlineStr">
        <is>
          <t>Independent</t>
        </is>
      </c>
      <c r="H114" s="5" t="inlineStr">
        <is>
          <t>1</t>
        </is>
      </c>
      <c r="I114" s="5" t="inlineStr">
        <is>
          <t>539 High Road</t>
        </is>
      </c>
      <c r="J114" s="5" t="inlineStr">
        <is>
          <t>Wembley</t>
        </is>
      </c>
      <c r="K114" s="5" t="inlineStr">
        <is>
          <t>HA0 2DJ</t>
        </is>
      </c>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Independent retailer; Core relevant category</t>
        </is>
      </c>
      <c r="X114" s="5" t="inlineStr">
        <is>
          <t>Not Found</t>
        </is>
      </c>
      <c r="Y114" s="5" t="inlineStr">
        <is>
          <t>Not Found</t>
        </is>
      </c>
      <c r="Z114" s="5" t="inlineStr">
        <is>
          <t>Low</t>
        </is>
      </c>
      <c r="AA114" s="5" t="inlineStr">
        <is>
          <t>Requires Verification</t>
        </is>
      </c>
      <c r="AB114" s="5" t="inlineStr">
        <is>
          <t>https://www.yell.com/biz/anglo-asian-cash-and-carry-ltd-wembley-3390439/</t>
        </is>
      </c>
    </row>
    <row r="115">
      <c r="A115" s="10" t="inlineStr">
        <is>
          <t>UK-000338</t>
        </is>
      </c>
      <c r="B115" s="10" t="inlineStr">
        <is>
          <t>UK-000338-01</t>
        </is>
      </c>
      <c r="C115" s="10" t="inlineStr"/>
      <c r="D115" s="10" t="inlineStr">
        <is>
          <t>Anil's Off Licence</t>
        </is>
      </c>
      <c r="E115" s="10" t="inlineStr">
        <is>
          <t>Off-Licence</t>
        </is>
      </c>
      <c r="F115" s="10" t="inlineStr"/>
      <c r="G115" s="10" t="inlineStr">
        <is>
          <t>Independent</t>
        </is>
      </c>
      <c r="H115" s="10" t="inlineStr">
        <is>
          <t>1</t>
        </is>
      </c>
      <c r="I115" s="10" t="inlineStr">
        <is>
          <t>427 Chorley Old Road</t>
        </is>
      </c>
      <c r="J115" s="10" t="inlineStr">
        <is>
          <t>Bolton</t>
        </is>
      </c>
      <c r="K115" s="10" t="inlineStr">
        <is>
          <t>BL1 6AH</t>
        </is>
      </c>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https://www.britaine.co.uk/anil-s-off-licence-F1B07C40413</t>
        </is>
      </c>
    </row>
    <row r="116">
      <c r="A116" s="5" t="inlineStr">
        <is>
          <t>UK-000339</t>
        </is>
      </c>
      <c r="B116" s="5" t="inlineStr">
        <is>
          <t>UK-000339-01</t>
        </is>
      </c>
      <c r="C116" s="5" t="inlineStr"/>
      <c r="D116" s="5" t="inlineStr">
        <is>
          <t>Arif Grocers</t>
        </is>
      </c>
      <c r="E116" s="5" t="inlineStr">
        <is>
          <t>Independent Supermarket</t>
        </is>
      </c>
      <c r="F116" s="5" t="inlineStr">
        <is>
          <t>Asian grocery</t>
        </is>
      </c>
      <c r="G116" s="5" t="inlineStr">
        <is>
          <t>Independent</t>
        </is>
      </c>
      <c r="H116" s="5" t="inlineStr">
        <is>
          <t>1</t>
        </is>
      </c>
      <c r="I116" s="5" t="inlineStr">
        <is>
          <t>49 Ramsey Street</t>
        </is>
      </c>
      <c r="J116" s="5" t="inlineStr">
        <is>
          <t>Rochdale</t>
        </is>
      </c>
      <c r="K116" s="5" t="inlineStr">
        <is>
          <t>OL16 2BX</t>
        </is>
      </c>
      <c r="L116" s="5" t="inlineStr"/>
      <c r="M116" s="5" t="inlineStr"/>
      <c r="N116" s="5" t="inlineStr"/>
      <c r="O116" s="5" t="inlineStr"/>
      <c r="P116" s="5" t="inlineStr"/>
      <c r="Q116" s="5" t="inlineStr">
        <is>
          <t>https://www.instagram.com/arifgrocers/</t>
        </is>
      </c>
      <c r="R116" s="5" t="inlineStr"/>
      <c r="S116" s="5" t="inlineStr"/>
      <c r="T116" s="5" t="inlineStr"/>
      <c r="U116" s="5" t="inlineStr"/>
      <c r="V116" s="5" t="inlineStr">
        <is>
          <t>Medium</t>
        </is>
      </c>
      <c r="W116" s="5" t="inlineStr">
        <is>
          <t>Independent retailer; Relevant category; Social presence</t>
        </is>
      </c>
      <c r="X116" s="5" t="inlineStr">
        <is>
          <t>Not Found</t>
        </is>
      </c>
      <c r="Y116" s="5" t="inlineStr">
        <is>
          <t>Not Found</t>
        </is>
      </c>
      <c r="Z116" s="5" t="inlineStr">
        <is>
          <t>Low</t>
        </is>
      </c>
      <c r="AA116" s="5" t="inlineStr">
        <is>
          <t>Requires Verification</t>
        </is>
      </c>
      <c r="AB116" s="5" t="inlineStr">
        <is>
          <t>https://www.instagram.com/arifgrocers/</t>
        </is>
      </c>
    </row>
    <row r="117">
      <c r="A117" s="10" t="inlineStr">
        <is>
          <t>WY-0051</t>
        </is>
      </c>
      <c r="B117" s="10" t="inlineStr">
        <is>
          <t>WY-0051-01</t>
        </is>
      </c>
      <c r="C117" s="10" t="inlineStr"/>
      <c r="D117" s="10" t="inlineStr">
        <is>
          <t>Armley Ridge Road Convenience Store &amp; Off-Licence</t>
        </is>
      </c>
      <c r="E117" s="10" t="inlineStr">
        <is>
          <t>Convenience Store</t>
        </is>
      </c>
      <c r="F117" s="10" t="inlineStr">
        <is>
          <t>Convenience store with off-licence</t>
        </is>
      </c>
      <c r="G117" s="10" t="inlineStr">
        <is>
          <t>Independent</t>
        </is>
      </c>
      <c r="H117" s="10" t="inlineStr">
        <is>
          <t>1</t>
        </is>
      </c>
      <c r="I117" s="10" t="inlineStr">
        <is>
          <t>Armley Ridge Road</t>
        </is>
      </c>
      <c r="J117" s="10" t="inlineStr">
        <is>
          <t>Leeds</t>
        </is>
      </c>
      <c r="K117" s="10" t="inlineStr"/>
      <c r="L117" s="10" t="inlineStr"/>
      <c r="M117" s="10" t="inlineStr"/>
      <c r="N117" s="10" t="inlineStr"/>
      <c r="O117" s="10" t="inlineStr"/>
      <c r="P117" s="10" t="inlineStr">
        <is>
          <t>https://www.facebook.com/NoProblemArmley/</t>
        </is>
      </c>
      <c r="Q117" s="10" t="inlineStr"/>
      <c r="R117" s="10" t="inlineStr"/>
      <c r="S117" s="10" t="inlineStr"/>
      <c r="T117" s="10" t="inlineStr"/>
      <c r="U117" s="10" t="inlineStr"/>
      <c r="V117" s="10" t="inlineStr">
        <is>
          <t>Medium</t>
        </is>
      </c>
      <c r="W117" s="10" t="inlineStr">
        <is>
          <t>Independent retailer; Relevant category; Social presence</t>
        </is>
      </c>
      <c r="X117" s="10" t="inlineStr">
        <is>
          <t>Not Found</t>
        </is>
      </c>
      <c r="Y117" s="10" t="inlineStr">
        <is>
          <t>Not Found</t>
        </is>
      </c>
      <c r="Z117" s="10" t="inlineStr">
        <is>
          <t>Low</t>
        </is>
      </c>
      <c r="AA117" s="10" t="inlineStr">
        <is>
          <t>Requires Verification</t>
        </is>
      </c>
      <c r="AB117" s="10" t="inlineStr">
        <is>
          <t>https://www.facebook.com/NoProblemArmley/</t>
        </is>
      </c>
    </row>
    <row r="118">
      <c r="A118" s="5" t="inlineStr">
        <is>
          <t>UK-000340</t>
        </is>
      </c>
      <c r="B118" s="5" t="inlineStr">
        <is>
          <t>UK-000340-01</t>
        </is>
      </c>
      <c r="C118" s="5" t="inlineStr"/>
      <c r="D118" s="5" t="inlineStr">
        <is>
          <t>Arthur Morris Tobacconists</t>
        </is>
      </c>
      <c r="E118" s="5" t="inlineStr">
        <is>
          <t>Tobacco Specialist</t>
        </is>
      </c>
      <c r="F118" s="5" t="inlineStr">
        <is>
          <t>Tobacconist and cigar specialist</t>
        </is>
      </c>
      <c r="G118" s="5" t="inlineStr">
        <is>
          <t>Independent</t>
        </is>
      </c>
      <c r="H118" s="5" t="inlineStr">
        <is>
          <t>1</t>
        </is>
      </c>
      <c r="I118" s="5" t="inlineStr">
        <is>
          <t>71 Bradshawgate</t>
        </is>
      </c>
      <c r="J118" s="5" t="inlineStr">
        <is>
          <t>Bolton</t>
        </is>
      </c>
      <c r="K118" s="5" t="inlineStr"/>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Not Found</t>
        </is>
      </c>
      <c r="Y118" s="5" t="inlineStr">
        <is>
          <t>Not Found</t>
        </is>
      </c>
      <c r="Z118" s="5" t="inlineStr">
        <is>
          <t>Low</t>
        </is>
      </c>
      <c r="AA118" s="5" t="inlineStr">
        <is>
          <t>Requires Verification</t>
        </is>
      </c>
      <c r="AB118" s="5" t="inlineStr">
        <is>
          <t>https://www.yelp.com/biz/arthur-morris-tobacconists-bolton</t>
        </is>
      </c>
    </row>
    <row r="119">
      <c r="A119" s="10" t="inlineStr">
        <is>
          <t>UK-000453</t>
        </is>
      </c>
      <c r="B119" s="10" t="inlineStr">
        <is>
          <t>UK-000453-01</t>
        </is>
      </c>
      <c r="C119" s="10" t="inlineStr"/>
      <c r="D119" s="10" t="inlineStr">
        <is>
          <t>Artisan Vapor Oldbury</t>
        </is>
      </c>
      <c r="E119" s="10" t="inlineStr">
        <is>
          <t>Vape Shop</t>
        </is>
      </c>
      <c r="F119" s="10" t="inlineStr">
        <is>
          <t>Personal vaporisers, e-liquid &amp; e-cigarettes</t>
        </is>
      </c>
      <c r="G119" s="10" t="inlineStr">
        <is>
          <t>Independent</t>
        </is>
      </c>
      <c r="H119" s="10" t="inlineStr">
        <is>
          <t>1</t>
        </is>
      </c>
      <c r="I119" s="10" t="inlineStr"/>
      <c r="J119" s="10" t="inlineStr">
        <is>
          <t>Oldbury</t>
        </is>
      </c>
      <c r="K119" s="10" t="inlineStr"/>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Low</t>
        </is>
      </c>
      <c r="AA119" s="10" t="inlineStr">
        <is>
          <t>Requires Verification</t>
        </is>
      </c>
      <c r="AB119" s="10" t="inlineStr">
        <is>
          <t>https://ecigdirectory.co.uk/vape-shop/listing/artisan-vapor-oldbury</t>
        </is>
      </c>
    </row>
    <row r="120">
      <c r="A120" s="5" t="inlineStr">
        <is>
          <t>UK-000579</t>
        </is>
      </c>
      <c r="B120" s="5" t="inlineStr">
        <is>
          <t>UK-000579-01</t>
        </is>
      </c>
      <c r="C120" s="5" t="inlineStr"/>
      <c r="D120" s="5" t="inlineStr">
        <is>
          <t>Aswat &amp; Sons</t>
        </is>
      </c>
      <c r="E120" s="5" t="inlineStr">
        <is>
          <t>Convenience Store</t>
        </is>
      </c>
      <c r="F120" s="5" t="inlineStr">
        <is>
          <t>Convenience &amp; grocery</t>
        </is>
      </c>
      <c r="G120" s="5" t="inlineStr">
        <is>
          <t>Independent</t>
        </is>
      </c>
      <c r="H120" s="5" t="inlineStr">
        <is>
          <t>1</t>
        </is>
      </c>
      <c r="I120" s="5" t="inlineStr">
        <is>
          <t>170 Green Street</t>
        </is>
      </c>
      <c r="J120" s="5" t="inlineStr">
        <is>
          <t>Forest Gate</t>
        </is>
      </c>
      <c r="K120" s="5" t="inlineStr">
        <is>
          <t>E7 8JT</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https://london.cylex-uk.co.uk/upton-park/grocery%20stores.html</t>
        </is>
      </c>
    </row>
    <row r="121">
      <c r="A121" s="10" t="inlineStr">
        <is>
          <t>UK-000342</t>
        </is>
      </c>
      <c r="B121" s="10" t="inlineStr">
        <is>
          <t>UK-000342-01</t>
        </is>
      </c>
      <c r="C121" s="10" t="inlineStr"/>
      <c r="D121" s="10" t="inlineStr">
        <is>
          <t>Aytac Foods Distribution</t>
        </is>
      </c>
      <c r="E121" s="10" t="inlineStr">
        <is>
          <t>Cash &amp; Carry</t>
        </is>
      </c>
      <c r="F121" s="10" t="inlineStr">
        <is>
          <t>Restaurant wholesale</t>
        </is>
      </c>
      <c r="G121" s="10" t="inlineStr">
        <is>
          <t>Independent</t>
        </is>
      </c>
      <c r="H121" s="10" t="inlineStr">
        <is>
          <t>1</t>
        </is>
      </c>
      <c r="I121" s="10" t="inlineStr">
        <is>
          <t>Unit 1, Whitelands Road</t>
        </is>
      </c>
      <c r="J121" s="10" t="inlineStr">
        <is>
          <t>Ashton-under-Lyne</t>
        </is>
      </c>
      <c r="K121" s="10" t="inlineStr">
        <is>
          <t>OL6 6UX</t>
        </is>
      </c>
      <c r="L121" s="10" t="inlineStr"/>
      <c r="M121" s="10" t="inlineStr"/>
      <c r="N121" s="10" t="inlineStr"/>
      <c r="O121" s="10" t="inlineStr"/>
      <c r="P121" s="10" t="inlineStr"/>
      <c r="Q121" s="10" t="inlineStr"/>
      <c r="R121" s="10" t="inlineStr"/>
      <c r="S121" s="10" t="inlineStr"/>
      <c r="T121" s="10" t="inlineStr"/>
      <c r="U121" s="10" t="inlineStr"/>
      <c r="V121" s="10" t="inlineStr">
        <is>
          <t>Medium</t>
        </is>
      </c>
      <c r="W121" s="10" t="inlineStr">
        <is>
          <t>Independent retailer; Core relevant category</t>
        </is>
      </c>
      <c r="X121" s="10" t="inlineStr">
        <is>
          <t>Not Found</t>
        </is>
      </c>
      <c r="Y121" s="10" t="inlineStr">
        <is>
          <t>Not Found</t>
        </is>
      </c>
      <c r="Z121" s="10" t="inlineStr">
        <is>
          <t>Low</t>
        </is>
      </c>
      <c r="AA121" s="10" t="inlineStr">
        <is>
          <t>Requires Verification</t>
        </is>
      </c>
      <c r="AB121" s="10" t="inlineStr">
        <is>
          <t>https://ashton-under-lyne.cylex-uk.co.uk/company/aytac-foods-distribution-ltd---cash---carry---restaurant-wholesaler-27682099.html</t>
        </is>
      </c>
    </row>
    <row r="122">
      <c r="A122" s="5" t="inlineStr">
        <is>
          <t>WY-0054</t>
        </is>
      </c>
      <c r="B122" s="5" t="inlineStr">
        <is>
          <t>WY-0054-01</t>
        </is>
      </c>
      <c r="C122" s="5" t="inlineStr"/>
      <c r="D122" s="5" t="inlineStr">
        <is>
          <t>Azeem's Vape Shop</t>
        </is>
      </c>
      <c r="E122" s="5" t="inlineStr">
        <is>
          <t>Vape Shop</t>
        </is>
      </c>
      <c r="F122" s="5" t="inlineStr"/>
      <c r="G122" s="5" t="inlineStr">
        <is>
          <t>Independent</t>
        </is>
      </c>
      <c r="H122" s="5" t="inlineStr">
        <is>
          <t>1</t>
        </is>
      </c>
      <c r="I122" s="5" t="inlineStr"/>
      <c r="J122" s="5" t="inlineStr">
        <is>
          <t>Todmorden</t>
        </is>
      </c>
      <c r="K122" s="5" t="inlineStr"/>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https://tobaccoshops.co.uk/05958051/Azeem%E2%80%99s_vape_shop</t>
        </is>
      </c>
    </row>
    <row r="123">
      <c r="A123" s="10" t="inlineStr">
        <is>
          <t>UK-000756</t>
        </is>
      </c>
      <c r="B123" s="10" t="inlineStr">
        <is>
          <t>UK-000756-01</t>
        </is>
      </c>
      <c r="C123" s="10" t="inlineStr"/>
      <c r="D123" s="10" t="inlineStr">
        <is>
          <t>BBBBooze</t>
        </is>
      </c>
      <c r="E123" s="10" t="inlineStr">
        <is>
          <t>Off-Licence</t>
        </is>
      </c>
      <c r="F123" s="10" t="inlineStr">
        <is>
          <t>Off-licence / wines &amp; spirits</t>
        </is>
      </c>
      <c r="G123" s="10" t="inlineStr">
        <is>
          <t>Independent</t>
        </is>
      </c>
      <c r="H123" s="10" t="inlineStr">
        <is>
          <t>1</t>
        </is>
      </c>
      <c r="I123" s="10" t="inlineStr">
        <is>
          <t>Workshop B5, 66b Long Lane</t>
        </is>
      </c>
      <c r="J123" s="10" t="inlineStr">
        <is>
          <t>Liverpool</t>
        </is>
      </c>
      <c r="K123" s="10" t="inlineStr">
        <is>
          <t>L9 7BN</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https://liverpool.cylex-uk.co.uk/off-licence-4.html</t>
        </is>
      </c>
    </row>
    <row r="124">
      <c r="A124" s="5" t="inlineStr">
        <is>
          <t>UK-000343</t>
        </is>
      </c>
      <c r="B124" s="5" t="inlineStr">
        <is>
          <t>UK-000343-01</t>
        </is>
      </c>
      <c r="C124" s="5" t="inlineStr"/>
      <c r="D124" s="5" t="inlineStr">
        <is>
          <t>BK Off Licence (Salford)</t>
        </is>
      </c>
      <c r="E124" s="5" t="inlineStr">
        <is>
          <t>Off-Licence</t>
        </is>
      </c>
      <c r="F124" s="5" t="inlineStr">
        <is>
          <t>Off-licence &amp; convenience</t>
        </is>
      </c>
      <c r="G124" s="5" t="inlineStr">
        <is>
          <t>Independent</t>
        </is>
      </c>
      <c r="H124" s="5" t="inlineStr">
        <is>
          <t>1</t>
        </is>
      </c>
      <c r="I124" s="5" t="inlineStr">
        <is>
          <t>4 Islington Street</t>
        </is>
      </c>
      <c r="J124" s="5" t="inlineStr">
        <is>
          <t>Salford</t>
        </is>
      </c>
      <c r="K124" s="5" t="inlineStr">
        <is>
          <t>M5 3LG</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https://www.salford.gov.uk/licensing-and-permits/licensing-notice-of-application/bk-off-licence</t>
        </is>
      </c>
    </row>
    <row r="125">
      <c r="A125" s="10" t="inlineStr">
        <is>
          <t>UK-000344</t>
        </is>
      </c>
      <c r="B125" s="10" t="inlineStr">
        <is>
          <t>UK-000344-01</t>
        </is>
      </c>
      <c r="C125" s="10" t="inlineStr"/>
      <c r="D125" s="10" t="inlineStr">
        <is>
          <t>Babylon Night Shisha Lounge</t>
        </is>
      </c>
      <c r="E125" s="10" t="inlineStr">
        <is>
          <t>Smoke / Shisha Shop</t>
        </is>
      </c>
      <c r="F125" s="10" t="inlineStr">
        <is>
          <t>Shisha lounge</t>
        </is>
      </c>
      <c r="G125" s="10" t="inlineStr">
        <is>
          <t>Independent</t>
        </is>
      </c>
      <c r="H125" s="10" t="inlineStr">
        <is>
          <t>1</t>
        </is>
      </c>
      <c r="I125" s="10" t="inlineStr">
        <is>
          <t>Manchester Street</t>
        </is>
      </c>
      <c r="J125" s="10" t="inlineStr">
        <is>
          <t>Oldham</t>
        </is>
      </c>
      <c r="K125" s="10" t="inlineStr">
        <is>
          <t>OL8 1UF</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Independent retailer; Core relevant category</t>
        </is>
      </c>
      <c r="X125" s="10" t="inlineStr">
        <is>
          <t>Not Found</t>
        </is>
      </c>
      <c r="Y125" s="10" t="inlineStr">
        <is>
          <t>Not Found</t>
        </is>
      </c>
      <c r="Z125" s="10" t="inlineStr">
        <is>
          <t>Low</t>
        </is>
      </c>
      <c r="AA125" s="10" t="inlineStr">
        <is>
          <t>Requires Verification</t>
        </is>
      </c>
      <c r="AB125" s="10" t="inlineStr">
        <is>
          <t>https://babylon-night-shisha-lounge.wheree.com/</t>
        </is>
      </c>
    </row>
    <row r="126">
      <c r="A126" s="5" t="inlineStr">
        <is>
          <t>WY-0056</t>
        </is>
      </c>
      <c r="B126" s="5" t="inlineStr">
        <is>
          <t>WY-0056-01</t>
        </is>
      </c>
      <c r="C126" s="5" t="inlineStr"/>
      <c r="D126" s="5" t="inlineStr">
        <is>
          <t>Baildon Green Convenience Store</t>
        </is>
      </c>
      <c r="E126" s="5" t="inlineStr">
        <is>
          <t>Convenience Store</t>
        </is>
      </c>
      <c r="F126" s="5" t="inlineStr">
        <is>
          <t>Neighbourhood convenience store</t>
        </is>
      </c>
      <c r="G126" s="5" t="inlineStr">
        <is>
          <t>Independent</t>
        </is>
      </c>
      <c r="H126" s="5" t="inlineStr">
        <is>
          <t>1</t>
        </is>
      </c>
      <c r="I126" s="5" t="inlineStr">
        <is>
          <t>Cliffe Lane West</t>
        </is>
      </c>
      <c r="J126" s="5" t="inlineStr">
        <is>
          <t>Shipley</t>
        </is>
      </c>
      <c r="K126" s="5" t="inlineStr"/>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https://www.yorkshire.com/shipley/shopping/corner-shops/baildon-green-convenience-store</t>
        </is>
      </c>
    </row>
    <row r="127">
      <c r="A127" s="10" t="inlineStr">
        <is>
          <t>WY-0057</t>
        </is>
      </c>
      <c r="B127" s="10" t="inlineStr">
        <is>
          <t>WY-0057-01</t>
        </is>
      </c>
      <c r="C127" s="10" t="inlineStr"/>
      <c r="D127" s="10" t="inlineStr">
        <is>
          <t>Baildon Off Licence</t>
        </is>
      </c>
      <c r="E127" s="10" t="inlineStr">
        <is>
          <t>Off-Licence</t>
        </is>
      </c>
      <c r="F127" s="10" t="inlineStr">
        <is>
          <t>Neighbourhood off-licence</t>
        </is>
      </c>
      <c r="G127" s="10" t="inlineStr">
        <is>
          <t>Independent</t>
        </is>
      </c>
      <c r="H127" s="10" t="inlineStr">
        <is>
          <t>1</t>
        </is>
      </c>
      <c r="I127" s="10" t="inlineStr">
        <is>
          <t>Coach Road</t>
        </is>
      </c>
      <c r="J127" s="10" t="inlineStr">
        <is>
          <t>Shipley</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Low</t>
        </is>
      </c>
      <c r="AA127" s="10" t="inlineStr">
        <is>
          <t>Requires Verification</t>
        </is>
      </c>
      <c r="AB127" s="10" t="inlineStr">
        <is>
          <t>https://www.yorkshire.com/saltaire/shopping/off-license/baildon-off-licence</t>
        </is>
      </c>
    </row>
    <row r="128">
      <c r="A128" s="5" t="inlineStr">
        <is>
          <t>WY-0058</t>
        </is>
      </c>
      <c r="B128" s="5" t="inlineStr">
        <is>
          <t>WY-0058-01</t>
        </is>
      </c>
      <c r="C128" s="5" t="inlineStr"/>
      <c r="D128" s="5" t="inlineStr">
        <is>
          <t>Bar Market</t>
        </is>
      </c>
      <c r="E128" s="5" t="inlineStr">
        <is>
          <t>Off-Licence</t>
        </is>
      </c>
      <c r="F128" s="5" t="inlineStr">
        <is>
          <t>24-hour off-licence</t>
        </is>
      </c>
      <c r="G128" s="5" t="inlineStr">
        <is>
          <t>Independent</t>
        </is>
      </c>
      <c r="H128" s="5" t="inlineStr">
        <is>
          <t>1</t>
        </is>
      </c>
      <c r="I128" s="5" t="inlineStr">
        <is>
          <t>Crown Street</t>
        </is>
      </c>
      <c r="J128" s="5" t="inlineStr">
        <is>
          <t>Halifax</t>
        </is>
      </c>
      <c r="K128" s="5" t="inlineStr"/>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https://www.yorkshire.com/halifax/shopping/off-license/bar-market-ltd</t>
        </is>
      </c>
    </row>
    <row r="129">
      <c r="A129" s="10" t="inlineStr">
        <is>
          <t>UK-000345</t>
        </is>
      </c>
      <c r="B129" s="10" t="inlineStr">
        <is>
          <t>UK-000345-01</t>
        </is>
      </c>
      <c r="C129" s="10" t="inlineStr"/>
      <c r="D129" s="10" t="inlineStr">
        <is>
          <t>Bargain Brand Food</t>
        </is>
      </c>
      <c r="E129" s="10" t="inlineStr">
        <is>
          <t>Independent Supermarket</t>
        </is>
      </c>
      <c r="F129" s="10" t="inlineStr">
        <is>
          <t>Discount grocery</t>
        </is>
      </c>
      <c r="G129" s="10" t="inlineStr">
        <is>
          <t>Independent</t>
        </is>
      </c>
      <c r="H129" s="10" t="inlineStr">
        <is>
          <t>1</t>
        </is>
      </c>
      <c r="I129" s="10" t="inlineStr">
        <is>
          <t>Unit 32A, Grand Arcade Shopping Centre</t>
        </is>
      </c>
      <c r="J129" s="10" t="inlineStr">
        <is>
          <t>Wigan</t>
        </is>
      </c>
      <c r="K129" s="10" t="inlineStr">
        <is>
          <t>WN1 1BH</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https://bargain-brand-food.wheree.com/</t>
        </is>
      </c>
    </row>
    <row r="130">
      <c r="A130" s="5" t="inlineStr">
        <is>
          <t>UK-000237</t>
        </is>
      </c>
      <c r="B130" s="5" t="inlineStr">
        <is>
          <t>UK-000237-01</t>
        </is>
      </c>
      <c r="C130" s="5" t="inlineStr"/>
      <c r="D130" s="5" t="inlineStr">
        <is>
          <t>Bargains Cash &amp; Carry Ltd</t>
        </is>
      </c>
      <c r="E130" s="5" t="inlineStr">
        <is>
          <t>Cash &amp; Carry</t>
        </is>
      </c>
      <c r="F130" s="5" t="inlineStr">
        <is>
          <t>Cash &amp; carry wholesaler</t>
        </is>
      </c>
      <c r="G130" s="5" t="inlineStr">
        <is>
          <t>Independent</t>
        </is>
      </c>
      <c r="H130" s="5" t="inlineStr">
        <is>
          <t>1</t>
        </is>
      </c>
      <c r="I130" s="5" t="inlineStr"/>
      <c r="J130" s="5" t="inlineStr">
        <is>
          <t>Sheffield</t>
        </is>
      </c>
      <c r="K130" s="5" t="inlineStr"/>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https://sheffield.cylex-uk.co.uk/company/bargains-cash---carry-ltd-27419816.html</t>
        </is>
      </c>
    </row>
    <row r="131">
      <c r="A131" s="10" t="inlineStr">
        <is>
          <t>UK-000580</t>
        </is>
      </c>
      <c r="B131" s="10" t="inlineStr">
        <is>
          <t>UK-000580-01</t>
        </is>
      </c>
      <c r="C131" s="10" t="inlineStr"/>
      <c r="D131" s="10" t="inlineStr">
        <is>
          <t>Barraka Shop</t>
        </is>
      </c>
      <c r="E131" s="10" t="inlineStr">
        <is>
          <t>Independent Supermarket</t>
        </is>
      </c>
      <c r="F131" s="10" t="inlineStr">
        <is>
          <t>African / world food store</t>
        </is>
      </c>
      <c r="G131" s="10" t="inlineStr">
        <is>
          <t>Independent</t>
        </is>
      </c>
      <c r="H131" s="10" t="inlineStr">
        <is>
          <t>1</t>
        </is>
      </c>
      <c r="I131" s="10" t="inlineStr">
        <is>
          <t>215 Deptford High Street</t>
        </is>
      </c>
      <c r="J131" s="10" t="inlineStr">
        <is>
          <t>London</t>
        </is>
      </c>
      <c r="K131" s="10" t="inlineStr">
        <is>
          <t>SE8 3NT</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https://www.yell.com/biz/barraka-shop-london-901765630/</t>
        </is>
      </c>
    </row>
    <row r="132">
      <c r="A132" s="5" t="inlineStr">
        <is>
          <t>UK-000455</t>
        </is>
      </c>
      <c r="B132" s="5" t="inlineStr">
        <is>
          <t>UK-000455-01</t>
        </is>
      </c>
      <c r="C132" s="5" t="inlineStr"/>
      <c r="D132" s="5" t="inlineStr">
        <is>
          <t>Bearwood International Supermarket</t>
        </is>
      </c>
      <c r="E132" s="5" t="inlineStr">
        <is>
          <t>Independent Supermarket</t>
        </is>
      </c>
      <c r="F132" s="5" t="inlineStr">
        <is>
          <t>International / world food supermarket</t>
        </is>
      </c>
      <c r="G132" s="5" t="inlineStr">
        <is>
          <t>Independent</t>
        </is>
      </c>
      <c r="H132" s="5" t="inlineStr">
        <is>
          <t>1</t>
        </is>
      </c>
      <c r="I132" s="5" t="inlineStr">
        <is>
          <t>Bearwood Road</t>
        </is>
      </c>
      <c r="J132" s="5" t="inlineStr">
        <is>
          <t>Smethwick</t>
        </is>
      </c>
      <c r="K132" s="5" t="inlineStr"/>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Medium</t>
        </is>
      </c>
      <c r="AA132" s="5" t="inlineStr">
        <is>
          <t>Requires Verification</t>
        </is>
      </c>
      <c r="AB132" s="5" t="inlineStr">
        <is>
          <t>https://www.yelp.com/biz/bearwood-international-supermarket-smethwick</t>
        </is>
      </c>
    </row>
    <row r="133">
      <c r="A133" s="10" t="inlineStr">
        <is>
          <t>UK-000757</t>
        </is>
      </c>
      <c r="B133" s="10" t="inlineStr">
        <is>
          <t>UK-000757-01</t>
        </is>
      </c>
      <c r="C133" s="10" t="inlineStr"/>
      <c r="D133" s="10" t="inlineStr">
        <is>
          <t>Bebington Convenience Store &amp; Off Licence</t>
        </is>
      </c>
      <c r="E133" s="10" t="inlineStr">
        <is>
          <t>Convenience Store</t>
        </is>
      </c>
      <c r="F133" s="10" t="inlineStr">
        <is>
          <t>Convenience store / off-licence</t>
        </is>
      </c>
      <c r="G133" s="10" t="inlineStr">
        <is>
          <t>Independent</t>
        </is>
      </c>
      <c r="H133" s="10" t="inlineStr">
        <is>
          <t>1</t>
        </is>
      </c>
      <c r="I133" s="10" t="inlineStr">
        <is>
          <t>107 Brimstage Road</t>
        </is>
      </c>
      <c r="J133" s="10" t="inlineStr">
        <is>
          <t>Wirral</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https://www.bigreddirectory.com/bebington-convenience-store-off-licence-heswall-wirral</t>
        </is>
      </c>
    </row>
    <row r="134">
      <c r="A134" s="5" t="inlineStr">
        <is>
          <t>WY-0062</t>
        </is>
      </c>
      <c r="B134" s="5" t="inlineStr">
        <is>
          <t>WY-0062-01</t>
        </is>
      </c>
      <c r="C134" s="5" t="inlineStr"/>
      <c r="D134" s="5" t="inlineStr">
        <is>
          <t>Bespoke Shisha</t>
        </is>
      </c>
      <c r="E134" s="5" t="inlineStr">
        <is>
          <t>Smoke / Shisha Shop</t>
        </is>
      </c>
      <c r="F134" s="5" t="inlineStr">
        <is>
          <t>Shisha supplies</t>
        </is>
      </c>
      <c r="G134" s="5" t="inlineStr">
        <is>
          <t>Independent</t>
        </is>
      </c>
      <c r="H134" s="5" t="inlineStr">
        <is>
          <t>1</t>
        </is>
      </c>
      <c r="I134" s="5" t="inlineStr">
        <is>
          <t>40 Low Road</t>
        </is>
      </c>
      <c r="J134" s="5" t="inlineStr">
        <is>
          <t>Dewsbury</t>
        </is>
      </c>
      <c r="K134" s="5" t="inlineStr">
        <is>
          <t>WF13 3PP</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Independent retailer; Core relevant category</t>
        </is>
      </c>
      <c r="X134" s="5" t="inlineStr">
        <is>
          <t>Not Found</t>
        </is>
      </c>
      <c r="Y134" s="5" t="inlineStr">
        <is>
          <t>Not Found</t>
        </is>
      </c>
      <c r="Z134" s="5" t="inlineStr">
        <is>
          <t>Low</t>
        </is>
      </c>
      <c r="AA134" s="5" t="inlineStr">
        <is>
          <t>Requires Verification</t>
        </is>
      </c>
      <c r="AB134" s="5" t="inlineStr">
        <is>
          <t>https://suitableforvegetarian.com/business/detail/bespoke-shisha</t>
        </is>
      </c>
    </row>
    <row r="135">
      <c r="A135" s="10" t="inlineStr">
        <is>
          <t>UK-000581</t>
        </is>
      </c>
      <c r="B135" s="10" t="inlineStr">
        <is>
          <t>UK-000581-01</t>
        </is>
      </c>
      <c r="C135" s="10" t="inlineStr"/>
      <c r="D135" s="10" t="inlineStr">
        <is>
          <t>Best Foods</t>
        </is>
      </c>
      <c r="E135" s="10" t="inlineStr">
        <is>
          <t>Independent Supermarket</t>
        </is>
      </c>
      <c r="F135" s="10" t="inlineStr">
        <is>
          <t>World food supermarket</t>
        </is>
      </c>
      <c r="G135" s="10" t="inlineStr">
        <is>
          <t>Independent</t>
        </is>
      </c>
      <c r="H135" s="10" t="inlineStr">
        <is>
          <t>1</t>
        </is>
      </c>
      <c r="I135" s="10" t="inlineStr">
        <is>
          <t>13 Ealing Road</t>
        </is>
      </c>
      <c r="J135" s="10" t="inlineStr">
        <is>
          <t>Wembley</t>
        </is>
      </c>
      <c r="K135" s="10" t="inlineStr">
        <is>
          <t>HA0 4AA</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https://www.yell.com/biz/best-foods-wembley-9412662/</t>
        </is>
      </c>
    </row>
    <row r="136">
      <c r="A136" s="5" t="inlineStr">
        <is>
          <t>UK-000238</t>
        </is>
      </c>
      <c r="B136" s="5" t="inlineStr">
        <is>
          <t>UK-000238-01</t>
        </is>
      </c>
      <c r="C136" s="5" t="inlineStr"/>
      <c r="D136" s="5" t="inlineStr">
        <is>
          <t>Beverley International Foods</t>
        </is>
      </c>
      <c r="E136" s="5" t="inlineStr">
        <is>
          <t>Independent Supermarket</t>
        </is>
      </c>
      <c r="F136" s="5" t="inlineStr">
        <is>
          <t>International / Polish foods supermarket</t>
        </is>
      </c>
      <c r="G136" s="5" t="inlineStr">
        <is>
          <t>Independent</t>
        </is>
      </c>
      <c r="H136" s="5" t="inlineStr">
        <is>
          <t>1</t>
        </is>
      </c>
      <c r="I136" s="5" t="inlineStr">
        <is>
          <t>Beverley Road</t>
        </is>
      </c>
      <c r="J136" s="5" t="inlineStr">
        <is>
          <t>Kingston upon Hull</t>
        </is>
      </c>
      <c r="K136" s="5" t="inlineStr"/>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https://www.yorkshire.com/hull/shopping/supermarkets/beverley-international-foods</t>
        </is>
      </c>
    </row>
    <row r="137">
      <c r="A137" s="10" t="inlineStr">
        <is>
          <t>UK-000583</t>
        </is>
      </c>
      <c r="B137" s="10" t="inlineStr">
        <is>
          <t>UK-000583-01</t>
        </is>
      </c>
      <c r="C137" s="10" t="inlineStr"/>
      <c r="D137" s="10" t="inlineStr">
        <is>
          <t>Beyond Cash &amp; Carry</t>
        </is>
      </c>
      <c r="E137" s="10" t="inlineStr">
        <is>
          <t>Cash &amp; Carry</t>
        </is>
      </c>
      <c r="F137" s="10" t="inlineStr">
        <is>
          <t>Wholesale cash &amp; carry</t>
        </is>
      </c>
      <c r="G137" s="10" t="inlineStr">
        <is>
          <t>Independent</t>
        </is>
      </c>
      <c r="H137" s="10" t="inlineStr">
        <is>
          <t>1</t>
        </is>
      </c>
      <c r="I137" s="10" t="inlineStr">
        <is>
          <t>513 Katherine Road</t>
        </is>
      </c>
      <c r="J137" s="10" t="inlineStr">
        <is>
          <t>East Ham</t>
        </is>
      </c>
      <c r="K137" s="10" t="inlineStr">
        <is>
          <t>E7 8DR</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https://www.yell.com/s/cash+and+carry-london+borough+of+newham.html</t>
        </is>
      </c>
    </row>
    <row r="138">
      <c r="A138" s="5" t="inlineStr">
        <is>
          <t>UK-000584</t>
        </is>
      </c>
      <c r="B138" s="5" t="inlineStr">
        <is>
          <t>UK-000584-01</t>
        </is>
      </c>
      <c r="C138" s="5" t="inlineStr"/>
      <c r="D138" s="5" t="inlineStr">
        <is>
          <t>Bims African Food Store Ltd</t>
        </is>
      </c>
      <c r="E138" s="5" t="inlineStr">
        <is>
          <t>Independent Supermarket</t>
        </is>
      </c>
      <c r="F138" s="5" t="inlineStr">
        <is>
          <t>African / world food store</t>
        </is>
      </c>
      <c r="G138" s="5" t="inlineStr">
        <is>
          <t>Independent</t>
        </is>
      </c>
      <c r="H138" s="5" t="inlineStr">
        <is>
          <t>1</t>
        </is>
      </c>
      <c r="I138" s="5" t="inlineStr">
        <is>
          <t>102 Rye Lane</t>
        </is>
      </c>
      <c r="J138" s="5" t="inlineStr">
        <is>
          <t>London</t>
        </is>
      </c>
      <c r="K138" s="5" t="inlineStr">
        <is>
          <t>SE15 4RZ</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https://www.yell.com/biz/bims-african-food-store-ltd-london-6667038/</t>
        </is>
      </c>
    </row>
    <row r="139">
      <c r="A139" s="10" t="inlineStr">
        <is>
          <t>UK-000456</t>
        </is>
      </c>
      <c r="B139" s="10" t="inlineStr">
        <is>
          <t>UK-000456-01</t>
        </is>
      </c>
      <c r="C139" s="10" t="inlineStr"/>
      <c r="D139" s="10" t="inlineStr">
        <is>
          <t>Blockall Convenience Store</t>
        </is>
      </c>
      <c r="E139" s="10" t="inlineStr">
        <is>
          <t>Convenience Store</t>
        </is>
      </c>
      <c r="F139" s="10" t="inlineStr">
        <is>
          <t>Convenience store &amp; off-licence</t>
        </is>
      </c>
      <c r="G139" s="10" t="inlineStr">
        <is>
          <t>Independent</t>
        </is>
      </c>
      <c r="H139" s="10" t="inlineStr">
        <is>
          <t>1</t>
        </is>
      </c>
      <c r="I139" s="10" t="inlineStr">
        <is>
          <t>22 Blockall</t>
        </is>
      </c>
      <c r="J139" s="10" t="inlineStr">
        <is>
          <t>Wednesbury</t>
        </is>
      </c>
      <c r="K139" s="10" t="inlineStr">
        <is>
          <t>WS10 8EP</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Medium</t>
        </is>
      </c>
      <c r="AA139" s="10" t="inlineStr">
        <is>
          <t>Requires Verification</t>
        </is>
      </c>
      <c r="AB139" s="10" t="inlineStr">
        <is>
          <t>https://www.yell.com/biz/blockall-convenience-store-wednesbury-7899353/</t>
        </is>
      </c>
    </row>
    <row r="140">
      <c r="A140" s="5" t="inlineStr">
        <is>
          <t>UK-000457</t>
        </is>
      </c>
      <c r="B140" s="5" t="inlineStr">
        <is>
          <t>UK-000457-01</t>
        </is>
      </c>
      <c r="C140" s="5" t="inlineStr"/>
      <c r="D140" s="5" t="inlineStr">
        <is>
          <t>Bloomfield Convenience Store</t>
        </is>
      </c>
      <c r="E140" s="5" t="inlineStr">
        <is>
          <t>Convenience Store</t>
        </is>
      </c>
      <c r="F140" s="5" t="inlineStr">
        <is>
          <t>Convenience store &amp; off-licence</t>
        </is>
      </c>
      <c r="G140" s="5" t="inlineStr">
        <is>
          <t>Independent</t>
        </is>
      </c>
      <c r="H140" s="5" t="inlineStr">
        <is>
          <t>1</t>
        </is>
      </c>
      <c r="I140" s="5" t="inlineStr"/>
      <c r="J140" s="5" t="inlineStr">
        <is>
          <t>Tipton</t>
        </is>
      </c>
      <c r="K140" s="5" t="inlineStr"/>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https://tipton.cylex-uk.co.uk/company/bloomfield-convenience-store-19860362.html</t>
        </is>
      </c>
    </row>
    <row r="141">
      <c r="A141" s="10" t="inlineStr">
        <is>
          <t>UK-000586</t>
        </is>
      </c>
      <c r="B141" s="10" t="inlineStr">
        <is>
          <t>UK-000586-01</t>
        </is>
      </c>
      <c r="C141" s="10" t="inlineStr"/>
      <c r="D141" s="10" t="inlineStr">
        <is>
          <t>Bondor Bazar</t>
        </is>
      </c>
      <c r="E141" s="10" t="inlineStr">
        <is>
          <t>Independent Supermarket</t>
        </is>
      </c>
      <c r="F141" s="10" t="inlineStr">
        <is>
          <t>World-food supermarket (meat &amp; seafood)</t>
        </is>
      </c>
      <c r="G141" s="10" t="inlineStr">
        <is>
          <t>Independent</t>
        </is>
      </c>
      <c r="H141" s="10" t="inlineStr">
        <is>
          <t>1</t>
        </is>
      </c>
      <c r="I141" s="10" t="inlineStr">
        <is>
          <t>130 Green Street</t>
        </is>
      </c>
      <c r="J141" s="10" t="inlineStr">
        <is>
          <t>Forest Gate</t>
        </is>
      </c>
      <c r="K141" s="10" t="inlineStr">
        <is>
          <t>E7 8JQ</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https://london.cylex-uk.co.uk/upton-park/grocery%20stores.html</t>
        </is>
      </c>
    </row>
    <row r="142">
      <c r="A142" s="5" t="inlineStr">
        <is>
          <t>WY-0066</t>
        </is>
      </c>
      <c r="B142" s="5" t="inlineStr">
        <is>
          <t>WY-0066-01</t>
        </is>
      </c>
      <c r="C142" s="5" t="inlineStr"/>
      <c r="D142" s="5" t="inlineStr">
        <is>
          <t>Boothtown Post Office &amp; Off-Licence</t>
        </is>
      </c>
      <c r="E142" s="5" t="inlineStr">
        <is>
          <t>Off-Licence</t>
        </is>
      </c>
      <c r="F142" s="5" t="inlineStr">
        <is>
          <t>Off-licence with post office counter</t>
        </is>
      </c>
      <c r="G142" s="5" t="inlineStr">
        <is>
          <t>Independent</t>
        </is>
      </c>
      <c r="H142" s="5" t="inlineStr">
        <is>
          <t>1</t>
        </is>
      </c>
      <c r="I142" s="5" t="inlineStr"/>
      <c r="J142" s="5" t="inlineStr">
        <is>
          <t>Halifax</t>
        </is>
      </c>
      <c r="K142" s="5" t="inlineStr"/>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Low</t>
        </is>
      </c>
      <c r="AA142" s="5" t="inlineStr">
        <is>
          <t>Requires Verification</t>
        </is>
      </c>
      <c r="AB142" s="5" t="inlineStr">
        <is>
          <t>https://findit.halifaxcourier.co.uk/search/halifax/off-licence</t>
        </is>
      </c>
    </row>
    <row r="143">
      <c r="A143" s="10" t="inlineStr">
        <is>
          <t>WY-0067</t>
        </is>
      </c>
      <c r="B143" s="10" t="inlineStr">
        <is>
          <t>WY-0067-01</t>
        </is>
      </c>
      <c r="C143" s="10" t="inlineStr"/>
      <c r="D143" s="10" t="inlineStr">
        <is>
          <t>Booze Express</t>
        </is>
      </c>
      <c r="E143" s="10" t="inlineStr">
        <is>
          <t>Off-Licence</t>
        </is>
      </c>
      <c r="F143" s="10" t="inlineStr"/>
      <c r="G143" s="10" t="inlineStr">
        <is>
          <t>Independent</t>
        </is>
      </c>
      <c r="H143" s="10" t="inlineStr">
        <is>
          <t>1</t>
        </is>
      </c>
      <c r="I143" s="10" t="inlineStr">
        <is>
          <t>520 Gibbet Street</t>
        </is>
      </c>
      <c r="J143" s="10" t="inlineStr">
        <is>
          <t>Halifax</t>
        </is>
      </c>
      <c r="K143" s="10" t="inlineStr">
        <is>
          <t>HX2 0AH</t>
        </is>
      </c>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Independent retailer; Relevant category; Social presence</t>
        </is>
      </c>
      <c r="X143" s="10" t="inlineStr">
        <is>
          <t>Not Found</t>
        </is>
      </c>
      <c r="Y143" s="10" t="inlineStr">
        <is>
          <t>Not Found</t>
        </is>
      </c>
      <c r="Z143" s="10" t="inlineStr">
        <is>
          <t>Low</t>
        </is>
      </c>
      <c r="AA143" s="10" t="inlineStr">
        <is>
          <t>Partially Verified</t>
        </is>
      </c>
      <c r="AB143" s="10" t="inlineStr">
        <is>
          <t>https://find-and-update.company-information.service.gov.uk/company/10264056</t>
        </is>
      </c>
    </row>
    <row r="144">
      <c r="A144" s="5" t="inlineStr">
        <is>
          <t>WY-0068</t>
        </is>
      </c>
      <c r="B144" s="5" t="inlineStr">
        <is>
          <t>WY-0068-01</t>
        </is>
      </c>
      <c r="C144" s="5" t="inlineStr"/>
      <c r="D144" s="5" t="inlineStr">
        <is>
          <t>Bottle and Bean</t>
        </is>
      </c>
      <c r="E144" s="5" t="inlineStr">
        <is>
          <t>Off-Licence</t>
        </is>
      </c>
      <c r="F144" s="5" t="inlineStr">
        <is>
          <t>Wine, craft beer and coffee shop</t>
        </is>
      </c>
      <c r="G144" s="5" t="inlineStr">
        <is>
          <t>Independent</t>
        </is>
      </c>
      <c r="H144" s="5" t="inlineStr">
        <is>
          <t>1</t>
        </is>
      </c>
      <c r="I144" s="5" t="inlineStr"/>
      <c r="J144" s="5" t="inlineStr">
        <is>
          <t>Wetherby</t>
        </is>
      </c>
      <c r="K144" s="5" t="inlineStr"/>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https://www.yorkshire.com/wetherby/shopping/off-license/bottle-and-bean</t>
        </is>
      </c>
    </row>
    <row r="145">
      <c r="A145" s="10" t="inlineStr">
        <is>
          <t>UK-000348</t>
        </is>
      </c>
      <c r="B145" s="10" t="inlineStr">
        <is>
          <t>UK-000348-01</t>
        </is>
      </c>
      <c r="C145" s="10" t="inlineStr"/>
      <c r="D145" s="10" t="inlineStr">
        <is>
          <t>Bradshawgate News &amp; Off Licence</t>
        </is>
      </c>
      <c r="E145" s="10" t="inlineStr">
        <is>
          <t>Off-Licence</t>
        </is>
      </c>
      <c r="F145" s="10" t="inlineStr">
        <is>
          <t>Newsagent and off-licence</t>
        </is>
      </c>
      <c r="G145" s="10" t="inlineStr">
        <is>
          <t>Independent</t>
        </is>
      </c>
      <c r="H145" s="10" t="inlineStr">
        <is>
          <t>1</t>
        </is>
      </c>
      <c r="I145" s="10" t="inlineStr">
        <is>
          <t>88 London Road</t>
        </is>
      </c>
      <c r="J145" s="10" t="inlineStr">
        <is>
          <t>Bolton</t>
        </is>
      </c>
      <c r="K145" s="10" t="inlineStr">
        <is>
          <t>BL1 1QQ</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https://www.yell.com/biz/bradshawgate-news-and-off-licence-bolton-8206606/</t>
        </is>
      </c>
    </row>
    <row r="146">
      <c r="A146" s="5" t="inlineStr">
        <is>
          <t>WY-0069</t>
        </is>
      </c>
      <c r="B146" s="5" t="inlineStr">
        <is>
          <t>WY-0069-01</t>
        </is>
      </c>
      <c r="C146" s="5" t="inlineStr"/>
      <c r="D146" s="5" t="inlineStr">
        <is>
          <t>Bridge Off Licence Convenience Store</t>
        </is>
      </c>
      <c r="E146" s="5" t="inlineStr">
        <is>
          <t>Off-Licence</t>
        </is>
      </c>
      <c r="F146" s="5" t="inlineStr">
        <is>
          <t>Off-licence and convenience store</t>
        </is>
      </c>
      <c r="G146" s="5" t="inlineStr">
        <is>
          <t>Independent</t>
        </is>
      </c>
      <c r="H146" s="5" t="inlineStr">
        <is>
          <t>1</t>
        </is>
      </c>
      <c r="I146" s="5" t="inlineStr"/>
      <c r="J146" s="5" t="inlineStr">
        <is>
          <t>Sowerby Bridge</t>
        </is>
      </c>
      <c r="K146" s="5" t="inlineStr"/>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https://www.yorkshire.com/sowerby-bridge/shopping/off-license/bridge-off-licence-convenience-store</t>
        </is>
      </c>
    </row>
    <row r="147">
      <c r="A147" s="10" t="inlineStr">
        <is>
          <t>UK-000759</t>
        </is>
      </c>
      <c r="B147" s="10" t="inlineStr">
        <is>
          <t>UK-000759-01</t>
        </is>
      </c>
      <c r="C147" s="10" t="inlineStr"/>
      <c r="D147" s="10" t="inlineStr">
        <is>
          <t>Brothers Vape Store</t>
        </is>
      </c>
      <c r="E147" s="10" t="inlineStr">
        <is>
          <t>Vape Shop</t>
        </is>
      </c>
      <c r="F147" s="10" t="inlineStr">
        <is>
          <t>Independent vape retailer</t>
        </is>
      </c>
      <c r="G147" s="10" t="inlineStr">
        <is>
          <t>Independent</t>
        </is>
      </c>
      <c r="H147" s="10" t="inlineStr">
        <is>
          <t>1</t>
        </is>
      </c>
      <c r="I147" s="10" t="inlineStr">
        <is>
          <t>410 Clock Face Road</t>
        </is>
      </c>
      <c r="J147" s="10" t="inlineStr">
        <is>
          <t>St Helens</t>
        </is>
      </c>
      <c r="K147" s="10" t="inlineStr">
        <is>
          <t>WA9 4QS</t>
        </is>
      </c>
      <c r="L147" s="10" t="inlineStr"/>
      <c r="M147" s="10" t="inlineStr"/>
      <c r="N147" s="10" t="inlineStr"/>
      <c r="O147" s="10" t="inlineStr">
        <is>
          <t>https://www.brothersvapestore.co.uk/</t>
        </is>
      </c>
      <c r="P147" s="10" t="inlineStr">
        <is>
          <t>https://www.facebook.com/Brothers.Vape.Store/</t>
        </is>
      </c>
      <c r="Q147" s="10" t="inlineStr"/>
      <c r="R147" s="10" t="inlineStr"/>
      <c r="S147" s="10" t="inlineStr"/>
      <c r="T147" s="10" t="inlineStr">
        <is>
          <t>14550614</t>
        </is>
      </c>
      <c r="U147" s="10" t="inlineStr">
        <is>
          <t>Active</t>
        </is>
      </c>
      <c r="V147" s="10" t="inlineStr">
        <is>
          <t>Medium</t>
        </is>
      </c>
      <c r="W147" s="10" t="inlineStr">
        <is>
          <t>Independent retailer; Core relevant category; Active website; Social presence</t>
        </is>
      </c>
      <c r="X147" s="10" t="inlineStr">
        <is>
          <t>Not Found</t>
        </is>
      </c>
      <c r="Y147" s="10" t="inlineStr">
        <is>
          <t>Website Found</t>
        </is>
      </c>
      <c r="Z147" s="10" t="inlineStr">
        <is>
          <t>High</t>
        </is>
      </c>
      <c r="AA147" s="10" t="inlineStr">
        <is>
          <t>Requires Verification</t>
        </is>
      </c>
      <c r="AB147" s="10" t="inlineStr">
        <is>
          <t>https://www.brothersvapestore.co.uk/about-us/</t>
        </is>
      </c>
    </row>
    <row r="148">
      <c r="A148" s="5" t="inlineStr">
        <is>
          <t>WY-0071</t>
        </is>
      </c>
      <c r="B148" s="5" t="inlineStr">
        <is>
          <t>WY-0071-01</t>
        </is>
      </c>
      <c r="C148" s="5" t="inlineStr"/>
      <c r="D148" s="5" t="inlineStr">
        <is>
          <t>C Booth and Son</t>
        </is>
      </c>
      <c r="E148" s="5" t="inlineStr">
        <is>
          <t>Tobacco Specialist</t>
        </is>
      </c>
      <c r="F148" s="5" t="inlineStr">
        <is>
          <t>Hardware store and specialist tobacconist</t>
        </is>
      </c>
      <c r="G148" s="5" t="inlineStr">
        <is>
          <t>Independent</t>
        </is>
      </c>
      <c r="H148" s="5" t="inlineStr">
        <is>
          <t>1</t>
        </is>
      </c>
      <c r="I148" s="5" t="inlineStr">
        <is>
          <t>Cross Church Street</t>
        </is>
      </c>
      <c r="J148" s="5" t="inlineStr">
        <is>
          <t>Huddersfield</t>
        </is>
      </c>
      <c r="K148" s="5" t="inlineStr"/>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https://www.examinerlive.co.uk/news/west-yorkshire-news/the-shop-sells-everything-c-9967957</t>
        </is>
      </c>
    </row>
    <row r="149">
      <c r="A149" s="10" t="inlineStr">
        <is>
          <t>UK-000588</t>
        </is>
      </c>
      <c r="B149" s="10" t="inlineStr">
        <is>
          <t>UK-000588-01</t>
        </is>
      </c>
      <c r="C149" s="10" t="inlineStr"/>
      <c r="D149" s="10" t="inlineStr">
        <is>
          <t>C H Stores Ltd</t>
        </is>
      </c>
      <c r="E149" s="10" t="inlineStr">
        <is>
          <t>Convenience Store</t>
        </is>
      </c>
      <c r="F149" s="10" t="inlineStr">
        <is>
          <t>Convenience store</t>
        </is>
      </c>
      <c r="G149" s="10" t="inlineStr">
        <is>
          <t>Independent</t>
        </is>
      </c>
      <c r="H149" s="10" t="inlineStr">
        <is>
          <t>1</t>
        </is>
      </c>
      <c r="I149" s="10" t="inlineStr"/>
      <c r="J149" s="10" t="inlineStr">
        <is>
          <t>Bethnal Green</t>
        </is>
      </c>
      <c r="K149" s="10" t="inlineStr">
        <is>
          <t>E2 9RA</t>
        </is>
      </c>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https://www.192.com/atoz/business/london-e2/convenience-stores/c-h-stores-ltd/c8e825e9e626344689402d87535d7035b6a60db8/comp/</t>
        </is>
      </c>
    </row>
    <row r="150">
      <c r="A150" s="5" t="inlineStr">
        <is>
          <t>UK-000761</t>
        </is>
      </c>
      <c r="B150" s="5" t="inlineStr">
        <is>
          <t>UK-000761-01</t>
        </is>
      </c>
      <c r="C150" s="5" t="inlineStr"/>
      <c r="D150" s="5" t="inlineStr">
        <is>
          <t>C Hoyton Off Licence</t>
        </is>
      </c>
      <c r="E150" s="5" t="inlineStr">
        <is>
          <t>Off-Licence</t>
        </is>
      </c>
      <c r="F150" s="5" t="inlineStr">
        <is>
          <t>Off-licence</t>
        </is>
      </c>
      <c r="G150" s="5" t="inlineStr">
        <is>
          <t>Independent</t>
        </is>
      </c>
      <c r="H150" s="5" t="inlineStr">
        <is>
          <t>1</t>
        </is>
      </c>
      <c r="I150" s="5" t="inlineStr">
        <is>
          <t>64-66 Dunriding Lane</t>
        </is>
      </c>
      <c r="J150" s="5" t="inlineStr">
        <is>
          <t>St Helens</t>
        </is>
      </c>
      <c r="K150" s="5" t="inlineStr">
        <is>
          <t>WA10 4BB</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https://www.24houralcohol.co.uk/st-helens-off-licences</t>
        </is>
      </c>
    </row>
    <row r="151">
      <c r="A151" s="10" t="inlineStr">
        <is>
          <t>UK-000239</t>
        </is>
      </c>
      <c r="B151" s="10" t="inlineStr">
        <is>
          <t>UK-000239-01</t>
        </is>
      </c>
      <c r="C151" s="10" t="inlineStr"/>
      <c r="D151" s="10" t="inlineStr">
        <is>
          <t>CK Fast Food Suppliers</t>
        </is>
      </c>
      <c r="E151" s="10" t="inlineStr">
        <is>
          <t>Cash &amp; Carry</t>
        </is>
      </c>
      <c r="F151" s="10" t="inlineStr">
        <is>
          <t>Foodservice wholesale</t>
        </is>
      </c>
      <c r="G151" s="10" t="inlineStr">
        <is>
          <t>Independent</t>
        </is>
      </c>
      <c r="H151" s="10" t="inlineStr">
        <is>
          <t>1</t>
        </is>
      </c>
      <c r="I151" s="10" t="inlineStr">
        <is>
          <t>70 Northumberland Avenue</t>
        </is>
      </c>
      <c r="J151" s="10" t="inlineStr">
        <is>
          <t>Kingston upon Hull</t>
        </is>
      </c>
      <c r="K151" s="10" t="inlineStr"/>
      <c r="L151" s="10" t="inlineStr"/>
      <c r="M151" s="10" t="inlineStr"/>
      <c r="N151" s="10" t="inlineStr"/>
      <c r="O151" s="10" t="inlineStr">
        <is>
          <t>https://www.ckfastfoods.com</t>
        </is>
      </c>
      <c r="P151" s="10" t="inlineStr"/>
      <c r="Q151" s="10" t="inlineStr"/>
      <c r="R151" s="10" t="inlineStr"/>
      <c r="S151" s="10" t="inlineStr"/>
      <c r="T151" s="10" t="inlineStr"/>
      <c r="U151" s="10" t="inlineStr"/>
      <c r="V151" s="10" t="inlineStr">
        <is>
          <t>Medium</t>
        </is>
      </c>
      <c r="W151" s="10" t="inlineStr">
        <is>
          <t>Independent retailer; Core relevant category; Active website</t>
        </is>
      </c>
      <c r="X151" s="10" t="inlineStr">
        <is>
          <t>Not Found</t>
        </is>
      </c>
      <c r="Y151" s="10" t="inlineStr">
        <is>
          <t>Not Found</t>
        </is>
      </c>
      <c r="Z151" s="10" t="inlineStr">
        <is>
          <t>Low</t>
        </is>
      </c>
      <c r="AA151" s="10" t="inlineStr">
        <is>
          <t>Partially Verified</t>
        </is>
      </c>
      <c r="AB151" s="10" t="inlineStr">
        <is>
          <t>https://www.ckfastfoods.com/categories</t>
        </is>
      </c>
    </row>
    <row r="152">
      <c r="A152" s="5" t="inlineStr">
        <is>
          <t>UK-000762</t>
        </is>
      </c>
      <c r="B152" s="5" t="inlineStr">
        <is>
          <t>UK-000762-01</t>
        </is>
      </c>
      <c r="C152" s="5" t="inlineStr"/>
      <c r="D152" s="5" t="inlineStr">
        <is>
          <t>Cashen's 2</t>
        </is>
      </c>
      <c r="E152" s="5" t="inlineStr">
        <is>
          <t>Off-Licence</t>
        </is>
      </c>
      <c r="F152" s="5" t="inlineStr">
        <is>
          <t>Off-licence / convenience</t>
        </is>
      </c>
      <c r="G152" s="5" t="inlineStr">
        <is>
          <t>Independent</t>
        </is>
      </c>
      <c r="H152" s="5" t="inlineStr">
        <is>
          <t>1</t>
        </is>
      </c>
      <c r="I152" s="5" t="inlineStr">
        <is>
          <t>85 Hale Road</t>
        </is>
      </c>
      <c r="J152" s="5" t="inlineStr">
        <is>
          <t>Liverpool</t>
        </is>
      </c>
      <c r="K152" s="5" t="inlineStr">
        <is>
          <t>L4 3RL</t>
        </is>
      </c>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https://liverpool.cylex-uk.co.uk/off-licence-4.html</t>
        </is>
      </c>
    </row>
    <row r="153">
      <c r="A153" s="10" t="inlineStr">
        <is>
          <t>UK-000459</t>
        </is>
      </c>
      <c r="B153" s="10" t="inlineStr">
        <is>
          <t>UK-000459-01</t>
        </is>
      </c>
      <c r="C153" s="10" t="inlineStr"/>
      <c r="D153" s="10" t="inlineStr">
        <is>
          <t>Caspian Foods Cash &amp; Carry Limited</t>
        </is>
      </c>
      <c r="E153" s="10" t="inlineStr">
        <is>
          <t>Cash &amp; Carry</t>
        </is>
      </c>
      <c r="F153" s="10" t="inlineStr">
        <is>
          <t>Food &amp; drink wholesaler</t>
        </is>
      </c>
      <c r="G153" s="10" t="inlineStr">
        <is>
          <t>Independent</t>
        </is>
      </c>
      <c r="H153" s="10" t="inlineStr">
        <is>
          <t>1</t>
        </is>
      </c>
      <c r="I153" s="10" t="inlineStr">
        <is>
          <t>Unit 4 Port Hope Road</t>
        </is>
      </c>
      <c r="J153" s="10" t="inlineStr">
        <is>
          <t>Birmingham</t>
        </is>
      </c>
      <c r="K153" s="10" t="inlineStr">
        <is>
          <t>B11 1JS</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https://www.dnb.com/business-directory/company-profiles.caspian_foods_cash__carry_limited.a9cb3ac91cc8fd94e3ed5a2abf28a59b.html</t>
        </is>
      </c>
    </row>
    <row r="154">
      <c r="A154" s="5" t="inlineStr">
        <is>
          <t>UK-000461</t>
        </is>
      </c>
      <c r="B154" s="5" t="inlineStr">
        <is>
          <t>UK-000461-01</t>
        </is>
      </c>
      <c r="C154" s="5" t="inlineStr"/>
      <c r="D154" s="5" t="inlineStr">
        <is>
          <t>Cave Lounge</t>
        </is>
      </c>
      <c r="E154" s="5" t="inlineStr">
        <is>
          <t>Smoke / Shisha Shop</t>
        </is>
      </c>
      <c r="F154" s="5" t="inlineStr">
        <is>
          <t>Shisha lounge</t>
        </is>
      </c>
      <c r="G154" s="5" t="inlineStr">
        <is>
          <t>Independent</t>
        </is>
      </c>
      <c r="H154" s="5" t="inlineStr">
        <is>
          <t>1</t>
        </is>
      </c>
      <c r="I154" s="5" t="inlineStr">
        <is>
          <t>Frederick Street</t>
        </is>
      </c>
      <c r="J154" s="5" t="inlineStr">
        <is>
          <t>Wolverhampton</t>
        </is>
      </c>
      <c r="K154" s="5" t="inlineStr"/>
      <c r="L154" s="5" t="inlineStr"/>
      <c r="M154" s="5" t="inlineStr"/>
      <c r="N154" s="5" t="inlineStr"/>
      <c r="O154" s="5" t="inlineStr">
        <is>
          <t>https://cavelounge.co.uk/</t>
        </is>
      </c>
      <c r="P154" s="5" t="inlineStr"/>
      <c r="Q154" s="5" t="inlineStr"/>
      <c r="R154" s="5" t="inlineStr"/>
      <c r="S154" s="5" t="inlineStr"/>
      <c r="T154" s="5" t="inlineStr">
        <is>
          <t>11537893</t>
        </is>
      </c>
      <c r="U154" s="5" t="inlineStr"/>
      <c r="V154" s="5" t="inlineStr">
        <is>
          <t>Medium</t>
        </is>
      </c>
      <c r="W154" s="5" t="inlineStr">
        <is>
          <t>Independent retailer; Core relevant category; Active website</t>
        </is>
      </c>
      <c r="X154" s="5" t="inlineStr">
        <is>
          <t>Not Found</t>
        </is>
      </c>
      <c r="Y154" s="5" t="inlineStr">
        <is>
          <t>Website Found</t>
        </is>
      </c>
      <c r="Z154" s="5" t="inlineStr">
        <is>
          <t>Medium</t>
        </is>
      </c>
      <c r="AA154" s="5" t="inlineStr">
        <is>
          <t>Verified (website + Companies House)</t>
        </is>
      </c>
      <c r="AB154" s="5" t="inlineStr">
        <is>
          <t>https://cavelounge.co.uk/</t>
        </is>
      </c>
    </row>
    <row r="155">
      <c r="A155" s="10" t="inlineStr">
        <is>
          <t>UK-000349</t>
        </is>
      </c>
      <c r="B155" s="10" t="inlineStr">
        <is>
          <t>UK-000349-01</t>
        </is>
      </c>
      <c r="C155" s="10" t="inlineStr"/>
      <c r="D155" s="10" t="inlineStr">
        <is>
          <t>Cheapasmokes Bolton</t>
        </is>
      </c>
      <c r="E155" s="10" t="inlineStr">
        <is>
          <t>Tobacco Specialist</t>
        </is>
      </c>
      <c r="F155" s="10" t="inlineStr">
        <is>
          <t>Discount tobacco and cigar specialist</t>
        </is>
      </c>
      <c r="G155" s="10" t="inlineStr">
        <is>
          <t>Independent</t>
        </is>
      </c>
      <c r="H155" s="10" t="inlineStr">
        <is>
          <t>1</t>
        </is>
      </c>
      <c r="I155" s="10" t="inlineStr">
        <is>
          <t>Bolton 4 Day Market, Ashburner Street</t>
        </is>
      </c>
      <c r="J155" s="10" t="inlineStr">
        <is>
          <t>Bolton</t>
        </is>
      </c>
      <c r="K155" s="10" t="inlineStr"/>
      <c r="L155" s="10" t="inlineStr"/>
      <c r="M155" s="10" t="inlineStr"/>
      <c r="N155" s="10" t="inlineStr"/>
      <c r="O155" s="10" t="inlineStr">
        <is>
          <t>https://www.cheapasmokes.com/</t>
        </is>
      </c>
      <c r="P155" s="10" t="inlineStr"/>
      <c r="Q155" s="10" t="inlineStr"/>
      <c r="R155" s="10" t="inlineStr"/>
      <c r="S155" s="10" t="inlineStr"/>
      <c r="T155" s="10" t="inlineStr"/>
      <c r="U155" s="10" t="inlineStr"/>
      <c r="V155" s="10" t="inlineStr">
        <is>
          <t>Medium</t>
        </is>
      </c>
      <c r="W155" s="10" t="inlineStr">
        <is>
          <t>Independent retailer; Core relevant category; Active website</t>
        </is>
      </c>
      <c r="X155" s="10" t="inlineStr">
        <is>
          <t>Not Found</t>
        </is>
      </c>
      <c r="Y155" s="10" t="inlineStr">
        <is>
          <t>Website Found</t>
        </is>
      </c>
      <c r="Z155" s="10" t="inlineStr">
        <is>
          <t>Low</t>
        </is>
      </c>
      <c r="AA155" s="10" t="inlineStr">
        <is>
          <t>Requires Verification</t>
        </is>
      </c>
      <c r="AB155" s="10" t="inlineStr">
        <is>
          <t>https://www.cheapasmokes.com/pages/cheapasmokes-bolton</t>
        </is>
      </c>
    </row>
    <row r="156">
      <c r="A156" s="5" t="inlineStr">
        <is>
          <t>UK-000240</t>
        </is>
      </c>
      <c r="B156" s="5" t="inlineStr">
        <is>
          <t>UK-000240-01</t>
        </is>
      </c>
      <c r="C156" s="5" t="inlineStr"/>
      <c r="D156" s="5" t="inlineStr">
        <is>
          <t>Chong Wah Oriental Supermarket</t>
        </is>
      </c>
      <c r="E156" s="5" t="inlineStr">
        <is>
          <t>Independent Supermarket</t>
        </is>
      </c>
      <c r="F156" s="5" t="inlineStr">
        <is>
          <t>Asian / oriental supermarket</t>
        </is>
      </c>
      <c r="G156" s="5" t="inlineStr">
        <is>
          <t>Independent</t>
        </is>
      </c>
      <c r="H156" s="5" t="inlineStr">
        <is>
          <t>1</t>
        </is>
      </c>
      <c r="I156" s="5" t="inlineStr">
        <is>
          <t>Union Street</t>
        </is>
      </c>
      <c r="J156" s="5" t="inlineStr">
        <is>
          <t>Kingston upon Hull</t>
        </is>
      </c>
      <c r="K156" s="5" t="inlineStr"/>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Low</t>
        </is>
      </c>
      <c r="AA156" s="5" t="inlineStr">
        <is>
          <t>Requires Verification</t>
        </is>
      </c>
      <c r="AB156" s="5" t="inlineStr">
        <is>
          <t>https://www.yorkshire.com/hull/shopping/supermarkets/chong-wah-oriental-supermarket</t>
        </is>
      </c>
    </row>
    <row r="157">
      <c r="A157" s="10" t="inlineStr">
        <is>
          <t>UK-000763</t>
        </is>
      </c>
      <c r="B157" s="10" t="inlineStr">
        <is>
          <t>UK-000763-01</t>
        </is>
      </c>
      <c r="C157" s="10" t="inlineStr"/>
      <c r="D157" s="10" t="inlineStr">
        <is>
          <t>Cignil Vapour</t>
        </is>
      </c>
      <c r="E157" s="10" t="inlineStr">
        <is>
          <t>Vape Shop</t>
        </is>
      </c>
      <c r="F157" s="10" t="inlineStr">
        <is>
          <t>Vape shop / e-liquids</t>
        </is>
      </c>
      <c r="G157" s="10" t="inlineStr">
        <is>
          <t>Independent</t>
        </is>
      </c>
      <c r="H157" s="10" t="inlineStr">
        <is>
          <t>1</t>
        </is>
      </c>
      <c r="I157" s="10" t="inlineStr"/>
      <c r="J157" s="10" t="inlineStr">
        <is>
          <t>Livingston</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https://livingston.cylex-uk.co.uk/vape-shops/</t>
        </is>
      </c>
    </row>
    <row r="158">
      <c r="A158" s="5" t="inlineStr">
        <is>
          <t>UK-000241</t>
        </is>
      </c>
      <c r="B158" s="5" t="inlineStr">
        <is>
          <t>UK-000241-01</t>
        </is>
      </c>
      <c r="C158" s="5" t="inlineStr"/>
      <c r="D158" s="5" t="inlineStr">
        <is>
          <t>Cirrus Vape Hull</t>
        </is>
      </c>
      <c r="E158" s="5" t="inlineStr">
        <is>
          <t>Vape Shop</t>
        </is>
      </c>
      <c r="F158" s="5" t="inlineStr">
        <is>
          <t>E-cigarette shop</t>
        </is>
      </c>
      <c r="G158" s="5" t="inlineStr">
        <is>
          <t>Independent</t>
        </is>
      </c>
      <c r="H158" s="5" t="inlineStr">
        <is>
          <t>1</t>
        </is>
      </c>
      <c r="I158" s="5" t="inlineStr"/>
      <c r="J158" s="5" t="inlineStr">
        <is>
          <t>Kingston upon Hull</t>
        </is>
      </c>
      <c r="K158" s="5" t="inlineStr"/>
      <c r="L158" s="5" t="inlineStr"/>
      <c r="M158" s="5" t="inlineStr"/>
      <c r="N158" s="5" t="inlineStr"/>
      <c r="O158" s="5" t="inlineStr"/>
      <c r="P158" s="5" t="inlineStr">
        <is>
          <t>https://www.facebook.com/cirrusvapecirrusvape/</t>
        </is>
      </c>
      <c r="Q158" s="5" t="inlineStr"/>
      <c r="R158" s="5" t="inlineStr"/>
      <c r="S158" s="5" t="inlineStr"/>
      <c r="T158" s="5" t="inlineStr"/>
      <c r="U158" s="5" t="inlineStr"/>
      <c r="V158" s="5" t="inlineStr">
        <is>
          <t>Medium</t>
        </is>
      </c>
      <c r="W158" s="5" t="inlineStr">
        <is>
          <t>Independent retailer; Core relevant category; Social presence</t>
        </is>
      </c>
      <c r="X158" s="5" t="inlineStr">
        <is>
          <t>Not Found</t>
        </is>
      </c>
      <c r="Y158" s="5" t="inlineStr">
        <is>
          <t>Not Found</t>
        </is>
      </c>
      <c r="Z158" s="5" t="inlineStr">
        <is>
          <t>Low</t>
        </is>
      </c>
      <c r="AA158" s="5" t="inlineStr">
        <is>
          <t>Requires Verification</t>
        </is>
      </c>
      <c r="AB158" s="5" t="inlineStr">
        <is>
          <t>https://www.facebook.com/cirrusvapecirrusvape/</t>
        </is>
      </c>
    </row>
    <row r="159">
      <c r="A159" s="10" t="inlineStr">
        <is>
          <t>UK-000462</t>
        </is>
      </c>
      <c r="B159" s="10" t="inlineStr">
        <is>
          <t>UK-000462-01</t>
        </is>
      </c>
      <c r="C159" s="10" t="inlineStr"/>
      <c r="D159" s="10" t="inlineStr">
        <is>
          <t>Colley-Vape</t>
        </is>
      </c>
      <c r="E159" s="10" t="inlineStr">
        <is>
          <t>Vape Shop</t>
        </is>
      </c>
      <c r="F159" s="10" t="inlineStr">
        <is>
          <t>Vape shop &amp; delivery service</t>
        </is>
      </c>
      <c r="G159" s="10" t="inlineStr">
        <is>
          <t>Independent</t>
        </is>
      </c>
      <c r="H159" s="10" t="inlineStr">
        <is>
          <t>1</t>
        </is>
      </c>
      <c r="I159" s="10" t="inlineStr">
        <is>
          <t>Colley Gate</t>
        </is>
      </c>
      <c r="J159" s="10" t="inlineStr">
        <is>
          <t>Halesowen</t>
        </is>
      </c>
      <c r="K159" s="10" t="inlineStr">
        <is>
          <t>B63 2BU</t>
        </is>
      </c>
      <c r="L159" s="10" t="inlineStr"/>
      <c r="M159" s="10" t="inlineStr"/>
      <c r="N159" s="10" t="inlineStr"/>
      <c r="O159" s="10" t="inlineStr"/>
      <c r="P159" s="10" t="inlineStr">
        <is>
          <t>https://www.facebook.com/Colleyvape/</t>
        </is>
      </c>
      <c r="Q159" s="10" t="inlineStr"/>
      <c r="R159" s="10" t="inlineStr"/>
      <c r="S159" s="10" t="inlineStr"/>
      <c r="T159" s="10" t="inlineStr"/>
      <c r="U159" s="10" t="inlineStr"/>
      <c r="V159" s="10" t="inlineStr">
        <is>
          <t>Medium</t>
        </is>
      </c>
      <c r="W159" s="10" t="inlineStr">
        <is>
          <t>Independent retailer; Core relevant category; Social presence</t>
        </is>
      </c>
      <c r="X159" s="10" t="inlineStr">
        <is>
          <t>Not Found</t>
        </is>
      </c>
      <c r="Y159" s="10" t="inlineStr">
        <is>
          <t>Not Found</t>
        </is>
      </c>
      <c r="Z159" s="10" t="inlineStr">
        <is>
          <t>Low</t>
        </is>
      </c>
      <c r="AA159" s="10" t="inlineStr">
        <is>
          <t>Requires Verification</t>
        </is>
      </c>
      <c r="AB159" s="10" t="inlineStr">
        <is>
          <t>https://www.facebook.com/Colleyvape/</t>
        </is>
      </c>
    </row>
    <row r="160">
      <c r="A160" s="5" t="inlineStr">
        <is>
          <t>UK-000765</t>
        </is>
      </c>
      <c r="B160" s="5" t="inlineStr">
        <is>
          <t>UK-000765-01</t>
        </is>
      </c>
      <c r="C160" s="5" t="inlineStr"/>
      <c r="D160" s="5" t="inlineStr">
        <is>
          <t>Convenience Store &amp; Off Licence - Haverty Precinct</t>
        </is>
      </c>
      <c r="E160" s="5" t="inlineStr">
        <is>
          <t>Convenience Store</t>
        </is>
      </c>
      <c r="F160" s="5" t="inlineStr">
        <is>
          <t>Convenience store / off-licence</t>
        </is>
      </c>
      <c r="G160" s="5" t="inlineStr">
        <is>
          <t>Independent</t>
        </is>
      </c>
      <c r="H160" s="5" t="inlineStr">
        <is>
          <t>1</t>
        </is>
      </c>
      <c r="I160" s="5" t="inlineStr">
        <is>
          <t>19 Haverty Precinct</t>
        </is>
      </c>
      <c r="J160" s="5" t="inlineStr">
        <is>
          <t>Newton-le-Willows</t>
        </is>
      </c>
      <c r="K160" s="5" t="inlineStr">
        <is>
          <t>WA12 8QZ</t>
        </is>
      </c>
      <c r="L160" s="5" t="inlineStr"/>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Not Found</t>
        </is>
      </c>
      <c r="Y160" s="5" t="inlineStr">
        <is>
          <t>Not Found</t>
        </is>
      </c>
      <c r="Z160" s="5" t="inlineStr">
        <is>
          <t>Low</t>
        </is>
      </c>
      <c r="AA160" s="5" t="inlineStr">
        <is>
          <t>Requires Verification</t>
        </is>
      </c>
      <c r="AB160" s="5" t="inlineStr">
        <is>
          <t>https://vinsights.co.uk/Business/958907</t>
        </is>
      </c>
    </row>
    <row r="161">
      <c r="A161" s="10" t="inlineStr">
        <is>
          <t>UK-000242</t>
        </is>
      </c>
      <c r="B161" s="10" t="inlineStr">
        <is>
          <t>UK-000242-01</t>
        </is>
      </c>
      <c r="C161" s="10" t="inlineStr"/>
      <c r="D161" s="10" t="inlineStr">
        <is>
          <t>Cram Vape Doncaster</t>
        </is>
      </c>
      <c r="E161" s="10" t="inlineStr">
        <is>
          <t>Vape Shop</t>
        </is>
      </c>
      <c r="F161" s="10" t="inlineStr">
        <is>
          <t>Vape shop</t>
        </is>
      </c>
      <c r="G161" s="10" t="inlineStr">
        <is>
          <t>Independent</t>
        </is>
      </c>
      <c r="H161" s="10" t="inlineStr">
        <is>
          <t>1</t>
        </is>
      </c>
      <c r="I161" s="10" t="inlineStr"/>
      <c r="J161" s="10" t="inlineStr">
        <is>
          <t>Doncaster</t>
        </is>
      </c>
      <c r="K161" s="10" t="inlineStr"/>
      <c r="L161" s="10" t="inlineStr"/>
      <c r="M161" s="10" t="inlineStr"/>
      <c r="N161" s="10" t="inlineStr"/>
      <c r="O161" s="10" t="inlineStr">
        <is>
          <t>https://cram-vape.ueniweb.com/</t>
        </is>
      </c>
      <c r="P161" s="10" t="inlineStr"/>
      <c r="Q161" s="10" t="inlineStr"/>
      <c r="R161" s="10" t="inlineStr"/>
      <c r="S161" s="10" t="inlineStr"/>
      <c r="T161" s="10" t="inlineStr"/>
      <c r="U161" s="10" t="inlineStr"/>
      <c r="V161" s="10" t="inlineStr">
        <is>
          <t>Medium</t>
        </is>
      </c>
      <c r="W161" s="10" t="inlineStr">
        <is>
          <t>Independent retailer; Core relevant category; Active website</t>
        </is>
      </c>
      <c r="X161" s="10" t="inlineStr">
        <is>
          <t>Not Found</t>
        </is>
      </c>
      <c r="Y161" s="10" t="inlineStr">
        <is>
          <t>Website Found</t>
        </is>
      </c>
      <c r="Z161" s="10" t="inlineStr">
        <is>
          <t>Low</t>
        </is>
      </c>
      <c r="AA161" s="10" t="inlineStr">
        <is>
          <t>Requires Verification</t>
        </is>
      </c>
      <c r="AB161" s="10" t="inlineStr">
        <is>
          <t>https://cram-vape.ueniweb.com/</t>
        </is>
      </c>
    </row>
    <row r="162">
      <c r="A162" s="5" t="inlineStr">
        <is>
          <t>WY-0078</t>
        </is>
      </c>
      <c r="B162" s="5" t="inlineStr">
        <is>
          <t>WY-0078-01</t>
        </is>
      </c>
      <c r="C162" s="5" t="inlineStr"/>
      <c r="D162" s="5" t="inlineStr">
        <is>
          <t>Crazycloudzzz</t>
        </is>
      </c>
      <c r="E162" s="5" t="inlineStr">
        <is>
          <t>Vape Shop</t>
        </is>
      </c>
      <c r="F162" s="5" t="inlineStr"/>
      <c r="G162" s="5" t="inlineStr">
        <is>
          <t>Independent</t>
        </is>
      </c>
      <c r="H162" s="5" t="inlineStr">
        <is>
          <t>1</t>
        </is>
      </c>
      <c r="I162" s="5" t="inlineStr">
        <is>
          <t>20 Bull Green</t>
        </is>
      </c>
      <c r="J162" s="5" t="inlineStr">
        <is>
          <t>Halifax</t>
        </is>
      </c>
      <c r="K162" s="5" t="inlineStr">
        <is>
          <t>HX1 5AB</t>
        </is>
      </c>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Not Found</t>
        </is>
      </c>
      <c r="Y162" s="5" t="inlineStr">
        <is>
          <t>Not Found</t>
        </is>
      </c>
      <c r="Z162" s="5" t="inlineStr">
        <is>
          <t>Low</t>
        </is>
      </c>
      <c r="AA162" s="5" t="inlineStr">
        <is>
          <t>Requires Verification</t>
        </is>
      </c>
      <c r="AB162" s="5" t="inlineStr">
        <is>
          <t>https://www.yell.com/s/tobacconists-halifax.html</t>
        </is>
      </c>
    </row>
    <row r="163">
      <c r="A163" s="10" t="inlineStr">
        <is>
          <t>WY-0079</t>
        </is>
      </c>
      <c r="B163" s="10" t="inlineStr">
        <is>
          <t>WY-0079-01</t>
        </is>
      </c>
      <c r="C163" s="10" t="inlineStr"/>
      <c r="D163" s="10" t="inlineStr">
        <is>
          <t>Crossroads Off Licence &amp; Newsagent</t>
        </is>
      </c>
      <c r="E163" s="10" t="inlineStr">
        <is>
          <t>Off-Licence</t>
        </is>
      </c>
      <c r="F163" s="10" t="inlineStr">
        <is>
          <t>Off-licence and newsagent</t>
        </is>
      </c>
      <c r="G163" s="10" t="inlineStr">
        <is>
          <t>Independent</t>
        </is>
      </c>
      <c r="H163" s="10" t="inlineStr">
        <is>
          <t>1</t>
        </is>
      </c>
      <c r="I163" s="10" t="inlineStr">
        <is>
          <t>19 Cross Road</t>
        </is>
      </c>
      <c r="J163" s="10" t="inlineStr">
        <is>
          <t>Wakefield</t>
        </is>
      </c>
      <c r="K163" s="10" t="inlineStr"/>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Low</t>
        </is>
      </c>
      <c r="AA163" s="10" t="inlineStr">
        <is>
          <t>Requires Verification</t>
        </is>
      </c>
      <c r="AB163" s="10" t="inlineStr">
        <is>
          <t>https://m.yelp.com/biz/crossroads-off-licence-and-newsagent-wakefield</t>
        </is>
      </c>
    </row>
    <row r="164">
      <c r="A164" s="5" t="inlineStr">
        <is>
          <t>UK-000592</t>
        </is>
      </c>
      <c r="B164" s="5" t="inlineStr">
        <is>
          <t>UK-000592-01</t>
        </is>
      </c>
      <c r="C164" s="5" t="inlineStr"/>
      <c r="D164" s="5" t="inlineStr">
        <is>
          <t>Custom Vapes</t>
        </is>
      </c>
      <c r="E164" s="5" t="inlineStr">
        <is>
          <t>Vape Shop</t>
        </is>
      </c>
      <c r="F164" s="5" t="inlineStr">
        <is>
          <t>Vape hardware &amp; e-liquids</t>
        </is>
      </c>
      <c r="G164" s="5" t="inlineStr">
        <is>
          <t>Independent</t>
        </is>
      </c>
      <c r="H164" s="5" t="inlineStr">
        <is>
          <t>1</t>
        </is>
      </c>
      <c r="I164" s="5" t="inlineStr">
        <is>
          <t>151 Plaistow Road</t>
        </is>
      </c>
      <c r="J164" s="5" t="inlineStr">
        <is>
          <t>Stratford</t>
        </is>
      </c>
      <c r="K164" s="5" t="inlineStr">
        <is>
          <t>E15 3ET</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Not Found</t>
        </is>
      </c>
      <c r="Y164" s="5" t="inlineStr">
        <is>
          <t>Not Found</t>
        </is>
      </c>
      <c r="Z164" s="5" t="inlineStr">
        <is>
          <t>Low</t>
        </is>
      </c>
      <c r="AA164" s="5" t="inlineStr">
        <is>
          <t>Requires Verification</t>
        </is>
      </c>
      <c r="AB164" s="5" t="inlineStr">
        <is>
          <t>https://www.yell.com/s/vape+shops-stratford-east+london.html</t>
        </is>
      </c>
    </row>
    <row r="165">
      <c r="A165" s="10" t="inlineStr">
        <is>
          <t>UK-000463</t>
        </is>
      </c>
      <c r="B165" s="10" t="inlineStr">
        <is>
          <t>UK-000463-01</t>
        </is>
      </c>
      <c r="C165" s="10" t="inlineStr"/>
      <c r="D165" s="10" t="inlineStr">
        <is>
          <t>DNB Vapes</t>
        </is>
      </c>
      <c r="E165" s="10" t="inlineStr">
        <is>
          <t>Vape Shop</t>
        </is>
      </c>
      <c r="F165" s="10" t="inlineStr">
        <is>
          <t>Vape hardware &amp; e-liquids</t>
        </is>
      </c>
      <c r="G165" s="10" t="inlineStr">
        <is>
          <t>Independent</t>
        </is>
      </c>
      <c r="H165" s="10" t="inlineStr">
        <is>
          <t>1</t>
        </is>
      </c>
      <c r="I165" s="10" t="inlineStr"/>
      <c r="J165" s="10" t="inlineStr">
        <is>
          <t>Brierley Hill</t>
        </is>
      </c>
      <c r="K165" s="10" t="inlineStr"/>
      <c r="L165" s="10" t="inlineStr"/>
      <c r="M165" s="10" t="inlineStr"/>
      <c r="N165" s="10" t="inlineStr"/>
      <c r="O165" s="10" t="inlineStr">
        <is>
          <t>https://www.dnbvapes.co.uk/</t>
        </is>
      </c>
      <c r="P165" s="10" t="inlineStr"/>
      <c r="Q165" s="10" t="inlineStr"/>
      <c r="R165" s="10" t="inlineStr"/>
      <c r="S165" s="10" t="inlineStr"/>
      <c r="T165" s="10" t="inlineStr"/>
      <c r="U165" s="10" t="inlineStr"/>
      <c r="V165" s="10" t="inlineStr">
        <is>
          <t>Medium</t>
        </is>
      </c>
      <c r="W165" s="10" t="inlineStr">
        <is>
          <t>Independent retailer; Core relevant category; Active website</t>
        </is>
      </c>
      <c r="X165" s="10" t="inlineStr">
        <is>
          <t>Not Found</t>
        </is>
      </c>
      <c r="Y165" s="10" t="inlineStr">
        <is>
          <t>Website Found</t>
        </is>
      </c>
      <c r="Z165" s="10" t="inlineStr">
        <is>
          <t>Low</t>
        </is>
      </c>
      <c r="AA165" s="10" t="inlineStr">
        <is>
          <t>Requires Verification</t>
        </is>
      </c>
      <c r="AB165" s="10" t="inlineStr">
        <is>
          <t>https://www.dnbvapes.co.uk/</t>
        </is>
      </c>
    </row>
    <row r="166">
      <c r="A166" s="5" t="inlineStr">
        <is>
          <t>UK-000464</t>
        </is>
      </c>
      <c r="B166" s="5" t="inlineStr">
        <is>
          <t>UK-000464-01</t>
        </is>
      </c>
      <c r="C166" s="5" t="inlineStr"/>
      <c r="D166" s="5" t="inlineStr">
        <is>
          <t>Dals Store Ltd</t>
        </is>
      </c>
      <c r="E166" s="5" t="inlineStr">
        <is>
          <t>Convenience Store</t>
        </is>
      </c>
      <c r="F166" s="5" t="inlineStr">
        <is>
          <t>Convenience &amp; international grocery</t>
        </is>
      </c>
      <c r="G166" s="5" t="inlineStr">
        <is>
          <t>Independent</t>
        </is>
      </c>
      <c r="H166" s="5" t="inlineStr">
        <is>
          <t>1</t>
        </is>
      </c>
      <c r="I166" s="5" t="inlineStr">
        <is>
          <t>87 Hordern Road</t>
        </is>
      </c>
      <c r="J166" s="5" t="inlineStr">
        <is>
          <t>Wolverhampton</t>
        </is>
      </c>
      <c r="K166" s="5" t="inlineStr">
        <is>
          <t>WV6 0HL</t>
        </is>
      </c>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https://www.wolverhampton.co.uk/supermarkets/</t>
        </is>
      </c>
    </row>
    <row r="167">
      <c r="A167" s="10" t="inlineStr">
        <is>
          <t>UK-000766</t>
        </is>
      </c>
      <c r="B167" s="10" t="inlineStr">
        <is>
          <t>UK-000766-01</t>
        </is>
      </c>
      <c r="C167" s="10" t="inlineStr"/>
      <c r="D167" s="10" t="inlineStr">
        <is>
          <t>Daniel Store</t>
        </is>
      </c>
      <c r="E167" s="10" t="inlineStr">
        <is>
          <t>Convenience Store</t>
        </is>
      </c>
      <c r="F167" s="10" t="inlineStr">
        <is>
          <t>Convenience store / off-licence</t>
        </is>
      </c>
      <c r="G167" s="10" t="inlineStr">
        <is>
          <t>Independent</t>
        </is>
      </c>
      <c r="H167" s="10" t="inlineStr">
        <is>
          <t>1</t>
        </is>
      </c>
      <c r="I167" s="10" t="inlineStr">
        <is>
          <t>408 Duke Street</t>
        </is>
      </c>
      <c r="J167" s="10" t="inlineStr">
        <is>
          <t>Glasgow</t>
        </is>
      </c>
      <c r="K167" s="10" t="inlineStr">
        <is>
          <t>G31 1PX</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https://dennistoun.co.uk/directory/tag/convenience-store/</t>
        </is>
      </c>
    </row>
    <row r="168">
      <c r="A168" s="5" t="inlineStr">
        <is>
          <t>UK-000351</t>
        </is>
      </c>
      <c r="B168" s="5" t="inlineStr">
        <is>
          <t>UK-000351-01</t>
        </is>
      </c>
      <c r="C168" s="5" t="inlineStr"/>
      <c r="D168" s="5" t="inlineStr">
        <is>
          <t>Dave's Off Licence</t>
        </is>
      </c>
      <c r="E168" s="5" t="inlineStr">
        <is>
          <t>Off-Licence</t>
        </is>
      </c>
      <c r="F168" s="5" t="inlineStr"/>
      <c r="G168" s="5" t="inlineStr">
        <is>
          <t>Independent</t>
        </is>
      </c>
      <c r="H168" s="5" t="inlineStr">
        <is>
          <t>1</t>
        </is>
      </c>
      <c r="I168" s="5" t="inlineStr">
        <is>
          <t>91 Tunstall Lane</t>
        </is>
      </c>
      <c r="J168" s="5" t="inlineStr">
        <is>
          <t>Wigan</t>
        </is>
      </c>
      <c r="K168" s="5" t="inlineStr">
        <is>
          <t>WN5 9HR</t>
        </is>
      </c>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Low</t>
        </is>
      </c>
      <c r="AA168" s="5" t="inlineStr">
        <is>
          <t>Requires Verification</t>
        </is>
      </c>
      <c r="AB168" s="5" t="inlineStr">
        <is>
          <t>https://www.24houralcohol.co.uk/wigan-off-licences</t>
        </is>
      </c>
    </row>
    <row r="169">
      <c r="A169" s="10" t="inlineStr">
        <is>
          <t>UK-000594</t>
        </is>
      </c>
      <c r="B169" s="10" t="inlineStr">
        <is>
          <t>UK-000594-01</t>
        </is>
      </c>
      <c r="C169" s="10" t="inlineStr"/>
      <c r="D169" s="10" t="inlineStr">
        <is>
          <t>Dennis Convenience Store</t>
        </is>
      </c>
      <c r="E169" s="10" t="inlineStr">
        <is>
          <t>Convenience Store</t>
        </is>
      </c>
      <c r="F169" s="10" t="inlineStr"/>
      <c r="G169" s="10" t="inlineStr">
        <is>
          <t>Independent</t>
        </is>
      </c>
      <c r="H169" s="10" t="inlineStr">
        <is>
          <t>1</t>
        </is>
      </c>
      <c r="I169" s="10" t="inlineStr">
        <is>
          <t>90 Brownhill Road</t>
        </is>
      </c>
      <c r="J169" s="10" t="inlineStr">
        <is>
          <t>London</t>
        </is>
      </c>
      <c r="K169" s="10" t="inlineStr">
        <is>
          <t>SE6 1AA</t>
        </is>
      </c>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Low</t>
        </is>
      </c>
      <c r="AA169" s="10" t="inlineStr">
        <is>
          <t>Requires Verification</t>
        </is>
      </c>
      <c r="AB169" s="10" t="inlineStr">
        <is>
          <t>https://www.yell.com/s/supermarkets-bellingham-south+east+london.html</t>
        </is>
      </c>
    </row>
    <row r="170">
      <c r="A170" s="5" t="inlineStr">
        <is>
          <t>UK-000352</t>
        </is>
      </c>
      <c r="B170" s="5" t="inlineStr">
        <is>
          <t>UK-000352-01</t>
        </is>
      </c>
      <c r="C170" s="5" t="inlineStr"/>
      <c r="D170" s="5" t="inlineStr">
        <is>
          <t>Dial Me A Shisha</t>
        </is>
      </c>
      <c r="E170" s="5" t="inlineStr">
        <is>
          <t>Smoke / Shisha Shop</t>
        </is>
      </c>
      <c r="F170" s="5" t="inlineStr">
        <is>
          <t>Shisha supplier and delivery</t>
        </is>
      </c>
      <c r="G170" s="5" t="inlineStr">
        <is>
          <t>Independent</t>
        </is>
      </c>
      <c r="H170" s="5" t="inlineStr">
        <is>
          <t>1</t>
        </is>
      </c>
      <c r="I170" s="5" t="inlineStr">
        <is>
          <t>21 Dunbar Drive</t>
        </is>
      </c>
      <c r="J170" s="5" t="inlineStr">
        <is>
          <t>Bolton</t>
        </is>
      </c>
      <c r="K170" s="5" t="inlineStr"/>
      <c r="L170" s="5" t="inlineStr"/>
      <c r="M170" s="5" t="inlineStr"/>
      <c r="N170" s="5" t="inlineStr"/>
      <c r="O170" s="5" t="inlineStr">
        <is>
          <t>https://dial-me-a-shisha.ueniweb.com/</t>
        </is>
      </c>
      <c r="P170" s="5" t="inlineStr">
        <is>
          <t>https://www.facebook.com/dialmeashisha/</t>
        </is>
      </c>
      <c r="Q170" s="5" t="inlineStr"/>
      <c r="R170" s="5" t="inlineStr"/>
      <c r="S170" s="5" t="inlineStr"/>
      <c r="T170" s="5" t="inlineStr"/>
      <c r="U170" s="5" t="inlineStr"/>
      <c r="V170" s="5" t="inlineStr">
        <is>
          <t>Medium</t>
        </is>
      </c>
      <c r="W170" s="5" t="inlineStr">
        <is>
          <t>Independent retailer; Core relevant category; Active website; Social presence</t>
        </is>
      </c>
      <c r="X170" s="5" t="inlineStr">
        <is>
          <t>Not Found</t>
        </is>
      </c>
      <c r="Y170" s="5" t="inlineStr">
        <is>
          <t>Website Found</t>
        </is>
      </c>
      <c r="Z170" s="5" t="inlineStr">
        <is>
          <t>Low</t>
        </is>
      </c>
      <c r="AA170" s="5" t="inlineStr">
        <is>
          <t>Requires Verification</t>
        </is>
      </c>
      <c r="AB170" s="5" t="inlineStr">
        <is>
          <t>https://dial-me-a-shisha.ueniweb.com/</t>
        </is>
      </c>
    </row>
    <row r="171">
      <c r="A171" s="10" t="inlineStr">
        <is>
          <t>UK-000353</t>
        </is>
      </c>
      <c r="B171" s="10" t="inlineStr">
        <is>
          <t>UK-000353-01</t>
        </is>
      </c>
      <c r="C171" s="10" t="inlineStr"/>
      <c r="D171" s="10" t="inlineStr">
        <is>
          <t>Didsbury Express</t>
        </is>
      </c>
      <c r="E171" s="10" t="inlineStr">
        <is>
          <t>Convenience Store</t>
        </is>
      </c>
      <c r="F171" s="10" t="inlineStr">
        <is>
          <t>Convenience &amp; off-licence</t>
        </is>
      </c>
      <c r="G171" s="10" t="inlineStr">
        <is>
          <t>Independent</t>
        </is>
      </c>
      <c r="H171" s="10" t="inlineStr">
        <is>
          <t>1</t>
        </is>
      </c>
      <c r="I171" s="10" t="inlineStr">
        <is>
          <t>104 Barlow Moor Road</t>
        </is>
      </c>
      <c r="J171" s="10" t="inlineStr">
        <is>
          <t>Manchester</t>
        </is>
      </c>
      <c r="K171" s="10" t="inlineStr">
        <is>
          <t>M20 2PN</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Low</t>
        </is>
      </c>
      <c r="AA171" s="10" t="inlineStr">
        <is>
          <t>Requires Verification</t>
        </is>
      </c>
      <c r="AB171" s="10" t="inlineStr">
        <is>
          <t>https://www.192.com/atoz/business/manchester-m20/convenience-stores/didsbury-express/6ec1daa23654a53672bc8f33dd6ce3ccb3000bc5/ml/</t>
        </is>
      </c>
    </row>
    <row r="172">
      <c r="A172" s="5" t="inlineStr">
        <is>
          <t>UK-000767</t>
        </is>
      </c>
      <c r="B172" s="5" t="inlineStr">
        <is>
          <t>UK-000767-01</t>
        </is>
      </c>
      <c r="C172" s="5" t="inlineStr"/>
      <c r="D172" s="5" t="inlineStr">
        <is>
          <t>Discount Booze</t>
        </is>
      </c>
      <c r="E172" s="5" t="inlineStr">
        <is>
          <t>Off-Licence</t>
        </is>
      </c>
      <c r="F172" s="5" t="inlineStr">
        <is>
          <t>Off-licence / wines &amp; spirits</t>
        </is>
      </c>
      <c r="G172" s="5" t="inlineStr">
        <is>
          <t>Independent</t>
        </is>
      </c>
      <c r="H172" s="5" t="inlineStr">
        <is>
          <t>1</t>
        </is>
      </c>
      <c r="I172" s="5" t="inlineStr">
        <is>
          <t>1 Blessington Road</t>
        </is>
      </c>
      <c r="J172" s="5" t="inlineStr">
        <is>
          <t>Liverpool</t>
        </is>
      </c>
      <c r="K172" s="5" t="inlineStr">
        <is>
          <t>L4 0RY</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https://liverpool.cylex-uk.co.uk/off-licence-4.html</t>
        </is>
      </c>
    </row>
    <row r="173">
      <c r="A173" s="10" t="inlineStr">
        <is>
          <t>UK-000595</t>
        </is>
      </c>
      <c r="B173" s="10" t="inlineStr">
        <is>
          <t>UK-000595-01</t>
        </is>
      </c>
      <c r="C173" s="10" t="inlineStr"/>
      <c r="D173" s="10" t="inlineStr">
        <is>
          <t>Diu Supermarket</t>
        </is>
      </c>
      <c r="E173" s="10" t="inlineStr">
        <is>
          <t>Independent Supermarket</t>
        </is>
      </c>
      <c r="F173" s="10" t="inlineStr">
        <is>
          <t>South Asian / world food supermarket</t>
        </is>
      </c>
      <c r="G173" s="10" t="inlineStr">
        <is>
          <t>Independent</t>
        </is>
      </c>
      <c r="H173" s="10" t="inlineStr">
        <is>
          <t>1</t>
        </is>
      </c>
      <c r="I173" s="10" t="inlineStr">
        <is>
          <t>93-95 Ealing Road</t>
        </is>
      </c>
      <c r="J173" s="10" t="inlineStr">
        <is>
          <t>Wembley</t>
        </is>
      </c>
      <c r="K173" s="10" t="inlineStr">
        <is>
          <t>HA0 4TA</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https://www.yell.com/s/supermarkets-wembley.html</t>
        </is>
      </c>
    </row>
    <row r="174">
      <c r="A174" s="5" t="inlineStr">
        <is>
          <t>UK-000769</t>
        </is>
      </c>
      <c r="B174" s="5" t="inlineStr">
        <is>
          <t>UK-000769-01</t>
        </is>
      </c>
      <c r="C174" s="5" t="inlineStr"/>
      <c r="D174" s="5" t="inlineStr">
        <is>
          <t>Dubai Convenience &amp; Off Licence</t>
        </is>
      </c>
      <c r="E174" s="5" t="inlineStr">
        <is>
          <t>Off-Licence</t>
        </is>
      </c>
      <c r="F174" s="5" t="inlineStr">
        <is>
          <t>Convenience &amp; off-licence</t>
        </is>
      </c>
      <c r="G174" s="5" t="inlineStr">
        <is>
          <t>Independent</t>
        </is>
      </c>
      <c r="H174" s="5" t="inlineStr">
        <is>
          <t>1</t>
        </is>
      </c>
      <c r="I174" s="5" t="inlineStr">
        <is>
          <t>71 Walton Vale</t>
        </is>
      </c>
      <c r="J174" s="5" t="inlineStr">
        <is>
          <t>Liverpool</t>
        </is>
      </c>
      <c r="K174" s="5" t="inlineStr">
        <is>
          <t>L9 4RQ</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https://www.yell.com/biz/dubai-convenience-and-off-licence-liverpool-10714449/</t>
        </is>
      </c>
    </row>
    <row r="175">
      <c r="A175" s="10" t="inlineStr">
        <is>
          <t>UK-000468</t>
        </is>
      </c>
      <c r="B175" s="10" t="inlineStr">
        <is>
          <t>UK-000468-01</t>
        </is>
      </c>
      <c r="C175" s="10" t="inlineStr"/>
      <c r="D175" s="10" t="inlineStr">
        <is>
          <t>Dylans Drink Shop</t>
        </is>
      </c>
      <c r="E175" s="10" t="inlineStr">
        <is>
          <t>Off-Licence</t>
        </is>
      </c>
      <c r="F175" s="10" t="inlineStr">
        <is>
          <t>Off-licence &amp; convenience</t>
        </is>
      </c>
      <c r="G175" s="10" t="inlineStr">
        <is>
          <t>Independent</t>
        </is>
      </c>
      <c r="H175" s="10" t="inlineStr">
        <is>
          <t>1</t>
        </is>
      </c>
      <c r="I175" s="10" t="inlineStr">
        <is>
          <t>633 Bearwood Road</t>
        </is>
      </c>
      <c r="J175" s="10" t="inlineStr">
        <is>
          <t>Smethwick</t>
        </is>
      </c>
      <c r="K175" s="10" t="inlineStr">
        <is>
          <t>B66 4BL</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Medium</t>
        </is>
      </c>
      <c r="AA175" s="10" t="inlineStr">
        <is>
          <t>Requires Verification</t>
        </is>
      </c>
      <c r="AB175" s="10" t="inlineStr">
        <is>
          <t>https://www.yell.com/s/off+licences-bearwood.html</t>
        </is>
      </c>
    </row>
    <row r="176">
      <c r="A176" s="5" t="inlineStr">
        <is>
          <t>UK-000597</t>
        </is>
      </c>
      <c r="B176" s="5" t="inlineStr">
        <is>
          <t>UK-000597-01</t>
        </is>
      </c>
      <c r="C176" s="5" t="inlineStr"/>
      <c r="D176" s="5" t="inlineStr">
        <is>
          <t>E17 Vape Bar</t>
        </is>
      </c>
      <c r="E176" s="5" t="inlineStr">
        <is>
          <t>Vape Shop</t>
        </is>
      </c>
      <c r="F176" s="5" t="inlineStr">
        <is>
          <t>Vape hardware &amp; e-liquids</t>
        </is>
      </c>
      <c r="G176" s="5" t="inlineStr">
        <is>
          <t>Independent</t>
        </is>
      </c>
      <c r="H176" s="5" t="inlineStr">
        <is>
          <t>1</t>
        </is>
      </c>
      <c r="I176" s="5" t="inlineStr">
        <is>
          <t>52 High Street</t>
        </is>
      </c>
      <c r="J176" s="5" t="inlineStr">
        <is>
          <t>Walthamstow</t>
        </is>
      </c>
      <c r="K176" s="5" t="inlineStr">
        <is>
          <t>E17 7LD</t>
        </is>
      </c>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Independent retailer; Core relevant category</t>
        </is>
      </c>
      <c r="X176" s="5" t="inlineStr">
        <is>
          <t>Not Found</t>
        </is>
      </c>
      <c r="Y176" s="5" t="inlineStr">
        <is>
          <t>Not Found</t>
        </is>
      </c>
      <c r="Z176" s="5" t="inlineStr">
        <is>
          <t>Low</t>
        </is>
      </c>
      <c r="AA176" s="5" t="inlineStr">
        <is>
          <t>Requires Verification</t>
        </is>
      </c>
      <c r="AB176" s="5" t="inlineStr">
        <is>
          <t>https://www.yell.com/biz/e17-vape-bar-london-9131218/</t>
        </is>
      </c>
    </row>
    <row r="177">
      <c r="A177" s="10" t="inlineStr">
        <is>
          <t>WY-0081</t>
        </is>
      </c>
      <c r="B177" s="10" t="inlineStr">
        <is>
          <t>WY-0081-01</t>
        </is>
      </c>
      <c r="C177" s="10" t="inlineStr"/>
      <c r="D177" s="10" t="inlineStr">
        <is>
          <t>ECigarette Outlet</t>
        </is>
      </c>
      <c r="E177" s="10" t="inlineStr">
        <is>
          <t>Vape Shop</t>
        </is>
      </c>
      <c r="F177" s="10" t="inlineStr">
        <is>
          <t>E-cigarette retailer</t>
        </is>
      </c>
      <c r="G177" s="10" t="inlineStr">
        <is>
          <t>Independent</t>
        </is>
      </c>
      <c r="H177" s="10" t="inlineStr">
        <is>
          <t>1</t>
        </is>
      </c>
      <c r="I177" s="10" t="inlineStr">
        <is>
          <t>27 Kirkgate</t>
        </is>
      </c>
      <c r="J177" s="10" t="inlineStr">
        <is>
          <t>Shipley</t>
        </is>
      </c>
      <c r="K177" s="10" t="inlineStr">
        <is>
          <t>BD18 3QW</t>
        </is>
      </c>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Not Found</t>
        </is>
      </c>
      <c r="Y177" s="10" t="inlineStr">
        <is>
          <t>Not Found</t>
        </is>
      </c>
      <c r="Z177" s="10" t="inlineStr">
        <is>
          <t>Medium</t>
        </is>
      </c>
      <c r="AA177" s="10" t="inlineStr">
        <is>
          <t>Requires Verification</t>
        </is>
      </c>
      <c r="AB177" s="10" t="inlineStr">
        <is>
          <t>https://ecigdirectory.co.uk/vape-shop/listing/ecigarette-outlet-shipley</t>
        </is>
      </c>
    </row>
    <row r="178">
      <c r="A178" s="5" t="inlineStr">
        <is>
          <t>UK-000243</t>
        </is>
      </c>
      <c r="B178" s="5" t="inlineStr">
        <is>
          <t>UK-000243-01</t>
        </is>
      </c>
      <c r="C178" s="5" t="inlineStr"/>
      <c r="D178" s="5" t="inlineStr">
        <is>
          <t>Ecigbox Northallerton</t>
        </is>
      </c>
      <c r="E178" s="5" t="inlineStr">
        <is>
          <t>Vape Shop</t>
        </is>
      </c>
      <c r="F178" s="5" t="inlineStr">
        <is>
          <t>E-cigarette &amp; e-liquid shop</t>
        </is>
      </c>
      <c r="G178" s="5" t="inlineStr">
        <is>
          <t>Independent</t>
        </is>
      </c>
      <c r="H178" s="5" t="inlineStr">
        <is>
          <t>1</t>
        </is>
      </c>
      <c r="I178" s="5" t="inlineStr">
        <is>
          <t>231 High Street</t>
        </is>
      </c>
      <c r="J178" s="5" t="inlineStr">
        <is>
          <t>Northallerton</t>
        </is>
      </c>
      <c r="K178" s="5" t="inlineStr">
        <is>
          <t>DL7 8LU</t>
        </is>
      </c>
      <c r="L178" s="5" t="inlineStr"/>
      <c r="M178" s="5" t="inlineStr"/>
      <c r="N178" s="5" t="inlineStr"/>
      <c r="O178" s="5" t="inlineStr"/>
      <c r="P178" s="5" t="inlineStr">
        <is>
          <t>https://www.facebook.com/Ecigboxnorthallerton/</t>
        </is>
      </c>
      <c r="Q178" s="5" t="inlineStr"/>
      <c r="R178" s="5" t="inlineStr"/>
      <c r="S178" s="5" t="inlineStr"/>
      <c r="T178" s="5" t="inlineStr"/>
      <c r="U178" s="5" t="inlineStr"/>
      <c r="V178" s="5" t="inlineStr">
        <is>
          <t>Medium</t>
        </is>
      </c>
      <c r="W178" s="5" t="inlineStr">
        <is>
          <t>Independent retailer; Core relevant category; Social presence</t>
        </is>
      </c>
      <c r="X178" s="5" t="inlineStr">
        <is>
          <t>Not Found</t>
        </is>
      </c>
      <c r="Y178" s="5" t="inlineStr">
        <is>
          <t>Not Found</t>
        </is>
      </c>
      <c r="Z178" s="5" t="inlineStr">
        <is>
          <t>Low</t>
        </is>
      </c>
      <c r="AA178" s="5" t="inlineStr">
        <is>
          <t>Requires Verification</t>
        </is>
      </c>
      <c r="AB178" s="5" t="inlineStr">
        <is>
          <t>https://www.facebook.com/Ecigboxnorthallerton/</t>
        </is>
      </c>
    </row>
    <row r="179">
      <c r="A179" s="10" t="inlineStr">
        <is>
          <t>UK-000600</t>
        </is>
      </c>
      <c r="B179" s="10" t="inlineStr">
        <is>
          <t>UK-000600-01</t>
        </is>
      </c>
      <c r="C179" s="10" t="inlineStr"/>
      <c r="D179" s="10" t="inlineStr">
        <is>
          <t>Edmonton Supermarket</t>
        </is>
      </c>
      <c r="E179" s="10" t="inlineStr">
        <is>
          <t>Independent Supermarket</t>
        </is>
      </c>
      <c r="F179" s="10" t="inlineStr">
        <is>
          <t>World-food supermarket (24hr)</t>
        </is>
      </c>
      <c r="G179" s="10" t="inlineStr">
        <is>
          <t>Independent</t>
        </is>
      </c>
      <c r="H179" s="10" t="inlineStr">
        <is>
          <t>1</t>
        </is>
      </c>
      <c r="I179" s="10" t="inlineStr">
        <is>
          <t>321 Fore Street</t>
        </is>
      </c>
      <c r="J179" s="10" t="inlineStr">
        <is>
          <t>Edmonton</t>
        </is>
      </c>
      <c r="K179" s="10" t="inlineStr">
        <is>
          <t>N9 0PD</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https://www.yell.com/s/grocers+and+convenience+stores-edmonton-north+london.html</t>
        </is>
      </c>
    </row>
    <row r="180">
      <c r="A180" s="5" t="inlineStr">
        <is>
          <t>UK-000771</t>
        </is>
      </c>
      <c r="B180" s="5" t="inlineStr">
        <is>
          <t>UK-000771-01</t>
        </is>
      </c>
      <c r="C180" s="5" t="inlineStr"/>
      <c r="D180" s="5" t="inlineStr">
        <is>
          <t>Elite Wholesale</t>
        </is>
      </c>
      <c r="E180" s="5" t="inlineStr">
        <is>
          <t>Cash &amp; Carry</t>
        </is>
      </c>
      <c r="F180" s="5" t="inlineStr">
        <is>
          <t>Independent cash &amp; carry wholesaler</t>
        </is>
      </c>
      <c r="G180" s="5" t="inlineStr">
        <is>
          <t>Independent</t>
        </is>
      </c>
      <c r="H180" s="5" t="inlineStr">
        <is>
          <t>1</t>
        </is>
      </c>
      <c r="I180" s="5" t="inlineStr"/>
      <c r="J180" s="5" t="inlineStr">
        <is>
          <t>Edinburgh</t>
        </is>
      </c>
      <c r="K180" s="5" t="inlineStr">
        <is>
          <t>EH7 5RS</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Not Found</t>
        </is>
      </c>
      <c r="Y180" s="5" t="inlineStr">
        <is>
          <t>Not Found</t>
        </is>
      </c>
      <c r="Z180" s="5" t="inlineStr">
        <is>
          <t>Low</t>
        </is>
      </c>
      <c r="AA180" s="5" t="inlineStr">
        <is>
          <t>Requires Verification</t>
        </is>
      </c>
      <c r="AB180" s="5" t="inlineStr">
        <is>
          <t>https://www.192.com/atoz/business/edinburgh-eh7/cash-and-carry-wholesalers/elite-wholesale/5e5495a162d31d863ca424ed90b18654b0a965af/ml/</t>
        </is>
      </c>
    </row>
    <row r="181">
      <c r="A181" s="10" t="inlineStr">
        <is>
          <t>UK-000602</t>
        </is>
      </c>
      <c r="B181" s="10" t="inlineStr">
        <is>
          <t>UK-000602-01</t>
        </is>
      </c>
      <c r="C181" s="10" t="inlineStr"/>
      <c r="D181" s="10" t="inlineStr">
        <is>
          <t>Elite Wine Merchants</t>
        </is>
      </c>
      <c r="E181" s="10" t="inlineStr">
        <is>
          <t>Off-Licence</t>
        </is>
      </c>
      <c r="F181" s="10" t="inlineStr">
        <is>
          <t>Off-licence / wine merchant</t>
        </is>
      </c>
      <c r="G181" s="10" t="inlineStr">
        <is>
          <t>Independent</t>
        </is>
      </c>
      <c r="H181" s="10" t="inlineStr">
        <is>
          <t>1</t>
        </is>
      </c>
      <c r="I181" s="10" t="inlineStr">
        <is>
          <t>176 Earls Court Road</t>
        </is>
      </c>
      <c r="J181" s="10" t="inlineStr">
        <is>
          <t>London</t>
        </is>
      </c>
      <c r="K181" s="10" t="inlineStr">
        <is>
          <t>SW5 9QQ</t>
        </is>
      </c>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Low</t>
        </is>
      </c>
      <c r="AA181" s="10" t="inlineStr">
        <is>
          <t>Requires Verification</t>
        </is>
      </c>
      <c r="AB181" s="10" t="inlineStr">
        <is>
          <t>https://www.yell.com/s/off+licences-earls+court-south+west+london.html</t>
        </is>
      </c>
    </row>
    <row r="182">
      <c r="A182" s="5" t="inlineStr">
        <is>
          <t>UK-000470</t>
        </is>
      </c>
      <c r="B182" s="5" t="inlineStr">
        <is>
          <t>UK-000470-01</t>
        </is>
      </c>
      <c r="C182" s="5" t="inlineStr"/>
      <c r="D182" s="5" t="inlineStr">
        <is>
          <t>Emperors Shisha Lounge Cafe</t>
        </is>
      </c>
      <c r="E182" s="5" t="inlineStr">
        <is>
          <t>Smoke / Shisha Shop</t>
        </is>
      </c>
      <c r="F182" s="5" t="inlineStr">
        <is>
          <t>Shisha lounge &amp; cafe</t>
        </is>
      </c>
      <c r="G182" s="5" t="inlineStr">
        <is>
          <t>Independent</t>
        </is>
      </c>
      <c r="H182" s="5" t="inlineStr">
        <is>
          <t>1</t>
        </is>
      </c>
      <c r="I182" s="5" t="inlineStr">
        <is>
          <t>15 Studley Street</t>
        </is>
      </c>
      <c r="J182" s="5" t="inlineStr">
        <is>
          <t>Birmingham</t>
        </is>
      </c>
      <c r="K182" s="5" t="inlineStr">
        <is>
          <t>B12 8JB</t>
        </is>
      </c>
      <c r="L182" s="5" t="inlineStr"/>
      <c r="M182" s="5" t="inlineStr"/>
      <c r="N182" s="5" t="inlineStr"/>
      <c r="O182" s="5" t="inlineStr">
        <is>
          <t>https://www.emperorscafe.co.uk/</t>
        </is>
      </c>
      <c r="P182" s="5" t="inlineStr">
        <is>
          <t>https://www.facebook.com/emperorslounge/</t>
        </is>
      </c>
      <c r="Q182" s="5" t="inlineStr">
        <is>
          <t>https://www.instagram.com/emperorscafe/</t>
        </is>
      </c>
      <c r="R182" s="5" t="inlineStr"/>
      <c r="S182" s="5" t="inlineStr"/>
      <c r="T182" s="5" t="inlineStr"/>
      <c r="U182" s="5" t="inlineStr"/>
      <c r="V182" s="5" t="inlineStr">
        <is>
          <t>Medium</t>
        </is>
      </c>
      <c r="W182" s="5" t="inlineStr">
        <is>
          <t>Independent retailer; Core relevant category; Active website; Social presence</t>
        </is>
      </c>
      <c r="X182" s="5" t="inlineStr">
        <is>
          <t>Not Found</t>
        </is>
      </c>
      <c r="Y182" s="5" t="inlineStr">
        <is>
          <t>Website Found</t>
        </is>
      </c>
      <c r="Z182" s="5" t="inlineStr">
        <is>
          <t>Low</t>
        </is>
      </c>
      <c r="AA182" s="5" t="inlineStr">
        <is>
          <t>Requires Verification</t>
        </is>
      </c>
      <c r="AB182" s="5" t="inlineStr">
        <is>
          <t>https://www.emperorscafe.co.uk/contact</t>
        </is>
      </c>
    </row>
    <row r="183">
      <c r="A183" s="10" t="inlineStr">
        <is>
          <t>UK-000603</t>
        </is>
      </c>
      <c r="B183" s="10" t="inlineStr">
        <is>
          <t>UK-000603-01</t>
        </is>
      </c>
      <c r="C183" s="10" t="inlineStr"/>
      <c r="D183" s="10" t="inlineStr">
        <is>
          <t>Express Kentish Town Food &amp; Wine</t>
        </is>
      </c>
      <c r="E183" s="10" t="inlineStr">
        <is>
          <t>Off-Licence</t>
        </is>
      </c>
      <c r="F183" s="10" t="inlineStr">
        <is>
          <t>Convenience &amp; off-licence</t>
        </is>
      </c>
      <c r="G183" s="10" t="inlineStr">
        <is>
          <t>Independent</t>
        </is>
      </c>
      <c r="H183" s="10" t="inlineStr">
        <is>
          <t>1</t>
        </is>
      </c>
      <c r="I183" s="10" t="inlineStr"/>
      <c r="J183" s="10" t="inlineStr">
        <is>
          <t>London</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https://www.yell.com/biz/express-kentish-town-food-and-wine-london-8768068/</t>
        </is>
      </c>
    </row>
    <row r="184">
      <c r="A184" s="5" t="inlineStr">
        <is>
          <t>UK-000358</t>
        </is>
      </c>
      <c r="B184" s="5" t="inlineStr">
        <is>
          <t>UK-000358-01</t>
        </is>
      </c>
      <c r="C184" s="5" t="inlineStr"/>
      <c r="D184" s="5" t="inlineStr">
        <is>
          <t>Ezee-Quit</t>
        </is>
      </c>
      <c r="E184" s="5" t="inlineStr">
        <is>
          <t>Vape Shop</t>
        </is>
      </c>
      <c r="F184" s="5" t="inlineStr"/>
      <c r="G184" s="5" t="inlineStr">
        <is>
          <t>Independent</t>
        </is>
      </c>
      <c r="H184" s="5" t="inlineStr">
        <is>
          <t>1</t>
        </is>
      </c>
      <c r="I184" s="5" t="inlineStr">
        <is>
          <t>7b Windmill Lane</t>
        </is>
      </c>
      <c r="J184" s="5" t="inlineStr">
        <is>
          <t>Denton</t>
        </is>
      </c>
      <c r="K184" s="5" t="inlineStr">
        <is>
          <t>M34 3DS</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Not Found</t>
        </is>
      </c>
      <c r="Y184" s="5" t="inlineStr">
        <is>
          <t>Not Found</t>
        </is>
      </c>
      <c r="Z184" s="5" t="inlineStr">
        <is>
          <t>Low</t>
        </is>
      </c>
      <c r="AA184" s="5" t="inlineStr">
        <is>
          <t>Requires Verification</t>
        </is>
      </c>
      <c r="AB184" s="5" t="inlineStr">
        <is>
          <t>https://denton-tameside.cylex-uk.co.uk/vape-shops/</t>
        </is>
      </c>
    </row>
    <row r="185">
      <c r="A185" s="10" t="inlineStr">
        <is>
          <t>UK-000604</t>
        </is>
      </c>
      <c r="B185" s="10" t="inlineStr">
        <is>
          <t>UK-000604-01</t>
        </is>
      </c>
      <c r="C185" s="10" t="inlineStr"/>
      <c r="D185" s="10" t="inlineStr">
        <is>
          <t>Falcon Supermarket Ltd</t>
        </is>
      </c>
      <c r="E185" s="10" t="inlineStr">
        <is>
          <t>Independent Supermarket</t>
        </is>
      </c>
      <c r="F185" s="10" t="inlineStr">
        <is>
          <t>World-food supermarket</t>
        </is>
      </c>
      <c r="G185" s="10" t="inlineStr">
        <is>
          <t>Independent</t>
        </is>
      </c>
      <c r="H185" s="10" t="inlineStr">
        <is>
          <t>1</t>
        </is>
      </c>
      <c r="I185" s="10" t="inlineStr"/>
      <c r="J185" s="10" t="inlineStr">
        <is>
          <t>Barking</t>
        </is>
      </c>
      <c r="K185" s="10" t="inlineStr">
        <is>
          <t>IG11 8AG</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https://www.192.com/atoz/business/barking-ig11/convenience-stores/falcon-supermarket-ltd/d207ce31292b5e7e5310b42c3d9b883c0af23641/comp/</t>
        </is>
      </c>
    </row>
    <row r="186">
      <c r="A186" s="5" t="inlineStr">
        <is>
          <t>UK-000244</t>
        </is>
      </c>
      <c r="B186" s="5" t="inlineStr">
        <is>
          <t>UK-000244-01</t>
        </is>
      </c>
      <c r="C186" s="5" t="inlineStr"/>
      <c r="D186" s="5" t="inlineStr">
        <is>
          <t>Fantasy Vapez</t>
        </is>
      </c>
      <c r="E186" s="5" t="inlineStr">
        <is>
          <t>Vape Shop</t>
        </is>
      </c>
      <c r="F186" s="5" t="inlineStr">
        <is>
          <t>Vape shop</t>
        </is>
      </c>
      <c r="G186" s="5" t="inlineStr">
        <is>
          <t>Independent</t>
        </is>
      </c>
      <c r="H186" s="5" t="inlineStr">
        <is>
          <t>1</t>
        </is>
      </c>
      <c r="I186" s="5" t="inlineStr">
        <is>
          <t>4 Market Street</t>
        </is>
      </c>
      <c r="J186" s="5" t="inlineStr">
        <is>
          <t>Cleethorpes</t>
        </is>
      </c>
      <c r="K186" s="5" t="inlineStr">
        <is>
          <t>DN35 8LY</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Independent retailer; Core relevant category</t>
        </is>
      </c>
      <c r="X186" s="5" t="inlineStr">
        <is>
          <t>Not Found</t>
        </is>
      </c>
      <c r="Y186" s="5" t="inlineStr">
        <is>
          <t>Not Found</t>
        </is>
      </c>
      <c r="Z186" s="5" t="inlineStr">
        <is>
          <t>Low</t>
        </is>
      </c>
      <c r="AA186" s="5" t="inlineStr">
        <is>
          <t>Requires Verification</t>
        </is>
      </c>
      <c r="AB186" s="5" t="inlineStr">
        <is>
          <t>https://cleethorpes.cylex-uk.co.uk/vape-shops/</t>
        </is>
      </c>
    </row>
    <row r="187">
      <c r="A187" s="10" t="inlineStr">
        <is>
          <t>UK-000245</t>
        </is>
      </c>
      <c r="B187" s="10" t="inlineStr">
        <is>
          <t>UK-000245-01</t>
        </is>
      </c>
      <c r="C187" s="10" t="inlineStr"/>
      <c r="D187" s="10" t="inlineStr">
        <is>
          <t>First Choice Off Licence</t>
        </is>
      </c>
      <c r="E187" s="10" t="inlineStr">
        <is>
          <t>Off-Licence</t>
        </is>
      </c>
      <c r="F187" s="10" t="inlineStr">
        <is>
          <t>Off-licence</t>
        </is>
      </c>
      <c r="G187" s="10" t="inlineStr">
        <is>
          <t>Independent</t>
        </is>
      </c>
      <c r="H187" s="10" t="inlineStr">
        <is>
          <t>1</t>
        </is>
      </c>
      <c r="I187" s="10" t="inlineStr"/>
      <c r="J187" s="10" t="inlineStr">
        <is>
          <t>Sheffield</t>
        </is>
      </c>
      <c r="K187" s="10" t="inlineStr"/>
      <c r="L187" s="10" t="inlineStr"/>
      <c r="M187" s="10" t="inlineStr"/>
      <c r="N187" s="10" t="inlineStr"/>
      <c r="O187" s="10" t="inlineStr"/>
      <c r="P187" s="10" t="inlineStr">
        <is>
          <t>https://www.facebook.com/FirstChoiceOffLicence/</t>
        </is>
      </c>
      <c r="Q187" s="10" t="inlineStr"/>
      <c r="R187" s="10" t="inlineStr"/>
      <c r="S187" s="10" t="inlineStr"/>
      <c r="T187" s="10" t="inlineStr"/>
      <c r="U187" s="10" t="inlineStr"/>
      <c r="V187" s="10" t="inlineStr">
        <is>
          <t>Medium</t>
        </is>
      </c>
      <c r="W187" s="10" t="inlineStr">
        <is>
          <t>Independent retailer; Relevant category; Social presence</t>
        </is>
      </c>
      <c r="X187" s="10" t="inlineStr">
        <is>
          <t>Not Found</t>
        </is>
      </c>
      <c r="Y187" s="10" t="inlineStr">
        <is>
          <t>Not Found</t>
        </is>
      </c>
      <c r="Z187" s="10" t="inlineStr">
        <is>
          <t>Low</t>
        </is>
      </c>
      <c r="AA187" s="10" t="inlineStr">
        <is>
          <t>Requires Verification</t>
        </is>
      </c>
      <c r="AB187" s="10" t="inlineStr">
        <is>
          <t>https://www.facebook.com/FirstChoiceOffLicence/</t>
        </is>
      </c>
    </row>
    <row r="188">
      <c r="A188" s="5" t="inlineStr">
        <is>
          <t>UK-000248</t>
        </is>
      </c>
      <c r="B188" s="5" t="inlineStr">
        <is>
          <t>UK-000248-01</t>
        </is>
      </c>
      <c r="C188" s="5" t="inlineStr"/>
      <c r="D188" s="5" t="inlineStr">
        <is>
          <t>Food Plus (Babylon Supermarket 7)</t>
        </is>
      </c>
      <c r="E188" s="5" t="inlineStr">
        <is>
          <t>Independent Supermarket</t>
        </is>
      </c>
      <c r="F188" s="5" t="inlineStr">
        <is>
          <t>Polish / world foods store</t>
        </is>
      </c>
      <c r="G188" s="5" t="inlineStr">
        <is>
          <t>Independent</t>
        </is>
      </c>
      <c r="H188" s="5" t="inlineStr">
        <is>
          <t>1</t>
        </is>
      </c>
      <c r="I188" s="5" t="inlineStr"/>
      <c r="J188" s="5" t="inlineStr">
        <is>
          <t>Kingston upon Hull</t>
        </is>
      </c>
      <c r="K188" s="5" t="inlineStr">
        <is>
          <t>HU3 4BJ</t>
        </is>
      </c>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https://www.foodplus.eu/en/products/food-plus-babylon-supermarket-7-hu3-4bj-kingston-upon-hull</t>
        </is>
      </c>
    </row>
    <row r="189">
      <c r="A189" s="10" t="inlineStr">
        <is>
          <t>UK-000775</t>
        </is>
      </c>
      <c r="B189" s="10" t="inlineStr">
        <is>
          <t>UK-000775-01</t>
        </is>
      </c>
      <c r="C189" s="10" t="inlineStr"/>
      <c r="D189" s="10" t="inlineStr">
        <is>
          <t>Food World</t>
        </is>
      </c>
      <c r="E189" s="10" t="inlineStr">
        <is>
          <t>Independent Supermarket</t>
        </is>
      </c>
      <c r="F189" s="10" t="inlineStr">
        <is>
          <t>World-food / grocery store</t>
        </is>
      </c>
      <c r="G189" s="10" t="inlineStr">
        <is>
          <t>Independent</t>
        </is>
      </c>
      <c r="H189" s="10" t="inlineStr">
        <is>
          <t>1</t>
        </is>
      </c>
      <c r="I189" s="10" t="inlineStr">
        <is>
          <t>165 Whitefield Road</t>
        </is>
      </c>
      <c r="J189" s="10" t="inlineStr">
        <is>
          <t>Liverpool</t>
        </is>
      </c>
      <c r="K189" s="10" t="inlineStr">
        <is>
          <t>L6 5DB</t>
        </is>
      </c>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https://www.yell.com/biz/foodworld-liverpool-7634386/</t>
        </is>
      </c>
    </row>
    <row r="190">
      <c r="A190" s="5" t="inlineStr">
        <is>
          <t>UK-000776</t>
        </is>
      </c>
      <c r="B190" s="5" t="inlineStr">
        <is>
          <t>UK-000776-01</t>
        </is>
      </c>
      <c r="C190" s="5" t="inlineStr"/>
      <c r="D190" s="5" t="inlineStr">
        <is>
          <t>Foodasia Hypermart</t>
        </is>
      </c>
      <c r="E190" s="5" t="inlineStr">
        <is>
          <t>Independent Supermarket</t>
        </is>
      </c>
      <c r="F190" s="5" t="inlineStr">
        <is>
          <t>World foods superstore</t>
        </is>
      </c>
      <c r="G190" s="5" t="inlineStr">
        <is>
          <t>Independent</t>
        </is>
      </c>
      <c r="H190" s="5" t="inlineStr">
        <is>
          <t>1</t>
        </is>
      </c>
      <c r="I190" s="5" t="inlineStr">
        <is>
          <t>101 Centre Street</t>
        </is>
      </c>
      <c r="J190" s="5" t="inlineStr">
        <is>
          <t>Glasgow</t>
        </is>
      </c>
      <c r="K190" s="5" t="inlineStr">
        <is>
          <t>G5 8BU</t>
        </is>
      </c>
      <c r="L190" s="5" t="inlineStr"/>
      <c r="M190" s="5" t="inlineStr"/>
      <c r="N190" s="5" t="inlineStr"/>
      <c r="O190" s="5" t="inlineStr">
        <is>
          <t>https://foodasiaonline.com/</t>
        </is>
      </c>
      <c r="P190" s="5" t="inlineStr">
        <is>
          <t>https://www.facebook.com/foodasiaglasgow/</t>
        </is>
      </c>
      <c r="Q190" s="5" t="inlineStr">
        <is>
          <t>https://www.instagram.com/foodasiascotland/</t>
        </is>
      </c>
      <c r="R190" s="5" t="inlineStr"/>
      <c r="S190" s="5" t="inlineStr"/>
      <c r="T190" s="5" t="inlineStr"/>
      <c r="U190" s="5" t="inlineStr"/>
      <c r="V190" s="5" t="inlineStr">
        <is>
          <t>Medium</t>
        </is>
      </c>
      <c r="W190" s="5" t="inlineStr">
        <is>
          <t>Independent retailer; Relevant category; Active website; Social presence</t>
        </is>
      </c>
      <c r="X190" s="5" t="inlineStr">
        <is>
          <t>Not Found</t>
        </is>
      </c>
      <c r="Y190" s="5" t="inlineStr">
        <is>
          <t>Website Found</t>
        </is>
      </c>
      <c r="Z190" s="5" t="inlineStr">
        <is>
          <t>Medium</t>
        </is>
      </c>
      <c r="AA190" s="5" t="inlineStr">
        <is>
          <t>Requires Verification</t>
        </is>
      </c>
      <c r="AB190" s="5" t="inlineStr">
        <is>
          <t>https://foodasiaonline.com/</t>
        </is>
      </c>
    </row>
    <row r="191">
      <c r="A191" s="10" t="inlineStr">
        <is>
          <t>WY-0085</t>
        </is>
      </c>
      <c r="B191" s="10" t="inlineStr">
        <is>
          <t>WY-0085-01</t>
        </is>
      </c>
      <c r="C191" s="10" t="inlineStr"/>
      <c r="D191" s="10" t="inlineStr">
        <is>
          <t>Forever Vapes</t>
        </is>
      </c>
      <c r="E191" s="10" t="inlineStr">
        <is>
          <t>Vape Shop</t>
        </is>
      </c>
      <c r="F191" s="10" t="inlineStr">
        <is>
          <t>Vape retailer</t>
        </is>
      </c>
      <c r="G191" s="10" t="inlineStr">
        <is>
          <t>Independent</t>
        </is>
      </c>
      <c r="H191" s="10" t="inlineStr">
        <is>
          <t>1</t>
        </is>
      </c>
      <c r="I191" s="10" t="inlineStr">
        <is>
          <t>Market Street</t>
        </is>
      </c>
      <c r="J191" s="10" t="inlineStr">
        <is>
          <t>Heckmondwike</t>
        </is>
      </c>
      <c r="K191" s="10" t="inlineStr">
        <is>
          <t>WF16 0JU</t>
        </is>
      </c>
      <c r="L191" s="10" t="inlineStr"/>
      <c r="M191" s="10" t="inlineStr"/>
      <c r="N191" s="10" t="inlineStr"/>
      <c r="O191" s="10" t="inlineStr"/>
      <c r="P191" s="10" t="inlineStr"/>
      <c r="Q191" s="10" t="inlineStr"/>
      <c r="R191" s="10" t="inlineStr"/>
      <c r="S191" s="10" t="inlineStr"/>
      <c r="T191" s="10" t="inlineStr"/>
      <c r="U191" s="10" t="inlineStr"/>
      <c r="V191" s="10" t="inlineStr">
        <is>
          <t>Medium</t>
        </is>
      </c>
      <c r="W191" s="10" t="inlineStr">
        <is>
          <t>Independent retailer; Core relevant category</t>
        </is>
      </c>
      <c r="X191" s="10" t="inlineStr">
        <is>
          <t>Not Found</t>
        </is>
      </c>
      <c r="Y191" s="10" t="inlineStr">
        <is>
          <t>Not Found</t>
        </is>
      </c>
      <c r="Z191" s="10" t="inlineStr">
        <is>
          <t>Low</t>
        </is>
      </c>
      <c r="AA191" s="10" t="inlineStr">
        <is>
          <t>Requires Verification</t>
        </is>
      </c>
      <c r="AB191" s="10" t="inlineStr">
        <is>
          <t>https://vapeshops.puffingbird.com/yorkshire-and-the-humber/heckmondwike/forever-vapes-ltd</t>
        </is>
      </c>
    </row>
    <row r="192">
      <c r="A192" s="5" t="inlineStr">
        <is>
          <t>UK-000606</t>
        </is>
      </c>
      <c r="B192" s="5" t="inlineStr">
        <is>
          <t>UK-000606-01</t>
        </is>
      </c>
      <c r="C192" s="5" t="inlineStr"/>
      <c r="D192" s="5" t="inlineStr">
        <is>
          <t>Fresh Bazaar Ltd</t>
        </is>
      </c>
      <c r="E192" s="5" t="inlineStr">
        <is>
          <t>Convenience Store</t>
        </is>
      </c>
      <c r="F192" s="5" t="inlineStr">
        <is>
          <t>Convenience &amp; grocery</t>
        </is>
      </c>
      <c r="G192" s="5" t="inlineStr">
        <is>
          <t>Independent</t>
        </is>
      </c>
      <c r="H192" s="5" t="inlineStr">
        <is>
          <t>1</t>
        </is>
      </c>
      <c r="I192" s="5" t="inlineStr"/>
      <c r="J192" s="5" t="inlineStr">
        <is>
          <t>Bethnal Green</t>
        </is>
      </c>
      <c r="K192" s="5" t="inlineStr">
        <is>
          <t>E2 0AH</t>
        </is>
      </c>
      <c r="L192" s="5" t="inlineStr"/>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Not Found</t>
        </is>
      </c>
      <c r="Y192" s="5" t="inlineStr">
        <is>
          <t>Not Found</t>
        </is>
      </c>
      <c r="Z192" s="5" t="inlineStr">
        <is>
          <t>Low</t>
        </is>
      </c>
      <c r="AA192" s="5" t="inlineStr">
        <is>
          <t>Requires Verification</t>
        </is>
      </c>
      <c r="AB192" s="5" t="inlineStr">
        <is>
          <t>https://www.192.com/atoz/business/london-e2/convenience-stores/fresh-bazaar-ltd/931f21171fde778d06198bb33ab9a5f663a96283/ml/</t>
        </is>
      </c>
    </row>
    <row r="193">
      <c r="A193" s="10" t="inlineStr">
        <is>
          <t>UK-000249</t>
        </is>
      </c>
      <c r="B193" s="10" t="inlineStr">
        <is>
          <t>UK-000249-01</t>
        </is>
      </c>
      <c r="C193" s="10" t="inlineStr"/>
      <c r="D193" s="10" t="inlineStr">
        <is>
          <t>Freshco Cash &amp; Carry</t>
        </is>
      </c>
      <c r="E193" s="10" t="inlineStr">
        <is>
          <t>Cash &amp; Carry</t>
        </is>
      </c>
      <c r="F193" s="10" t="inlineStr">
        <is>
          <t>Wholesale cash &amp; carry / supermarket</t>
        </is>
      </c>
      <c r="G193" s="10" t="inlineStr">
        <is>
          <t>Independent</t>
        </is>
      </c>
      <c r="H193" s="10" t="inlineStr">
        <is>
          <t>1</t>
        </is>
      </c>
      <c r="I193" s="10" t="inlineStr">
        <is>
          <t>185-201 Spring Bank</t>
        </is>
      </c>
      <c r="J193" s="10" t="inlineStr">
        <is>
          <t>Kingston upon Hull</t>
        </is>
      </c>
      <c r="K193" s="10" t="inlineStr">
        <is>
          <t>HU3 1LP</t>
        </is>
      </c>
      <c r="L193" s="10" t="inlineStr"/>
      <c r="M193" s="10" t="inlineStr"/>
      <c r="N193" s="10" t="inlineStr"/>
      <c r="O193" s="10" t="inlineStr">
        <is>
          <t>https://freshcocashcarry.co.uk</t>
        </is>
      </c>
      <c r="P193" s="10" t="inlineStr">
        <is>
          <t>https://www.facebook.com/p/Feshco-cashcarry-limited-61556302407551/</t>
        </is>
      </c>
      <c r="Q193" s="10" t="inlineStr"/>
      <c r="R193" s="10" t="inlineStr"/>
      <c r="S193" s="10" t="inlineStr"/>
      <c r="T193" s="10" t="inlineStr">
        <is>
          <t>14599796</t>
        </is>
      </c>
      <c r="U193" s="10" t="inlineStr">
        <is>
          <t>Active</t>
        </is>
      </c>
      <c r="V193" s="10" t="inlineStr">
        <is>
          <t>Medium</t>
        </is>
      </c>
      <c r="W193" s="10" t="inlineStr">
        <is>
          <t>Independent retailer; Core relevant category; Active website; Social presence</t>
        </is>
      </c>
      <c r="X193" s="10" t="inlineStr">
        <is>
          <t>Not Found</t>
        </is>
      </c>
      <c r="Y193" s="10" t="inlineStr">
        <is>
          <t>Not Found</t>
        </is>
      </c>
      <c r="Z193" s="10" t="inlineStr">
        <is>
          <t>Medium</t>
        </is>
      </c>
      <c r="AA193" s="10" t="inlineStr">
        <is>
          <t>Verified (website + Companies House)</t>
        </is>
      </c>
      <c r="AB193" s="10" t="inlineStr">
        <is>
          <t>https://freshcocashcarry.co.uk/</t>
        </is>
      </c>
    </row>
    <row r="194">
      <c r="A194" s="5" t="inlineStr">
        <is>
          <t>WY-0087</t>
        </is>
      </c>
      <c r="B194" s="5" t="inlineStr">
        <is>
          <t>WY-0087-01</t>
        </is>
      </c>
      <c r="C194" s="5" t="inlineStr"/>
      <c r="D194" s="5" t="inlineStr">
        <is>
          <t>Freshco UK</t>
        </is>
      </c>
      <c r="E194" s="5" t="inlineStr">
        <is>
          <t>Convenience Store</t>
        </is>
      </c>
      <c r="F194" s="5" t="inlineStr">
        <is>
          <t>Grocery store with halal meat</t>
        </is>
      </c>
      <c r="G194" s="5" t="inlineStr">
        <is>
          <t>Independent</t>
        </is>
      </c>
      <c r="H194" s="5" t="inlineStr">
        <is>
          <t>1</t>
        </is>
      </c>
      <c r="I194" s="5" t="inlineStr"/>
      <c r="J194" s="5" t="inlineStr">
        <is>
          <t>Bradford</t>
        </is>
      </c>
      <c r="K194" s="5" t="inlineStr"/>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Low</t>
        </is>
      </c>
      <c r="AA194" s="5" t="inlineStr">
        <is>
          <t>Requires Verification</t>
        </is>
      </c>
      <c r="AB194" s="5" t="inlineStr">
        <is>
          <t>https://freshco-uk-ltd.wheree.com/</t>
        </is>
      </c>
    </row>
    <row r="195">
      <c r="A195" s="10" t="inlineStr">
        <is>
          <t>UK-000250</t>
        </is>
      </c>
      <c r="B195" s="10" t="inlineStr">
        <is>
          <t>UK-000250-01</t>
        </is>
      </c>
      <c r="C195" s="10" t="inlineStr"/>
      <c r="D195" s="10" t="inlineStr">
        <is>
          <t>GDF Vape Shop</t>
        </is>
      </c>
      <c r="E195" s="10" t="inlineStr">
        <is>
          <t>Vape Shop</t>
        </is>
      </c>
      <c r="F195" s="10" t="inlineStr">
        <is>
          <t>Vape shop</t>
        </is>
      </c>
      <c r="G195" s="10" t="inlineStr">
        <is>
          <t>Independent</t>
        </is>
      </c>
      <c r="H195" s="10" t="inlineStr">
        <is>
          <t>1</t>
        </is>
      </c>
      <c r="I195" s="10" t="inlineStr"/>
      <c r="J195" s="10" t="inlineStr">
        <is>
          <t>Doncaster</t>
        </is>
      </c>
      <c r="K195" s="10" t="inlineStr"/>
      <c r="L195" s="10" t="inlineStr"/>
      <c r="M195" s="10" t="inlineStr"/>
      <c r="N195" s="10" t="inlineStr"/>
      <c r="O195" s="10" t="inlineStr">
        <is>
          <t>https://gdf-vape-shop.ueniweb.com/</t>
        </is>
      </c>
      <c r="P195" s="10" t="inlineStr"/>
      <c r="Q195" s="10" t="inlineStr"/>
      <c r="R195" s="10" t="inlineStr"/>
      <c r="S195" s="10" t="inlineStr"/>
      <c r="T195" s="10" t="inlineStr"/>
      <c r="U195" s="10" t="inlineStr"/>
      <c r="V195" s="10" t="inlineStr">
        <is>
          <t>Medium</t>
        </is>
      </c>
      <c r="W195" s="10" t="inlineStr">
        <is>
          <t>Independent retailer; Core relevant category; Active website</t>
        </is>
      </c>
      <c r="X195" s="10" t="inlineStr">
        <is>
          <t>Not Found</t>
        </is>
      </c>
      <c r="Y195" s="10" t="inlineStr">
        <is>
          <t>Website Found</t>
        </is>
      </c>
      <c r="Z195" s="10" t="inlineStr">
        <is>
          <t>Low</t>
        </is>
      </c>
      <c r="AA195" s="10" t="inlineStr">
        <is>
          <t>Requires Verification</t>
        </is>
      </c>
      <c r="AB195" s="10" t="inlineStr">
        <is>
          <t>https://gdf-vape-shop.ueniweb.com/</t>
        </is>
      </c>
    </row>
    <row r="196">
      <c r="A196" s="5" t="inlineStr">
        <is>
          <t>UK-000472</t>
        </is>
      </c>
      <c r="B196" s="5" t="inlineStr">
        <is>
          <t>UK-000472-01</t>
        </is>
      </c>
      <c r="C196" s="5" t="inlineStr"/>
      <c r="D196" s="5" t="inlineStr">
        <is>
          <t>Gadgets And Vape House</t>
        </is>
      </c>
      <c r="E196" s="5" t="inlineStr">
        <is>
          <t>Vape Shop</t>
        </is>
      </c>
      <c r="F196" s="5" t="inlineStr">
        <is>
          <t>Vapes, e-cigarettes &amp; accessories</t>
        </is>
      </c>
      <c r="G196" s="5" t="inlineStr">
        <is>
          <t>Independent</t>
        </is>
      </c>
      <c r="H196" s="5" t="inlineStr">
        <is>
          <t>1</t>
        </is>
      </c>
      <c r="I196" s="5" t="inlineStr"/>
      <c r="J196" s="5" t="inlineStr">
        <is>
          <t>Dudley</t>
        </is>
      </c>
      <c r="K196" s="5" t="inlineStr"/>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Not Found</t>
        </is>
      </c>
      <c r="Y196" s="5" t="inlineStr">
        <is>
          <t>Not Found</t>
        </is>
      </c>
      <c r="Z196" s="5" t="inlineStr">
        <is>
          <t>Low</t>
        </is>
      </c>
      <c r="AA196" s="5" t="inlineStr">
        <is>
          <t>Requires Verification</t>
        </is>
      </c>
      <c r="AB196" s="5" t="inlineStr">
        <is>
          <t>https://shopdudley.co.uk/listing/gadgets-and-vape-house/</t>
        </is>
      </c>
    </row>
    <row r="197">
      <c r="A197" s="10" t="inlineStr">
        <is>
          <t>UK-000609</t>
        </is>
      </c>
      <c r="B197" s="10" t="inlineStr">
        <is>
          <t>UK-000609-01</t>
        </is>
      </c>
      <c r="C197" s="10" t="inlineStr"/>
      <c r="D197" s="10" t="inlineStr">
        <is>
          <t>Galaxy Convenient Store</t>
        </is>
      </c>
      <c r="E197" s="10" t="inlineStr">
        <is>
          <t>Convenience Store</t>
        </is>
      </c>
      <c r="F197" s="10" t="inlineStr"/>
      <c r="G197" s="10" t="inlineStr">
        <is>
          <t>Independent</t>
        </is>
      </c>
      <c r="H197" s="10" t="inlineStr">
        <is>
          <t>1</t>
        </is>
      </c>
      <c r="I197" s="10" t="inlineStr">
        <is>
          <t>247 London Road</t>
        </is>
      </c>
      <c r="J197" s="10" t="inlineStr">
        <is>
          <t>Mitcham</t>
        </is>
      </c>
      <c r="K197" s="10" t="inlineStr">
        <is>
          <t>CR4 3NH</t>
        </is>
      </c>
      <c r="L197" s="10" t="inlineStr"/>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Not Found</t>
        </is>
      </c>
      <c r="Y197" s="10" t="inlineStr">
        <is>
          <t>Not Found</t>
        </is>
      </c>
      <c r="Z197" s="10" t="inlineStr">
        <is>
          <t>Low</t>
        </is>
      </c>
      <c r="AA197" s="10" t="inlineStr">
        <is>
          <t>Requires Verification</t>
        </is>
      </c>
      <c r="AB197" s="10" t="inlineStr">
        <is>
          <t>https://www.yell.com/biz/galaxy-convienient-store-mitcham-6771299/</t>
        </is>
      </c>
    </row>
    <row r="198">
      <c r="A198" s="5" t="inlineStr">
        <is>
          <t>WY-0088</t>
        </is>
      </c>
      <c r="B198" s="5" t="inlineStr">
        <is>
          <t>WY-0088-01</t>
        </is>
      </c>
      <c r="C198" s="5" t="inlineStr"/>
      <c r="D198" s="5" t="inlineStr">
        <is>
          <t>Get Plugged</t>
        </is>
      </c>
      <c r="E198" s="5" t="inlineStr">
        <is>
          <t>Vape Shop</t>
        </is>
      </c>
      <c r="F198" s="5" t="inlineStr">
        <is>
          <t>Vape shop and convenience snacks</t>
        </is>
      </c>
      <c r="G198" s="5" t="inlineStr">
        <is>
          <t>Independent</t>
        </is>
      </c>
      <c r="H198" s="5" t="inlineStr">
        <is>
          <t>1</t>
        </is>
      </c>
      <c r="I198" s="5" t="inlineStr">
        <is>
          <t>Bradford Road</t>
        </is>
      </c>
      <c r="J198" s="5" t="inlineStr">
        <is>
          <t>Huddersfield</t>
        </is>
      </c>
      <c r="K198" s="5" t="inlineStr"/>
      <c r="L198" s="5" t="inlineStr"/>
      <c r="M198" s="5" t="inlineStr"/>
      <c r="N198" s="5" t="inlineStr"/>
      <c r="O198" s="5" t="inlineStr">
        <is>
          <t>https://getplugged.co.uk/</t>
        </is>
      </c>
      <c r="P198" s="5" t="inlineStr">
        <is>
          <t>https://www.facebook.com/p/Get-Plugged-61559687350403/</t>
        </is>
      </c>
      <c r="Q198" s="5" t="inlineStr"/>
      <c r="R198" s="5" t="inlineStr"/>
      <c r="S198" s="5" t="inlineStr"/>
      <c r="T198" s="5" t="inlineStr"/>
      <c r="U198" s="5" t="inlineStr"/>
      <c r="V198" s="5" t="inlineStr">
        <is>
          <t>Medium</t>
        </is>
      </c>
      <c r="W198" s="5" t="inlineStr">
        <is>
          <t>Independent retailer; Core relevant category; Active website; Social presence</t>
        </is>
      </c>
      <c r="X198" s="5" t="inlineStr">
        <is>
          <t>Not Found</t>
        </is>
      </c>
      <c r="Y198" s="5" t="inlineStr">
        <is>
          <t>Website Found</t>
        </is>
      </c>
      <c r="Z198" s="5" t="inlineStr">
        <is>
          <t>Medium</t>
        </is>
      </c>
      <c r="AA198" s="5" t="inlineStr">
        <is>
          <t>Requires Verification</t>
        </is>
      </c>
      <c r="AB198" s="5" t="inlineStr">
        <is>
          <t>https://getplugged.co.uk/</t>
        </is>
      </c>
    </row>
    <row r="199">
      <c r="A199" s="10" t="inlineStr">
        <is>
          <t>WY-0089</t>
        </is>
      </c>
      <c r="B199" s="10" t="inlineStr">
        <is>
          <t>WY-0089-01</t>
        </is>
      </c>
      <c r="C199" s="10" t="inlineStr"/>
      <c r="D199" s="10" t="inlineStr">
        <is>
          <t>Gibraltar Mini Mart</t>
        </is>
      </c>
      <c r="E199" s="10" t="inlineStr">
        <is>
          <t>Convenience Store</t>
        </is>
      </c>
      <c r="F199" s="10" t="inlineStr">
        <is>
          <t>Convenience store with vapes and mobile accessories</t>
        </is>
      </c>
      <c r="G199" s="10" t="inlineStr">
        <is>
          <t>Independent</t>
        </is>
      </c>
      <c r="H199" s="10" t="inlineStr">
        <is>
          <t>1</t>
        </is>
      </c>
      <c r="I199" s="10" t="inlineStr">
        <is>
          <t>101 Hopwood Lane</t>
        </is>
      </c>
      <c r="J199" s="10" t="inlineStr">
        <is>
          <t>Halifax</t>
        </is>
      </c>
      <c r="K199" s="10" t="inlineStr"/>
      <c r="L199" s="10" t="inlineStr"/>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Not Found</t>
        </is>
      </c>
      <c r="Y199" s="10" t="inlineStr">
        <is>
          <t>Not Found</t>
        </is>
      </c>
      <c r="Z199" s="10" t="inlineStr">
        <is>
          <t>Low</t>
        </is>
      </c>
      <c r="AA199" s="10" t="inlineStr">
        <is>
          <t>Requires Verification</t>
        </is>
      </c>
      <c r="AB199" s="10" t="inlineStr">
        <is>
          <t>https://www.yorkshire.com/halifax/shopping/corner-shops/gibraltar-mini-mart-vapemobile-shop</t>
        </is>
      </c>
    </row>
    <row r="200">
      <c r="A200" s="5" t="inlineStr">
        <is>
          <t>UK-000359</t>
        </is>
      </c>
      <c r="B200" s="5" t="inlineStr">
        <is>
          <t>UK-000359-01</t>
        </is>
      </c>
      <c r="C200" s="5" t="inlineStr"/>
      <c r="D200" s="5" t="inlineStr">
        <is>
          <t>Global Food Ashton</t>
        </is>
      </c>
      <c r="E200" s="5" t="inlineStr">
        <is>
          <t>Cash &amp; Carry</t>
        </is>
      </c>
      <c r="F200" s="5" t="inlineStr">
        <is>
          <t>Food wholesale</t>
        </is>
      </c>
      <c r="G200" s="5" t="inlineStr">
        <is>
          <t>Independent</t>
        </is>
      </c>
      <c r="H200" s="5" t="inlineStr">
        <is>
          <t>1</t>
        </is>
      </c>
      <c r="I200" s="5" t="inlineStr">
        <is>
          <t>Unit 2-5 Union Garage</t>
        </is>
      </c>
      <c r="J200" s="5" t="inlineStr">
        <is>
          <t>Ashton-under-Lyne</t>
        </is>
      </c>
      <c r="K200" s="5" t="inlineStr">
        <is>
          <t>OL6 6HL</t>
        </is>
      </c>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Not Found</t>
        </is>
      </c>
      <c r="Y200" s="5" t="inlineStr">
        <is>
          <t>Not Found</t>
        </is>
      </c>
      <c r="Z200" s="5" t="inlineStr">
        <is>
          <t>Low</t>
        </is>
      </c>
      <c r="AA200" s="5" t="inlineStr">
        <is>
          <t>Requires Verification</t>
        </is>
      </c>
      <c r="AB200" s="5" t="inlineStr">
        <is>
          <t>https://www.yell.com/biz/global-food-ashton-ashton-under-lyne-8490812/</t>
        </is>
      </c>
    </row>
    <row r="201">
      <c r="A201" s="10" t="inlineStr">
        <is>
          <t>WY-0090</t>
        </is>
      </c>
      <c r="B201" s="10" t="inlineStr">
        <is>
          <t>WY-0090-01</t>
        </is>
      </c>
      <c r="C201" s="10" t="inlineStr"/>
      <c r="D201" s="10" t="inlineStr">
        <is>
          <t>Global Mini Market 2</t>
        </is>
      </c>
      <c r="E201" s="10" t="inlineStr">
        <is>
          <t>Convenience Store</t>
        </is>
      </c>
      <c r="F201" s="10" t="inlineStr">
        <is>
          <t>24-hour convenience store &amp; off-licence</t>
        </is>
      </c>
      <c r="G201" s="10" t="inlineStr">
        <is>
          <t>Independent</t>
        </is>
      </c>
      <c r="H201" s="10" t="inlineStr">
        <is>
          <t>1</t>
        </is>
      </c>
      <c r="I201" s="10" t="inlineStr">
        <is>
          <t>83-85 Main Street</t>
        </is>
      </c>
      <c r="J201" s="10" t="inlineStr">
        <is>
          <t>Bingley</t>
        </is>
      </c>
      <c r="K201" s="10" t="inlineStr">
        <is>
          <t>BD16 2JA</t>
        </is>
      </c>
      <c r="L201" s="10" t="inlineStr"/>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Not Found</t>
        </is>
      </c>
      <c r="Y201" s="10" t="inlineStr">
        <is>
          <t>Not Found</t>
        </is>
      </c>
      <c r="Z201" s="10" t="inlineStr">
        <is>
          <t>Medium</t>
        </is>
      </c>
      <c r="AA201" s="10" t="inlineStr">
        <is>
          <t>Requires Verification</t>
        </is>
      </c>
      <c r="AB201" s="10" t="inlineStr">
        <is>
          <t>https://www.24houralcohol.co.uk/bradford-off-licences</t>
        </is>
      </c>
    </row>
    <row r="202">
      <c r="A202" s="5" t="inlineStr">
        <is>
          <t>UK-000611</t>
        </is>
      </c>
      <c r="B202" s="5" t="inlineStr">
        <is>
          <t>UK-000611-01</t>
        </is>
      </c>
      <c r="C202" s="5" t="inlineStr"/>
      <c r="D202" s="5" t="inlineStr">
        <is>
          <t>Global News</t>
        </is>
      </c>
      <c r="E202" s="5" t="inlineStr">
        <is>
          <t>Newsagent</t>
        </is>
      </c>
      <c r="F202" s="5" t="inlineStr">
        <is>
          <t>Newsagent &amp; off-licence</t>
        </is>
      </c>
      <c r="G202" s="5" t="inlineStr">
        <is>
          <t>Independent</t>
        </is>
      </c>
      <c r="H202" s="5" t="inlineStr">
        <is>
          <t>1</t>
        </is>
      </c>
      <c r="I202" s="5" t="inlineStr">
        <is>
          <t>55 Broadway</t>
        </is>
      </c>
      <c r="J202" s="5" t="inlineStr">
        <is>
          <t>Stratford</t>
        </is>
      </c>
      <c r="K202" s="5" t="inlineStr">
        <is>
          <t>E15 4BQ</t>
        </is>
      </c>
      <c r="L202" s="5" t="inlineStr"/>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Not Found</t>
        </is>
      </c>
      <c r="Y202" s="5" t="inlineStr">
        <is>
          <t>Not Found</t>
        </is>
      </c>
      <c r="Z202" s="5" t="inlineStr">
        <is>
          <t>Low</t>
        </is>
      </c>
      <c r="AA202" s="5" t="inlineStr">
        <is>
          <t>Requires Verification</t>
        </is>
      </c>
      <c r="AB202" s="5" t="inlineStr">
        <is>
          <t>https://www.yell.com/s/vape+shops-stratford-east+london.html</t>
        </is>
      </c>
    </row>
    <row r="203">
      <c r="A203" s="10" t="inlineStr">
        <is>
          <t>UK-000473</t>
        </is>
      </c>
      <c r="B203" s="10" t="inlineStr">
        <is>
          <t>UK-000473-01</t>
        </is>
      </c>
      <c r="C203" s="10" t="inlineStr"/>
      <c r="D203" s="10" t="inlineStr">
        <is>
          <t>Green Supermarket</t>
        </is>
      </c>
      <c r="E203" s="10" t="inlineStr">
        <is>
          <t>Independent Supermarket</t>
        </is>
      </c>
      <c r="F203" s="10" t="inlineStr">
        <is>
          <t>Halal / world food supermarket</t>
        </is>
      </c>
      <c r="G203" s="10" t="inlineStr">
        <is>
          <t>Independent</t>
        </is>
      </c>
      <c r="H203" s="10" t="inlineStr">
        <is>
          <t>1</t>
        </is>
      </c>
      <c r="I203" s="10" t="inlineStr">
        <is>
          <t>325 Washwood Heath Road</t>
        </is>
      </c>
      <c r="J203" s="10" t="inlineStr">
        <is>
          <t>Birmingham</t>
        </is>
      </c>
      <c r="K203" s="10" t="inlineStr">
        <is>
          <t>B8 2XJ</t>
        </is>
      </c>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Low</t>
        </is>
      </c>
      <c r="AA203" s="10" t="inlineStr">
        <is>
          <t>Requires Verification</t>
        </is>
      </c>
      <c r="AB203" s="10" t="inlineStr">
        <is>
          <t>https://birmingham.ukintouch.com/supermarket/green-supermarket/</t>
        </is>
      </c>
    </row>
    <row r="204">
      <c r="A204" s="5" t="inlineStr">
        <is>
          <t>WY-0091</t>
        </is>
      </c>
      <c r="B204" s="5" t="inlineStr">
        <is>
          <t>WY-0091-01</t>
        </is>
      </c>
      <c r="C204" s="5" t="inlineStr"/>
      <c r="D204" s="5" t="inlineStr">
        <is>
          <t>Greengates Service Station</t>
        </is>
      </c>
      <c r="E204" s="5" t="inlineStr">
        <is>
          <t>Petrol Station / Forecourt</t>
        </is>
      </c>
      <c r="F204" s="5" t="inlineStr">
        <is>
          <t>Forecourt with shop</t>
        </is>
      </c>
      <c r="G204" s="5" t="inlineStr">
        <is>
          <t>Unknown</t>
        </is>
      </c>
      <c r="H204" s="5" t="inlineStr">
        <is>
          <t>1</t>
        </is>
      </c>
      <c r="I204" s="5" t="inlineStr"/>
      <c r="J204" s="5" t="inlineStr">
        <is>
          <t>Bradford</t>
        </is>
      </c>
      <c r="K204" s="5" t="inlineStr"/>
      <c r="L204" s="5" t="inlineStr"/>
      <c r="M204" s="5" t="inlineStr"/>
      <c r="N204" s="5" t="inlineStr"/>
      <c r="O204" s="5" t="inlineStr"/>
      <c r="P204" s="5" t="inlineStr"/>
      <c r="Q204" s="5" t="inlineStr"/>
      <c r="R204" s="5" t="inlineStr"/>
      <c r="S204" s="5" t="inlineStr"/>
      <c r="T204" s="5" t="inlineStr"/>
      <c r="U204" s="5" t="inlineStr"/>
      <c r="V204" s="5" t="inlineStr">
        <is>
          <t>Low</t>
        </is>
      </c>
      <c r="W204" s="5" t="inlineStr">
        <is>
          <t>Relevant category</t>
        </is>
      </c>
      <c r="X204" s="5" t="inlineStr">
        <is>
          <t>Not Found</t>
        </is>
      </c>
      <c r="Y204" s="5" t="inlineStr">
        <is>
          <t>Not Found</t>
        </is>
      </c>
      <c r="Z204" s="5" t="inlineStr">
        <is>
          <t>Low</t>
        </is>
      </c>
      <c r="AA204" s="5" t="inlineStr">
        <is>
          <t>Requires Verification</t>
        </is>
      </c>
      <c r="AB204" s="5" t="inlineStr">
        <is>
          <t>https://fuelmap.co.uk/forecourt/612/</t>
        </is>
      </c>
    </row>
    <row r="205">
      <c r="A205" s="10" t="inlineStr">
        <is>
          <t>UK-000251</t>
        </is>
      </c>
      <c r="B205" s="10" t="inlineStr">
        <is>
          <t>UK-000251-01</t>
        </is>
      </c>
      <c r="C205" s="10" t="inlineStr"/>
      <c r="D205" s="10" t="inlineStr">
        <is>
          <t>Greenroof Service Station</t>
        </is>
      </c>
      <c r="E205" s="10" t="inlineStr">
        <is>
          <t>Petrol Station / Forecourt</t>
        </is>
      </c>
      <c r="F205" s="10" t="inlineStr">
        <is>
          <t>Independent forecourt</t>
        </is>
      </c>
      <c r="G205" s="10" t="inlineStr">
        <is>
          <t>Independent</t>
        </is>
      </c>
      <c r="H205" s="10" t="inlineStr">
        <is>
          <t>1</t>
        </is>
      </c>
      <c r="I205" s="10" t="inlineStr">
        <is>
          <t>Low Street</t>
        </is>
      </c>
      <c r="J205" s="10" t="inlineStr">
        <is>
          <t>Goole</t>
        </is>
      </c>
      <c r="K205" s="10" t="inlineStr"/>
      <c r="L205" s="10" t="inlineStr"/>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Not Found</t>
        </is>
      </c>
      <c r="Y205" s="10" t="inlineStr">
        <is>
          <t>Not Found</t>
        </is>
      </c>
      <c r="Z205" s="10" t="inlineStr">
        <is>
          <t>Low</t>
        </is>
      </c>
      <c r="AA205" s="10" t="inlineStr">
        <is>
          <t>Requires Verification</t>
        </is>
      </c>
      <c r="AB205" s="10" t="inlineStr">
        <is>
          <t>https://directory.hinckleytimes.net/search/scunthorpe/petrol-service-stations</t>
        </is>
      </c>
    </row>
    <row r="206">
      <c r="A206" s="5" t="inlineStr">
        <is>
          <t>WY-0092</t>
        </is>
      </c>
      <c r="B206" s="5" t="inlineStr">
        <is>
          <t>WY-0092-01</t>
        </is>
      </c>
      <c r="C206" s="5" t="inlineStr"/>
      <c r="D206" s="5" t="inlineStr">
        <is>
          <t>Gulf Service Station Featherstone</t>
        </is>
      </c>
      <c r="E206" s="5" t="inlineStr">
        <is>
          <t>Petrol Station / Forecourt</t>
        </is>
      </c>
      <c r="F206" s="5" t="inlineStr">
        <is>
          <t>Gulf-branded dealer forecourt with shop</t>
        </is>
      </c>
      <c r="G206" s="5" t="inlineStr">
        <is>
          <t>Independent</t>
        </is>
      </c>
      <c r="H206" s="5" t="inlineStr">
        <is>
          <t>1</t>
        </is>
      </c>
      <c r="I206" s="5" t="inlineStr">
        <is>
          <t>Wakefield Road</t>
        </is>
      </c>
      <c r="J206" s="5" t="inlineStr">
        <is>
          <t>Featherstone</t>
        </is>
      </c>
      <c r="K206" s="5" t="inlineStr">
        <is>
          <t>WF7 5BP</t>
        </is>
      </c>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https://www.yorkshire.com/featherstone/services/petrol-stations</t>
        </is>
      </c>
    </row>
    <row r="207">
      <c r="A207" s="10" t="inlineStr">
        <is>
          <t>UK-000474</t>
        </is>
      </c>
      <c r="B207" s="10" t="inlineStr">
        <is>
          <t>UK-000474-01</t>
        </is>
      </c>
      <c r="C207" s="10" t="inlineStr"/>
      <c r="D207" s="10" t="inlineStr">
        <is>
          <t>Hall Green Convenience Store</t>
        </is>
      </c>
      <c r="E207" s="10" t="inlineStr">
        <is>
          <t>Convenience Store</t>
        </is>
      </c>
      <c r="F207" s="10" t="inlineStr">
        <is>
          <t>Convenience store</t>
        </is>
      </c>
      <c r="G207" s="10" t="inlineStr">
        <is>
          <t>Independent</t>
        </is>
      </c>
      <c r="H207" s="10" t="inlineStr">
        <is>
          <t>1</t>
        </is>
      </c>
      <c r="I207" s="10" t="inlineStr">
        <is>
          <t>1162 Stratford Road</t>
        </is>
      </c>
      <c r="J207" s="10" t="inlineStr">
        <is>
          <t>Birmingham</t>
        </is>
      </c>
      <c r="K207" s="10" t="inlineStr">
        <is>
          <t>B28 8AF</t>
        </is>
      </c>
      <c r="L207" s="10" t="inlineStr"/>
      <c r="M207" s="10" t="inlineStr"/>
      <c r="N207" s="10" t="inlineStr"/>
      <c r="O207" s="10" t="inlineStr"/>
      <c r="P207" s="10" t="inlineStr"/>
      <c r="Q207" s="10" t="inlineStr"/>
      <c r="R207" s="10" t="inlineStr"/>
      <c r="S207" s="10" t="inlineStr"/>
      <c r="T207" s="10" t="inlineStr"/>
      <c r="U207" s="10" t="inlineStr"/>
      <c r="V207" s="10" t="inlineStr">
        <is>
          <t>Low</t>
        </is>
      </c>
      <c r="W207" s="10" t="inlineStr">
        <is>
          <t>Independent retailer; Relevant category</t>
        </is>
      </c>
      <c r="X207" s="10" t="inlineStr">
        <is>
          <t>Not Found</t>
        </is>
      </c>
      <c r="Y207" s="10" t="inlineStr">
        <is>
          <t>Not Found</t>
        </is>
      </c>
      <c r="Z207" s="10" t="inlineStr">
        <is>
          <t>Low</t>
        </is>
      </c>
      <c r="AA207" s="10" t="inlineStr">
        <is>
          <t>Requires Verification</t>
        </is>
      </c>
      <c r="AB207" s="10" t="inlineStr">
        <is>
          <t>https://firmania.co.uk/birmingham/hall-green-convenience-store-6482223</t>
        </is>
      </c>
    </row>
    <row r="208">
      <c r="A208" s="5" t="inlineStr">
        <is>
          <t>UK-000475</t>
        </is>
      </c>
      <c r="B208" s="5" t="inlineStr">
        <is>
          <t>UK-000475-01</t>
        </is>
      </c>
      <c r="C208" s="5" t="inlineStr"/>
      <c r="D208" s="5" t="inlineStr">
        <is>
          <t>Hall Green News &amp; Mini Mart Ltd</t>
        </is>
      </c>
      <c r="E208" s="5" t="inlineStr">
        <is>
          <t>Newsagent</t>
        </is>
      </c>
      <c r="F208" s="5" t="inlineStr">
        <is>
          <t>Newsagent / convenience store</t>
        </is>
      </c>
      <c r="G208" s="5" t="inlineStr">
        <is>
          <t>Independent</t>
        </is>
      </c>
      <c r="H208" s="5" t="inlineStr">
        <is>
          <t>1</t>
        </is>
      </c>
      <c r="I208" s="5" t="inlineStr">
        <is>
          <t>861 Stratford Road</t>
        </is>
      </c>
      <c r="J208" s="5" t="inlineStr">
        <is>
          <t>Birmingham</t>
        </is>
      </c>
      <c r="K208" s="5" t="inlineStr">
        <is>
          <t>B28 8BH</t>
        </is>
      </c>
      <c r="L208" s="5" t="inlineStr"/>
      <c r="M208" s="5" t="inlineStr"/>
      <c r="N208" s="5" t="inlineStr"/>
      <c r="O208" s="5" t="inlineStr"/>
      <c r="P208" s="5" t="inlineStr"/>
      <c r="Q208" s="5" t="inlineStr"/>
      <c r="R208" s="5" t="inlineStr"/>
      <c r="S208" s="5" t="inlineStr"/>
      <c r="T208" s="5" t="inlineStr"/>
      <c r="U208" s="5" t="inlineStr"/>
      <c r="V208" s="5" t="inlineStr">
        <is>
          <t>Low</t>
        </is>
      </c>
      <c r="W208" s="5" t="inlineStr">
        <is>
          <t>Independent retailer; Relevant category</t>
        </is>
      </c>
      <c r="X208" s="5" t="inlineStr">
        <is>
          <t>Not Found</t>
        </is>
      </c>
      <c r="Y208" s="5" t="inlineStr">
        <is>
          <t>Not Found</t>
        </is>
      </c>
      <c r="Z208" s="5" t="inlineStr">
        <is>
          <t>Low</t>
        </is>
      </c>
      <c r="AA208" s="5" t="inlineStr">
        <is>
          <t>Requires Verification</t>
        </is>
      </c>
      <c r="AB208" s="5" t="inlineStr">
        <is>
          <t>https://firmania.co.uk/birmingham/hall-green-news-mini-mart-ltd-4938374</t>
        </is>
      </c>
    </row>
    <row r="209">
      <c r="A209" s="10" t="inlineStr">
        <is>
          <t>UK-000476</t>
        </is>
      </c>
      <c r="B209" s="10" t="inlineStr">
        <is>
          <t>UK-000476-01</t>
        </is>
      </c>
      <c r="C209" s="10" t="inlineStr"/>
      <c r="D209" s="10" t="inlineStr">
        <is>
          <t>Hall Green PFS</t>
        </is>
      </c>
      <c r="E209" s="10" t="inlineStr">
        <is>
          <t>Petrol Station / Forecourt</t>
        </is>
      </c>
      <c r="F209" s="10" t="inlineStr">
        <is>
          <t>Petrol filling station with forecourt shop</t>
        </is>
      </c>
      <c r="G209" s="10" t="inlineStr">
        <is>
          <t>Unknown</t>
        </is>
      </c>
      <c r="H209" s="10" t="inlineStr">
        <is>
          <t>1</t>
        </is>
      </c>
      <c r="I209" s="10" t="inlineStr">
        <is>
          <t>Stratford Road</t>
        </is>
      </c>
      <c r="J209" s="10" t="inlineStr">
        <is>
          <t>Birmingham</t>
        </is>
      </c>
      <c r="K209" s="10" t="inlineStr">
        <is>
          <t>B28 8BN</t>
        </is>
      </c>
      <c r="L209" s="10" t="inlineStr"/>
      <c r="M209" s="10" t="inlineStr"/>
      <c r="N209" s="10" t="inlineStr"/>
      <c r="O209" s="10" t="inlineStr">
        <is>
          <t>https://eg-otm.com/locations/Birmingham/HALL/hall-green-pfs</t>
        </is>
      </c>
      <c r="P209" s="10" t="inlineStr"/>
      <c r="Q209" s="10" t="inlineStr"/>
      <c r="R209" s="10" t="inlineStr"/>
      <c r="S209" s="10" t="inlineStr"/>
      <c r="T209" s="10" t="inlineStr"/>
      <c r="U209" s="10" t="inlineStr"/>
      <c r="V209" s="10" t="inlineStr">
        <is>
          <t>Low</t>
        </is>
      </c>
      <c r="W209" s="10" t="inlineStr">
        <is>
          <t>Relevant category; Active website</t>
        </is>
      </c>
      <c r="X209" s="10" t="inlineStr">
        <is>
          <t>Not Found</t>
        </is>
      </c>
      <c r="Y209" s="10" t="inlineStr">
        <is>
          <t>Website Found</t>
        </is>
      </c>
      <c r="Z209" s="10" t="inlineStr">
        <is>
          <t>Low</t>
        </is>
      </c>
      <c r="AA209" s="10" t="inlineStr">
        <is>
          <t>Requires Verification</t>
        </is>
      </c>
      <c r="AB209" s="10" t="inlineStr">
        <is>
          <t>https://eg-otm.com/locations/Birmingham/HALL/hall-green-pfs</t>
        </is>
      </c>
    </row>
    <row r="210">
      <c r="A210" s="5" t="inlineStr">
        <is>
          <t>WY-0094</t>
        </is>
      </c>
      <c r="B210" s="5" t="inlineStr">
        <is>
          <t>WY-0094-01</t>
        </is>
      </c>
      <c r="C210" s="5" t="inlineStr"/>
      <c r="D210" s="5" t="inlineStr">
        <is>
          <t>Hang Sing Hong</t>
        </is>
      </c>
      <c r="E210" s="5" t="inlineStr">
        <is>
          <t>Independent Supermarket</t>
        </is>
      </c>
      <c r="F210" s="5" t="inlineStr">
        <is>
          <t>Chinese / Oriental supermarket</t>
        </is>
      </c>
      <c r="G210" s="5" t="inlineStr">
        <is>
          <t>Independent</t>
        </is>
      </c>
      <c r="H210" s="5" t="inlineStr">
        <is>
          <t>1</t>
        </is>
      </c>
      <c r="I210" s="5" t="inlineStr">
        <is>
          <t>117-119 Vicar Lane</t>
        </is>
      </c>
      <c r="J210" s="5" t="inlineStr">
        <is>
          <t>Leeds</t>
        </is>
      </c>
      <c r="K210" s="5" t="inlineStr">
        <is>
          <t>LS1 6PJ</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Medium</t>
        </is>
      </c>
      <c r="AA210" s="5" t="inlineStr">
        <is>
          <t>Requires Verification</t>
        </is>
      </c>
      <c r="AB210" s="5" t="inlineStr">
        <is>
          <t>https://www.yelp.co.uk/biz/hang-sing-hong-leeds-2</t>
        </is>
      </c>
    </row>
    <row r="211">
      <c r="A211" s="10" t="inlineStr">
        <is>
          <t>UK-000612</t>
        </is>
      </c>
      <c r="B211" s="10" t="inlineStr">
        <is>
          <t>UK-000612-01</t>
        </is>
      </c>
      <c r="C211" s="10" t="inlineStr"/>
      <c r="D211" s="10" t="inlineStr">
        <is>
          <t>Happy Wines</t>
        </is>
      </c>
      <c r="E211" s="10" t="inlineStr">
        <is>
          <t>Off-Licence</t>
        </is>
      </c>
      <c r="F211" s="10" t="inlineStr">
        <is>
          <t>Off-licence</t>
        </is>
      </c>
      <c r="G211" s="10" t="inlineStr">
        <is>
          <t>Independent</t>
        </is>
      </c>
      <c r="H211" s="10" t="inlineStr">
        <is>
          <t>1</t>
        </is>
      </c>
      <c r="I211" s="10" t="inlineStr">
        <is>
          <t>56a Whalebone Lane South</t>
        </is>
      </c>
      <c r="J211" s="10" t="inlineStr">
        <is>
          <t>Dagenham</t>
        </is>
      </c>
      <c r="K211" s="10" t="inlineStr">
        <is>
          <t>RM8 1BB</t>
        </is>
      </c>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Low</t>
        </is>
      </c>
      <c r="AA211" s="10" t="inlineStr">
        <is>
          <t>Requires Verification</t>
        </is>
      </c>
      <c r="AB211" s="10" t="inlineStr">
        <is>
          <t>https://www.yell.com/s/off+licences-london+borough+of+barking+and+dagenham.html</t>
        </is>
      </c>
    </row>
    <row r="212">
      <c r="A212" s="5" t="inlineStr">
        <is>
          <t>UK-000253</t>
        </is>
      </c>
      <c r="B212" s="5" t="inlineStr">
        <is>
          <t>UK-000253-01</t>
        </is>
      </c>
      <c r="C212" s="5" t="inlineStr"/>
      <c r="D212" s="5" t="inlineStr">
        <is>
          <t>Haris&amp;Co Supermarket</t>
        </is>
      </c>
      <c r="E212" s="5" t="inlineStr">
        <is>
          <t>Independent Supermarket</t>
        </is>
      </c>
      <c r="F212" s="5" t="inlineStr">
        <is>
          <t>International / world foods supermarket</t>
        </is>
      </c>
      <c r="G212" s="5" t="inlineStr">
        <is>
          <t>Independent</t>
        </is>
      </c>
      <c r="H212" s="5" t="inlineStr">
        <is>
          <t>1</t>
        </is>
      </c>
      <c r="I212" s="5" t="inlineStr">
        <is>
          <t>Terry Street</t>
        </is>
      </c>
      <c r="J212" s="5" t="inlineStr">
        <is>
          <t>Kingston upon Hull</t>
        </is>
      </c>
      <c r="K212" s="5" t="inlineStr">
        <is>
          <t>HU3 1TY</t>
        </is>
      </c>
      <c r="L212" s="5" t="inlineStr"/>
      <c r="M212" s="5" t="inlineStr"/>
      <c r="N212" s="5" t="inlineStr"/>
      <c r="O212" s="5" t="inlineStr">
        <is>
          <t>https://harrisandco.vercel.app</t>
        </is>
      </c>
      <c r="P212" s="5" t="inlineStr"/>
      <c r="Q212" s="5" t="inlineStr"/>
      <c r="R212" s="5" t="inlineStr"/>
      <c r="S212" s="5" t="inlineStr"/>
      <c r="T212" s="5" t="inlineStr"/>
      <c r="U212" s="5" t="inlineStr"/>
      <c r="V212" s="5" t="inlineStr">
        <is>
          <t>Medium</t>
        </is>
      </c>
      <c r="W212" s="5" t="inlineStr">
        <is>
          <t>Independent retailer; Relevant category; Active website</t>
        </is>
      </c>
      <c r="X212" s="5" t="inlineStr">
        <is>
          <t>Not Found</t>
        </is>
      </c>
      <c r="Y212" s="5" t="inlineStr">
        <is>
          <t>Not Found</t>
        </is>
      </c>
      <c r="Z212" s="5" t="inlineStr">
        <is>
          <t>Medium</t>
        </is>
      </c>
      <c r="AA212" s="5" t="inlineStr">
        <is>
          <t>Partially Verified</t>
        </is>
      </c>
      <c r="AB212" s="5" t="inlineStr">
        <is>
          <t>https://harrisandco.vercel.app/</t>
        </is>
      </c>
    </row>
    <row r="213">
      <c r="A213" s="10" t="inlineStr">
        <is>
          <t>UK-000254</t>
        </is>
      </c>
      <c r="B213" s="10" t="inlineStr">
        <is>
          <t>UK-000254-01</t>
        </is>
      </c>
      <c r="C213" s="10" t="inlineStr"/>
      <c r="D213" s="10" t="inlineStr">
        <is>
          <t>Harvest Service Station</t>
        </is>
      </c>
      <c r="E213" s="10" t="inlineStr">
        <is>
          <t>Petrol Station / Forecourt</t>
        </is>
      </c>
      <c r="F213" s="10" t="inlineStr">
        <is>
          <t>Independent forecourt with convenience store</t>
        </is>
      </c>
      <c r="G213" s="10" t="inlineStr">
        <is>
          <t>Independent</t>
        </is>
      </c>
      <c r="H213" s="10" t="inlineStr">
        <is>
          <t>1</t>
        </is>
      </c>
      <c r="I213" s="10" t="inlineStr">
        <is>
          <t>Wheatley Hall Road</t>
        </is>
      </c>
      <c r="J213" s="10" t="inlineStr">
        <is>
          <t>Doncaster</t>
        </is>
      </c>
      <c r="K213" s="10" t="inlineStr"/>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https://www.mylocalservices.co.uk/24+Hr+Petrol+Stations-Doncaster.html</t>
        </is>
      </c>
    </row>
    <row r="214">
      <c r="A214" s="5" t="inlineStr">
        <is>
          <t>WY-0095</t>
        </is>
      </c>
      <c r="B214" s="5" t="inlineStr">
        <is>
          <t>WY-0095-01</t>
        </is>
      </c>
      <c r="C214" s="5" t="inlineStr"/>
      <c r="D214" s="5" t="inlineStr">
        <is>
          <t>Heckmondwike Service Station</t>
        </is>
      </c>
      <c r="E214" s="5" t="inlineStr">
        <is>
          <t>Petrol Station / Forecourt</t>
        </is>
      </c>
      <c r="F214" s="5" t="inlineStr">
        <is>
          <t>BP-branded forecourt with shop</t>
        </is>
      </c>
      <c r="G214" s="5" t="inlineStr">
        <is>
          <t>Unknown</t>
        </is>
      </c>
      <c r="H214" s="5" t="inlineStr">
        <is>
          <t>1</t>
        </is>
      </c>
      <c r="I214" s="5" t="inlineStr">
        <is>
          <t>Halifax Road</t>
        </is>
      </c>
      <c r="J214" s="5" t="inlineStr">
        <is>
          <t>Heckmondwike</t>
        </is>
      </c>
      <c r="K214" s="5" t="inlineStr"/>
      <c r="L214" s="5" t="inlineStr"/>
      <c r="M214" s="5" t="inlineStr"/>
      <c r="N214" s="5" t="inlineStr"/>
      <c r="O214" s="5" t="inlineStr"/>
      <c r="P214" s="5" t="inlineStr"/>
      <c r="Q214" s="5" t="inlineStr"/>
      <c r="R214" s="5" t="inlineStr"/>
      <c r="S214" s="5" t="inlineStr"/>
      <c r="T214" s="5" t="inlineStr"/>
      <c r="U214" s="5" t="inlineStr"/>
      <c r="V214" s="5" t="inlineStr">
        <is>
          <t>Low</t>
        </is>
      </c>
      <c r="W214" s="5" t="inlineStr">
        <is>
          <t>Relevant category</t>
        </is>
      </c>
      <c r="X214" s="5" t="inlineStr">
        <is>
          <t>Not Found</t>
        </is>
      </c>
      <c r="Y214" s="5" t="inlineStr">
        <is>
          <t>Not Found</t>
        </is>
      </c>
      <c r="Z214" s="5" t="inlineStr">
        <is>
          <t>Low</t>
        </is>
      </c>
      <c r="AA214" s="5" t="inlineStr">
        <is>
          <t>Requires Verification</t>
        </is>
      </c>
      <c r="AB214" s="5" t="inlineStr">
        <is>
          <t>https://map.bp.com/en-US/GB/gas-station/dewsbury/heckmondwike-service-station/137101962</t>
        </is>
      </c>
    </row>
    <row r="215">
      <c r="A215" s="10" t="inlineStr">
        <is>
          <t>UK-000478</t>
        </is>
      </c>
      <c r="B215" s="10" t="inlineStr">
        <is>
          <t>UK-000478-01</t>
        </is>
      </c>
      <c r="C215" s="10" t="inlineStr"/>
      <c r="D215" s="10" t="inlineStr">
        <is>
          <t>High Street Wine Stores</t>
        </is>
      </c>
      <c r="E215" s="10" t="inlineStr">
        <is>
          <t>Off-Licence</t>
        </is>
      </c>
      <c r="F215" s="10" t="inlineStr">
        <is>
          <t>Off-licence &amp; convenience</t>
        </is>
      </c>
      <c r="G215" s="10" t="inlineStr">
        <is>
          <t>Independent</t>
        </is>
      </c>
      <c r="H215" s="10" t="inlineStr">
        <is>
          <t>1</t>
        </is>
      </c>
      <c r="I215" s="10" t="inlineStr"/>
      <c r="J215" s="10" t="inlineStr">
        <is>
          <t>West Bromwich</t>
        </is>
      </c>
      <c r="K215" s="10" t="inlineStr"/>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Low</t>
        </is>
      </c>
      <c r="AA215" s="10" t="inlineStr">
        <is>
          <t>Requires Verification</t>
        </is>
      </c>
      <c r="AB215" s="10" t="inlineStr">
        <is>
          <t>https://west-bromwich.cylex-uk.co.uk/company/high-street-wine-stores-16185574.html</t>
        </is>
      </c>
    </row>
    <row r="216">
      <c r="A216" s="5" t="inlineStr">
        <is>
          <t>UK-000255</t>
        </is>
      </c>
      <c r="B216" s="5" t="inlineStr">
        <is>
          <t>UK-000255-01</t>
        </is>
      </c>
      <c r="C216" s="5" t="inlineStr"/>
      <c r="D216" s="5" t="inlineStr">
        <is>
          <t>Hillsborough Vape Lounge</t>
        </is>
      </c>
      <c r="E216" s="5" t="inlineStr">
        <is>
          <t>Vape Shop</t>
        </is>
      </c>
      <c r="F216" s="5" t="inlineStr">
        <is>
          <t>E-cigarette and e-liquid shop</t>
        </is>
      </c>
      <c r="G216" s="5" t="inlineStr">
        <is>
          <t>Independent</t>
        </is>
      </c>
      <c r="H216" s="5" t="inlineStr">
        <is>
          <t>1</t>
        </is>
      </c>
      <c r="I216" s="5" t="inlineStr">
        <is>
          <t>66 Owlerton Green</t>
        </is>
      </c>
      <c r="J216" s="5" t="inlineStr">
        <is>
          <t>Sheffield</t>
        </is>
      </c>
      <c r="K216" s="5" t="inlineStr">
        <is>
          <t>S6 2BH</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https://ecigdirectory.co.uk/vape-shop/listing/hillsborough-vape-lounge-sheffield</t>
        </is>
      </c>
    </row>
    <row r="217">
      <c r="A217" s="10" t="inlineStr">
        <is>
          <t>UK-000256</t>
        </is>
      </c>
      <c r="B217" s="10" t="inlineStr">
        <is>
          <t>UK-000256-01</t>
        </is>
      </c>
      <c r="C217" s="10" t="inlineStr"/>
      <c r="D217" s="10" t="inlineStr">
        <is>
          <t>Holderness Convenience &amp; Spirits</t>
        </is>
      </c>
      <c r="E217" s="10" t="inlineStr">
        <is>
          <t>Off-Licence</t>
        </is>
      </c>
      <c r="F217" s="10" t="inlineStr">
        <is>
          <t>Off-licence / convenience</t>
        </is>
      </c>
      <c r="G217" s="10" t="inlineStr">
        <is>
          <t>Independent</t>
        </is>
      </c>
      <c r="H217" s="10" t="inlineStr">
        <is>
          <t>1</t>
        </is>
      </c>
      <c r="I217" s="10" t="inlineStr">
        <is>
          <t>Holderness Road</t>
        </is>
      </c>
      <c r="J217" s="10" t="inlineStr">
        <is>
          <t>Kingston upon Hull</t>
        </is>
      </c>
      <c r="K217" s="10" t="inlineStr"/>
      <c r="L217" s="10" t="inlineStr"/>
      <c r="M217" s="10" t="inlineStr"/>
      <c r="N217" s="10" t="inlineStr"/>
      <c r="O217" s="10" t="inlineStr"/>
      <c r="P217" s="10" t="inlineStr"/>
      <c r="Q217" s="10" t="inlineStr"/>
      <c r="R217" s="10" t="inlineStr"/>
      <c r="S217" s="10" t="inlineStr"/>
      <c r="T217" s="10" t="inlineStr"/>
      <c r="U217" s="10" t="inlineStr"/>
      <c r="V217" s="10" t="inlineStr">
        <is>
          <t>Low</t>
        </is>
      </c>
      <c r="W217" s="10" t="inlineStr">
        <is>
          <t>Independent retailer; Relevant category</t>
        </is>
      </c>
      <c r="X217" s="10" t="inlineStr">
        <is>
          <t>Not Found</t>
        </is>
      </c>
      <c r="Y217" s="10" t="inlineStr">
        <is>
          <t>Not Found</t>
        </is>
      </c>
      <c r="Z217" s="10" t="inlineStr">
        <is>
          <t>Low</t>
        </is>
      </c>
      <c r="AA217" s="10" t="inlineStr">
        <is>
          <t>Requires Verification</t>
        </is>
      </c>
      <c r="AB217" s="10" t="inlineStr">
        <is>
          <t>https://www.yorkshire.com/hull/shopping/off-license/holderness-convenience-spirits</t>
        </is>
      </c>
    </row>
    <row r="218">
      <c r="A218" s="5" t="inlineStr">
        <is>
          <t>WY-0096</t>
        </is>
      </c>
      <c r="B218" s="5" t="inlineStr">
        <is>
          <t>WY-0096-01</t>
        </is>
      </c>
      <c r="C218" s="5" t="inlineStr"/>
      <c r="D218" s="5" t="inlineStr">
        <is>
          <t>Hopes News</t>
        </is>
      </c>
      <c r="E218" s="5" t="inlineStr">
        <is>
          <t>Newsagent</t>
        </is>
      </c>
      <c r="F218" s="5" t="inlineStr">
        <is>
          <t>Newsagent / off-licence</t>
        </is>
      </c>
      <c r="G218" s="5" t="inlineStr">
        <is>
          <t>Independent</t>
        </is>
      </c>
      <c r="H218" s="5" t="inlineStr">
        <is>
          <t>1</t>
        </is>
      </c>
      <c r="I218" s="5" t="inlineStr">
        <is>
          <t>Otley Road</t>
        </is>
      </c>
      <c r="J218" s="5" t="inlineStr">
        <is>
          <t>Shipley</t>
        </is>
      </c>
      <c r="K218" s="5" t="inlineStr"/>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https://www.yorkshire.com/shipley/shopping/off-license/hopes-news</t>
        </is>
      </c>
    </row>
    <row r="219">
      <c r="A219" s="10" t="inlineStr">
        <is>
          <t>UK-000363</t>
        </is>
      </c>
      <c r="B219" s="10" t="inlineStr">
        <is>
          <t>UK-000363-01</t>
        </is>
      </c>
      <c r="C219" s="10" t="inlineStr"/>
      <c r="D219" s="10" t="inlineStr">
        <is>
          <t>Hussain &amp; Sons Cash &amp; Carry Oldham</t>
        </is>
      </c>
      <c r="E219" s="10" t="inlineStr">
        <is>
          <t>Cash &amp; Carry</t>
        </is>
      </c>
      <c r="F219" s="10" t="inlineStr"/>
      <c r="G219" s="10" t="inlineStr">
        <is>
          <t>Independent</t>
        </is>
      </c>
      <c r="H219" s="10" t="inlineStr">
        <is>
          <t>1</t>
        </is>
      </c>
      <c r="I219" s="10" t="inlineStr"/>
      <c r="J219" s="10" t="inlineStr">
        <is>
          <t>Oldham</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Not Found</t>
        </is>
      </c>
      <c r="Y219" s="10" t="inlineStr">
        <is>
          <t>Not Found</t>
        </is>
      </c>
      <c r="Z219" s="10" t="inlineStr">
        <is>
          <t>Low</t>
        </is>
      </c>
      <c r="AA219" s="10" t="inlineStr">
        <is>
          <t>Requires Verification</t>
        </is>
      </c>
      <c r="AB219" s="10" t="inlineStr">
        <is>
          <t>https://www.oldham.co.uk/listing/1073132-Hussain-Sons-Cash-Carry/</t>
        </is>
      </c>
    </row>
    <row r="220">
      <c r="A220" s="5" t="inlineStr">
        <is>
          <t>WY-0098</t>
        </is>
      </c>
      <c r="B220" s="5" t="inlineStr">
        <is>
          <t>WY-0098-01</t>
        </is>
      </c>
      <c r="C220" s="5" t="inlineStr"/>
      <c r="D220" s="5" t="inlineStr">
        <is>
          <t>Ilkley Convenience Store</t>
        </is>
      </c>
      <c r="E220" s="5" t="inlineStr">
        <is>
          <t>Convenience Store</t>
        </is>
      </c>
      <c r="F220" s="5" t="inlineStr">
        <is>
          <t>Neighbourhood convenience store</t>
        </is>
      </c>
      <c r="G220" s="5" t="inlineStr">
        <is>
          <t>Independent</t>
        </is>
      </c>
      <c r="H220" s="5" t="inlineStr">
        <is>
          <t>1</t>
        </is>
      </c>
      <c r="I220" s="5" t="inlineStr">
        <is>
          <t>Valley Drive</t>
        </is>
      </c>
      <c r="J220" s="5" t="inlineStr">
        <is>
          <t>Ilkley</t>
        </is>
      </c>
      <c r="K220" s="5" t="inlineStr"/>
      <c r="L220" s="5" t="inlineStr"/>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Not Found</t>
        </is>
      </c>
      <c r="Y220" s="5" t="inlineStr">
        <is>
          <t>Not Found</t>
        </is>
      </c>
      <c r="Z220" s="5" t="inlineStr">
        <is>
          <t>Low</t>
        </is>
      </c>
      <c r="AA220" s="5" t="inlineStr">
        <is>
          <t>Requires Verification</t>
        </is>
      </c>
      <c r="AB220" s="5" t="inlineStr">
        <is>
          <t>https://www.yorkshire.com/ilkley/shopping/corner-shops/ilkley-convenience-store</t>
        </is>
      </c>
    </row>
    <row r="221">
      <c r="A221" s="10" t="inlineStr">
        <is>
          <t>UK-000784</t>
        </is>
      </c>
      <c r="B221" s="10" t="inlineStr">
        <is>
          <t>UK-000784-01</t>
        </is>
      </c>
      <c r="C221" s="10" t="inlineStr"/>
      <c r="D221" s="10" t="inlineStr">
        <is>
          <t>Infinity Vapour Airdrie</t>
        </is>
      </c>
      <c r="E221" s="10" t="inlineStr">
        <is>
          <t>Vape Shop</t>
        </is>
      </c>
      <c r="F221" s="10" t="inlineStr">
        <is>
          <t>Vape shop</t>
        </is>
      </c>
      <c r="G221" s="10" t="inlineStr">
        <is>
          <t>Independent</t>
        </is>
      </c>
      <c r="H221" s="10" t="inlineStr">
        <is>
          <t>1</t>
        </is>
      </c>
      <c r="I221" s="10" t="inlineStr">
        <is>
          <t>24 Alexander Street</t>
        </is>
      </c>
      <c r="J221" s="10" t="inlineStr">
        <is>
          <t>Airdrie</t>
        </is>
      </c>
      <c r="K221" s="10" t="inlineStr">
        <is>
          <t>ML6 0BA</t>
        </is>
      </c>
      <c r="L221" s="10" t="inlineStr"/>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t>
        </is>
      </c>
      <c r="X221" s="10" t="inlineStr">
        <is>
          <t>Not Found</t>
        </is>
      </c>
      <c r="Y221" s="10" t="inlineStr">
        <is>
          <t>Not Found</t>
        </is>
      </c>
      <c r="Z221" s="10" t="inlineStr">
        <is>
          <t>Low</t>
        </is>
      </c>
      <c r="AA221" s="10" t="inlineStr">
        <is>
          <t>Requires Verification</t>
        </is>
      </c>
      <c r="AB221" s="10" t="inlineStr">
        <is>
          <t>https://vapemaps.co/scotland/north-lanarkshire/coatbridge</t>
        </is>
      </c>
    </row>
    <row r="222">
      <c r="A222" s="5" t="inlineStr">
        <is>
          <t>WY-0099</t>
        </is>
      </c>
      <c r="B222" s="5" t="inlineStr">
        <is>
          <t>WY-0099-01</t>
        </is>
      </c>
      <c r="C222" s="5" t="inlineStr"/>
      <c r="D222" s="5" t="inlineStr">
        <is>
          <t>International Foods</t>
        </is>
      </c>
      <c r="E222" s="5" t="inlineStr">
        <is>
          <t>Independent Supermarket</t>
        </is>
      </c>
      <c r="F222" s="5" t="inlineStr">
        <is>
          <t>South Asian supermarket with halal meat</t>
        </is>
      </c>
      <c r="G222" s="5" t="inlineStr">
        <is>
          <t>Independent</t>
        </is>
      </c>
      <c r="H222" s="5" t="inlineStr">
        <is>
          <t>1</t>
        </is>
      </c>
      <c r="I222" s="5" t="inlineStr">
        <is>
          <t>166 Harehills Lane</t>
        </is>
      </c>
      <c r="J222" s="5" t="inlineStr">
        <is>
          <t>Leeds</t>
        </is>
      </c>
      <c r="K222" s="5" t="inlineStr">
        <is>
          <t>LS8 5JP</t>
        </is>
      </c>
      <c r="L222" s="5" t="inlineStr"/>
      <c r="M222" s="5" t="inlineStr"/>
      <c r="N222" s="5" t="inlineStr"/>
      <c r="O222" s="5" t="inlineStr"/>
      <c r="P222" s="5" t="inlineStr"/>
      <c r="Q222" s="5" t="inlineStr"/>
      <c r="R222" s="5" t="inlineStr"/>
      <c r="S222" s="5" t="inlineStr"/>
      <c r="T222" s="5" t="inlineStr">
        <is>
          <t>09552908</t>
        </is>
      </c>
      <c r="U222" s="5" t="inlineStr"/>
      <c r="V222" s="5" t="inlineStr">
        <is>
          <t>Low</t>
        </is>
      </c>
      <c r="W222" s="5" t="inlineStr">
        <is>
          <t>Independent retailer; Relevant category</t>
        </is>
      </c>
      <c r="X222" s="5" t="inlineStr">
        <is>
          <t>Not Found</t>
        </is>
      </c>
      <c r="Y222" s="5" t="inlineStr">
        <is>
          <t>Not Found</t>
        </is>
      </c>
      <c r="Z222" s="5" t="inlineStr">
        <is>
          <t>Medium</t>
        </is>
      </c>
      <c r="AA222" s="5" t="inlineStr">
        <is>
          <t>Partially Verified</t>
        </is>
      </c>
      <c r="AB222" s="5" t="inlineStr">
        <is>
          <t>https://find-and-update.company-information.service.gov.uk/company/09552908</t>
        </is>
      </c>
    </row>
    <row r="223">
      <c r="A223" s="10" t="inlineStr">
        <is>
          <t>UK-000785</t>
        </is>
      </c>
      <c r="B223" s="10" t="inlineStr">
        <is>
          <t>UK-000785-01</t>
        </is>
      </c>
      <c r="C223" s="10" t="inlineStr"/>
      <c r="D223" s="10" t="inlineStr">
        <is>
          <t>J B Halal Superstore</t>
        </is>
      </c>
      <c r="E223" s="10" t="inlineStr">
        <is>
          <t>Independent Supermarket</t>
        </is>
      </c>
      <c r="F223" s="10" t="inlineStr">
        <is>
          <t>Halal / world-food superstore</t>
        </is>
      </c>
      <c r="G223" s="10" t="inlineStr">
        <is>
          <t>Independent</t>
        </is>
      </c>
      <c r="H223" s="10" t="inlineStr">
        <is>
          <t>1</t>
        </is>
      </c>
      <c r="I223" s="10" t="inlineStr"/>
      <c r="J223" s="10" t="inlineStr">
        <is>
          <t>Liverpool</t>
        </is>
      </c>
      <c r="K223" s="10" t="inlineStr">
        <is>
          <t>L15 0EF</t>
        </is>
      </c>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https://www.yell.com/biz/j-b-halal-superstore-liverpool-6176751/</t>
        </is>
      </c>
    </row>
    <row r="224">
      <c r="A224" s="5" t="inlineStr">
        <is>
          <t>UK-000481</t>
        </is>
      </c>
      <c r="B224" s="5" t="inlineStr">
        <is>
          <t>UK-000481-01</t>
        </is>
      </c>
      <c r="C224" s="5" t="inlineStr"/>
      <c r="D224" s="5" t="inlineStr">
        <is>
          <t>JS Convenience Store</t>
        </is>
      </c>
      <c r="E224" s="5" t="inlineStr">
        <is>
          <t>Convenience Store</t>
        </is>
      </c>
      <c r="F224" s="5" t="inlineStr">
        <is>
          <t>Convenience store &amp; off-licence</t>
        </is>
      </c>
      <c r="G224" s="5" t="inlineStr">
        <is>
          <t>Independent</t>
        </is>
      </c>
      <c r="H224" s="5" t="inlineStr">
        <is>
          <t>1</t>
        </is>
      </c>
      <c r="I224" s="5" t="inlineStr">
        <is>
          <t>110 Coronation Road</t>
        </is>
      </c>
      <c r="J224" s="5" t="inlineStr">
        <is>
          <t>Wednesbury</t>
        </is>
      </c>
      <c r="K224" s="5" t="inlineStr">
        <is>
          <t>WS10 0TJ</t>
        </is>
      </c>
      <c r="L224" s="5" t="inlineStr"/>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Not Found</t>
        </is>
      </c>
      <c r="Y224" s="5" t="inlineStr">
        <is>
          <t>Not Found</t>
        </is>
      </c>
      <c r="Z224" s="5" t="inlineStr">
        <is>
          <t>Medium</t>
        </is>
      </c>
      <c r="AA224" s="5" t="inlineStr">
        <is>
          <t>Requires Verification</t>
        </is>
      </c>
      <c r="AB224" s="5" t="inlineStr">
        <is>
          <t>https://www.yell.com/biz/js-convenience-store-wednesbury-8809377/</t>
        </is>
      </c>
    </row>
    <row r="225">
      <c r="A225" s="10" t="inlineStr">
        <is>
          <t>UK-000258</t>
        </is>
      </c>
      <c r="B225" s="10" t="inlineStr">
        <is>
          <t>UK-000258-01</t>
        </is>
      </c>
      <c r="C225" s="10" t="inlineStr"/>
      <c r="D225" s="10" t="inlineStr">
        <is>
          <t>Jaan Lounge</t>
        </is>
      </c>
      <c r="E225" s="10" t="inlineStr">
        <is>
          <t>Smoke / Shisha Shop</t>
        </is>
      </c>
      <c r="F225" s="10" t="inlineStr">
        <is>
          <t>Cafe and shisha lounge</t>
        </is>
      </c>
      <c r="G225" s="10" t="inlineStr">
        <is>
          <t>Independent</t>
        </is>
      </c>
      <c r="H225" s="10" t="inlineStr">
        <is>
          <t>1</t>
        </is>
      </c>
      <c r="I225" s="10" t="inlineStr"/>
      <c r="J225" s="10" t="inlineStr">
        <is>
          <t>Sheffield</t>
        </is>
      </c>
      <c r="K225" s="10" t="inlineStr"/>
      <c r="L225" s="10" t="inlineStr"/>
      <c r="M225" s="10" t="inlineStr"/>
      <c r="N225" s="10" t="inlineStr"/>
      <c r="O225" s="10" t="inlineStr">
        <is>
          <t>https://www.jaanlounge.com/</t>
        </is>
      </c>
      <c r="P225" s="10" t="inlineStr"/>
      <c r="Q225" s="10" t="inlineStr"/>
      <c r="R225" s="10" t="inlineStr"/>
      <c r="S225" s="10" t="inlineStr"/>
      <c r="T225" s="10" t="inlineStr"/>
      <c r="U225" s="10" t="inlineStr"/>
      <c r="V225" s="10" t="inlineStr">
        <is>
          <t>Medium</t>
        </is>
      </c>
      <c r="W225" s="10" t="inlineStr">
        <is>
          <t>Independent retailer; Core relevant category; Active website</t>
        </is>
      </c>
      <c r="X225" s="10" t="inlineStr">
        <is>
          <t>Not Found</t>
        </is>
      </c>
      <c r="Y225" s="10" t="inlineStr">
        <is>
          <t>Website Found</t>
        </is>
      </c>
      <c r="Z225" s="10" t="inlineStr">
        <is>
          <t>Low</t>
        </is>
      </c>
      <c r="AA225" s="10" t="inlineStr">
        <is>
          <t>Requires Verification</t>
        </is>
      </c>
      <c r="AB225" s="10" t="inlineStr">
        <is>
          <t>https://www.jaanlounge.com/</t>
        </is>
      </c>
    </row>
    <row r="226">
      <c r="A226" s="5" t="inlineStr">
        <is>
          <t>UK-000366</t>
        </is>
      </c>
      <c r="B226" s="5" t="inlineStr">
        <is>
          <t>UK-000366-01</t>
        </is>
      </c>
      <c r="C226" s="5" t="inlineStr"/>
      <c r="D226" s="5" t="inlineStr">
        <is>
          <t>Jaffa Convenience Store Ltd (Stretford)</t>
        </is>
      </c>
      <c r="E226" s="5" t="inlineStr">
        <is>
          <t>Convenience Store</t>
        </is>
      </c>
      <c r="F226" s="5" t="inlineStr">
        <is>
          <t>Convenience &amp; off-licence</t>
        </is>
      </c>
      <c r="G226" s="5" t="inlineStr">
        <is>
          <t>Independent</t>
        </is>
      </c>
      <c r="H226" s="5" t="inlineStr">
        <is>
          <t>1</t>
        </is>
      </c>
      <c r="I226" s="5" t="inlineStr">
        <is>
          <t>496 Kings Road</t>
        </is>
      </c>
      <c r="J226" s="5" t="inlineStr">
        <is>
          <t>Stretford</t>
        </is>
      </c>
      <c r="K226" s="5" t="inlineStr">
        <is>
          <t>M32 8QW</t>
        </is>
      </c>
      <c r="L226" s="5" t="inlineStr"/>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Not Found</t>
        </is>
      </c>
      <c r="Y226" s="5" t="inlineStr">
        <is>
          <t>Not Found</t>
        </is>
      </c>
      <c r="Z226" s="5" t="inlineStr">
        <is>
          <t>Low</t>
        </is>
      </c>
      <c r="AA226" s="5" t="inlineStr">
        <is>
          <t>Requires Verification</t>
        </is>
      </c>
      <c r="AB226" s="5" t="inlineStr">
        <is>
          <t>https://stretford-trafford.cylex-uk.co.uk/convenience-stores/</t>
        </is>
      </c>
    </row>
    <row r="227">
      <c r="A227" s="10" t="inlineStr">
        <is>
          <t>UK-000259</t>
        </is>
      </c>
      <c r="B227" s="10" t="inlineStr">
        <is>
          <t>UK-000259-01</t>
        </is>
      </c>
      <c r="C227" s="10" t="inlineStr"/>
      <c r="D227" s="10" t="inlineStr">
        <is>
          <t>Jah's Off Licence</t>
        </is>
      </c>
      <c r="E227" s="10" t="inlineStr">
        <is>
          <t>Off-Licence</t>
        </is>
      </c>
      <c r="F227" s="10" t="inlineStr">
        <is>
          <t>Off-licence / convenience</t>
        </is>
      </c>
      <c r="G227" s="10" t="inlineStr">
        <is>
          <t>Independent</t>
        </is>
      </c>
      <c r="H227" s="10" t="inlineStr">
        <is>
          <t>1</t>
        </is>
      </c>
      <c r="I227" s="10" t="inlineStr">
        <is>
          <t>141 London Road</t>
        </is>
      </c>
      <c r="J227" s="10" t="inlineStr">
        <is>
          <t>Sheffield</t>
        </is>
      </c>
      <c r="K227" s="10" t="inlineStr">
        <is>
          <t>S2 4LE</t>
        </is>
      </c>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https://www.locallife.co.uk/sheffield/off-licences.asp</t>
        </is>
      </c>
    </row>
    <row r="228">
      <c r="A228" s="5" t="inlineStr">
        <is>
          <t>UK-000617</t>
        </is>
      </c>
      <c r="B228" s="5" t="inlineStr">
        <is>
          <t>UK-000617-01</t>
        </is>
      </c>
      <c r="C228" s="5" t="inlineStr"/>
      <c r="D228" s="5" t="inlineStr">
        <is>
          <t>Jeens Cash &amp; Carry</t>
        </is>
      </c>
      <c r="E228" s="5" t="inlineStr">
        <is>
          <t>Cash &amp; Carry</t>
        </is>
      </c>
      <c r="F228" s="5" t="inlineStr"/>
      <c r="G228" s="5" t="inlineStr">
        <is>
          <t>Independent</t>
        </is>
      </c>
      <c r="H228" s="5" t="inlineStr">
        <is>
          <t>1</t>
        </is>
      </c>
      <c r="I228" s="5" t="inlineStr">
        <is>
          <t>306 Harrow Road</t>
        </is>
      </c>
      <c r="J228" s="5" t="inlineStr">
        <is>
          <t>Wembley</t>
        </is>
      </c>
      <c r="K228" s="5" t="inlineStr">
        <is>
          <t>HA9 6LL</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Not Found</t>
        </is>
      </c>
      <c r="Y228" s="5" t="inlineStr">
        <is>
          <t>Not Found</t>
        </is>
      </c>
      <c r="Z228" s="5" t="inlineStr">
        <is>
          <t>Low</t>
        </is>
      </c>
      <c r="AA228" s="5" t="inlineStr">
        <is>
          <t>Requires Verification</t>
        </is>
      </c>
      <c r="AB228" s="5" t="inlineStr">
        <is>
          <t>https://www.yell.com/biz/jeens-cash-and-carry-wembley-5361307/</t>
        </is>
      </c>
    </row>
    <row r="229">
      <c r="A229" s="10" t="inlineStr">
        <is>
          <t>UK-000260</t>
        </is>
      </c>
      <c r="B229" s="10" t="inlineStr">
        <is>
          <t>UK-000260-01</t>
        </is>
      </c>
      <c r="C229" s="10" t="inlineStr"/>
      <c r="D229" s="10" t="inlineStr">
        <is>
          <t>Juice &amp; Coil Co</t>
        </is>
      </c>
      <c r="E229" s="10" t="inlineStr">
        <is>
          <t>Vape Shop</t>
        </is>
      </c>
      <c r="F229" s="10" t="inlineStr">
        <is>
          <t>E-liquid and coil specialist</t>
        </is>
      </c>
      <c r="G229" s="10" t="inlineStr">
        <is>
          <t>Independent</t>
        </is>
      </c>
      <c r="H229" s="10" t="inlineStr">
        <is>
          <t>1</t>
        </is>
      </c>
      <c r="I229" s="10" t="inlineStr">
        <is>
          <t>851 Chesterfield Road</t>
        </is>
      </c>
      <c r="J229" s="10" t="inlineStr">
        <is>
          <t>Sheffield</t>
        </is>
      </c>
      <c r="K229" s="10" t="inlineStr">
        <is>
          <t>S8 0SQ</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Not Found</t>
        </is>
      </c>
      <c r="Y229" s="10" t="inlineStr">
        <is>
          <t>Not Found</t>
        </is>
      </c>
      <c r="Z229" s="10" t="inlineStr">
        <is>
          <t>Low</t>
        </is>
      </c>
      <c r="AA229" s="10" t="inlineStr">
        <is>
          <t>Requires Verification</t>
        </is>
      </c>
      <c r="AB229" s="10" t="inlineStr">
        <is>
          <t>https://www.yelp.com/search?cflt=vapeshops&amp;find_loc=Unit+12+Parkway+Close%2C+Sheffield+S9+4WJ%2C+United+Kingdom</t>
        </is>
      </c>
    </row>
    <row r="230">
      <c r="A230" s="5" t="inlineStr">
        <is>
          <t>UK-000618</t>
        </is>
      </c>
      <c r="B230" s="5" t="inlineStr">
        <is>
          <t>UK-000618-01</t>
        </is>
      </c>
      <c r="C230" s="5" t="inlineStr"/>
      <c r="D230" s="5" t="inlineStr">
        <is>
          <t>Juiceshop</t>
        </is>
      </c>
      <c r="E230" s="5" t="inlineStr">
        <is>
          <t>Vape Shop</t>
        </is>
      </c>
      <c r="F230" s="5" t="inlineStr">
        <is>
          <t>Vape / smokers requisites</t>
        </is>
      </c>
      <c r="G230" s="5" t="inlineStr">
        <is>
          <t>Independent</t>
        </is>
      </c>
      <c r="H230" s="5" t="inlineStr">
        <is>
          <t>1</t>
        </is>
      </c>
      <c r="I230" s="5" t="inlineStr"/>
      <c r="J230" s="5" t="inlineStr">
        <is>
          <t>Edmonton</t>
        </is>
      </c>
      <c r="K230" s="5" t="inlineStr">
        <is>
          <t>N18 1ND</t>
        </is>
      </c>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Independent retailer; Core relevant category</t>
        </is>
      </c>
      <c r="X230" s="5" t="inlineStr">
        <is>
          <t>Not Found</t>
        </is>
      </c>
      <c r="Y230" s="5" t="inlineStr">
        <is>
          <t>Not Found</t>
        </is>
      </c>
      <c r="Z230" s="5" t="inlineStr">
        <is>
          <t>Low</t>
        </is>
      </c>
      <c r="AA230" s="5" t="inlineStr">
        <is>
          <t>Requires Verification</t>
        </is>
      </c>
      <c r="AB230" s="5" t="inlineStr">
        <is>
          <t>https://www.192.com/atoz/business/london-n18/smokers-requisites/juiceshop/4c047a1058e014f909e7c51434d959de23d404c6/ml/</t>
        </is>
      </c>
    </row>
    <row r="231">
      <c r="A231" s="10" t="inlineStr">
        <is>
          <t>UK-000484</t>
        </is>
      </c>
      <c r="B231" s="10" t="inlineStr">
        <is>
          <t>UK-000484-01</t>
        </is>
      </c>
      <c r="C231" s="10" t="inlineStr"/>
      <c r="D231" s="10" t="inlineStr">
        <is>
          <t>Jungle Shisha Lounge</t>
        </is>
      </c>
      <c r="E231" s="10" t="inlineStr">
        <is>
          <t>Smoke / Shisha Shop</t>
        </is>
      </c>
      <c r="F231" s="10" t="inlineStr">
        <is>
          <t>Shisha lounge</t>
        </is>
      </c>
      <c r="G231" s="10" t="inlineStr">
        <is>
          <t>Independent</t>
        </is>
      </c>
      <c r="H231" s="10" t="inlineStr">
        <is>
          <t>1</t>
        </is>
      </c>
      <c r="I231" s="10" t="inlineStr">
        <is>
          <t>215 Monument Road</t>
        </is>
      </c>
      <c r="J231" s="10" t="inlineStr">
        <is>
          <t>Birmingham</t>
        </is>
      </c>
      <c r="K231" s="10" t="inlineStr">
        <is>
          <t>B16 8UU</t>
        </is>
      </c>
      <c r="L231" s="10" t="inlineStr"/>
      <c r="M231" s="10" t="inlineStr"/>
      <c r="N231" s="10" t="inlineStr"/>
      <c r="O231" s="10" t="inlineStr">
        <is>
          <t>https://jungleshishalounge.com/</t>
        </is>
      </c>
      <c r="P231" s="10" t="inlineStr"/>
      <c r="Q231" s="10" t="inlineStr"/>
      <c r="R231" s="10" t="inlineStr"/>
      <c r="S231" s="10" t="inlineStr"/>
      <c r="T231" s="10" t="inlineStr"/>
      <c r="U231" s="10" t="inlineStr"/>
      <c r="V231" s="10" t="inlineStr">
        <is>
          <t>Medium</t>
        </is>
      </c>
      <c r="W231" s="10" t="inlineStr">
        <is>
          <t>Independent retailer; Core relevant category; Active website</t>
        </is>
      </c>
      <c r="X231" s="10" t="inlineStr">
        <is>
          <t>Not Found</t>
        </is>
      </c>
      <c r="Y231" s="10" t="inlineStr">
        <is>
          <t>Website Found</t>
        </is>
      </c>
      <c r="Z231" s="10" t="inlineStr">
        <is>
          <t>Low</t>
        </is>
      </c>
      <c r="AA231" s="10" t="inlineStr">
        <is>
          <t>Requires Verification</t>
        </is>
      </c>
      <c r="AB231" s="10" t="inlineStr">
        <is>
          <t>https://jungleshishalounge.com/</t>
        </is>
      </c>
    </row>
    <row r="232">
      <c r="A232" s="5" t="inlineStr">
        <is>
          <t>UK-000367</t>
        </is>
      </c>
      <c r="B232" s="5" t="inlineStr">
        <is>
          <t>UK-000367-01</t>
        </is>
      </c>
      <c r="C232" s="5" t="inlineStr"/>
      <c r="D232" s="5" t="inlineStr">
        <is>
          <t>Just Vapours (Eccles, Salford)</t>
        </is>
      </c>
      <c r="E232" s="5" t="inlineStr">
        <is>
          <t>Vape Shop</t>
        </is>
      </c>
      <c r="F232" s="5" t="inlineStr">
        <is>
          <t>Vape hardware, e-liquids &amp; disposables</t>
        </is>
      </c>
      <c r="G232" s="5" t="inlineStr">
        <is>
          <t>Independent</t>
        </is>
      </c>
      <c r="H232" s="5" t="inlineStr">
        <is>
          <t>1</t>
        </is>
      </c>
      <c r="I232" s="5" t="inlineStr">
        <is>
          <t>110 Church Street</t>
        </is>
      </c>
      <c r="J232" s="5" t="inlineStr">
        <is>
          <t>Eccles</t>
        </is>
      </c>
      <c r="K232" s="5" t="inlineStr">
        <is>
          <t>M30 0LH</t>
        </is>
      </c>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Independent retailer; Core relevant category</t>
        </is>
      </c>
      <c r="X232" s="5" t="inlineStr">
        <is>
          <t>Not Found</t>
        </is>
      </c>
      <c r="Y232" s="5" t="inlineStr">
        <is>
          <t>Not Found</t>
        </is>
      </c>
      <c r="Z232" s="5" t="inlineStr">
        <is>
          <t>Low</t>
        </is>
      </c>
      <c r="AA232" s="5" t="inlineStr">
        <is>
          <t>Requires Verification</t>
        </is>
      </c>
      <c r="AB232" s="5" t="inlineStr">
        <is>
          <t>https://eccles-city-of-salford.cylex-uk.co.uk/vape-shops/</t>
        </is>
      </c>
    </row>
    <row r="233">
      <c r="A233" s="10" t="inlineStr">
        <is>
          <t>UK-000787</t>
        </is>
      </c>
      <c r="B233" s="10" t="inlineStr">
        <is>
          <t>UK-000787-01</t>
        </is>
      </c>
      <c r="C233" s="10" t="inlineStr"/>
      <c r="D233" s="10" t="inlineStr">
        <is>
          <t>K Douglas Newsagent</t>
        </is>
      </c>
      <c r="E233" s="10" t="inlineStr">
        <is>
          <t>Newsagent</t>
        </is>
      </c>
      <c r="F233" s="10" t="inlineStr">
        <is>
          <t>Newsagent / convenience</t>
        </is>
      </c>
      <c r="G233" s="10" t="inlineStr">
        <is>
          <t>Independent</t>
        </is>
      </c>
      <c r="H233" s="10" t="inlineStr">
        <is>
          <t>1</t>
        </is>
      </c>
      <c r="I233" s="10" t="inlineStr">
        <is>
          <t>80-82 South Road</t>
        </is>
      </c>
      <c r="J233" s="10" t="inlineStr">
        <is>
          <t>Liverpool</t>
        </is>
      </c>
      <c r="K233" s="10" t="inlineStr">
        <is>
          <t>L22 0LY</t>
        </is>
      </c>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https://groceries-now.co.uk/now/Waterloo%20(Merseyside)</t>
        </is>
      </c>
    </row>
    <row r="234">
      <c r="A234" s="5" t="inlineStr">
        <is>
          <t>UK-000788</t>
        </is>
      </c>
      <c r="B234" s="5" t="inlineStr">
        <is>
          <t>UK-000788-01</t>
        </is>
      </c>
      <c r="C234" s="5" t="inlineStr"/>
      <c r="D234" s="5" t="inlineStr">
        <is>
          <t>K K Stores</t>
        </is>
      </c>
      <c r="E234" s="5" t="inlineStr">
        <is>
          <t>Convenience Store</t>
        </is>
      </c>
      <c r="F234" s="5" t="inlineStr">
        <is>
          <t>Grocer &amp; convenience store</t>
        </is>
      </c>
      <c r="G234" s="5" t="inlineStr">
        <is>
          <t>Independent</t>
        </is>
      </c>
      <c r="H234" s="5" t="inlineStr">
        <is>
          <t>1</t>
        </is>
      </c>
      <c r="I234" s="5" t="inlineStr"/>
      <c r="J234" s="5" t="inlineStr">
        <is>
          <t>Bootle</t>
        </is>
      </c>
      <c r="K234" s="5" t="inlineStr">
        <is>
          <t>L20 2EA</t>
        </is>
      </c>
      <c r="L234" s="5" t="inlineStr"/>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Not Found</t>
        </is>
      </c>
      <c r="Y234" s="5" t="inlineStr">
        <is>
          <t>Not Found</t>
        </is>
      </c>
      <c r="Z234" s="5" t="inlineStr">
        <is>
          <t>Low</t>
        </is>
      </c>
      <c r="AA234" s="5" t="inlineStr">
        <is>
          <t>Requires Verification</t>
        </is>
      </c>
      <c r="AB234" s="5" t="inlineStr">
        <is>
          <t>https://www.192.com/atoz/business/bootle-l20/convenience-stores/k-k-stores/3c4031298ca7285729f2a8f40d96a80e709da138/ml/</t>
        </is>
      </c>
    </row>
    <row r="235">
      <c r="A235" s="10" t="inlineStr">
        <is>
          <t>UK-000261</t>
        </is>
      </c>
      <c r="B235" s="10" t="inlineStr">
        <is>
          <t>UK-000261-01</t>
        </is>
      </c>
      <c r="C235" s="10" t="inlineStr"/>
      <c r="D235" s="10" t="inlineStr">
        <is>
          <t>Kaplan Fast Food Cash &amp; Carry</t>
        </is>
      </c>
      <c r="E235" s="10" t="inlineStr">
        <is>
          <t>Cash &amp; Carry</t>
        </is>
      </c>
      <c r="F235" s="10" t="inlineStr">
        <is>
          <t>Foodservice wholesale</t>
        </is>
      </c>
      <c r="G235" s="10" t="inlineStr">
        <is>
          <t>Independent</t>
        </is>
      </c>
      <c r="H235" s="10" t="inlineStr">
        <is>
          <t>1</t>
        </is>
      </c>
      <c r="I235" s="10" t="inlineStr">
        <is>
          <t>7 Flinton Street</t>
        </is>
      </c>
      <c r="J235" s="10" t="inlineStr">
        <is>
          <t>Kingston upon Hull</t>
        </is>
      </c>
      <c r="K235" s="10" t="inlineStr"/>
      <c r="L235" s="10" t="inlineStr"/>
      <c r="M235" s="10" t="inlineStr"/>
      <c r="N235" s="10" t="inlineStr"/>
      <c r="O235" s="10" t="inlineStr"/>
      <c r="P235" s="10" t="inlineStr">
        <is>
          <t>https://www.facebook.com/people/Kaplan-Fast-Food-Cash-Carry/61558997515973/</t>
        </is>
      </c>
      <c r="Q235" s="10" t="inlineStr"/>
      <c r="R235" s="10" t="inlineStr"/>
      <c r="S235" s="10" t="inlineStr"/>
      <c r="T235" s="10" t="inlineStr"/>
      <c r="U235" s="10" t="inlineStr"/>
      <c r="V235" s="10" t="inlineStr">
        <is>
          <t>Medium</t>
        </is>
      </c>
      <c r="W235" s="10" t="inlineStr">
        <is>
          <t>Independent retailer; Core relevant category; Social presence</t>
        </is>
      </c>
      <c r="X235" s="10" t="inlineStr">
        <is>
          <t>Not Found</t>
        </is>
      </c>
      <c r="Y235" s="10" t="inlineStr">
        <is>
          <t>Not Found</t>
        </is>
      </c>
      <c r="Z235" s="10" t="inlineStr">
        <is>
          <t>Low</t>
        </is>
      </c>
      <c r="AA235" s="10" t="inlineStr">
        <is>
          <t>Requires Verification</t>
        </is>
      </c>
      <c r="AB235" s="10" t="inlineStr">
        <is>
          <t>https://www.facebook.com/people/Kaplan-Fast-Food-Cash-Carry/61558997515973/</t>
        </is>
      </c>
    </row>
    <row r="236">
      <c r="A236" s="5" t="inlineStr">
        <is>
          <t>UK-000485</t>
        </is>
      </c>
      <c r="B236" s="5" t="inlineStr">
        <is>
          <t>UK-000485-01</t>
        </is>
      </c>
      <c r="C236" s="5" t="inlineStr"/>
      <c r="D236" s="5" t="inlineStr">
        <is>
          <t>Kartar Wholesale Cash &amp; Carry</t>
        </is>
      </c>
      <c r="E236" s="5" t="inlineStr">
        <is>
          <t>Cash &amp; Carry</t>
        </is>
      </c>
      <c r="F236" s="5" t="inlineStr">
        <is>
          <t>Wholesale cash &amp; carry</t>
        </is>
      </c>
      <c r="G236" s="5" t="inlineStr">
        <is>
          <t>Independent</t>
        </is>
      </c>
      <c r="H236" s="5" t="inlineStr">
        <is>
          <t>1</t>
        </is>
      </c>
      <c r="I236" s="5" t="inlineStr">
        <is>
          <t>2 Hay Hall Road</t>
        </is>
      </c>
      <c r="J236" s="5" t="inlineStr">
        <is>
          <t>Birmingham</t>
        </is>
      </c>
      <c r="K236" s="5" t="inlineStr">
        <is>
          <t>B11 2AU</t>
        </is>
      </c>
      <c r="L236" s="5" t="inlineStr"/>
      <c r="M236" s="5" t="inlineStr"/>
      <c r="N236" s="5" t="inlineStr"/>
      <c r="O236" s="5" t="inlineStr">
        <is>
          <t>https://kartarcc.com/</t>
        </is>
      </c>
      <c r="P236" s="5" t="inlineStr"/>
      <c r="Q236" s="5" t="inlineStr"/>
      <c r="R236" s="5" t="inlineStr"/>
      <c r="S236" s="5" t="inlineStr"/>
      <c r="T236" s="5" t="inlineStr"/>
      <c r="U236" s="5" t="inlineStr"/>
      <c r="V236" s="5" t="inlineStr">
        <is>
          <t>Medium</t>
        </is>
      </c>
      <c r="W236" s="5" t="inlineStr">
        <is>
          <t>Independent retailer; Core relevant category; Active website</t>
        </is>
      </c>
      <c r="X236" s="5" t="inlineStr">
        <is>
          <t>Not Found</t>
        </is>
      </c>
      <c r="Y236" s="5" t="inlineStr">
        <is>
          <t>Website Found</t>
        </is>
      </c>
      <c r="Z236" s="5" t="inlineStr">
        <is>
          <t>Medium</t>
        </is>
      </c>
      <c r="AA236" s="5" t="inlineStr">
        <is>
          <t>Requires Verification</t>
        </is>
      </c>
      <c r="AB236" s="5" t="inlineStr">
        <is>
          <t>https://kartarcc.com/</t>
        </is>
      </c>
    </row>
    <row r="237">
      <c r="A237" s="10" t="inlineStr">
        <is>
          <t>WY-0104</t>
        </is>
      </c>
      <c r="B237" s="10" t="inlineStr">
        <is>
          <t>WY-0104-01</t>
        </is>
      </c>
      <c r="C237" s="10" t="inlineStr"/>
      <c r="D237" s="10" t="inlineStr">
        <is>
          <t>Keep In Touch</t>
        </is>
      </c>
      <c r="E237" s="10" t="inlineStr">
        <is>
          <t>Newsagent</t>
        </is>
      </c>
      <c r="F237" s="10" t="inlineStr">
        <is>
          <t>Newsagent</t>
        </is>
      </c>
      <c r="G237" s="10" t="inlineStr">
        <is>
          <t>Independent</t>
        </is>
      </c>
      <c r="H237" s="10" t="inlineStr">
        <is>
          <t>1</t>
        </is>
      </c>
      <c r="I237" s="10" t="inlineStr">
        <is>
          <t>5 Albion Street</t>
        </is>
      </c>
      <c r="J237" s="10" t="inlineStr">
        <is>
          <t>Castleford</t>
        </is>
      </c>
      <c r="K237" s="10" t="inlineStr">
        <is>
          <t>WF10 1EG</t>
        </is>
      </c>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Low</t>
        </is>
      </c>
      <c r="AA237" s="10" t="inlineStr">
        <is>
          <t>Requires Verification</t>
        </is>
      </c>
      <c r="AB237" s="10" t="inlineStr">
        <is>
          <t>https://www.192.com/atoz/business/castleford-wf10/newsagents/keep-in-touch/645f3ab15b4cb6acdbc0eb9ef27c5a71438678bb/ml/</t>
        </is>
      </c>
    </row>
    <row r="238">
      <c r="A238" s="5" t="inlineStr">
        <is>
          <t>UK-000790</t>
        </is>
      </c>
      <c r="B238" s="5" t="inlineStr">
        <is>
          <t>UK-000790-01</t>
        </is>
      </c>
      <c r="C238" s="5" t="inlineStr"/>
      <c r="D238" s="5" t="inlineStr">
        <is>
          <t>Keerthi Superstore</t>
        </is>
      </c>
      <c r="E238" s="5" t="inlineStr">
        <is>
          <t>Convenience Store</t>
        </is>
      </c>
      <c r="F238" s="5" t="inlineStr">
        <is>
          <t>Convenience store / off-licence</t>
        </is>
      </c>
      <c r="G238" s="5" t="inlineStr">
        <is>
          <t>Independent</t>
        </is>
      </c>
      <c r="H238" s="5" t="inlineStr">
        <is>
          <t>1</t>
        </is>
      </c>
      <c r="I238" s="5" t="inlineStr">
        <is>
          <t>56 King Street</t>
        </is>
      </c>
      <c r="J238" s="5" t="inlineStr">
        <is>
          <t>Wallasey</t>
        </is>
      </c>
      <c r="K238" s="5" t="inlineStr">
        <is>
          <t>CH44 8AU</t>
        </is>
      </c>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Low</t>
        </is>
      </c>
      <c r="AA238" s="5" t="inlineStr">
        <is>
          <t>Requires Verification</t>
        </is>
      </c>
      <c r="AB238" s="5" t="inlineStr">
        <is>
          <t>https://democracy.wirral.gov.uk/mgAi.aspx?ID=68536</t>
        </is>
      </c>
    </row>
    <row r="239">
      <c r="A239" s="10" t="inlineStr">
        <is>
          <t>WY-0105</t>
        </is>
      </c>
      <c r="B239" s="10" t="inlineStr">
        <is>
          <t>WY-0105-01</t>
        </is>
      </c>
      <c r="C239" s="10" t="inlineStr"/>
      <c r="D239" s="10" t="inlineStr">
        <is>
          <t>Keighley Newsagent</t>
        </is>
      </c>
      <c r="E239" s="10" t="inlineStr">
        <is>
          <t>Newsagent</t>
        </is>
      </c>
      <c r="F239" s="10" t="inlineStr">
        <is>
          <t>Town-centre newsagent</t>
        </is>
      </c>
      <c r="G239" s="10" t="inlineStr">
        <is>
          <t>Independent</t>
        </is>
      </c>
      <c r="H239" s="10" t="inlineStr">
        <is>
          <t>1</t>
        </is>
      </c>
      <c r="I239" s="10" t="inlineStr">
        <is>
          <t>125 North Street</t>
        </is>
      </c>
      <c r="J239" s="10" t="inlineStr">
        <is>
          <t>Keighley</t>
        </is>
      </c>
      <c r="K239" s="10" t="inlineStr">
        <is>
          <t>BD21 3AD</t>
        </is>
      </c>
      <c r="L239" s="10" t="inlineStr"/>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Not Found</t>
        </is>
      </c>
      <c r="Y239" s="10" t="inlineStr">
        <is>
          <t>Not Found</t>
        </is>
      </c>
      <c r="Z239" s="10" t="inlineStr">
        <is>
          <t>Low</t>
        </is>
      </c>
      <c r="AA239" s="10" t="inlineStr">
        <is>
          <t>Requires Verification</t>
        </is>
      </c>
      <c r="AB239" s="10" t="inlineStr">
        <is>
          <t>https://directory.bradfordpages.co.uk/company/504571861241856</t>
        </is>
      </c>
    </row>
    <row r="240">
      <c r="A240" s="5" t="inlineStr">
        <is>
          <t>UK-000791</t>
        </is>
      </c>
      <c r="B240" s="5" t="inlineStr">
        <is>
          <t>UK-000791-01</t>
        </is>
      </c>
      <c r="C240" s="5" t="inlineStr"/>
      <c r="D240" s="5" t="inlineStr">
        <is>
          <t>Kellys Wines</t>
        </is>
      </c>
      <c r="E240" s="5" t="inlineStr">
        <is>
          <t>Off-Licence</t>
        </is>
      </c>
      <c r="F240" s="5" t="inlineStr">
        <is>
          <t>Off-licence / wines &amp; spirits</t>
        </is>
      </c>
      <c r="G240" s="5" t="inlineStr">
        <is>
          <t>Independent</t>
        </is>
      </c>
      <c r="H240" s="5" t="inlineStr">
        <is>
          <t>1</t>
        </is>
      </c>
      <c r="I240" s="5" t="inlineStr">
        <is>
          <t>87 Walton Road</t>
        </is>
      </c>
      <c r="J240" s="5" t="inlineStr">
        <is>
          <t>Liverpool</t>
        </is>
      </c>
      <c r="K240" s="5" t="inlineStr">
        <is>
          <t>L4 4AF</t>
        </is>
      </c>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https://liverpool.cylex-uk.co.uk/off-licence-4.html</t>
        </is>
      </c>
    </row>
    <row r="241">
      <c r="A241" s="10" t="inlineStr">
        <is>
          <t>UK-000262</t>
        </is>
      </c>
      <c r="B241" s="10" t="inlineStr">
        <is>
          <t>UK-000262-01</t>
        </is>
      </c>
      <c r="C241" s="10" t="inlineStr"/>
      <c r="D241" s="10" t="inlineStr">
        <is>
          <t>Kick Ash Vapes Cleethorpes</t>
        </is>
      </c>
      <c r="E241" s="10" t="inlineStr">
        <is>
          <t>Vape Shop</t>
        </is>
      </c>
      <c r="F241" s="10" t="inlineStr">
        <is>
          <t>Vape shop</t>
        </is>
      </c>
      <c r="G241" s="10" t="inlineStr">
        <is>
          <t>Independent</t>
        </is>
      </c>
      <c r="H241" s="10" t="inlineStr">
        <is>
          <t>1</t>
        </is>
      </c>
      <c r="I241" s="10" t="inlineStr">
        <is>
          <t>201 Grimsby Road</t>
        </is>
      </c>
      <c r="J241" s="10" t="inlineStr">
        <is>
          <t>Cleethorpes</t>
        </is>
      </c>
      <c r="K241" s="10" t="inlineStr">
        <is>
          <t>DN35 7HB</t>
        </is>
      </c>
      <c r="L241" s="10" t="inlineStr"/>
      <c r="M241" s="10" t="inlineStr"/>
      <c r="N241" s="10" t="inlineStr"/>
      <c r="O241" s="10" t="inlineStr"/>
      <c r="P241" s="10" t="inlineStr"/>
      <c r="Q241" s="10" t="inlineStr"/>
      <c r="R241" s="10" t="inlineStr"/>
      <c r="S241" s="10" t="inlineStr"/>
      <c r="T241" s="10" t="inlineStr"/>
      <c r="U241" s="10" t="inlineStr"/>
      <c r="V241" s="10" t="inlineStr">
        <is>
          <t>Medium</t>
        </is>
      </c>
      <c r="W241" s="10" t="inlineStr">
        <is>
          <t>Independent retailer; Core relevant category</t>
        </is>
      </c>
      <c r="X241" s="10" t="inlineStr">
        <is>
          <t>Not Found</t>
        </is>
      </c>
      <c r="Y241" s="10" t="inlineStr">
        <is>
          <t>Not Found</t>
        </is>
      </c>
      <c r="Z241" s="10" t="inlineStr">
        <is>
          <t>Low</t>
        </is>
      </c>
      <c r="AA241" s="10" t="inlineStr">
        <is>
          <t>Requires Verification</t>
        </is>
      </c>
      <c r="AB241" s="10" t="inlineStr">
        <is>
          <t>https://kick-ash-vapes-cleethorpes.wheree.com/</t>
        </is>
      </c>
    </row>
    <row r="242">
      <c r="A242" s="5" t="inlineStr">
        <is>
          <t>UK-000793</t>
        </is>
      </c>
      <c r="B242" s="5" t="inlineStr">
        <is>
          <t>UK-000793-01</t>
        </is>
      </c>
      <c r="C242" s="5" t="inlineStr"/>
      <c r="D242" s="5" t="inlineStr">
        <is>
          <t>King Vape Paisley</t>
        </is>
      </c>
      <c r="E242" s="5" t="inlineStr">
        <is>
          <t>Vape Shop</t>
        </is>
      </c>
      <c r="F242" s="5" t="inlineStr">
        <is>
          <t>Vape shop</t>
        </is>
      </c>
      <c r="G242" s="5" t="inlineStr">
        <is>
          <t>Independent</t>
        </is>
      </c>
      <c r="H242" s="5" t="inlineStr">
        <is>
          <t>1</t>
        </is>
      </c>
      <c r="I242" s="5" t="inlineStr">
        <is>
          <t>13 Moss Street</t>
        </is>
      </c>
      <c r="J242" s="5" t="inlineStr">
        <is>
          <t>Paisley</t>
        </is>
      </c>
      <c r="K242" s="5" t="inlineStr">
        <is>
          <t>PA1 1BE</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Independent retailer; Core relevant category</t>
        </is>
      </c>
      <c r="X242" s="5" t="inlineStr">
        <is>
          <t>Not Found</t>
        </is>
      </c>
      <c r="Y242" s="5" t="inlineStr">
        <is>
          <t>Not Found</t>
        </is>
      </c>
      <c r="Z242" s="5" t="inlineStr">
        <is>
          <t>Low</t>
        </is>
      </c>
      <c r="AA242" s="5" t="inlineStr">
        <is>
          <t>Requires Verification</t>
        </is>
      </c>
      <c r="AB242" s="5" t="inlineStr">
        <is>
          <t>https://firmania.co.uk/paisley/king-vape-paisley-6635214</t>
        </is>
      </c>
    </row>
    <row r="243">
      <c r="A243" s="10" t="inlineStr">
        <is>
          <t>UK-000620</t>
        </is>
      </c>
      <c r="B243" s="10" t="inlineStr">
        <is>
          <t>UK-000620-01</t>
        </is>
      </c>
      <c r="C243" s="10" t="inlineStr"/>
      <c r="D243" s="10" t="inlineStr">
        <is>
          <t>Kings Cross Continental Stores</t>
        </is>
      </c>
      <c r="E243" s="10" t="inlineStr">
        <is>
          <t>Convenience Store</t>
        </is>
      </c>
      <c r="F243" s="10" t="inlineStr">
        <is>
          <t>Convenience &amp; off-licence</t>
        </is>
      </c>
      <c r="G243" s="10" t="inlineStr">
        <is>
          <t>Independent</t>
        </is>
      </c>
      <c r="H243" s="10" t="inlineStr">
        <is>
          <t>1</t>
        </is>
      </c>
      <c r="I243" s="10" t="inlineStr">
        <is>
          <t>26 Caledonian Road</t>
        </is>
      </c>
      <c r="J243" s="10" t="inlineStr">
        <is>
          <t>London</t>
        </is>
      </c>
      <c r="K243" s="10" t="inlineStr"/>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https://islington.moderngov.co.uk/documents/s38601/Kings%20Cross%20Continental%20Stores%2026%20Caledonian%20Road.pdf</t>
        </is>
      </c>
    </row>
    <row r="244">
      <c r="A244" s="5" t="inlineStr">
        <is>
          <t>UK-000621</t>
        </is>
      </c>
      <c r="B244" s="5" t="inlineStr">
        <is>
          <t>UK-000621-01</t>
        </is>
      </c>
      <c r="C244" s="5" t="inlineStr"/>
      <c r="D244" s="5" t="inlineStr">
        <is>
          <t>Kings Cross Food &amp; Wine</t>
        </is>
      </c>
      <c r="E244" s="5" t="inlineStr">
        <is>
          <t>Convenience Store</t>
        </is>
      </c>
      <c r="F244" s="5" t="inlineStr">
        <is>
          <t>Convenience &amp; off-licence</t>
        </is>
      </c>
      <c r="G244" s="5" t="inlineStr">
        <is>
          <t>Independent</t>
        </is>
      </c>
      <c r="H244" s="5" t="inlineStr">
        <is>
          <t>1</t>
        </is>
      </c>
      <c r="I244" s="5" t="inlineStr"/>
      <c r="J244" s="5" t="inlineStr">
        <is>
          <t>London</t>
        </is>
      </c>
      <c r="K244" s="5" t="inlineStr"/>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https://www.yell.com/biz/kings-cross-food-and-wine-london-7949028/</t>
        </is>
      </c>
    </row>
    <row r="245">
      <c r="A245" s="10" t="inlineStr">
        <is>
          <t>UK-000263</t>
        </is>
      </c>
      <c r="B245" s="10" t="inlineStr">
        <is>
          <t>UK-000263-01</t>
        </is>
      </c>
      <c r="C245" s="10" t="inlineStr"/>
      <c r="D245" s="10" t="inlineStr">
        <is>
          <t>Kings Lites Acomb</t>
        </is>
      </c>
      <c r="E245" s="10" t="inlineStr">
        <is>
          <t>Vape Shop</t>
        </is>
      </c>
      <c r="F245" s="10" t="inlineStr">
        <is>
          <t>Vaping specialist</t>
        </is>
      </c>
      <c r="G245" s="10" t="inlineStr">
        <is>
          <t>Independent</t>
        </is>
      </c>
      <c r="H245" s="10" t="inlineStr">
        <is>
          <t>1</t>
        </is>
      </c>
      <c r="I245" s="10" t="inlineStr"/>
      <c r="J245" s="10" t="inlineStr">
        <is>
          <t>York</t>
        </is>
      </c>
      <c r="K245" s="10" t="inlineStr"/>
      <c r="L245" s="10" t="inlineStr"/>
      <c r="M245" s="10" t="inlineStr"/>
      <c r="N245" s="10" t="inlineStr"/>
      <c r="O245" s="10" t="inlineStr">
        <is>
          <t>https://www.kingslites.co.uk/acomb</t>
        </is>
      </c>
      <c r="P245" s="10" t="inlineStr"/>
      <c r="Q245" s="10" t="inlineStr"/>
      <c r="R245" s="10" t="inlineStr"/>
      <c r="S245" s="10" t="inlineStr"/>
      <c r="T245" s="10" t="inlineStr"/>
      <c r="U245" s="10" t="inlineStr"/>
      <c r="V245" s="10" t="inlineStr">
        <is>
          <t>Medium</t>
        </is>
      </c>
      <c r="W245" s="10" t="inlineStr">
        <is>
          <t>Independent retailer; Core relevant category; Active website</t>
        </is>
      </c>
      <c r="X245" s="10" t="inlineStr">
        <is>
          <t>Not Found</t>
        </is>
      </c>
      <c r="Y245" s="10" t="inlineStr">
        <is>
          <t>Website Found</t>
        </is>
      </c>
      <c r="Z245" s="10" t="inlineStr">
        <is>
          <t>Low</t>
        </is>
      </c>
      <c r="AA245" s="10" t="inlineStr">
        <is>
          <t>Requires Verification</t>
        </is>
      </c>
      <c r="AB245" s="10" t="inlineStr">
        <is>
          <t>https://www.kingslites.co.uk/acomb</t>
        </is>
      </c>
    </row>
    <row r="246">
      <c r="A246" s="5" t="inlineStr">
        <is>
          <t>UK-000622</t>
        </is>
      </c>
      <c r="B246" s="5" t="inlineStr">
        <is>
          <t>UK-000622-01</t>
        </is>
      </c>
      <c r="C246" s="5" t="inlineStr"/>
      <c r="D246" s="5" t="inlineStr">
        <is>
          <t>Kings of Vapes</t>
        </is>
      </c>
      <c r="E246" s="5" t="inlineStr">
        <is>
          <t>Vape Shop</t>
        </is>
      </c>
      <c r="F246" s="5" t="inlineStr">
        <is>
          <t>Vape retail / wholesale</t>
        </is>
      </c>
      <c r="G246" s="5" t="inlineStr">
        <is>
          <t>Independent</t>
        </is>
      </c>
      <c r="H246" s="5" t="inlineStr">
        <is>
          <t>1</t>
        </is>
      </c>
      <c r="I246" s="5" t="inlineStr">
        <is>
          <t>9b Grand Union Enterprise Park</t>
        </is>
      </c>
      <c r="J246" s="5" t="inlineStr">
        <is>
          <t>Southall</t>
        </is>
      </c>
      <c r="K246" s="5" t="inlineStr">
        <is>
          <t>UB2 4EX</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https://www.yell.com/biz/kings-of-vapes-southall-9448970/</t>
        </is>
      </c>
    </row>
    <row r="247">
      <c r="A247" s="10" t="inlineStr">
        <is>
          <t>UK-000623</t>
        </is>
      </c>
      <c r="B247" s="10" t="inlineStr">
        <is>
          <t>UK-000623-01</t>
        </is>
      </c>
      <c r="C247" s="10" t="inlineStr"/>
      <c r="D247" s="10" t="inlineStr">
        <is>
          <t>Kingsland Wines</t>
        </is>
      </c>
      <c r="E247" s="10" t="inlineStr">
        <is>
          <t>Off-Licence</t>
        </is>
      </c>
      <c r="F247" s="10" t="inlineStr">
        <is>
          <t>Off-licence</t>
        </is>
      </c>
      <c r="G247" s="10" t="inlineStr">
        <is>
          <t>Independent</t>
        </is>
      </c>
      <c r="H247" s="10" t="inlineStr">
        <is>
          <t>1</t>
        </is>
      </c>
      <c r="I247" s="10" t="inlineStr">
        <is>
          <t>77 Kingsland High Street</t>
        </is>
      </c>
      <c r="J247" s="10" t="inlineStr">
        <is>
          <t>Dalston</t>
        </is>
      </c>
      <c r="K247" s="10" t="inlineStr">
        <is>
          <t>E8 2PB</t>
        </is>
      </c>
      <c r="L247" s="10" t="inlineStr"/>
      <c r="M247" s="10" t="inlineStr"/>
      <c r="N247" s="10" t="inlineStr"/>
      <c r="O247" s="10" t="inlineStr"/>
      <c r="P247" s="10" t="inlineStr"/>
      <c r="Q247" s="10" t="inlineStr"/>
      <c r="R247" s="10" t="inlineStr"/>
      <c r="S247" s="10" t="inlineStr"/>
      <c r="T247" s="10" t="inlineStr"/>
      <c r="U247" s="10" t="inlineStr"/>
      <c r="V247" s="10" t="inlineStr">
        <is>
          <t>Low</t>
        </is>
      </c>
      <c r="W247" s="10" t="inlineStr">
        <is>
          <t>Independent retailer; Relevant category</t>
        </is>
      </c>
      <c r="X247" s="10" t="inlineStr">
        <is>
          <t>Not Found</t>
        </is>
      </c>
      <c r="Y247" s="10" t="inlineStr">
        <is>
          <t>Not Found</t>
        </is>
      </c>
      <c r="Z247" s="10" t="inlineStr">
        <is>
          <t>Low</t>
        </is>
      </c>
      <c r="AA247" s="10" t="inlineStr">
        <is>
          <t>Requires Verification</t>
        </is>
      </c>
      <c r="AB247" s="10" t="inlineStr">
        <is>
          <t>https://www.yell.com/s/off+licences-dalston-east+london.html</t>
        </is>
      </c>
    </row>
    <row r="248">
      <c r="A248" s="5" t="inlineStr">
        <is>
          <t>UK-000625</t>
        </is>
      </c>
      <c r="B248" s="5" t="inlineStr">
        <is>
          <t>UK-000625-01</t>
        </is>
      </c>
      <c r="C248" s="5" t="inlineStr"/>
      <c r="D248" s="5" t="inlineStr">
        <is>
          <t>Krystals Food &amp; Wine</t>
        </is>
      </c>
      <c r="E248" s="5" t="inlineStr">
        <is>
          <t>Off-Licence</t>
        </is>
      </c>
      <c r="F248" s="5" t="inlineStr">
        <is>
          <t>Convenience &amp; off-licence</t>
        </is>
      </c>
      <c r="G248" s="5" t="inlineStr">
        <is>
          <t>Independent</t>
        </is>
      </c>
      <c r="H248" s="5" t="inlineStr">
        <is>
          <t>1</t>
        </is>
      </c>
      <c r="I248" s="5" t="inlineStr">
        <is>
          <t>320-322 Earls Court Road</t>
        </is>
      </c>
      <c r="J248" s="5" t="inlineStr">
        <is>
          <t>London</t>
        </is>
      </c>
      <c r="K248" s="5" t="inlineStr">
        <is>
          <t>SW5 9BQ</t>
        </is>
      </c>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https://www.yell.com/biz/krystals-food-and-wine-london-7962661/</t>
        </is>
      </c>
    </row>
    <row r="249">
      <c r="A249" s="10" t="inlineStr">
        <is>
          <t>WY-0107</t>
        </is>
      </c>
      <c r="B249" s="10" t="inlineStr">
        <is>
          <t>WY-0107-01</t>
        </is>
      </c>
      <c r="C249" s="10" t="inlineStr"/>
      <c r="D249" s="10" t="inlineStr">
        <is>
          <t>Kubus International Food</t>
        </is>
      </c>
      <c r="E249" s="10" t="inlineStr">
        <is>
          <t>Convenience Store</t>
        </is>
      </c>
      <c r="F249" s="10" t="inlineStr">
        <is>
          <t>International / Eastern European grocery and convenience</t>
        </is>
      </c>
      <c r="G249" s="10" t="inlineStr">
        <is>
          <t>Independent</t>
        </is>
      </c>
      <c r="H249" s="10" t="inlineStr">
        <is>
          <t>1</t>
        </is>
      </c>
      <c r="I249" s="10" t="inlineStr">
        <is>
          <t>86 Kirkgate</t>
        </is>
      </c>
      <c r="J249" s="10" t="inlineStr">
        <is>
          <t>Wakefield</t>
        </is>
      </c>
      <c r="K249" s="10" t="inlineStr"/>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Low</t>
        </is>
      </c>
      <c r="AA249" s="10" t="inlineStr">
        <is>
          <t>Requires Verification</t>
        </is>
      </c>
      <c r="AB249" s="10" t="inlineStr">
        <is>
          <t>https://www.yorkshire.com/wakefield/shopping/corner-shops/kubus-international-food</t>
        </is>
      </c>
    </row>
    <row r="250">
      <c r="A250" s="5" t="inlineStr">
        <is>
          <t>UK-000264</t>
        </is>
      </c>
      <c r="B250" s="5" t="inlineStr">
        <is>
          <t>UK-000264-01</t>
        </is>
      </c>
      <c r="C250" s="5" t="inlineStr"/>
      <c r="D250" s="5" t="inlineStr">
        <is>
          <t>La Vana Restaurant &amp; Shisha</t>
        </is>
      </c>
      <c r="E250" s="5" t="inlineStr">
        <is>
          <t>Smoke / Shisha Shop</t>
        </is>
      </c>
      <c r="F250" s="5" t="inlineStr">
        <is>
          <t>Restaurant and shisha lounge</t>
        </is>
      </c>
      <c r="G250" s="5" t="inlineStr">
        <is>
          <t>Independent</t>
        </is>
      </c>
      <c r="H250" s="5" t="inlineStr">
        <is>
          <t>1</t>
        </is>
      </c>
      <c r="I250" s="5" t="inlineStr"/>
      <c r="J250" s="5" t="inlineStr">
        <is>
          <t>Kingston upon Hull</t>
        </is>
      </c>
      <c r="K250" s="5" t="inlineStr"/>
      <c r="L250" s="5" t="inlineStr"/>
      <c r="M250" s="5" t="inlineStr"/>
      <c r="N250" s="5" t="inlineStr"/>
      <c r="O250" s="5" t="inlineStr"/>
      <c r="P250" s="5" t="inlineStr">
        <is>
          <t>https://www.facebook.com/LaVanaShisha/</t>
        </is>
      </c>
      <c r="Q250" s="5" t="inlineStr"/>
      <c r="R250" s="5" t="inlineStr"/>
      <c r="S250" s="5" t="inlineStr"/>
      <c r="T250" s="5" t="inlineStr"/>
      <c r="U250" s="5" t="inlineStr"/>
      <c r="V250" s="5" t="inlineStr">
        <is>
          <t>Medium</t>
        </is>
      </c>
      <c r="W250" s="5" t="inlineStr">
        <is>
          <t>Independent retailer; Core relevant category; Social presence</t>
        </is>
      </c>
      <c r="X250" s="5" t="inlineStr">
        <is>
          <t>Not Found</t>
        </is>
      </c>
      <c r="Y250" s="5" t="inlineStr">
        <is>
          <t>Not Found</t>
        </is>
      </c>
      <c r="Z250" s="5" t="inlineStr">
        <is>
          <t>Low</t>
        </is>
      </c>
      <c r="AA250" s="5" t="inlineStr">
        <is>
          <t>Requires Verification</t>
        </is>
      </c>
      <c r="AB250" s="5" t="inlineStr">
        <is>
          <t>https://www.facebook.com/LaVanaShisha/</t>
        </is>
      </c>
    </row>
    <row r="251">
      <c r="A251" s="10" t="inlineStr">
        <is>
          <t>UK-000626</t>
        </is>
      </c>
      <c r="B251" s="10" t="inlineStr">
        <is>
          <t>UK-000626-01</t>
        </is>
      </c>
      <c r="C251" s="10" t="inlineStr"/>
      <c r="D251" s="10" t="inlineStr">
        <is>
          <t>Lauries Afro Caribbean Food Centre</t>
        </is>
      </c>
      <c r="E251" s="10" t="inlineStr">
        <is>
          <t>Independent Supermarket</t>
        </is>
      </c>
      <c r="F251" s="10" t="inlineStr">
        <is>
          <t>Afro-Caribbean food store</t>
        </is>
      </c>
      <c r="G251" s="10" t="inlineStr">
        <is>
          <t>Independent</t>
        </is>
      </c>
      <c r="H251" s="10" t="inlineStr">
        <is>
          <t>1</t>
        </is>
      </c>
      <c r="I251" s="10" t="inlineStr">
        <is>
          <t>86 Deptford High Street</t>
        </is>
      </c>
      <c r="J251" s="10" t="inlineStr">
        <is>
          <t>London</t>
        </is>
      </c>
      <c r="K251" s="10" t="inlineStr">
        <is>
          <t>SE8 4RG</t>
        </is>
      </c>
      <c r="L251" s="10" t="inlineStr"/>
      <c r="M251" s="10" t="inlineStr"/>
      <c r="N251" s="10" t="inlineStr"/>
      <c r="O251" s="10" t="inlineStr"/>
      <c r="P251" s="10" t="inlineStr"/>
      <c r="Q251" s="10" t="inlineStr"/>
      <c r="R251" s="10" t="inlineStr"/>
      <c r="S251" s="10" t="inlineStr"/>
      <c r="T251" s="10" t="inlineStr"/>
      <c r="U251" s="10" t="inlineStr"/>
      <c r="V251" s="10" t="inlineStr">
        <is>
          <t>Low</t>
        </is>
      </c>
      <c r="W251" s="10" t="inlineStr">
        <is>
          <t>Independent retailer; Relevant category</t>
        </is>
      </c>
      <c r="X251" s="10" t="inlineStr">
        <is>
          <t>Not Found</t>
        </is>
      </c>
      <c r="Y251" s="10" t="inlineStr">
        <is>
          <t>Not Found</t>
        </is>
      </c>
      <c r="Z251" s="10" t="inlineStr">
        <is>
          <t>Low</t>
        </is>
      </c>
      <c r="AA251" s="10" t="inlineStr">
        <is>
          <t>Requires Verification</t>
        </is>
      </c>
      <c r="AB251" s="10" t="inlineStr">
        <is>
          <t>https://www.yell.com/biz/lauries-afro-caribbean-food-centre-london-7946211/</t>
        </is>
      </c>
    </row>
    <row r="252">
      <c r="A252" s="5" t="inlineStr">
        <is>
          <t>WY-0109</t>
        </is>
      </c>
      <c r="B252" s="5" t="inlineStr">
        <is>
          <t>WY-0109-01</t>
        </is>
      </c>
      <c r="C252" s="5" t="inlineStr"/>
      <c r="D252" s="5" t="inlineStr">
        <is>
          <t>Leeds Shisha Wholesale</t>
        </is>
      </c>
      <c r="E252" s="5" t="inlineStr">
        <is>
          <t>Smoke / Shisha Shop</t>
        </is>
      </c>
      <c r="F252" s="5" t="inlineStr">
        <is>
          <t>Shisha wholesale and retail supplier</t>
        </is>
      </c>
      <c r="G252" s="5" t="inlineStr">
        <is>
          <t>Independent</t>
        </is>
      </c>
      <c r="H252" s="5" t="inlineStr">
        <is>
          <t>1</t>
        </is>
      </c>
      <c r="I252" s="5" t="inlineStr"/>
      <c r="J252" s="5" t="inlineStr">
        <is>
          <t>Leeds</t>
        </is>
      </c>
      <c r="K252" s="5" t="inlineStr"/>
      <c r="L252" s="5" t="inlineStr"/>
      <c r="M252" s="5" t="inlineStr"/>
      <c r="N252" s="5" t="inlineStr"/>
      <c r="O252" s="5" t="inlineStr"/>
      <c r="P252" s="5" t="inlineStr">
        <is>
          <t>https://www.facebook.com/p/Leeds-Shisha-Wholesale-100066917521496/</t>
        </is>
      </c>
      <c r="Q252" s="5" t="inlineStr"/>
      <c r="R252" s="5" t="inlineStr"/>
      <c r="S252" s="5" t="inlineStr"/>
      <c r="T252" s="5" t="inlineStr"/>
      <c r="U252" s="5" t="inlineStr"/>
      <c r="V252" s="5" t="inlineStr">
        <is>
          <t>Medium</t>
        </is>
      </c>
      <c r="W252" s="5" t="inlineStr">
        <is>
          <t>Independent retailer; Core relevant category; Social presence</t>
        </is>
      </c>
      <c r="X252" s="5" t="inlineStr">
        <is>
          <t>Not Found</t>
        </is>
      </c>
      <c r="Y252" s="5" t="inlineStr">
        <is>
          <t>Not Found</t>
        </is>
      </c>
      <c r="Z252" s="5" t="inlineStr">
        <is>
          <t>Low</t>
        </is>
      </c>
      <c r="AA252" s="5" t="inlineStr">
        <is>
          <t>Requires Verification</t>
        </is>
      </c>
      <c r="AB252" s="5" t="inlineStr">
        <is>
          <t>https://www.facebook.com/p/Leeds-Shisha-Wholesale-100066917521496/</t>
        </is>
      </c>
    </row>
    <row r="253">
      <c r="A253" s="10" t="inlineStr">
        <is>
          <t>UK-000487</t>
        </is>
      </c>
      <c r="B253" s="10" t="inlineStr">
        <is>
          <t>UK-000487-01</t>
        </is>
      </c>
      <c r="C253" s="10" t="inlineStr"/>
      <c r="D253" s="10" t="inlineStr">
        <is>
          <t>Lewis Food Wholesalers Ltd</t>
        </is>
      </c>
      <c r="E253" s="10" t="inlineStr">
        <is>
          <t>Cash &amp; Carry</t>
        </is>
      </c>
      <c r="F253" s="10" t="inlineStr">
        <is>
          <t>Grocery &amp; food cash &amp; carry</t>
        </is>
      </c>
      <c r="G253" s="10" t="inlineStr">
        <is>
          <t>Independent</t>
        </is>
      </c>
      <c r="H253" s="10" t="inlineStr">
        <is>
          <t>1</t>
        </is>
      </c>
      <c r="I253" s="10" t="inlineStr">
        <is>
          <t>Unit 1 Trading Estate, Kelvin Way</t>
        </is>
      </c>
      <c r="J253" s="10" t="inlineStr">
        <is>
          <t>West Bromwich</t>
        </is>
      </c>
      <c r="K253" s="10" t="inlineStr">
        <is>
          <t>B70 7TN</t>
        </is>
      </c>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Not Found</t>
        </is>
      </c>
      <c r="Y253" s="10" t="inlineStr">
        <is>
          <t>Not Found</t>
        </is>
      </c>
      <c r="Z253" s="10" t="inlineStr">
        <is>
          <t>Medium</t>
        </is>
      </c>
      <c r="AA253" s="10" t="inlineStr">
        <is>
          <t>Requires Verification</t>
        </is>
      </c>
      <c r="AB253" s="10" t="inlineStr">
        <is>
          <t>https://www.yell.com/biz/lewis-food-wholesalers-west-bromwich-1583979/</t>
        </is>
      </c>
    </row>
    <row r="254">
      <c r="A254" s="5" t="inlineStr">
        <is>
          <t>UK-000627</t>
        </is>
      </c>
      <c r="B254" s="5" t="inlineStr">
        <is>
          <t>UK-000627-01</t>
        </is>
      </c>
      <c r="C254" s="5" t="inlineStr"/>
      <c r="D254" s="5" t="inlineStr">
        <is>
          <t>Lewisham Best Food Supermarket</t>
        </is>
      </c>
      <c r="E254" s="5" t="inlineStr">
        <is>
          <t>Independent Supermarket</t>
        </is>
      </c>
      <c r="F254" s="5" t="inlineStr">
        <is>
          <t>World food supermarket</t>
        </is>
      </c>
      <c r="G254" s="5" t="inlineStr">
        <is>
          <t>Independent</t>
        </is>
      </c>
      <c r="H254" s="5" t="inlineStr">
        <is>
          <t>1</t>
        </is>
      </c>
      <c r="I254" s="5" t="inlineStr"/>
      <c r="J254" s="5" t="inlineStr">
        <is>
          <t>London</t>
        </is>
      </c>
      <c r="K254" s="5" t="inlineStr"/>
      <c r="L254" s="5" t="inlineStr"/>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Not Found</t>
        </is>
      </c>
      <c r="Y254" s="5" t="inlineStr">
        <is>
          <t>Not Found</t>
        </is>
      </c>
      <c r="Z254" s="5" t="inlineStr">
        <is>
          <t>Low</t>
        </is>
      </c>
      <c r="AA254" s="5" t="inlineStr">
        <is>
          <t>Requires Verification</t>
        </is>
      </c>
      <c r="AB254" s="5" t="inlineStr">
        <is>
          <t>https://www.yell.com/biz/lewisham-best-food-supermarket-london-9473572/</t>
        </is>
      </c>
    </row>
    <row r="255">
      <c r="A255" s="10" t="inlineStr">
        <is>
          <t>UK-000628</t>
        </is>
      </c>
      <c r="B255" s="10" t="inlineStr">
        <is>
          <t>UK-000628-01</t>
        </is>
      </c>
      <c r="C255" s="10" t="inlineStr"/>
      <c r="D255" s="10" t="inlineStr">
        <is>
          <t>Leyton Food</t>
        </is>
      </c>
      <c r="E255" s="10" t="inlineStr">
        <is>
          <t>Convenience Store</t>
        </is>
      </c>
      <c r="F255" s="10" t="inlineStr">
        <is>
          <t>Convenience &amp; grocery</t>
        </is>
      </c>
      <c r="G255" s="10" t="inlineStr">
        <is>
          <t>Independent</t>
        </is>
      </c>
      <c r="H255" s="10" t="inlineStr">
        <is>
          <t>1</t>
        </is>
      </c>
      <c r="I255" s="10" t="inlineStr">
        <is>
          <t>124 High Road Leyton</t>
        </is>
      </c>
      <c r="J255" s="10" t="inlineStr">
        <is>
          <t>Leyton</t>
        </is>
      </c>
      <c r="K255" s="10" t="inlineStr">
        <is>
          <t>E15 2BX</t>
        </is>
      </c>
      <c r="L255" s="10" t="inlineStr"/>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Not Found</t>
        </is>
      </c>
      <c r="Y255" s="10" t="inlineStr">
        <is>
          <t>Not Found</t>
        </is>
      </c>
      <c r="Z255" s="10" t="inlineStr">
        <is>
          <t>Low</t>
        </is>
      </c>
      <c r="AA255" s="10" t="inlineStr">
        <is>
          <t>Requires Verification</t>
        </is>
      </c>
      <c r="AB255" s="10" t="inlineStr">
        <is>
          <t>https://www.yell.com/s/vape+shops-stratford-east+london.html</t>
        </is>
      </c>
    </row>
    <row r="256">
      <c r="A256" s="5" t="inlineStr">
        <is>
          <t>UK-000488</t>
        </is>
      </c>
      <c r="B256" s="5" t="inlineStr">
        <is>
          <t>UK-000488-01</t>
        </is>
      </c>
      <c r="C256" s="5" t="inlineStr"/>
      <c r="D256" s="5" t="inlineStr">
        <is>
          <t>Lioncroft Wholesale Ltd</t>
        </is>
      </c>
      <c r="E256" s="5" t="inlineStr">
        <is>
          <t>Cash &amp; Carry</t>
        </is>
      </c>
      <c r="F256" s="5" t="inlineStr">
        <is>
          <t>Food &amp; drink wholesaler / cash &amp; carry</t>
        </is>
      </c>
      <c r="G256" s="5" t="inlineStr">
        <is>
          <t>Independent</t>
        </is>
      </c>
      <c r="H256" s="5" t="inlineStr">
        <is>
          <t>1</t>
        </is>
      </c>
      <c r="I256" s="5" t="inlineStr"/>
      <c r="J256" s="5" t="inlineStr">
        <is>
          <t>Birmingham</t>
        </is>
      </c>
      <c r="K256" s="5" t="inlineStr"/>
      <c r="L256" s="5" t="inlineStr"/>
      <c r="M256" s="5" t="inlineStr"/>
      <c r="N256" s="5" t="inlineStr"/>
      <c r="O256" s="5" t="inlineStr">
        <is>
          <t>https://lioncroftwholesale.co.uk/</t>
        </is>
      </c>
      <c r="P256" s="5" t="inlineStr"/>
      <c r="Q256" s="5" t="inlineStr"/>
      <c r="R256" s="5" t="inlineStr"/>
      <c r="S256" s="5" t="inlineStr"/>
      <c r="T256" s="5" t="inlineStr"/>
      <c r="U256" s="5" t="inlineStr"/>
      <c r="V256" s="5" t="inlineStr">
        <is>
          <t>Medium</t>
        </is>
      </c>
      <c r="W256" s="5" t="inlineStr">
        <is>
          <t>Independent retailer; Core relevant category; Active website</t>
        </is>
      </c>
      <c r="X256" s="5" t="inlineStr">
        <is>
          <t>Not Found</t>
        </is>
      </c>
      <c r="Y256" s="5" t="inlineStr">
        <is>
          <t>Website Found</t>
        </is>
      </c>
      <c r="Z256" s="5" t="inlineStr">
        <is>
          <t>Low</t>
        </is>
      </c>
      <c r="AA256" s="5" t="inlineStr">
        <is>
          <t>Requires Verification</t>
        </is>
      </c>
      <c r="AB256" s="5" t="inlineStr">
        <is>
          <t>https://lioncroftwholesale.co.uk/</t>
        </is>
      </c>
    </row>
    <row r="257">
      <c r="A257" s="10" t="inlineStr">
        <is>
          <t>UK-000489</t>
        </is>
      </c>
      <c r="B257" s="10" t="inlineStr">
        <is>
          <t>UK-000489-01</t>
        </is>
      </c>
      <c r="C257" s="10" t="inlineStr"/>
      <c r="D257" s="10" t="inlineStr">
        <is>
          <t>Liquor Bins</t>
        </is>
      </c>
      <c r="E257" s="10" t="inlineStr">
        <is>
          <t>Off-Licence</t>
        </is>
      </c>
      <c r="F257" s="10" t="inlineStr">
        <is>
          <t>Off-licence &amp; convenience</t>
        </is>
      </c>
      <c r="G257" s="10" t="inlineStr">
        <is>
          <t>Independent</t>
        </is>
      </c>
      <c r="H257" s="10" t="inlineStr">
        <is>
          <t>1</t>
        </is>
      </c>
      <c r="I257" s="10" t="inlineStr">
        <is>
          <t>468-470 Bearwood Road</t>
        </is>
      </c>
      <c r="J257" s="10" t="inlineStr">
        <is>
          <t>Smethwick</t>
        </is>
      </c>
      <c r="K257" s="10" t="inlineStr">
        <is>
          <t>B66 4HA</t>
        </is>
      </c>
      <c r="L257" s="10" t="inlineStr"/>
      <c r="M257" s="10" t="inlineStr"/>
      <c r="N257" s="10" t="inlineStr"/>
      <c r="O257" s="10" t="inlineStr"/>
      <c r="P257" s="10" t="inlineStr"/>
      <c r="Q257" s="10" t="inlineStr"/>
      <c r="R257" s="10" t="inlineStr"/>
      <c r="S257" s="10" t="inlineStr"/>
      <c r="T257" s="10" t="inlineStr"/>
      <c r="U257" s="10" t="inlineStr"/>
      <c r="V257" s="10" t="inlineStr">
        <is>
          <t>Low</t>
        </is>
      </c>
      <c r="W257" s="10" t="inlineStr">
        <is>
          <t>Independent retailer; Relevant category</t>
        </is>
      </c>
      <c r="X257" s="10" t="inlineStr">
        <is>
          <t>Not Found</t>
        </is>
      </c>
      <c r="Y257" s="10" t="inlineStr">
        <is>
          <t>Not Found</t>
        </is>
      </c>
      <c r="Z257" s="10" t="inlineStr">
        <is>
          <t>Medium</t>
        </is>
      </c>
      <c r="AA257" s="10" t="inlineStr">
        <is>
          <t>Requires Verification</t>
        </is>
      </c>
      <c r="AB257" s="10" t="inlineStr">
        <is>
          <t>https://www.yell.com/s/off+licences-bearwood.html</t>
        </is>
      </c>
    </row>
    <row r="258">
      <c r="A258" s="5" t="inlineStr">
        <is>
          <t>UK-000794</t>
        </is>
      </c>
      <c r="B258" s="5" t="inlineStr">
        <is>
          <t>UK-000794-01</t>
        </is>
      </c>
      <c r="C258" s="5" t="inlineStr"/>
      <c r="D258" s="5" t="inlineStr">
        <is>
          <t>Liverpool 8 Superstore</t>
        </is>
      </c>
      <c r="E258" s="5" t="inlineStr">
        <is>
          <t>Independent Supermarket</t>
        </is>
      </c>
      <c r="F258" s="5" t="inlineStr">
        <is>
          <t>World-food / international superstore</t>
        </is>
      </c>
      <c r="G258" s="5" t="inlineStr">
        <is>
          <t>Independent</t>
        </is>
      </c>
      <c r="H258" s="5" t="inlineStr">
        <is>
          <t>1</t>
        </is>
      </c>
      <c r="I258" s="5" t="inlineStr">
        <is>
          <t>129 Lodge Lane</t>
        </is>
      </c>
      <c r="J258" s="5" t="inlineStr">
        <is>
          <t>Liverpool</t>
        </is>
      </c>
      <c r="K258" s="5" t="inlineStr">
        <is>
          <t>L8 0QF</t>
        </is>
      </c>
      <c r="L258" s="5" t="inlineStr"/>
      <c r="M258" s="5" t="inlineStr"/>
      <c r="N258" s="5" t="inlineStr"/>
      <c r="O258" s="5" t="inlineStr"/>
      <c r="P258" s="5" t="inlineStr"/>
      <c r="Q258" s="5" t="inlineStr"/>
      <c r="R258" s="5" t="inlineStr"/>
      <c r="S258" s="5" t="inlineStr"/>
      <c r="T258" s="5" t="inlineStr"/>
      <c r="U258" s="5" t="inlineStr"/>
      <c r="V258" s="5" t="inlineStr">
        <is>
          <t>Low</t>
        </is>
      </c>
      <c r="W258" s="5" t="inlineStr">
        <is>
          <t>Independent retailer; Relevant category</t>
        </is>
      </c>
      <c r="X258" s="5" t="inlineStr">
        <is>
          <t>Not Found</t>
        </is>
      </c>
      <c r="Y258" s="5" t="inlineStr">
        <is>
          <t>Not Found</t>
        </is>
      </c>
      <c r="Z258" s="5" t="inlineStr">
        <is>
          <t>Low</t>
        </is>
      </c>
      <c r="AA258" s="5" t="inlineStr">
        <is>
          <t>Requires Verification</t>
        </is>
      </c>
      <c r="AB258" s="5" t="inlineStr">
        <is>
          <t>https://confidentials.com/liverpool/counter-culture-the-liverpool-8-superstore</t>
        </is>
      </c>
    </row>
    <row r="259">
      <c r="A259" s="10" t="inlineStr">
        <is>
          <t>UK-000795</t>
        </is>
      </c>
      <c r="B259" s="10" t="inlineStr">
        <is>
          <t>UK-000795-01</t>
        </is>
      </c>
      <c r="C259" s="10" t="inlineStr"/>
      <c r="D259" s="10" t="inlineStr">
        <is>
          <t>Liverpool Vape Shack</t>
        </is>
      </c>
      <c r="E259" s="10" t="inlineStr">
        <is>
          <t>Vape Shop</t>
        </is>
      </c>
      <c r="F259" s="10" t="inlineStr">
        <is>
          <t>Vape &amp; e-liquid retailer</t>
        </is>
      </c>
      <c r="G259" s="10" t="inlineStr">
        <is>
          <t>Independent</t>
        </is>
      </c>
      <c r="H259" s="10" t="inlineStr">
        <is>
          <t>1</t>
        </is>
      </c>
      <c r="I259" s="10" t="inlineStr">
        <is>
          <t>12 Church Street</t>
        </is>
      </c>
      <c r="J259" s="10" t="inlineStr">
        <is>
          <t>Prescot</t>
        </is>
      </c>
      <c r="K259" s="10" t="inlineStr">
        <is>
          <t>L34 3LA</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https://www.yell.com/biz/vape-shack-prescot-8046036/</t>
        </is>
      </c>
    </row>
    <row r="260">
      <c r="A260" s="5" t="inlineStr">
        <is>
          <t>WY-0111</t>
        </is>
      </c>
      <c r="B260" s="5" t="inlineStr">
        <is>
          <t>WY-0111-01</t>
        </is>
      </c>
      <c r="C260" s="5" t="inlineStr"/>
      <c r="D260" s="5" t="inlineStr">
        <is>
          <t>Local Convenience Store (Elsinore Avenue)</t>
        </is>
      </c>
      <c r="E260" s="5" t="inlineStr">
        <is>
          <t>Convenience Store</t>
        </is>
      </c>
      <c r="F260" s="5" t="inlineStr"/>
      <c r="G260" s="5" t="inlineStr">
        <is>
          <t>Independent</t>
        </is>
      </c>
      <c r="H260" s="5" t="inlineStr">
        <is>
          <t>1</t>
        </is>
      </c>
      <c r="I260" s="5" t="inlineStr">
        <is>
          <t>12 Elsinore Avenue</t>
        </is>
      </c>
      <c r="J260" s="5" t="inlineStr">
        <is>
          <t>Elland</t>
        </is>
      </c>
      <c r="K260" s="5" t="inlineStr">
        <is>
          <t>HX5 0LT</t>
        </is>
      </c>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https://www.yorkshire.com/elland/shopping/corner-shops</t>
        </is>
      </c>
    </row>
    <row r="261">
      <c r="A261" s="10" t="inlineStr">
        <is>
          <t>WY-0112</t>
        </is>
      </c>
      <c r="B261" s="10" t="inlineStr">
        <is>
          <t>WY-0112-01</t>
        </is>
      </c>
      <c r="C261" s="10" t="inlineStr"/>
      <c r="D261" s="10" t="inlineStr">
        <is>
          <t>Local Express Off Licence</t>
        </is>
      </c>
      <c r="E261" s="10" t="inlineStr">
        <is>
          <t>Off-Licence</t>
        </is>
      </c>
      <c r="F261" s="10" t="inlineStr">
        <is>
          <t>Off-licence / beer store</t>
        </is>
      </c>
      <c r="G261" s="10" t="inlineStr">
        <is>
          <t>Independent</t>
        </is>
      </c>
      <c r="H261" s="10" t="inlineStr">
        <is>
          <t>1</t>
        </is>
      </c>
      <c r="I261" s="10" t="inlineStr">
        <is>
          <t>30 Common Road</t>
        </is>
      </c>
      <c r="J261" s="10" t="inlineStr">
        <is>
          <t>Batley</t>
        </is>
      </c>
      <c r="K261" s="10" t="inlineStr"/>
      <c r="L261" s="10" t="inlineStr"/>
      <c r="M261" s="10" t="inlineStr"/>
      <c r="N261" s="10" t="inlineStr"/>
      <c r="O261" s="10" t="inlineStr"/>
      <c r="P261" s="10" t="inlineStr"/>
      <c r="Q261" s="10" t="inlineStr"/>
      <c r="R261" s="10" t="inlineStr"/>
      <c r="S261" s="10" t="inlineStr"/>
      <c r="T261" s="10" t="inlineStr"/>
      <c r="U261" s="10" t="inlineStr"/>
      <c r="V261" s="10" t="inlineStr">
        <is>
          <t>Low</t>
        </is>
      </c>
      <c r="W261" s="10" t="inlineStr">
        <is>
          <t>Independent retailer; Relevant category</t>
        </is>
      </c>
      <c r="X261" s="10" t="inlineStr">
        <is>
          <t>Not Found</t>
        </is>
      </c>
      <c r="Y261" s="10" t="inlineStr">
        <is>
          <t>Not Found</t>
        </is>
      </c>
      <c r="Z261" s="10" t="inlineStr">
        <is>
          <t>Low</t>
        </is>
      </c>
      <c r="AA261" s="10" t="inlineStr">
        <is>
          <t>Requires Verification</t>
        </is>
      </c>
      <c r="AB261" s="10" t="inlineStr">
        <is>
          <t>https://www.bigreddirectory.com/local-express-off-licence-batley</t>
        </is>
      </c>
    </row>
    <row r="262">
      <c r="A262" s="5" t="inlineStr">
        <is>
          <t>UK-000265</t>
        </is>
      </c>
      <c r="B262" s="5" t="inlineStr">
        <is>
          <t>UK-000265-01</t>
        </is>
      </c>
      <c r="C262" s="5" t="inlineStr"/>
      <c r="D262" s="5" t="inlineStr">
        <is>
          <t>Lounge 418</t>
        </is>
      </c>
      <c r="E262" s="5" t="inlineStr">
        <is>
          <t>Smoke / Shisha Shop</t>
        </is>
      </c>
      <c r="F262" s="5" t="inlineStr">
        <is>
          <t>Middle Eastern restaurant and shisha bar</t>
        </is>
      </c>
      <c r="G262" s="5" t="inlineStr">
        <is>
          <t>Independent</t>
        </is>
      </c>
      <c r="H262" s="5" t="inlineStr">
        <is>
          <t>1</t>
        </is>
      </c>
      <c r="I262" s="5" t="inlineStr"/>
      <c r="J262" s="5" t="inlineStr">
        <is>
          <t>Sheffield</t>
        </is>
      </c>
      <c r="K262" s="5" t="inlineStr"/>
      <c r="L262" s="5" t="inlineStr"/>
      <c r="M262" s="5" t="inlineStr"/>
      <c r="N262" s="5" t="inlineStr"/>
      <c r="O262" s="5" t="inlineStr">
        <is>
          <t>https://www.lounge418.co.uk/</t>
        </is>
      </c>
      <c r="P262" s="5" t="inlineStr"/>
      <c r="Q262" s="5" t="inlineStr"/>
      <c r="R262" s="5" t="inlineStr"/>
      <c r="S262" s="5" t="inlineStr"/>
      <c r="T262" s="5" t="inlineStr"/>
      <c r="U262" s="5" t="inlineStr"/>
      <c r="V262" s="5" t="inlineStr">
        <is>
          <t>Medium</t>
        </is>
      </c>
      <c r="W262" s="5" t="inlineStr">
        <is>
          <t>Independent retailer; Core relevant category; Active website</t>
        </is>
      </c>
      <c r="X262" s="5" t="inlineStr">
        <is>
          <t>Not Found</t>
        </is>
      </c>
      <c r="Y262" s="5" t="inlineStr">
        <is>
          <t>Website Found</t>
        </is>
      </c>
      <c r="Z262" s="5" t="inlineStr">
        <is>
          <t>Low</t>
        </is>
      </c>
      <c r="AA262" s="5" t="inlineStr">
        <is>
          <t>Requires Verification</t>
        </is>
      </c>
      <c r="AB262" s="5" t="inlineStr">
        <is>
          <t>https://www.lounge418.co.uk/</t>
        </is>
      </c>
    </row>
    <row r="263">
      <c r="A263" s="10" t="inlineStr">
        <is>
          <t>UK-000630</t>
        </is>
      </c>
      <c r="B263" s="10" t="inlineStr">
        <is>
          <t>UK-000630-01</t>
        </is>
      </c>
      <c r="C263" s="10" t="inlineStr"/>
      <c r="D263" s="10" t="inlineStr">
        <is>
          <t>Love Vape Brixton</t>
        </is>
      </c>
      <c r="E263" s="10" t="inlineStr">
        <is>
          <t>Vape Shop</t>
        </is>
      </c>
      <c r="F263" s="10" t="inlineStr"/>
      <c r="G263" s="10" t="inlineStr">
        <is>
          <t>Independent</t>
        </is>
      </c>
      <c r="H263" s="10" t="inlineStr">
        <is>
          <t>1</t>
        </is>
      </c>
      <c r="I263" s="10" t="inlineStr"/>
      <c r="J263" s="10" t="inlineStr">
        <is>
          <t>London</t>
        </is>
      </c>
      <c r="K263" s="10" t="inlineStr"/>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Independent retailer; Core relevant category</t>
        </is>
      </c>
      <c r="X263" s="10" t="inlineStr">
        <is>
          <t>Not Found</t>
        </is>
      </c>
      <c r="Y263" s="10" t="inlineStr">
        <is>
          <t>Not Found</t>
        </is>
      </c>
      <c r="Z263" s="10" t="inlineStr">
        <is>
          <t>Low</t>
        </is>
      </c>
      <c r="AA263" s="10" t="inlineStr">
        <is>
          <t>Requires Verification</t>
        </is>
      </c>
      <c r="AB263" s="10" t="inlineStr">
        <is>
          <t>https://www.yell.com/biz/love-vape-brixton-london-8747292/</t>
        </is>
      </c>
    </row>
    <row r="264">
      <c r="A264" s="5" t="inlineStr">
        <is>
          <t>WY-0116</t>
        </is>
      </c>
      <c r="B264" s="5" t="inlineStr">
        <is>
          <t>WY-0116-01</t>
        </is>
      </c>
      <c r="C264" s="5" t="inlineStr"/>
      <c r="D264" s="5" t="inlineStr">
        <is>
          <t>Low Lane Convenience Store (Premier)</t>
        </is>
      </c>
      <c r="E264" s="5" t="inlineStr">
        <is>
          <t>Convenience Store</t>
        </is>
      </c>
      <c r="F264" s="5" t="inlineStr">
        <is>
          <t>Premier symbol group convenience store</t>
        </is>
      </c>
      <c r="G264" s="5" t="inlineStr">
        <is>
          <t>Franchise / Symbol Group</t>
        </is>
      </c>
      <c r="H264" s="5" t="inlineStr">
        <is>
          <t>1</t>
        </is>
      </c>
      <c r="I264" s="5" t="inlineStr">
        <is>
          <t>6 Low Lane</t>
        </is>
      </c>
      <c r="J264" s="5" t="inlineStr">
        <is>
          <t>Batley</t>
        </is>
      </c>
      <c r="K264" s="5" t="inlineStr">
        <is>
          <t>WF17 9EY</t>
        </is>
      </c>
      <c r="L264" s="5" t="inlineStr"/>
      <c r="M264" s="5" t="inlineStr"/>
      <c r="N264" s="5" t="inlineStr"/>
      <c r="O264" s="5" t="inlineStr">
        <is>
          <t>https://www.premier-stores.co.uk/our-stores/low-lane-convenience-store</t>
        </is>
      </c>
      <c r="P264" s="5" t="inlineStr"/>
      <c r="Q264" s="5" t="inlineStr"/>
      <c r="R264" s="5" t="inlineStr"/>
      <c r="S264" s="5" t="inlineStr"/>
      <c r="T264" s="5" t="inlineStr"/>
      <c r="U264" s="5" t="inlineStr"/>
      <c r="V264" s="5" t="inlineStr">
        <is>
          <t>Medium</t>
        </is>
      </c>
      <c r="W264" s="5" t="inlineStr">
        <is>
          <t>Independent retailer; Relevant category; Active website</t>
        </is>
      </c>
      <c r="X264" s="5" t="inlineStr">
        <is>
          <t>Not Found</t>
        </is>
      </c>
      <c r="Y264" s="5" t="inlineStr">
        <is>
          <t>Not Found</t>
        </is>
      </c>
      <c r="Z264" s="5" t="inlineStr">
        <is>
          <t>Medium</t>
        </is>
      </c>
      <c r="AA264" s="5" t="inlineStr">
        <is>
          <t>Requires Verification</t>
        </is>
      </c>
      <c r="AB264" s="5" t="inlineStr">
        <is>
          <t>https://www.premier-stores.co.uk/our-stores/low-lane-convenience-store</t>
        </is>
      </c>
    </row>
    <row r="265">
      <c r="A265" s="10" t="inlineStr">
        <is>
          <t>UK-000798</t>
        </is>
      </c>
      <c r="B265" s="10" t="inlineStr">
        <is>
          <t>UK-000798-01</t>
        </is>
      </c>
      <c r="C265" s="10" t="inlineStr"/>
      <c r="D265" s="10" t="inlineStr">
        <is>
          <t>MNS Shisha Shop</t>
        </is>
      </c>
      <c r="E265" s="10" t="inlineStr">
        <is>
          <t>Smoke / Shisha Shop</t>
        </is>
      </c>
      <c r="F265" s="10" t="inlineStr">
        <is>
          <t>Shisha &amp; tobacco specialist</t>
        </is>
      </c>
      <c r="G265" s="10" t="inlineStr">
        <is>
          <t>Independent</t>
        </is>
      </c>
      <c r="H265" s="10" t="inlineStr">
        <is>
          <t>1</t>
        </is>
      </c>
      <c r="I265" s="10" t="inlineStr">
        <is>
          <t>Pembroke Place</t>
        </is>
      </c>
      <c r="J265" s="10" t="inlineStr">
        <is>
          <t>Liverpool</t>
        </is>
      </c>
      <c r="K265" s="10" t="inlineStr"/>
      <c r="L265" s="10" t="inlineStr"/>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Not Found</t>
        </is>
      </c>
      <c r="Y265" s="10" t="inlineStr">
        <is>
          <t>Not Found</t>
        </is>
      </c>
      <c r="Z265" s="10" t="inlineStr">
        <is>
          <t>Low</t>
        </is>
      </c>
      <c r="AA265" s="10" t="inlineStr">
        <is>
          <t>Requires Verification</t>
        </is>
      </c>
      <c r="AB265" s="10" t="inlineStr">
        <is>
          <t>https://liverpool.cylex-uk.co.uk/company/mns-shisha-shop-27245333.html</t>
        </is>
      </c>
    </row>
    <row r="266">
      <c r="A266" s="5" t="inlineStr">
        <is>
          <t>WY-0117</t>
        </is>
      </c>
      <c r="B266" s="5" t="inlineStr">
        <is>
          <t>WY-0117-01</t>
        </is>
      </c>
      <c r="C266" s="5" t="inlineStr"/>
      <c r="D266" s="5" t="inlineStr">
        <is>
          <t>Mace News &amp; Off Licence</t>
        </is>
      </c>
      <c r="E266" s="5" t="inlineStr">
        <is>
          <t>Newsagent</t>
        </is>
      </c>
      <c r="F266" s="5" t="inlineStr">
        <is>
          <t>Newsagent with off-licence</t>
        </is>
      </c>
      <c r="G266" s="5" t="inlineStr">
        <is>
          <t>Franchise / Symbol Group</t>
        </is>
      </c>
      <c r="H266" s="5" t="inlineStr">
        <is>
          <t>1</t>
        </is>
      </c>
      <c r="I266" s="5" t="inlineStr">
        <is>
          <t>Otley Road</t>
        </is>
      </c>
      <c r="J266" s="5" t="inlineStr">
        <is>
          <t>Shipley</t>
        </is>
      </c>
      <c r="K266" s="5" t="inlineStr"/>
      <c r="L266" s="5" t="inlineStr"/>
      <c r="M266" s="5" t="inlineStr"/>
      <c r="N266" s="5" t="inlineStr"/>
      <c r="O266" s="5" t="inlineStr"/>
      <c r="P266" s="5" t="inlineStr"/>
      <c r="Q266" s="5" t="inlineStr"/>
      <c r="R266" s="5" t="inlineStr"/>
      <c r="S266" s="5" t="inlineStr"/>
      <c r="T266" s="5" t="inlineStr"/>
      <c r="U266" s="5" t="inlineStr"/>
      <c r="V266" s="5" t="inlineStr">
        <is>
          <t>Low</t>
        </is>
      </c>
      <c r="W266" s="5" t="inlineStr">
        <is>
          <t>Independent retailer; Relevant category</t>
        </is>
      </c>
      <c r="X266" s="5" t="inlineStr">
        <is>
          <t>Not Found</t>
        </is>
      </c>
      <c r="Y266" s="5" t="inlineStr">
        <is>
          <t>Not Found</t>
        </is>
      </c>
      <c r="Z266" s="5" t="inlineStr">
        <is>
          <t>Low</t>
        </is>
      </c>
      <c r="AA266" s="5" t="inlineStr">
        <is>
          <t>Requires Verification</t>
        </is>
      </c>
      <c r="AB266" s="5" t="inlineStr">
        <is>
          <t>https://www.yorkshire.com/shipley/shopping/off-license/mace-news-off-licence</t>
        </is>
      </c>
    </row>
    <row r="267">
      <c r="A267" s="10" t="inlineStr">
        <is>
          <t>UK-000799</t>
        </is>
      </c>
      <c r="B267" s="10" t="inlineStr">
        <is>
          <t>UK-000799-01</t>
        </is>
      </c>
      <c r="C267" s="10" t="inlineStr"/>
      <c r="D267" s="10" t="inlineStr">
        <is>
          <t>Makkah Halal Meats And Delhi Ltd</t>
        </is>
      </c>
      <c r="E267" s="10" t="inlineStr">
        <is>
          <t>Independent Supermarket</t>
        </is>
      </c>
      <c r="F267" s="10" t="inlineStr">
        <is>
          <t>Halal grocery / butcher</t>
        </is>
      </c>
      <c r="G267" s="10" t="inlineStr">
        <is>
          <t>Independent</t>
        </is>
      </c>
      <c r="H267" s="10" t="inlineStr">
        <is>
          <t>1</t>
        </is>
      </c>
      <c r="I267" s="10" t="inlineStr">
        <is>
          <t>142 Granby Street</t>
        </is>
      </c>
      <c r="J267" s="10" t="inlineStr">
        <is>
          <t>Liverpool</t>
        </is>
      </c>
      <c r="K267" s="10" t="inlineStr">
        <is>
          <t>L8 2XA</t>
        </is>
      </c>
      <c r="L267" s="10" t="inlineStr"/>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Not Found</t>
        </is>
      </c>
      <c r="Y267" s="10" t="inlineStr">
        <is>
          <t>Not Found</t>
        </is>
      </c>
      <c r="Z267" s="10" t="inlineStr">
        <is>
          <t>Low</t>
        </is>
      </c>
      <c r="AA267" s="10" t="inlineStr">
        <is>
          <t>Requires Verification</t>
        </is>
      </c>
      <c r="AB267" s="10" t="inlineStr">
        <is>
          <t>https://liverpool.cylex-uk.co.uk/company/makkah-halal-meats-and-delhi-ltd-20583923.html</t>
        </is>
      </c>
    </row>
    <row r="268">
      <c r="A268" s="5" t="inlineStr">
        <is>
          <t>UK-000631</t>
        </is>
      </c>
      <c r="B268" s="5" t="inlineStr">
        <is>
          <t>UK-000631-01</t>
        </is>
      </c>
      <c r="C268" s="5" t="inlineStr"/>
      <c r="D268" s="5" t="inlineStr">
        <is>
          <t>Malar Supermarket</t>
        </is>
      </c>
      <c r="E268" s="5" t="inlineStr">
        <is>
          <t>Independent Supermarket</t>
        </is>
      </c>
      <c r="F268" s="5" t="inlineStr">
        <is>
          <t>South Asian / Sri Lankan world food</t>
        </is>
      </c>
      <c r="G268" s="5" t="inlineStr">
        <is>
          <t>Independent</t>
        </is>
      </c>
      <c r="H268" s="5" t="inlineStr">
        <is>
          <t>1</t>
        </is>
      </c>
      <c r="I268" s="5" t="inlineStr">
        <is>
          <t>543 High Road</t>
        </is>
      </c>
      <c r="J268" s="5" t="inlineStr">
        <is>
          <t>Wembley</t>
        </is>
      </c>
      <c r="K268" s="5" t="inlineStr">
        <is>
          <t>HA0 2DJ</t>
        </is>
      </c>
      <c r="L268" s="5" t="inlineStr"/>
      <c r="M268" s="5" t="inlineStr"/>
      <c r="N268" s="5" t="inlineStr"/>
      <c r="O268" s="5" t="inlineStr"/>
      <c r="P268" s="5" t="inlineStr"/>
      <c r="Q268" s="5" t="inlineStr"/>
      <c r="R268" s="5" t="inlineStr"/>
      <c r="S268" s="5" t="inlineStr"/>
      <c r="T268" s="5" t="inlineStr"/>
      <c r="U268" s="5" t="inlineStr"/>
      <c r="V268" s="5" t="inlineStr">
        <is>
          <t>Low</t>
        </is>
      </c>
      <c r="W268" s="5" t="inlineStr">
        <is>
          <t>Independent retailer; Relevant category</t>
        </is>
      </c>
      <c r="X268" s="5" t="inlineStr">
        <is>
          <t>Not Found</t>
        </is>
      </c>
      <c r="Y268" s="5" t="inlineStr">
        <is>
          <t>Not Found</t>
        </is>
      </c>
      <c r="Z268" s="5" t="inlineStr">
        <is>
          <t>Low</t>
        </is>
      </c>
      <c r="AA268" s="5" t="inlineStr">
        <is>
          <t>Requires Verification</t>
        </is>
      </c>
      <c r="AB268" s="5" t="inlineStr">
        <is>
          <t>https://www.yell.com/biz/malar-supermarket-wembley-10906329/</t>
        </is>
      </c>
    </row>
    <row r="269">
      <c r="A269" s="10" t="inlineStr">
        <is>
          <t>UK-000492</t>
        </is>
      </c>
      <c r="B269" s="10" t="inlineStr">
        <is>
          <t>UK-000492-01</t>
        </is>
      </c>
      <c r="C269" s="10" t="inlineStr"/>
      <c r="D269" s="10" t="inlineStr">
        <is>
          <t>Malvern Convenience Store</t>
        </is>
      </c>
      <c r="E269" s="10" t="inlineStr">
        <is>
          <t>Convenience Store</t>
        </is>
      </c>
      <c r="F269" s="10" t="inlineStr">
        <is>
          <t>Convenience store</t>
        </is>
      </c>
      <c r="G269" s="10" t="inlineStr">
        <is>
          <t>Independent</t>
        </is>
      </c>
      <c r="H269" s="10" t="inlineStr">
        <is>
          <t>1</t>
        </is>
      </c>
      <c r="I269" s="10" t="inlineStr">
        <is>
          <t>22 Yardley Road</t>
        </is>
      </c>
      <c r="J269" s="10" t="inlineStr">
        <is>
          <t>Birmingham</t>
        </is>
      </c>
      <c r="K269" s="10" t="inlineStr"/>
      <c r="L269" s="10" t="inlineStr"/>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Not Found</t>
        </is>
      </c>
      <c r="Y269" s="10" t="inlineStr">
        <is>
          <t>Not Found</t>
        </is>
      </c>
      <c r="Z269" s="10" t="inlineStr">
        <is>
          <t>Low</t>
        </is>
      </c>
      <c r="AA269" s="10" t="inlineStr">
        <is>
          <t>Requires Verification</t>
        </is>
      </c>
      <c r="AB269" s="10" t="inlineStr">
        <is>
          <t>https://www.yelp.com/biz/malvern-convenience-store-birmingham</t>
        </is>
      </c>
    </row>
    <row r="270">
      <c r="A270" s="5" t="inlineStr">
        <is>
          <t>UK-000632</t>
        </is>
      </c>
      <c r="B270" s="5" t="inlineStr">
        <is>
          <t>UK-000632-01</t>
        </is>
      </c>
      <c r="C270" s="5" t="inlineStr"/>
      <c r="D270" s="5" t="inlineStr">
        <is>
          <t>Maruti Wines</t>
        </is>
      </c>
      <c r="E270" s="5" t="inlineStr">
        <is>
          <t>Off-Licence</t>
        </is>
      </c>
      <c r="F270" s="5" t="inlineStr">
        <is>
          <t>Off-licence</t>
        </is>
      </c>
      <c r="G270" s="5" t="inlineStr">
        <is>
          <t>Independent</t>
        </is>
      </c>
      <c r="H270" s="5" t="inlineStr">
        <is>
          <t>1</t>
        </is>
      </c>
      <c r="I270" s="5" t="inlineStr">
        <is>
          <t>10 Porters Avenue</t>
        </is>
      </c>
      <c r="J270" s="5" t="inlineStr">
        <is>
          <t>Dagenham</t>
        </is>
      </c>
      <c r="K270" s="5" t="inlineStr">
        <is>
          <t>RM8 2AQ</t>
        </is>
      </c>
      <c r="L270" s="5" t="inlineStr"/>
      <c r="M270" s="5" t="inlineStr"/>
      <c r="N270" s="5" t="inlineStr"/>
      <c r="O270" s="5" t="inlineStr"/>
      <c r="P270" s="5" t="inlineStr"/>
      <c r="Q270" s="5" t="inlineStr"/>
      <c r="R270" s="5" t="inlineStr"/>
      <c r="S270" s="5" t="inlineStr"/>
      <c r="T270" s="5" t="inlineStr"/>
      <c r="U270" s="5" t="inlineStr"/>
      <c r="V270" s="5" t="inlineStr">
        <is>
          <t>Low</t>
        </is>
      </c>
      <c r="W270" s="5" t="inlineStr">
        <is>
          <t>Independent retailer; Relevant category</t>
        </is>
      </c>
      <c r="X270" s="5" t="inlineStr">
        <is>
          <t>Not Found</t>
        </is>
      </c>
      <c r="Y270" s="5" t="inlineStr">
        <is>
          <t>Not Found</t>
        </is>
      </c>
      <c r="Z270" s="5" t="inlineStr">
        <is>
          <t>Low</t>
        </is>
      </c>
      <c r="AA270" s="5" t="inlineStr">
        <is>
          <t>Requires Verification</t>
        </is>
      </c>
      <c r="AB270" s="5" t="inlineStr">
        <is>
          <t>https://www.yell.com/s/off+licences-rm8.html</t>
        </is>
      </c>
    </row>
    <row r="271">
      <c r="A271" s="10" t="inlineStr">
        <is>
          <t>UK-000633</t>
        </is>
      </c>
      <c r="B271" s="10" t="inlineStr">
        <is>
          <t>UK-000633-01</t>
        </is>
      </c>
      <c r="C271" s="10" t="inlineStr"/>
      <c r="D271" s="10" t="inlineStr">
        <is>
          <t>Marylebone News</t>
        </is>
      </c>
      <c r="E271" s="10" t="inlineStr">
        <is>
          <t>Newsagent</t>
        </is>
      </c>
      <c r="F271" s="10" t="inlineStr">
        <is>
          <t>Newsagent &amp; convenience</t>
        </is>
      </c>
      <c r="G271" s="10" t="inlineStr">
        <is>
          <t>Independent</t>
        </is>
      </c>
      <c r="H271" s="10" t="inlineStr">
        <is>
          <t>1</t>
        </is>
      </c>
      <c r="I271" s="10" t="inlineStr">
        <is>
          <t>47 Marylebone High Street</t>
        </is>
      </c>
      <c r="J271" s="10" t="inlineStr">
        <is>
          <t>London</t>
        </is>
      </c>
      <c r="K271" s="10" t="inlineStr">
        <is>
          <t>W1U 5HH</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https://www.yell.com/biz/marylebone-news-london-10688888/</t>
        </is>
      </c>
    </row>
    <row r="272">
      <c r="A272" s="5" t="inlineStr">
        <is>
          <t>UK-000372</t>
        </is>
      </c>
      <c r="B272" s="5" t="inlineStr">
        <is>
          <t>UK-000372-01</t>
        </is>
      </c>
      <c r="C272" s="5" t="inlineStr"/>
      <c r="D272" s="5" t="inlineStr">
        <is>
          <t>Mazzalini Shisha Lounge</t>
        </is>
      </c>
      <c r="E272" s="5" t="inlineStr">
        <is>
          <t>Smoke / Shisha Shop</t>
        </is>
      </c>
      <c r="F272" s="5" t="inlineStr">
        <is>
          <t>Shisha lounge</t>
        </is>
      </c>
      <c r="G272" s="5" t="inlineStr">
        <is>
          <t>Independent</t>
        </is>
      </c>
      <c r="H272" s="5" t="inlineStr">
        <is>
          <t>1</t>
        </is>
      </c>
      <c r="I272" s="5" t="inlineStr">
        <is>
          <t>178 Middleton Road</t>
        </is>
      </c>
      <c r="J272" s="5" t="inlineStr">
        <is>
          <t>Oldham</t>
        </is>
      </c>
      <c r="K272" s="5" t="inlineStr">
        <is>
          <t>OL9 6BG</t>
        </is>
      </c>
      <c r="L272" s="5" t="inlineStr"/>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Not Found</t>
        </is>
      </c>
      <c r="Y272" s="5" t="inlineStr">
        <is>
          <t>Not Found</t>
        </is>
      </c>
      <c r="Z272" s="5" t="inlineStr">
        <is>
          <t>Low</t>
        </is>
      </c>
      <c r="AA272" s="5" t="inlineStr">
        <is>
          <t>Requires Verification</t>
        </is>
      </c>
      <c r="AB272" s="5" t="inlineStr">
        <is>
          <t>https://www.yelp.co.uk/biz/mazzalini-shisha-lounge-oldham</t>
        </is>
      </c>
    </row>
    <row r="273">
      <c r="A273" s="10" t="inlineStr">
        <is>
          <t>UK-000800</t>
        </is>
      </c>
      <c r="B273" s="10" t="inlineStr">
        <is>
          <t>UK-000800-01</t>
        </is>
      </c>
      <c r="C273" s="10" t="inlineStr"/>
      <c r="D273" s="10" t="inlineStr">
        <is>
          <t>Mersey Vapour Maghull</t>
        </is>
      </c>
      <c r="E273" s="10" t="inlineStr">
        <is>
          <t>Vape Shop</t>
        </is>
      </c>
      <c r="F273" s="10" t="inlineStr">
        <is>
          <t>Vape shop</t>
        </is>
      </c>
      <c r="G273" s="10" t="inlineStr">
        <is>
          <t>Independent</t>
        </is>
      </c>
      <c r="H273" s="10" t="inlineStr">
        <is>
          <t>1</t>
        </is>
      </c>
      <c r="I273" s="10" t="inlineStr">
        <is>
          <t>5 Tree View Court</t>
        </is>
      </c>
      <c r="J273" s="10" t="inlineStr">
        <is>
          <t>Maghull</t>
        </is>
      </c>
      <c r="K273" s="10" t="inlineStr">
        <is>
          <t>L31 3HF</t>
        </is>
      </c>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Not Found</t>
        </is>
      </c>
      <c r="Y273" s="10" t="inlineStr">
        <is>
          <t>Not Found</t>
        </is>
      </c>
      <c r="Z273" s="10" t="inlineStr">
        <is>
          <t>Low</t>
        </is>
      </c>
      <c r="AA273" s="10" t="inlineStr">
        <is>
          <t>Requires Verification</t>
        </is>
      </c>
      <c r="AB273" s="10" t="inlineStr">
        <is>
          <t>https://waterloo-sefton.cylex-uk.co.uk/company/virgin-vapours-27370213.html</t>
        </is>
      </c>
    </row>
    <row r="274">
      <c r="A274" s="5" t="inlineStr">
        <is>
          <t>UK-000801</t>
        </is>
      </c>
      <c r="B274" s="5" t="inlineStr">
        <is>
          <t>UK-000801-01</t>
        </is>
      </c>
      <c r="C274" s="5" t="inlineStr"/>
      <c r="D274" s="5" t="inlineStr">
        <is>
          <t>Mick's Convenience Store</t>
        </is>
      </c>
      <c r="E274" s="5" t="inlineStr">
        <is>
          <t>Convenience Store</t>
        </is>
      </c>
      <c r="F274" s="5" t="inlineStr">
        <is>
          <t>Grocer &amp; convenience store</t>
        </is>
      </c>
      <c r="G274" s="5" t="inlineStr">
        <is>
          <t>Independent</t>
        </is>
      </c>
      <c r="H274" s="5" t="inlineStr">
        <is>
          <t>1</t>
        </is>
      </c>
      <c r="I274" s="5" t="inlineStr">
        <is>
          <t>203 Strand Road</t>
        </is>
      </c>
      <c r="J274" s="5" t="inlineStr">
        <is>
          <t>Bootle</t>
        </is>
      </c>
      <c r="K274" s="5" t="inlineStr">
        <is>
          <t>L20 3HJ</t>
        </is>
      </c>
      <c r="L274" s="5" t="inlineStr"/>
      <c r="M274" s="5" t="inlineStr"/>
      <c r="N274" s="5" t="inlineStr"/>
      <c r="O274" s="5" t="inlineStr"/>
      <c r="P274" s="5" t="inlineStr"/>
      <c r="Q274" s="5" t="inlineStr"/>
      <c r="R274" s="5" t="inlineStr"/>
      <c r="S274" s="5" t="inlineStr"/>
      <c r="T274" s="5" t="inlineStr"/>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https://www.yell.com/biz/mick-s-convenience-store-bootle-10203737/</t>
        </is>
      </c>
    </row>
    <row r="275">
      <c r="A275" s="10" t="inlineStr">
        <is>
          <t>UK-000634</t>
        </is>
      </c>
      <c r="B275" s="10" t="inlineStr">
        <is>
          <t>UK-000634-01</t>
        </is>
      </c>
      <c r="C275" s="10" t="inlineStr"/>
      <c r="D275" s="10" t="inlineStr">
        <is>
          <t>Millennium Food &amp; Wine</t>
        </is>
      </c>
      <c r="E275" s="10" t="inlineStr">
        <is>
          <t>Off-Licence</t>
        </is>
      </c>
      <c r="F275" s="10" t="inlineStr">
        <is>
          <t>Off-licence &amp; grocery</t>
        </is>
      </c>
      <c r="G275" s="10" t="inlineStr">
        <is>
          <t>Independent</t>
        </is>
      </c>
      <c r="H275" s="10" t="inlineStr">
        <is>
          <t>1</t>
        </is>
      </c>
      <c r="I275" s="10" t="inlineStr">
        <is>
          <t>176 The Grove</t>
        </is>
      </c>
      <c r="J275" s="10" t="inlineStr">
        <is>
          <t>Stratford</t>
        </is>
      </c>
      <c r="K275" s="10" t="inlineStr">
        <is>
          <t>E15 1NS</t>
        </is>
      </c>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https://www.yell.com/s/vape+shops-stratford-east+london.html</t>
        </is>
      </c>
    </row>
    <row r="276">
      <c r="A276" s="5" t="inlineStr">
        <is>
          <t>UK-000635</t>
        </is>
      </c>
      <c r="B276" s="5" t="inlineStr">
        <is>
          <t>UK-000635-01</t>
        </is>
      </c>
      <c r="C276" s="5" t="inlineStr"/>
      <c r="D276" s="5" t="inlineStr">
        <is>
          <t>Mina Stores</t>
        </is>
      </c>
      <c r="E276" s="5" t="inlineStr">
        <is>
          <t>Convenience Store</t>
        </is>
      </c>
      <c r="F276" s="5" t="inlineStr">
        <is>
          <t>Convenience &amp; world-food grocery</t>
        </is>
      </c>
      <c r="G276" s="5" t="inlineStr">
        <is>
          <t>Independent</t>
        </is>
      </c>
      <c r="H276" s="5" t="inlineStr">
        <is>
          <t>1</t>
        </is>
      </c>
      <c r="I276" s="5" t="inlineStr">
        <is>
          <t>274 Green Street</t>
        </is>
      </c>
      <c r="J276" s="5" t="inlineStr">
        <is>
          <t>Forest Gate</t>
        </is>
      </c>
      <c r="K276" s="5" t="inlineStr">
        <is>
          <t>E7 8LF</t>
        </is>
      </c>
      <c r="L276" s="5" t="inlineStr"/>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Not Found</t>
        </is>
      </c>
      <c r="Y276" s="5" t="inlineStr">
        <is>
          <t>Not Found</t>
        </is>
      </c>
      <c r="Z276" s="5" t="inlineStr">
        <is>
          <t>Low</t>
        </is>
      </c>
      <c r="AA276" s="5" t="inlineStr">
        <is>
          <t>Requires Verification</t>
        </is>
      </c>
      <c r="AB276" s="5" t="inlineStr">
        <is>
          <t>https://london.cylex-uk.co.uk/upton-park/grocery%20stores.html</t>
        </is>
      </c>
    </row>
    <row r="277">
      <c r="A277" s="10" t="inlineStr">
        <is>
          <t>UK-000493</t>
        </is>
      </c>
      <c r="B277" s="10" t="inlineStr">
        <is>
          <t>UK-000493-01</t>
        </is>
      </c>
      <c r="C277" s="10" t="inlineStr"/>
      <c r="D277" s="10" t="inlineStr">
        <is>
          <t>Mini-Stop Express</t>
        </is>
      </c>
      <c r="E277" s="10" t="inlineStr">
        <is>
          <t>Convenience Store</t>
        </is>
      </c>
      <c r="F277" s="10" t="inlineStr">
        <is>
          <t>Convenience store &amp; off-licence</t>
        </is>
      </c>
      <c r="G277" s="10" t="inlineStr">
        <is>
          <t>Independent</t>
        </is>
      </c>
      <c r="H277" s="10" t="inlineStr">
        <is>
          <t>1</t>
        </is>
      </c>
      <c r="I277" s="10" t="inlineStr">
        <is>
          <t>515 Hagley Road</t>
        </is>
      </c>
      <c r="J277" s="10" t="inlineStr">
        <is>
          <t>Smethwick</t>
        </is>
      </c>
      <c r="K277" s="10" t="inlineStr">
        <is>
          <t>B66 4AX</t>
        </is>
      </c>
      <c r="L277" s="10" t="inlineStr"/>
      <c r="M277" s="10" t="inlineStr"/>
      <c r="N277" s="10" t="inlineStr"/>
      <c r="O277" s="10" t="inlineStr"/>
      <c r="P277" s="10" t="inlineStr"/>
      <c r="Q277" s="10" t="inlineStr"/>
      <c r="R277" s="10" t="inlineStr"/>
      <c r="S277" s="10" t="inlineStr"/>
      <c r="T277" s="10" t="inlineStr"/>
      <c r="U277" s="10" t="inlineStr"/>
      <c r="V277" s="10" t="inlineStr">
        <is>
          <t>Low</t>
        </is>
      </c>
      <c r="W277" s="10" t="inlineStr">
        <is>
          <t>Independent retailer; Relevant category</t>
        </is>
      </c>
      <c r="X277" s="10" t="inlineStr">
        <is>
          <t>Not Found</t>
        </is>
      </c>
      <c r="Y277" s="10" t="inlineStr">
        <is>
          <t>Not Found</t>
        </is>
      </c>
      <c r="Z277" s="10" t="inlineStr">
        <is>
          <t>Medium</t>
        </is>
      </c>
      <c r="AA277" s="10" t="inlineStr">
        <is>
          <t>Requires Verification</t>
        </is>
      </c>
      <c r="AB277" s="10" t="inlineStr">
        <is>
          <t>https://www.yell.com/s/off+licences-bearwood.html</t>
        </is>
      </c>
    </row>
    <row r="278">
      <c r="A278" s="5" t="inlineStr">
        <is>
          <t>UK-000373</t>
        </is>
      </c>
      <c r="B278" s="5" t="inlineStr">
        <is>
          <t>UK-000373-01</t>
        </is>
      </c>
      <c r="C278" s="5" t="inlineStr"/>
      <c r="D278" s="5" t="inlineStr">
        <is>
          <t>Mobile and Vape Shop Hindley</t>
        </is>
      </c>
      <c r="E278" s="5" t="inlineStr">
        <is>
          <t>Vape Shop</t>
        </is>
      </c>
      <c r="F278" s="5" t="inlineStr">
        <is>
          <t>Mobile phone and vape retailer</t>
        </is>
      </c>
      <c r="G278" s="5" t="inlineStr">
        <is>
          <t>Independent</t>
        </is>
      </c>
      <c r="H278" s="5" t="inlineStr">
        <is>
          <t>1</t>
        </is>
      </c>
      <c r="I278" s="5" t="inlineStr">
        <is>
          <t>77 Market Street</t>
        </is>
      </c>
      <c r="J278" s="5" t="inlineStr">
        <is>
          <t>Wigan</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https://www.yelp.com/biz/mobile-and-vape-shop-hindley</t>
        </is>
      </c>
    </row>
    <row r="279">
      <c r="A279" s="10" t="inlineStr">
        <is>
          <t>UK-000374</t>
        </is>
      </c>
      <c r="B279" s="10" t="inlineStr">
        <is>
          <t>UK-000374-01</t>
        </is>
      </c>
      <c r="C279" s="10" t="inlineStr"/>
      <c r="D279" s="10" t="inlineStr">
        <is>
          <t>Mr Ciggies</t>
        </is>
      </c>
      <c r="E279" s="10" t="inlineStr">
        <is>
          <t>Vape Shop</t>
        </is>
      </c>
      <c r="F279" s="10" t="inlineStr"/>
      <c r="G279" s="10" t="inlineStr">
        <is>
          <t>Independent</t>
        </is>
      </c>
      <c r="H279" s="10" t="inlineStr">
        <is>
          <t>1</t>
        </is>
      </c>
      <c r="I279" s="10" t="inlineStr">
        <is>
          <t>41 Melbourne Street</t>
        </is>
      </c>
      <c r="J279" s="10" t="inlineStr">
        <is>
          <t>Stalybridge</t>
        </is>
      </c>
      <c r="K279" s="10" t="inlineStr">
        <is>
          <t>SK15 2JJ</t>
        </is>
      </c>
      <c r="L279" s="10" t="inlineStr"/>
      <c r="M279" s="10" t="inlineStr"/>
      <c r="N279" s="10" t="inlineStr"/>
      <c r="O279" s="10" t="inlineStr"/>
      <c r="P279" s="10" t="inlineStr"/>
      <c r="Q279" s="10" t="inlineStr"/>
      <c r="R279" s="10" t="inlineStr"/>
      <c r="S279" s="10" t="inlineStr"/>
      <c r="T279" s="10" t="inlineStr"/>
      <c r="U279" s="10" t="inlineStr"/>
      <c r="V279" s="10" t="inlineStr">
        <is>
          <t>Medium</t>
        </is>
      </c>
      <c r="W279" s="10" t="inlineStr">
        <is>
          <t>Independent retailer; Core relevant category</t>
        </is>
      </c>
      <c r="X279" s="10" t="inlineStr">
        <is>
          <t>Not Found</t>
        </is>
      </c>
      <c r="Y279" s="10" t="inlineStr">
        <is>
          <t>Not Found</t>
        </is>
      </c>
      <c r="Z279" s="10" t="inlineStr">
        <is>
          <t>Low</t>
        </is>
      </c>
      <c r="AA279" s="10" t="inlineStr">
        <is>
          <t>Requires Verification</t>
        </is>
      </c>
      <c r="AB279" s="10" t="inlineStr">
        <is>
          <t>https://denton-tameside.cylex-uk.co.uk/vape-shops/</t>
        </is>
      </c>
    </row>
    <row r="280">
      <c r="A280" s="5" t="inlineStr">
        <is>
          <t>UK-000805</t>
        </is>
      </c>
      <c r="B280" s="5" t="inlineStr">
        <is>
          <t>UK-000805-01</t>
        </is>
      </c>
      <c r="C280" s="5" t="inlineStr"/>
      <c r="D280" s="5" t="inlineStr">
        <is>
          <t>Mr MotiVapor</t>
        </is>
      </c>
      <c r="E280" s="5" t="inlineStr">
        <is>
          <t>Vape Shop</t>
        </is>
      </c>
      <c r="F280" s="5" t="inlineStr">
        <is>
          <t>Vape shop / e-liquids</t>
        </is>
      </c>
      <c r="G280" s="5" t="inlineStr">
        <is>
          <t>Independent</t>
        </is>
      </c>
      <c r="H280" s="5" t="inlineStr">
        <is>
          <t>1</t>
        </is>
      </c>
      <c r="I280" s="5" t="inlineStr"/>
      <c r="J280" s="5" t="inlineStr">
        <is>
          <t>Bathgate</t>
        </is>
      </c>
      <c r="K280" s="5" t="inlineStr"/>
      <c r="L280" s="5" t="inlineStr"/>
      <c r="M280" s="5" t="inlineStr"/>
      <c r="N280" s="5" t="inlineStr"/>
      <c r="O280" s="5" t="inlineStr"/>
      <c r="P280" s="5" t="inlineStr"/>
      <c r="Q280" s="5" t="inlineStr"/>
      <c r="R280" s="5" t="inlineStr"/>
      <c r="S280" s="5" t="inlineStr"/>
      <c r="T280" s="5" t="inlineStr"/>
      <c r="U280" s="5" t="inlineStr"/>
      <c r="V280" s="5" t="inlineStr">
        <is>
          <t>Medium</t>
        </is>
      </c>
      <c r="W280" s="5" t="inlineStr">
        <is>
          <t>Independent retailer; Core relevant category</t>
        </is>
      </c>
      <c r="X280" s="5" t="inlineStr">
        <is>
          <t>Not Found</t>
        </is>
      </c>
      <c r="Y280" s="5" t="inlineStr">
        <is>
          <t>Not Found</t>
        </is>
      </c>
      <c r="Z280" s="5" t="inlineStr">
        <is>
          <t>Low</t>
        </is>
      </c>
      <c r="AA280" s="5" t="inlineStr">
        <is>
          <t>Requires Verification</t>
        </is>
      </c>
      <c r="AB280" s="5" t="inlineStr">
        <is>
          <t>https://bathgate.cylex-uk.co.uk/vape-shops/</t>
        </is>
      </c>
    </row>
    <row r="281">
      <c r="A281" s="10" t="inlineStr">
        <is>
          <t>UK-000638</t>
        </is>
      </c>
      <c r="B281" s="10" t="inlineStr">
        <is>
          <t>UK-000638-01</t>
        </is>
      </c>
      <c r="C281" s="10" t="inlineStr"/>
      <c r="D281" s="10" t="inlineStr">
        <is>
          <t>Mr Vape</t>
        </is>
      </c>
      <c r="E281" s="10" t="inlineStr">
        <is>
          <t>Vape Shop</t>
        </is>
      </c>
      <c r="F281" s="10" t="inlineStr"/>
      <c r="G281" s="10" t="inlineStr">
        <is>
          <t>Independent</t>
        </is>
      </c>
      <c r="H281" s="10" t="inlineStr">
        <is>
          <t>1</t>
        </is>
      </c>
      <c r="I281" s="10" t="inlineStr">
        <is>
          <t>111 Streatham High Road</t>
        </is>
      </c>
      <c r="J281" s="10" t="inlineStr">
        <is>
          <t>London</t>
        </is>
      </c>
      <c r="K281" s="10" t="inlineStr">
        <is>
          <t>SW16 1HJ</t>
        </is>
      </c>
      <c r="L281" s="10" t="inlineStr"/>
      <c r="M281" s="10" t="inlineStr"/>
      <c r="N281" s="10" t="inlineStr"/>
      <c r="O281" s="10" t="inlineStr"/>
      <c r="P281" s="10" t="inlineStr"/>
      <c r="Q281" s="10" t="inlineStr"/>
      <c r="R281" s="10" t="inlineStr"/>
      <c r="S281" s="10" t="inlineStr"/>
      <c r="T281" s="10" t="inlineStr"/>
      <c r="U281" s="10" t="inlineStr"/>
      <c r="V281" s="10" t="inlineStr">
        <is>
          <t>Medium</t>
        </is>
      </c>
      <c r="W281" s="10" t="inlineStr">
        <is>
          <t>Independent retailer; Core relevant category</t>
        </is>
      </c>
      <c r="X281" s="10" t="inlineStr">
        <is>
          <t>Not Found</t>
        </is>
      </c>
      <c r="Y281" s="10" t="inlineStr">
        <is>
          <t>Not Found</t>
        </is>
      </c>
      <c r="Z281" s="10" t="inlineStr">
        <is>
          <t>Low</t>
        </is>
      </c>
      <c r="AA281" s="10" t="inlineStr">
        <is>
          <t>Requires Verification</t>
        </is>
      </c>
      <c r="AB281" s="10" t="inlineStr">
        <is>
          <t>https://www.yell.com/s/tobacconists-streatham-south+west+london.html</t>
        </is>
      </c>
    </row>
    <row r="282">
      <c r="A282" s="5" t="inlineStr">
        <is>
          <t>WY-0124</t>
        </is>
      </c>
      <c r="B282" s="5" t="inlineStr">
        <is>
          <t>WY-0124-01</t>
        </is>
      </c>
      <c r="C282" s="5" t="inlineStr"/>
      <c r="D282" s="5" t="inlineStr">
        <is>
          <t>Mytholmroyd Post Office</t>
        </is>
      </c>
      <c r="E282" s="5" t="inlineStr">
        <is>
          <t>Convenience Store</t>
        </is>
      </c>
      <c r="F282" s="5" t="inlineStr">
        <is>
          <t>Post office and newsagent counter</t>
        </is>
      </c>
      <c r="G282" s="5" t="inlineStr">
        <is>
          <t>Independent</t>
        </is>
      </c>
      <c r="H282" s="5" t="inlineStr">
        <is>
          <t>1</t>
        </is>
      </c>
      <c r="I282" s="5" t="inlineStr">
        <is>
          <t>Grange Dene, Burnley Road</t>
        </is>
      </c>
      <c r="J282" s="5" t="inlineStr">
        <is>
          <t>Mytholmroyd</t>
        </is>
      </c>
      <c r="K282" s="5" t="inlineStr">
        <is>
          <t>HX7 5LF</t>
        </is>
      </c>
      <c r="L282" s="5" t="inlineStr"/>
      <c r="M282" s="5" t="inlineStr"/>
      <c r="N282" s="5" t="inlineStr"/>
      <c r="O282" s="5" t="inlineStr"/>
      <c r="P282" s="5" t="inlineStr"/>
      <c r="Q282" s="5" t="inlineStr"/>
      <c r="R282" s="5" t="inlineStr"/>
      <c r="S282" s="5" t="inlineStr"/>
      <c r="T282" s="5" t="inlineStr"/>
      <c r="U282" s="5" t="inlineStr"/>
      <c r="V282" s="5" t="inlineStr">
        <is>
          <t>Low</t>
        </is>
      </c>
      <c r="W282" s="5" t="inlineStr">
        <is>
          <t>Independent retailer; Relevant category</t>
        </is>
      </c>
      <c r="X282" s="5" t="inlineStr">
        <is>
          <t>Not Found</t>
        </is>
      </c>
      <c r="Y282" s="5" t="inlineStr">
        <is>
          <t>Not Found</t>
        </is>
      </c>
      <c r="Z282" s="5" t="inlineStr">
        <is>
          <t>Medium</t>
        </is>
      </c>
      <c r="AA282" s="5" t="inlineStr">
        <is>
          <t>Requires Verification</t>
        </is>
      </c>
      <c r="AB282" s="5" t="inlineStr">
        <is>
          <t>https://www.postoffice.co.uk/branch-finder/6314589/mytholmroyd</t>
        </is>
      </c>
    </row>
    <row r="283">
      <c r="A283" s="10" t="inlineStr">
        <is>
          <t>UK-000495</t>
        </is>
      </c>
      <c r="B283" s="10" t="inlineStr">
        <is>
          <t>UK-000495-01</t>
        </is>
      </c>
      <c r="C283" s="10" t="inlineStr"/>
      <c r="D283" s="10" t="inlineStr">
        <is>
          <t>Nanostix Birmingham</t>
        </is>
      </c>
      <c r="E283" s="10" t="inlineStr">
        <is>
          <t>Vape Shop</t>
        </is>
      </c>
      <c r="F283" s="10" t="inlineStr">
        <is>
          <t>Vape hardware and e-liquid retailer</t>
        </is>
      </c>
      <c r="G283" s="10" t="inlineStr">
        <is>
          <t>Independent</t>
        </is>
      </c>
      <c r="H283" s="10" t="inlineStr">
        <is>
          <t>1</t>
        </is>
      </c>
      <c r="I283" s="10" t="inlineStr">
        <is>
          <t>144 Alcester Road</t>
        </is>
      </c>
      <c r="J283" s="10" t="inlineStr">
        <is>
          <t>Birmingham</t>
        </is>
      </c>
      <c r="K283" s="10" t="inlineStr">
        <is>
          <t>B13 8HS</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Not Found</t>
        </is>
      </c>
      <c r="Y283" s="10" t="inlineStr">
        <is>
          <t>Not Found</t>
        </is>
      </c>
      <c r="Z283" s="10" t="inlineStr">
        <is>
          <t>Low</t>
        </is>
      </c>
      <c r="AA283" s="10" t="inlineStr">
        <is>
          <t>Requires Verification</t>
        </is>
      </c>
      <c r="AB283" s="10" t="inlineStr">
        <is>
          <t>https://m.yelp.com/search?cflt=vapeshops&amp;find_loc=361-365+Moseley+Rd%2C+Birmingham+B12+9DE</t>
        </is>
      </c>
    </row>
    <row r="284">
      <c r="A284" s="5" t="inlineStr">
        <is>
          <t>UK-000377</t>
        </is>
      </c>
      <c r="B284" s="5" t="inlineStr">
        <is>
          <t>UK-000377-01</t>
        </is>
      </c>
      <c r="C284" s="5" t="inlineStr"/>
      <c r="D284" s="5" t="inlineStr">
        <is>
          <t>News And Booze Off Licence And Convenience Store</t>
        </is>
      </c>
      <c r="E284" s="5" t="inlineStr">
        <is>
          <t>Off-Licence</t>
        </is>
      </c>
      <c r="F284" s="5" t="inlineStr">
        <is>
          <t>Newsagent &amp; off-licence</t>
        </is>
      </c>
      <c r="G284" s="5" t="inlineStr">
        <is>
          <t>Independent</t>
        </is>
      </c>
      <c r="H284" s="5" t="inlineStr">
        <is>
          <t>1</t>
        </is>
      </c>
      <c r="I284" s="5" t="inlineStr">
        <is>
          <t>2 Hazelwood Road</t>
        </is>
      </c>
      <c r="J284" s="5" t="inlineStr">
        <is>
          <t>Hazel Grove</t>
        </is>
      </c>
      <c r="K284" s="5" t="inlineStr">
        <is>
          <t>SK7 4LZ</t>
        </is>
      </c>
      <c r="L284" s="5" t="inlineStr"/>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Not Found</t>
        </is>
      </c>
      <c r="Y284" s="5" t="inlineStr">
        <is>
          <t>Not Found</t>
        </is>
      </c>
      <c r="Z284" s="5" t="inlineStr">
        <is>
          <t>Low</t>
        </is>
      </c>
      <c r="AA284" s="5" t="inlineStr">
        <is>
          <t>Requires Verification</t>
        </is>
      </c>
      <c r="AB284" s="5" t="inlineStr">
        <is>
          <t>https://directory.dailypost.co.uk/company/1252107804860416</t>
        </is>
      </c>
    </row>
    <row r="285">
      <c r="A285" s="10" t="inlineStr">
        <is>
          <t>UK-000807</t>
        </is>
      </c>
      <c r="B285" s="10" t="inlineStr">
        <is>
          <t>UK-000807-01</t>
        </is>
      </c>
      <c r="C285" s="10" t="inlineStr"/>
      <c r="D285" s="10" t="inlineStr">
        <is>
          <t>News and Booze Convenience Store</t>
        </is>
      </c>
      <c r="E285" s="10" t="inlineStr">
        <is>
          <t>Convenience Store</t>
        </is>
      </c>
      <c r="F285" s="10" t="inlineStr">
        <is>
          <t>Convenience store / off-licence / newsagent</t>
        </is>
      </c>
      <c r="G285" s="10" t="inlineStr">
        <is>
          <t>Independent</t>
        </is>
      </c>
      <c r="H285" s="10" t="inlineStr">
        <is>
          <t>1</t>
        </is>
      </c>
      <c r="I285" s="10" t="inlineStr">
        <is>
          <t>54-56 Grange Road West</t>
        </is>
      </c>
      <c r="J285" s="10" t="inlineStr">
        <is>
          <t>Birkenhead</t>
        </is>
      </c>
      <c r="K285" s="10" t="inlineStr">
        <is>
          <t>CH41 4DA</t>
        </is>
      </c>
      <c r="L285" s="10" t="inlineStr"/>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Not Found</t>
        </is>
      </c>
      <c r="Y285" s="10" t="inlineStr">
        <is>
          <t>Not Found</t>
        </is>
      </c>
      <c r="Z285" s="10" t="inlineStr">
        <is>
          <t>Medium</t>
        </is>
      </c>
      <c r="AA285" s="10" t="inlineStr">
        <is>
          <t>Requires Verification</t>
        </is>
      </c>
      <c r="AB285" s="10" t="inlineStr">
        <is>
          <t>https://inpost.co.uk/shops/uk00253480-birkenhead-news-and-booze-convenience-store-ch41-4da</t>
        </is>
      </c>
    </row>
    <row r="286">
      <c r="A286" s="5" t="inlineStr">
        <is>
          <t>UK-000266</t>
        </is>
      </c>
      <c r="B286" s="5" t="inlineStr">
        <is>
          <t>UK-000266-01</t>
        </is>
      </c>
      <c r="C286" s="5" t="inlineStr"/>
      <c r="D286" s="5" t="inlineStr">
        <is>
          <t>Ninnsi</t>
        </is>
      </c>
      <c r="E286" s="5" t="inlineStr">
        <is>
          <t>Independent Supermarket</t>
        </is>
      </c>
      <c r="F286" s="5" t="inlineStr">
        <is>
          <t>Oriental / Asian store</t>
        </is>
      </c>
      <c r="G286" s="5" t="inlineStr">
        <is>
          <t>Independent</t>
        </is>
      </c>
      <c r="H286" s="5" t="inlineStr">
        <is>
          <t>1</t>
        </is>
      </c>
      <c r="I286" s="5" t="inlineStr"/>
      <c r="J286" s="5" t="inlineStr">
        <is>
          <t>Kingston upon Hull</t>
        </is>
      </c>
      <c r="K286" s="5" t="inlineStr"/>
      <c r="L286" s="5" t="inlineStr"/>
      <c r="M286" s="5" t="inlineStr"/>
      <c r="N286" s="5" t="inlineStr"/>
      <c r="O286" s="5" t="inlineStr">
        <is>
          <t>https://ninnsi.co.uk</t>
        </is>
      </c>
      <c r="P286" s="5" t="inlineStr"/>
      <c r="Q286" s="5" t="inlineStr"/>
      <c r="R286" s="5" t="inlineStr"/>
      <c r="S286" s="5" t="inlineStr"/>
      <c r="T286" s="5" t="inlineStr"/>
      <c r="U286" s="5" t="inlineStr"/>
      <c r="V286" s="5" t="inlineStr">
        <is>
          <t>Medium</t>
        </is>
      </c>
      <c r="W286" s="5" t="inlineStr">
        <is>
          <t>Independent retailer; Relevant category; Active website</t>
        </is>
      </c>
      <c r="X286" s="5" t="inlineStr">
        <is>
          <t>Not Found</t>
        </is>
      </c>
      <c r="Y286" s="5" t="inlineStr">
        <is>
          <t>Not Found</t>
        </is>
      </c>
      <c r="Z286" s="5" t="inlineStr">
        <is>
          <t>Low</t>
        </is>
      </c>
      <c r="AA286" s="5" t="inlineStr">
        <is>
          <t>Partially Verified</t>
        </is>
      </c>
      <c r="AB286" s="5" t="inlineStr">
        <is>
          <t>https://ninnsi.co.uk/</t>
        </is>
      </c>
    </row>
    <row r="287">
      <c r="A287" s="10" t="inlineStr">
        <is>
          <t>UK-000639</t>
        </is>
      </c>
      <c r="B287" s="10" t="inlineStr">
        <is>
          <t>UK-000639-01</t>
        </is>
      </c>
      <c r="C287" s="10" t="inlineStr"/>
      <c r="D287" s="10" t="inlineStr">
        <is>
          <t>Nita Cash and Carry</t>
        </is>
      </c>
      <c r="E287" s="10" t="inlineStr">
        <is>
          <t>Cash &amp; Carry</t>
        </is>
      </c>
      <c r="F287" s="10" t="inlineStr"/>
      <c r="G287" s="10" t="inlineStr">
        <is>
          <t>Independent</t>
        </is>
      </c>
      <c r="H287" s="10" t="inlineStr">
        <is>
          <t>1</t>
        </is>
      </c>
      <c r="I287" s="10" t="inlineStr">
        <is>
          <t>137-139 Ealing Road</t>
        </is>
      </c>
      <c r="J287" s="10" t="inlineStr">
        <is>
          <t>Wembley</t>
        </is>
      </c>
      <c r="K287" s="10" t="inlineStr">
        <is>
          <t>HA0 4BP</t>
        </is>
      </c>
      <c r="L287" s="10" t="inlineStr"/>
      <c r="M287" s="10" t="inlineStr"/>
      <c r="N287" s="10" t="inlineStr"/>
      <c r="O287" s="10" t="inlineStr"/>
      <c r="P287" s="10" t="inlineStr"/>
      <c r="Q287" s="10" t="inlineStr"/>
      <c r="R287" s="10" t="inlineStr"/>
      <c r="S287" s="10" t="inlineStr"/>
      <c r="T287" s="10" t="inlineStr"/>
      <c r="U287" s="10" t="inlineStr"/>
      <c r="V287" s="10" t="inlineStr">
        <is>
          <t>Medium</t>
        </is>
      </c>
      <c r="W287" s="10" t="inlineStr">
        <is>
          <t>Independent retailer; Core relevant category</t>
        </is>
      </c>
      <c r="X287" s="10" t="inlineStr">
        <is>
          <t>Not Found</t>
        </is>
      </c>
      <c r="Y287" s="10" t="inlineStr">
        <is>
          <t>Not Found</t>
        </is>
      </c>
      <c r="Z287" s="10" t="inlineStr">
        <is>
          <t>Low</t>
        </is>
      </c>
      <c r="AA287" s="10" t="inlineStr">
        <is>
          <t>Requires Verification</t>
        </is>
      </c>
      <c r="AB287" s="10" t="inlineStr">
        <is>
          <t>https://www.yell.com/biz/nita-cash-and-carry-wembley-518432/</t>
        </is>
      </c>
    </row>
    <row r="288">
      <c r="A288" s="5" t="inlineStr">
        <is>
          <t>UK-000640</t>
        </is>
      </c>
      <c r="B288" s="5" t="inlineStr">
        <is>
          <t>UK-000640-01</t>
        </is>
      </c>
      <c r="C288" s="5" t="inlineStr"/>
      <c r="D288" s="5" t="inlineStr">
        <is>
          <t>No 5 Dining &amp; Lounge</t>
        </is>
      </c>
      <c r="E288" s="5" t="inlineStr">
        <is>
          <t>Smoke / Shisha Shop</t>
        </is>
      </c>
      <c r="F288" s="5" t="inlineStr">
        <is>
          <t>Shisha lounge</t>
        </is>
      </c>
      <c r="G288" s="5" t="inlineStr">
        <is>
          <t>Independent</t>
        </is>
      </c>
      <c r="H288" s="5" t="inlineStr">
        <is>
          <t>1</t>
        </is>
      </c>
      <c r="I288" s="5" t="inlineStr">
        <is>
          <t>5 Tottenham Lane</t>
        </is>
      </c>
      <c r="J288" s="5" t="inlineStr">
        <is>
          <t>Hornsey</t>
        </is>
      </c>
      <c r="K288" s="5" t="inlineStr">
        <is>
          <t>N8 9DJ</t>
        </is>
      </c>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Independent retailer; Core relevant category</t>
        </is>
      </c>
      <c r="X288" s="5" t="inlineStr">
        <is>
          <t>Not Found</t>
        </is>
      </c>
      <c r="Y288" s="5" t="inlineStr">
        <is>
          <t>Not Found</t>
        </is>
      </c>
      <c r="Z288" s="5" t="inlineStr">
        <is>
          <t>Medium</t>
        </is>
      </c>
      <c r="AA288" s="5" t="inlineStr">
        <is>
          <t>Requires Verification</t>
        </is>
      </c>
      <c r="AB288" s="5" t="inlineStr">
        <is>
          <t>https://www.yell.com/biz/no-5-dining-and-lounge-london-10473466/</t>
        </is>
      </c>
    </row>
    <row r="289">
      <c r="A289" s="10" t="inlineStr">
        <is>
          <t>WY-0126</t>
        </is>
      </c>
      <c r="B289" s="10" t="inlineStr">
        <is>
          <t>WY-0126-01</t>
        </is>
      </c>
      <c r="C289" s="10" t="inlineStr"/>
      <c r="D289" s="10" t="inlineStr">
        <is>
          <t>Northowram Post Office</t>
        </is>
      </c>
      <c r="E289" s="10" t="inlineStr">
        <is>
          <t>Convenience Store</t>
        </is>
      </c>
      <c r="F289" s="10" t="inlineStr">
        <is>
          <t>Family-run convenience store with post office</t>
        </is>
      </c>
      <c r="G289" s="10" t="inlineStr">
        <is>
          <t>Independent</t>
        </is>
      </c>
      <c r="H289" s="10" t="inlineStr">
        <is>
          <t>1</t>
        </is>
      </c>
      <c r="I289" s="10" t="inlineStr">
        <is>
          <t>62 Towngate</t>
        </is>
      </c>
      <c r="J289" s="10" t="inlineStr">
        <is>
          <t>Halifax</t>
        </is>
      </c>
      <c r="K289" s="10" t="inlineStr">
        <is>
          <t>HX3 7DX</t>
        </is>
      </c>
      <c r="L289" s="10" t="inlineStr"/>
      <c r="M289" s="10" t="inlineStr"/>
      <c r="N289" s="10" t="inlineStr"/>
      <c r="O289" s="10" t="inlineStr"/>
      <c r="P289" s="10" t="inlineStr"/>
      <c r="Q289" s="10" t="inlineStr"/>
      <c r="R289" s="10" t="inlineStr"/>
      <c r="S289" s="10" t="inlineStr"/>
      <c r="T289" s="10" t="inlineStr"/>
      <c r="U289" s="10" t="inlineStr"/>
      <c r="V289" s="10" t="inlineStr">
        <is>
          <t>Low</t>
        </is>
      </c>
      <c r="W289" s="10" t="inlineStr">
        <is>
          <t>Independent retailer; Relevant category</t>
        </is>
      </c>
      <c r="X289" s="10" t="inlineStr">
        <is>
          <t>Not Found</t>
        </is>
      </c>
      <c r="Y289" s="10" t="inlineStr">
        <is>
          <t>Not Found</t>
        </is>
      </c>
      <c r="Z289" s="10" t="inlineStr">
        <is>
          <t>Medium</t>
        </is>
      </c>
      <c r="AA289" s="10" t="inlineStr">
        <is>
          <t>Requires Verification</t>
        </is>
      </c>
      <c r="AB289" s="10" t="inlineStr">
        <is>
          <t>https://www.postoffice.co.uk/branch-finder/6204589/northowram</t>
        </is>
      </c>
    </row>
    <row r="290">
      <c r="A290" s="5" t="inlineStr">
        <is>
          <t>WY-0128</t>
        </is>
      </c>
      <c r="B290" s="5" t="inlineStr">
        <is>
          <t>WY-0128-01</t>
        </is>
      </c>
      <c r="C290" s="5" t="inlineStr"/>
      <c r="D290" s="5" t="inlineStr">
        <is>
          <t>Off Licence and Convenience Store (Cutsyke)</t>
        </is>
      </c>
      <c r="E290" s="5" t="inlineStr">
        <is>
          <t>Off-Licence</t>
        </is>
      </c>
      <c r="F290" s="5" t="inlineStr">
        <is>
          <t>Off-licence and convenience store</t>
        </is>
      </c>
      <c r="G290" s="5" t="inlineStr">
        <is>
          <t>Independent</t>
        </is>
      </c>
      <c r="H290" s="5" t="inlineStr">
        <is>
          <t>1</t>
        </is>
      </c>
      <c r="I290" s="5" t="inlineStr">
        <is>
          <t>2 Leeds Road</t>
        </is>
      </c>
      <c r="J290" s="5" t="inlineStr">
        <is>
          <t>Castleford</t>
        </is>
      </c>
      <c r="K290" s="5" t="inlineStr">
        <is>
          <t>WF10 5HA</t>
        </is>
      </c>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Not Found</t>
        </is>
      </c>
      <c r="Y290" s="5" t="inlineStr">
        <is>
          <t>Not Found</t>
        </is>
      </c>
      <c r="Z290" s="5" t="inlineStr">
        <is>
          <t>Low</t>
        </is>
      </c>
      <c r="AA290" s="5" t="inlineStr">
        <is>
          <t>Requires Verification</t>
        </is>
      </c>
      <c r="AB290" s="5" t="inlineStr">
        <is>
          <t>https://ratings.food.gov.uk/business/1268724/off-licence-and-convenience-store-castleford</t>
        </is>
      </c>
    </row>
    <row r="291">
      <c r="A291" s="10" t="inlineStr">
        <is>
          <t>UK-000378</t>
        </is>
      </c>
      <c r="B291" s="10" t="inlineStr">
        <is>
          <t>UK-000378-01</t>
        </is>
      </c>
      <c r="C291" s="10" t="inlineStr"/>
      <c r="D291" s="10" t="inlineStr">
        <is>
          <t>Oldham Cash and Carry</t>
        </is>
      </c>
      <c r="E291" s="10" t="inlineStr">
        <is>
          <t>Cash &amp; Carry</t>
        </is>
      </c>
      <c r="F291" s="10" t="inlineStr"/>
      <c r="G291" s="10" t="inlineStr">
        <is>
          <t>Independent</t>
        </is>
      </c>
      <c r="H291" s="10" t="inlineStr">
        <is>
          <t>1</t>
        </is>
      </c>
      <c r="I291" s="10" t="inlineStr">
        <is>
          <t>304 Lees Road</t>
        </is>
      </c>
      <c r="J291" s="10" t="inlineStr">
        <is>
          <t>Oldham</t>
        </is>
      </c>
      <c r="K291" s="10" t="inlineStr">
        <is>
          <t>OL4 1NZ</t>
        </is>
      </c>
      <c r="L291" s="10" t="inlineStr"/>
      <c r="M291" s="10" t="inlineStr"/>
      <c r="N291" s="10" t="inlineStr"/>
      <c r="O291" s="10" t="inlineStr"/>
      <c r="P291" s="10" t="inlineStr"/>
      <c r="Q291" s="10" t="inlineStr"/>
      <c r="R291" s="10" t="inlineStr"/>
      <c r="S291" s="10" t="inlineStr"/>
      <c r="T291" s="10" t="inlineStr">
        <is>
          <t>17379179</t>
        </is>
      </c>
      <c r="U291" s="10" t="inlineStr"/>
      <c r="V291" s="10" t="inlineStr">
        <is>
          <t>Medium</t>
        </is>
      </c>
      <c r="W291" s="10" t="inlineStr">
        <is>
          <t>Independent retailer; Core relevant category</t>
        </is>
      </c>
      <c r="X291" s="10" t="inlineStr">
        <is>
          <t>Not Found</t>
        </is>
      </c>
      <c r="Y291" s="10" t="inlineStr">
        <is>
          <t>Not Found</t>
        </is>
      </c>
      <c r="Z291" s="10" t="inlineStr">
        <is>
          <t>Low</t>
        </is>
      </c>
      <c r="AA291" s="10" t="inlineStr">
        <is>
          <t>Partially Verified</t>
        </is>
      </c>
      <c r="AB291" s="10" t="inlineStr">
        <is>
          <t>https://find-and-update.company-information.service.gov.uk/company/17379179</t>
        </is>
      </c>
    </row>
    <row r="292">
      <c r="A292" s="5" t="inlineStr">
        <is>
          <t>UK-000641</t>
        </is>
      </c>
      <c r="B292" s="5" t="inlineStr">
        <is>
          <t>UK-000641-01</t>
        </is>
      </c>
      <c r="C292" s="5" t="inlineStr"/>
      <c r="D292" s="5" t="inlineStr">
        <is>
          <t>Onur Supermarket</t>
        </is>
      </c>
      <c r="E292" s="5" t="inlineStr">
        <is>
          <t>Independent Supermarket</t>
        </is>
      </c>
      <c r="F292" s="5" t="inlineStr">
        <is>
          <t>Turkish / world-food supermarket</t>
        </is>
      </c>
      <c r="G292" s="5" t="inlineStr">
        <is>
          <t>Independent</t>
        </is>
      </c>
      <c r="H292" s="5" t="inlineStr">
        <is>
          <t>1</t>
        </is>
      </c>
      <c r="I292" s="5" t="inlineStr">
        <is>
          <t>90 Leytonstone Road</t>
        </is>
      </c>
      <c r="J292" s="5" t="inlineStr">
        <is>
          <t>Stratford</t>
        </is>
      </c>
      <c r="K292" s="5" t="inlineStr">
        <is>
          <t>E15 1TQ</t>
        </is>
      </c>
      <c r="L292" s="5" t="inlineStr"/>
      <c r="M292" s="5" t="inlineStr"/>
      <c r="N292" s="5" t="inlineStr"/>
      <c r="O292" s="5" t="inlineStr"/>
      <c r="P292" s="5" t="inlineStr"/>
      <c r="Q292" s="5" t="inlineStr"/>
      <c r="R292" s="5" t="inlineStr"/>
      <c r="S292" s="5" t="inlineStr"/>
      <c r="T292" s="5" t="inlineStr"/>
      <c r="U292" s="5" t="inlineStr"/>
      <c r="V292" s="5" t="inlineStr">
        <is>
          <t>Low</t>
        </is>
      </c>
      <c r="W292" s="5" t="inlineStr">
        <is>
          <t>Independent retailer; Relevant category</t>
        </is>
      </c>
      <c r="X292" s="5" t="inlineStr">
        <is>
          <t>Not Found</t>
        </is>
      </c>
      <c r="Y292" s="5" t="inlineStr">
        <is>
          <t>Not Found</t>
        </is>
      </c>
      <c r="Z292" s="5" t="inlineStr">
        <is>
          <t>Low</t>
        </is>
      </c>
      <c r="AA292" s="5" t="inlineStr">
        <is>
          <t>Requires Verification</t>
        </is>
      </c>
      <c r="AB292" s="5" t="inlineStr">
        <is>
          <t>https://london.cylex-uk.co.uk/stratford/retail%20shops.html</t>
        </is>
      </c>
    </row>
    <row r="293">
      <c r="A293" s="10" t="inlineStr">
        <is>
          <t>UK-000496</t>
        </is>
      </c>
      <c r="B293" s="10" t="inlineStr">
        <is>
          <t>UK-000496-01</t>
        </is>
      </c>
      <c r="C293" s="10" t="inlineStr"/>
      <c r="D293" s="10" t="inlineStr">
        <is>
          <t>Oscars Newsagents (Select Xpress)</t>
        </is>
      </c>
      <c r="E293" s="10" t="inlineStr">
        <is>
          <t>Newsagent</t>
        </is>
      </c>
      <c r="F293" s="10" t="inlineStr">
        <is>
          <t>Newsagent &amp; off-licence</t>
        </is>
      </c>
      <c r="G293" s="10" t="inlineStr">
        <is>
          <t>Independent</t>
        </is>
      </c>
      <c r="H293" s="10" t="inlineStr">
        <is>
          <t>1</t>
        </is>
      </c>
      <c r="I293" s="10" t="inlineStr">
        <is>
          <t>133 High Street</t>
        </is>
      </c>
      <c r="J293" s="10" t="inlineStr">
        <is>
          <t>Walsall</t>
        </is>
      </c>
      <c r="K293" s="10" t="inlineStr">
        <is>
          <t>WS3 3LE</t>
        </is>
      </c>
      <c r="L293" s="10" t="inlineStr"/>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Not Found</t>
        </is>
      </c>
      <c r="Y293" s="10" t="inlineStr">
        <is>
          <t>Not Found</t>
        </is>
      </c>
      <c r="Z293" s="10" t="inlineStr">
        <is>
          <t>Low</t>
        </is>
      </c>
      <c r="AA293" s="10" t="inlineStr">
        <is>
          <t>Requires Verification</t>
        </is>
      </c>
      <c r="AB293" s="10" t="inlineStr">
        <is>
          <t>https://addressesandpostcodes.co.uk/address/EzQAh1vR/oscars-newsagents-133-high-street-bloxwich-walsall-ws3-3le.html</t>
        </is>
      </c>
    </row>
    <row r="294">
      <c r="A294" s="5" t="inlineStr">
        <is>
          <t>WY-0129</t>
        </is>
      </c>
      <c r="B294" s="5" t="inlineStr">
        <is>
          <t>WY-0129-01</t>
        </is>
      </c>
      <c r="C294" s="5" t="inlineStr"/>
      <c r="D294" s="5" t="inlineStr">
        <is>
          <t>Outwood Express</t>
        </is>
      </c>
      <c r="E294" s="5" t="inlineStr">
        <is>
          <t>Convenience Store</t>
        </is>
      </c>
      <c r="F294" s="5" t="inlineStr">
        <is>
          <t>Convenience store / grocer</t>
        </is>
      </c>
      <c r="G294" s="5" t="inlineStr">
        <is>
          <t>Independent</t>
        </is>
      </c>
      <c r="H294" s="5" t="inlineStr">
        <is>
          <t>1</t>
        </is>
      </c>
      <c r="I294" s="5" t="inlineStr"/>
      <c r="J294" s="5" t="inlineStr">
        <is>
          <t>Wakefield</t>
        </is>
      </c>
      <c r="K294" s="5" t="inlineStr"/>
      <c r="L294" s="5" t="inlineStr"/>
      <c r="M294" s="5" t="inlineStr"/>
      <c r="N294" s="5" t="inlineStr"/>
      <c r="O294" s="5" t="inlineStr"/>
      <c r="P294" s="5" t="inlineStr"/>
      <c r="Q294" s="5" t="inlineStr"/>
      <c r="R294" s="5" t="inlineStr"/>
      <c r="S294" s="5" t="inlineStr"/>
      <c r="T294" s="5" t="inlineStr"/>
      <c r="U294" s="5" t="inlineStr"/>
      <c r="V294" s="5" t="inlineStr">
        <is>
          <t>Low</t>
        </is>
      </c>
      <c r="W294" s="5" t="inlineStr">
        <is>
          <t>Independent retailer; Relevant category</t>
        </is>
      </c>
      <c r="X294" s="5" t="inlineStr">
        <is>
          <t>Not Found</t>
        </is>
      </c>
      <c r="Y294" s="5" t="inlineStr">
        <is>
          <t>Not Found</t>
        </is>
      </c>
      <c r="Z294" s="5" t="inlineStr">
        <is>
          <t>Low</t>
        </is>
      </c>
      <c r="AA294" s="5" t="inlineStr">
        <is>
          <t>Requires Verification</t>
        </is>
      </c>
      <c r="AB294" s="5" t="inlineStr">
        <is>
          <t>https://www.yell.com/biz/outwood-express-wakefield-10165328/</t>
        </is>
      </c>
    </row>
    <row r="295">
      <c r="A295" s="10" t="inlineStr">
        <is>
          <t>UK-000809</t>
        </is>
      </c>
      <c r="B295" s="10" t="inlineStr">
        <is>
          <t>UK-000809-01</t>
        </is>
      </c>
      <c r="C295" s="10" t="inlineStr"/>
      <c r="D295" s="10" t="inlineStr">
        <is>
          <t>PCY Oriental</t>
        </is>
      </c>
      <c r="E295" s="10" t="inlineStr">
        <is>
          <t>Independent Supermarket</t>
        </is>
      </c>
      <c r="F295" s="10" t="inlineStr">
        <is>
          <t>Pan-Asian world-food supermarket</t>
        </is>
      </c>
      <c r="G295" s="10" t="inlineStr">
        <is>
          <t>Independent</t>
        </is>
      </c>
      <c r="H295" s="10" t="inlineStr">
        <is>
          <t>1</t>
        </is>
      </c>
      <c r="I295" s="10" t="inlineStr"/>
      <c r="J295" s="10" t="inlineStr">
        <is>
          <t>Edinburgh</t>
        </is>
      </c>
      <c r="K295" s="10" t="inlineStr"/>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Low</t>
        </is>
      </c>
      <c r="AA295" s="10" t="inlineStr">
        <is>
          <t>Requires Verification</t>
        </is>
      </c>
      <c r="AB295" s="10" t="inlineStr">
        <is>
          <t>https://edinburgh.cylex-uk.co.uk/company/pcy-oriental-27594347.html</t>
        </is>
      </c>
    </row>
    <row r="296">
      <c r="A296" s="5" t="inlineStr">
        <is>
          <t>UK-000642</t>
        </is>
      </c>
      <c r="B296" s="5" t="inlineStr">
        <is>
          <t>UK-000642-01</t>
        </is>
      </c>
      <c r="C296" s="5" t="inlineStr"/>
      <c r="D296" s="5" t="inlineStr">
        <is>
          <t>Park Vintners</t>
        </is>
      </c>
      <c r="E296" s="5" t="inlineStr">
        <is>
          <t>Off-Licence</t>
        </is>
      </c>
      <c r="F296" s="5" t="inlineStr">
        <is>
          <t>Wine merchant</t>
        </is>
      </c>
      <c r="G296" s="5" t="inlineStr">
        <is>
          <t>Independent</t>
        </is>
      </c>
      <c r="H296" s="5" t="inlineStr">
        <is>
          <t>1</t>
        </is>
      </c>
      <c r="I296" s="5" t="inlineStr">
        <is>
          <t>126 Arthur Road</t>
        </is>
      </c>
      <c r="J296" s="5" t="inlineStr">
        <is>
          <t>London</t>
        </is>
      </c>
      <c r="K296" s="5" t="inlineStr">
        <is>
          <t>SW19 8AA</t>
        </is>
      </c>
      <c r="L296" s="5" t="inlineStr"/>
      <c r="M296" s="5" t="inlineStr"/>
      <c r="N296" s="5" t="inlineStr"/>
      <c r="O296" s="5" t="inlineStr"/>
      <c r="P296" s="5" t="inlineStr"/>
      <c r="Q296" s="5" t="inlineStr"/>
      <c r="R296" s="5" t="inlineStr"/>
      <c r="S296" s="5" t="inlineStr"/>
      <c r="T296" s="5" t="inlineStr"/>
      <c r="U296" s="5" t="inlineStr"/>
      <c r="V296" s="5" t="inlineStr">
        <is>
          <t>Low</t>
        </is>
      </c>
      <c r="W296" s="5" t="inlineStr">
        <is>
          <t>Independent retailer; Relevant category</t>
        </is>
      </c>
      <c r="X296" s="5" t="inlineStr">
        <is>
          <t>Not Found</t>
        </is>
      </c>
      <c r="Y296" s="5" t="inlineStr">
        <is>
          <t>Not Found</t>
        </is>
      </c>
      <c r="Z296" s="5" t="inlineStr">
        <is>
          <t>Low</t>
        </is>
      </c>
      <c r="AA296" s="5" t="inlineStr">
        <is>
          <t>Requires Verification</t>
        </is>
      </c>
      <c r="AB296" s="5" t="inlineStr">
        <is>
          <t>https://www.yell.com/biz/park-vintners-london-6513692/</t>
        </is>
      </c>
    </row>
    <row r="297">
      <c r="A297" s="10" t="inlineStr">
        <is>
          <t>UK-000643</t>
        </is>
      </c>
      <c r="B297" s="10" t="inlineStr">
        <is>
          <t>UK-000643-01</t>
        </is>
      </c>
      <c r="C297" s="10" t="inlineStr"/>
      <c r="D297" s="10" t="inlineStr">
        <is>
          <t>Pearl Supermarket</t>
        </is>
      </c>
      <c r="E297" s="10" t="inlineStr">
        <is>
          <t>Independent Supermarket</t>
        </is>
      </c>
      <c r="F297" s="10" t="inlineStr">
        <is>
          <t>World food supermarket</t>
        </is>
      </c>
      <c r="G297" s="10" t="inlineStr">
        <is>
          <t>Independent</t>
        </is>
      </c>
      <c r="H297" s="10" t="inlineStr">
        <is>
          <t>1</t>
        </is>
      </c>
      <c r="I297" s="10" t="inlineStr"/>
      <c r="J297" s="10" t="inlineStr">
        <is>
          <t>Wembley</t>
        </is>
      </c>
      <c r="K297" s="10" t="inlineStr"/>
      <c r="L297" s="10" t="inlineStr"/>
      <c r="M297" s="10" t="inlineStr"/>
      <c r="N297" s="10" t="inlineStr"/>
      <c r="O297" s="10" t="inlineStr"/>
      <c r="P297" s="10" t="inlineStr"/>
      <c r="Q297" s="10" t="inlineStr"/>
      <c r="R297" s="10" t="inlineStr"/>
      <c r="S297" s="10" t="inlineStr"/>
      <c r="T297" s="10" t="inlineStr"/>
      <c r="U297" s="10" t="inlineStr"/>
      <c r="V297" s="10" t="inlineStr">
        <is>
          <t>Low</t>
        </is>
      </c>
      <c r="W297" s="10" t="inlineStr">
        <is>
          <t>Independent retailer; Relevant category</t>
        </is>
      </c>
      <c r="X297" s="10" t="inlineStr">
        <is>
          <t>Not Found</t>
        </is>
      </c>
      <c r="Y297" s="10" t="inlineStr">
        <is>
          <t>Not Found</t>
        </is>
      </c>
      <c r="Z297" s="10" t="inlineStr">
        <is>
          <t>Low</t>
        </is>
      </c>
      <c r="AA297" s="10" t="inlineStr">
        <is>
          <t>Requires Verification</t>
        </is>
      </c>
      <c r="AB297" s="10" t="inlineStr">
        <is>
          <t>https://www.yell.com/biz/pearl-supermarket-wembley-5970807/</t>
        </is>
      </c>
    </row>
    <row r="298">
      <c r="A298" s="5" t="inlineStr">
        <is>
          <t>UK-000644</t>
        </is>
      </c>
      <c r="B298" s="5" t="inlineStr">
        <is>
          <t>UK-000644-01</t>
        </is>
      </c>
      <c r="C298" s="5" t="inlineStr"/>
      <c r="D298" s="5" t="inlineStr">
        <is>
          <t>Peckham Afro Foods Ltd</t>
        </is>
      </c>
      <c r="E298" s="5" t="inlineStr">
        <is>
          <t>Independent Supermarket</t>
        </is>
      </c>
      <c r="F298" s="5" t="inlineStr">
        <is>
          <t>African food store / butcher</t>
        </is>
      </c>
      <c r="G298" s="5" t="inlineStr">
        <is>
          <t>Independent</t>
        </is>
      </c>
      <c r="H298" s="5" t="inlineStr">
        <is>
          <t>1</t>
        </is>
      </c>
      <c r="I298" s="5" t="inlineStr">
        <is>
          <t>71 Rye Lane</t>
        </is>
      </c>
      <c r="J298" s="5" t="inlineStr">
        <is>
          <t>London</t>
        </is>
      </c>
      <c r="K298" s="5" t="inlineStr">
        <is>
          <t>SE15 5EX</t>
        </is>
      </c>
      <c r="L298" s="5" t="inlineStr"/>
      <c r="M298" s="5" t="inlineStr"/>
      <c r="N298" s="5" t="inlineStr"/>
      <c r="O298" s="5" t="inlineStr"/>
      <c r="P298" s="5" t="inlineStr"/>
      <c r="Q298" s="5" t="inlineStr"/>
      <c r="R298" s="5" t="inlineStr"/>
      <c r="S298" s="5" t="inlineStr"/>
      <c r="T298" s="5" t="inlineStr"/>
      <c r="U298" s="5" t="inlineStr"/>
      <c r="V298" s="5" t="inlineStr">
        <is>
          <t>Low</t>
        </is>
      </c>
      <c r="W298" s="5" t="inlineStr">
        <is>
          <t>Independent retailer; Relevant category</t>
        </is>
      </c>
      <c r="X298" s="5" t="inlineStr">
        <is>
          <t>Not Found</t>
        </is>
      </c>
      <c r="Y298" s="5" t="inlineStr">
        <is>
          <t>Not Found</t>
        </is>
      </c>
      <c r="Z298" s="5" t="inlineStr">
        <is>
          <t>Low</t>
        </is>
      </c>
      <c r="AA298" s="5" t="inlineStr">
        <is>
          <t>Requires Verification</t>
        </is>
      </c>
      <c r="AB298" s="5" t="inlineStr">
        <is>
          <t>https://www.yell.com/biz/peckham-afro-foods-ltd-london-10823812/</t>
        </is>
      </c>
    </row>
    <row r="299">
      <c r="A299" s="10" t="inlineStr">
        <is>
          <t>WY-0131</t>
        </is>
      </c>
      <c r="B299" s="10" t="inlineStr">
        <is>
          <t>WY-0131-01</t>
        </is>
      </c>
      <c r="C299" s="10" t="inlineStr"/>
      <c r="D299" s="10" t="inlineStr">
        <is>
          <t>Phantom Vape Store</t>
        </is>
      </c>
      <c r="E299" s="10" t="inlineStr">
        <is>
          <t>Vape Shop</t>
        </is>
      </c>
      <c r="F299" s="10" t="inlineStr">
        <is>
          <t>Pods, kits, e-liquids and accessories</t>
        </is>
      </c>
      <c r="G299" s="10" t="inlineStr">
        <is>
          <t>Independent</t>
        </is>
      </c>
      <c r="H299" s="10" t="inlineStr">
        <is>
          <t>1</t>
        </is>
      </c>
      <c r="I299" s="10" t="inlineStr">
        <is>
          <t>17 Slaithwaite Road</t>
        </is>
      </c>
      <c r="J299" s="10" t="inlineStr">
        <is>
          <t>Dewsbury</t>
        </is>
      </c>
      <c r="K299" s="10" t="inlineStr">
        <is>
          <t>WF12 9DJ</t>
        </is>
      </c>
      <c r="L299" s="10" t="inlineStr"/>
      <c r="M299" s="10" t="inlineStr"/>
      <c r="N299" s="10" t="inlineStr"/>
      <c r="O299" s="10" t="inlineStr">
        <is>
          <t>https://www.phantomvapes.co.uk/</t>
        </is>
      </c>
      <c r="P299" s="10" t="inlineStr">
        <is>
          <t>https://www.facebook.com/61578393599194/</t>
        </is>
      </c>
      <c r="Q299" s="10" t="inlineStr"/>
      <c r="R299" s="10" t="inlineStr"/>
      <c r="S299" s="10" t="inlineStr"/>
      <c r="T299" s="10" t="inlineStr"/>
      <c r="U299" s="10" t="inlineStr"/>
      <c r="V299" s="10" t="inlineStr">
        <is>
          <t>Medium</t>
        </is>
      </c>
      <c r="W299" s="10" t="inlineStr">
        <is>
          <t>Independent retailer; Core relevant category; Active website; Social presence</t>
        </is>
      </c>
      <c r="X299" s="10" t="inlineStr">
        <is>
          <t>Not Found</t>
        </is>
      </c>
      <c r="Y299" s="10" t="inlineStr">
        <is>
          <t>Website Found</t>
        </is>
      </c>
      <c r="Z299" s="10" t="inlineStr">
        <is>
          <t>Medium</t>
        </is>
      </c>
      <c r="AA299" s="10" t="inlineStr">
        <is>
          <t>Requires Verification</t>
        </is>
      </c>
      <c r="AB299" s="10" t="inlineStr">
        <is>
          <t>https://www.phantomvapes.co.uk/vape-shop-dewsbury</t>
        </is>
      </c>
    </row>
    <row r="300">
      <c r="A300" s="5" t="inlineStr">
        <is>
          <t>UK-000500</t>
        </is>
      </c>
      <c r="B300" s="5" t="inlineStr">
        <is>
          <t>UK-000500-01</t>
        </is>
      </c>
      <c r="C300" s="5" t="inlineStr"/>
      <c r="D300" s="5" t="inlineStr">
        <is>
          <t>Phone Fix &amp; Vape Ltd</t>
        </is>
      </c>
      <c r="E300" s="5" t="inlineStr">
        <is>
          <t>Vape Shop</t>
        </is>
      </c>
      <c r="F300" s="5" t="inlineStr">
        <is>
          <t>Vape and phone repair shop</t>
        </is>
      </c>
      <c r="G300" s="5" t="inlineStr">
        <is>
          <t>Independent</t>
        </is>
      </c>
      <c r="H300" s="5" t="inlineStr">
        <is>
          <t>1</t>
        </is>
      </c>
      <c r="I300" s="5" t="inlineStr">
        <is>
          <t>806 Stratford Road</t>
        </is>
      </c>
      <c r="J300" s="5" t="inlineStr">
        <is>
          <t>Birmingham</t>
        </is>
      </c>
      <c r="K300" s="5" t="inlineStr">
        <is>
          <t>B11 4BS</t>
        </is>
      </c>
      <c r="L300" s="5" t="inlineStr"/>
      <c r="M300" s="5" t="inlineStr"/>
      <c r="N300" s="5" t="inlineStr"/>
      <c r="O300" s="5" t="inlineStr"/>
      <c r="P300" s="5" t="inlineStr"/>
      <c r="Q300" s="5" t="inlineStr"/>
      <c r="R300" s="5" t="inlineStr"/>
      <c r="S300" s="5" t="inlineStr"/>
      <c r="T300" s="5" t="inlineStr"/>
      <c r="U300" s="5" t="inlineStr"/>
      <c r="V300" s="5" t="inlineStr">
        <is>
          <t>Medium</t>
        </is>
      </c>
      <c r="W300" s="5" t="inlineStr">
        <is>
          <t>Independent retailer; Core relevant category</t>
        </is>
      </c>
      <c r="X300" s="5" t="inlineStr">
        <is>
          <t>Not Found</t>
        </is>
      </c>
      <c r="Y300" s="5" t="inlineStr">
        <is>
          <t>Not Found</t>
        </is>
      </c>
      <c r="Z300" s="5" t="inlineStr">
        <is>
          <t>Low</t>
        </is>
      </c>
      <c r="AA300" s="5" t="inlineStr">
        <is>
          <t>Requires Verification</t>
        </is>
      </c>
      <c r="AB300" s="5" t="inlineStr">
        <is>
          <t>https://directory.shropshirestar.co.uk/company/1231398485651457</t>
        </is>
      </c>
    </row>
    <row r="301">
      <c r="A301" s="10" t="inlineStr">
        <is>
          <t>UK-000267</t>
        </is>
      </c>
      <c r="B301" s="10" t="inlineStr">
        <is>
          <t>UK-000267-01</t>
        </is>
      </c>
      <c r="C301" s="10" t="inlineStr"/>
      <c r="D301" s="10" t="inlineStr">
        <is>
          <t>Platinum Vape Hull</t>
        </is>
      </c>
      <c r="E301" s="10" t="inlineStr">
        <is>
          <t>Vape Shop</t>
        </is>
      </c>
      <c r="F301" s="10" t="inlineStr">
        <is>
          <t>Disposables and e-liquid shop</t>
        </is>
      </c>
      <c r="G301" s="10" t="inlineStr">
        <is>
          <t>Independent</t>
        </is>
      </c>
      <c r="H301" s="10" t="inlineStr">
        <is>
          <t>1</t>
        </is>
      </c>
      <c r="I301" s="10" t="inlineStr"/>
      <c r="J301" s="10" t="inlineStr">
        <is>
          <t>Kingston upon Hull</t>
        </is>
      </c>
      <c r="K301" s="10" t="inlineStr"/>
      <c r="L301" s="10" t="inlineStr"/>
      <c r="M301" s="10" t="inlineStr"/>
      <c r="N301" s="10" t="inlineStr"/>
      <c r="O301" s="10" t="inlineStr"/>
      <c r="P301" s="10" t="inlineStr">
        <is>
          <t>https://www.facebook.com/PlatinumVapehull/</t>
        </is>
      </c>
      <c r="Q301" s="10" t="inlineStr"/>
      <c r="R301" s="10" t="inlineStr"/>
      <c r="S301" s="10" t="inlineStr"/>
      <c r="T301" s="10" t="inlineStr"/>
      <c r="U301" s="10" t="inlineStr"/>
      <c r="V301" s="10" t="inlineStr">
        <is>
          <t>Medium</t>
        </is>
      </c>
      <c r="W301" s="10" t="inlineStr">
        <is>
          <t>Independent retailer; Core relevant category; Social presence</t>
        </is>
      </c>
      <c r="X301" s="10" t="inlineStr">
        <is>
          <t>Not Found</t>
        </is>
      </c>
      <c r="Y301" s="10" t="inlineStr">
        <is>
          <t>Not Found</t>
        </is>
      </c>
      <c r="Z301" s="10" t="inlineStr">
        <is>
          <t>Low</t>
        </is>
      </c>
      <c r="AA301" s="10" t="inlineStr">
        <is>
          <t>Requires Verification</t>
        </is>
      </c>
      <c r="AB301" s="10" t="inlineStr">
        <is>
          <t>https://www.facebook.com/PlatinumVapehull/</t>
        </is>
      </c>
    </row>
    <row r="302">
      <c r="A302" s="5" t="inlineStr">
        <is>
          <t>WY-0133</t>
        </is>
      </c>
      <c r="B302" s="5" t="inlineStr">
        <is>
          <t>WY-0133-01</t>
        </is>
      </c>
      <c r="C302" s="5" t="inlineStr"/>
      <c r="D302" s="5" t="inlineStr">
        <is>
          <t>Premier (Bingley Convenience Store)</t>
        </is>
      </c>
      <c r="E302" s="5" t="inlineStr">
        <is>
          <t>Convenience Store</t>
        </is>
      </c>
      <c r="F302" s="5" t="inlineStr">
        <is>
          <t>Symbol-group convenience store</t>
        </is>
      </c>
      <c r="G302" s="5" t="inlineStr">
        <is>
          <t>Franchise / Symbol Group</t>
        </is>
      </c>
      <c r="H302" s="5" t="inlineStr">
        <is>
          <t>1</t>
        </is>
      </c>
      <c r="I302" s="5" t="inlineStr"/>
      <c r="J302" s="5" t="inlineStr">
        <is>
          <t>Bingley</t>
        </is>
      </c>
      <c r="K302" s="5" t="inlineStr"/>
      <c r="L302" s="5" t="inlineStr"/>
      <c r="M302" s="5" t="inlineStr"/>
      <c r="N302" s="5" t="inlineStr"/>
      <c r="O302" s="5" t="inlineStr"/>
      <c r="P302" s="5" t="inlineStr"/>
      <c r="Q302" s="5" t="inlineStr"/>
      <c r="R302" s="5" t="inlineStr"/>
      <c r="S302" s="5" t="inlineStr"/>
      <c r="T302" s="5" t="inlineStr"/>
      <c r="U302" s="5" t="inlineStr"/>
      <c r="V302" s="5" t="inlineStr">
        <is>
          <t>Low</t>
        </is>
      </c>
      <c r="W302" s="5" t="inlineStr">
        <is>
          <t>Independent retailer; Relevant category</t>
        </is>
      </c>
      <c r="X302" s="5" t="inlineStr">
        <is>
          <t>Not Found</t>
        </is>
      </c>
      <c r="Y302" s="5" t="inlineStr">
        <is>
          <t>Not Found</t>
        </is>
      </c>
      <c r="Z302" s="5" t="inlineStr">
        <is>
          <t>Low</t>
        </is>
      </c>
      <c r="AA302" s="5" t="inlineStr">
        <is>
          <t>Requires Verification</t>
        </is>
      </c>
      <c r="AB302" s="5" t="inlineStr">
        <is>
          <t>https://www.yorkshire.com/bingley/shopping/corner-shops/premier-bingley-convenience-store</t>
        </is>
      </c>
    </row>
    <row r="303">
      <c r="A303" s="10" t="inlineStr">
        <is>
          <t>WY-0134</t>
        </is>
      </c>
      <c r="B303" s="10" t="inlineStr">
        <is>
          <t>WY-0134-01</t>
        </is>
      </c>
      <c r="C303" s="10" t="inlineStr"/>
      <c r="D303" s="10" t="inlineStr">
        <is>
          <t>Premier Hemsworth</t>
        </is>
      </c>
      <c r="E303" s="10" t="inlineStr">
        <is>
          <t>Convenience Store</t>
        </is>
      </c>
      <c r="F303" s="10" t="inlineStr">
        <is>
          <t>Symbol group convenience store</t>
        </is>
      </c>
      <c r="G303" s="10" t="inlineStr">
        <is>
          <t>Franchise / Symbol Group</t>
        </is>
      </c>
      <c r="H303" s="10" t="inlineStr">
        <is>
          <t>1</t>
        </is>
      </c>
      <c r="I303" s="10" t="inlineStr">
        <is>
          <t>51-55 Barnsley Road</t>
        </is>
      </c>
      <c r="J303" s="10" t="inlineStr">
        <is>
          <t>Hemsworth</t>
        </is>
      </c>
      <c r="K303" s="10" t="inlineStr">
        <is>
          <t>WF9 4QZ</t>
        </is>
      </c>
      <c r="L303" s="10" t="inlineStr"/>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Not Found</t>
        </is>
      </c>
      <c r="Y303" s="10" t="inlineStr">
        <is>
          <t>Not Found</t>
        </is>
      </c>
      <c r="Z303" s="10" t="inlineStr">
        <is>
          <t>Medium</t>
        </is>
      </c>
      <c r="AA303" s="10" t="inlineStr">
        <is>
          <t>Requires Verification</t>
        </is>
      </c>
      <c r="AB303" s="10" t="inlineStr">
        <is>
          <t>https://hemsworth.ukintouch.com/convenience-store/premier-hemsworth/</t>
        </is>
      </c>
    </row>
    <row r="304">
      <c r="A304" s="5" t="inlineStr">
        <is>
          <t>WY-0135</t>
        </is>
      </c>
      <c r="B304" s="5" t="inlineStr">
        <is>
          <t>WY-0135-01</t>
        </is>
      </c>
      <c r="C304" s="5" t="inlineStr"/>
      <c r="D304" s="5" t="inlineStr">
        <is>
          <t>Premier Wholesale Cash &amp; Carry</t>
        </is>
      </c>
      <c r="E304" s="5" t="inlineStr">
        <is>
          <t>Cash &amp; Carry</t>
        </is>
      </c>
      <c r="F304" s="5" t="inlineStr">
        <is>
          <t>General cash and carry wholesaler</t>
        </is>
      </c>
      <c r="G304" s="5" t="inlineStr">
        <is>
          <t>Independent</t>
        </is>
      </c>
      <c r="H304" s="5" t="inlineStr">
        <is>
          <t>1</t>
        </is>
      </c>
      <c r="I304" s="5" t="inlineStr">
        <is>
          <t>Clough Lane</t>
        </is>
      </c>
      <c r="J304" s="5" t="inlineStr">
        <is>
          <t>Huddersfield</t>
        </is>
      </c>
      <c r="K304" s="5" t="inlineStr">
        <is>
          <t>HD1 4UW</t>
        </is>
      </c>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Independent retailer; Core relevant category</t>
        </is>
      </c>
      <c r="X304" s="5" t="inlineStr">
        <is>
          <t>Not Found</t>
        </is>
      </c>
      <c r="Y304" s="5" t="inlineStr">
        <is>
          <t>Not Found</t>
        </is>
      </c>
      <c r="Z304" s="5" t="inlineStr">
        <is>
          <t>Low</t>
        </is>
      </c>
      <c r="AA304" s="5" t="inlineStr">
        <is>
          <t>Requires Verification</t>
        </is>
      </c>
      <c r="AB304" s="5" t="inlineStr">
        <is>
          <t>https://www.yell.com/biz/premier-wholesale-cash-and-carry-huddersfield-943025/</t>
        </is>
      </c>
    </row>
    <row r="305">
      <c r="A305" s="10" t="inlineStr">
        <is>
          <t>UK-000810</t>
        </is>
      </c>
      <c r="B305" s="10" t="inlineStr">
        <is>
          <t>UK-000810-01</t>
        </is>
      </c>
      <c r="C305" s="10" t="inlineStr"/>
      <c r="D305" s="10" t="inlineStr">
        <is>
          <t>Prime Convenience Store St Helens</t>
        </is>
      </c>
      <c r="E305" s="10" t="inlineStr">
        <is>
          <t>Convenience Store</t>
        </is>
      </c>
      <c r="F305" s="10" t="inlineStr">
        <is>
          <t>Convenience store</t>
        </is>
      </c>
      <c r="G305" s="10" t="inlineStr">
        <is>
          <t>Independent</t>
        </is>
      </c>
      <c r="H305" s="10" t="inlineStr">
        <is>
          <t>1</t>
        </is>
      </c>
      <c r="I305" s="10" t="inlineStr">
        <is>
          <t>99 Church Street</t>
        </is>
      </c>
      <c r="J305" s="10" t="inlineStr">
        <is>
          <t>St Helens</t>
        </is>
      </c>
      <c r="K305" s="10" t="inlineStr">
        <is>
          <t>WA10 1AD</t>
        </is>
      </c>
      <c r="L305" s="10" t="inlineStr"/>
      <c r="M305" s="10" t="inlineStr"/>
      <c r="N305" s="10" t="inlineStr"/>
      <c r="O305" s="10" t="inlineStr"/>
      <c r="P305" s="10" t="inlineStr"/>
      <c r="Q305" s="10" t="inlineStr"/>
      <c r="R305" s="10" t="inlineStr"/>
      <c r="S305" s="10" t="inlineStr"/>
      <c r="T305" s="10" t="inlineStr">
        <is>
          <t>15581396</t>
        </is>
      </c>
      <c r="U305" s="10" t="inlineStr"/>
      <c r="V305" s="10" t="inlineStr">
        <is>
          <t>Low</t>
        </is>
      </c>
      <c r="W305" s="10" t="inlineStr">
        <is>
          <t>Independent retailer; Relevant category</t>
        </is>
      </c>
      <c r="X305" s="10" t="inlineStr">
        <is>
          <t>Not Found</t>
        </is>
      </c>
      <c r="Y305" s="10" t="inlineStr">
        <is>
          <t>Not Found</t>
        </is>
      </c>
      <c r="Z305" s="10" t="inlineStr">
        <is>
          <t>Medium</t>
        </is>
      </c>
      <c r="AA305" s="10" t="inlineStr">
        <is>
          <t>Requires Verification</t>
        </is>
      </c>
      <c r="AB305" s="10" t="inlineStr">
        <is>
          <t>https://find-and-update.company-information.service.gov.uk/company/15581396</t>
        </is>
      </c>
    </row>
    <row r="306">
      <c r="A306" s="5" t="inlineStr">
        <is>
          <t>UK-000502</t>
        </is>
      </c>
      <c r="B306" s="5" t="inlineStr">
        <is>
          <t>UK-000502-01</t>
        </is>
      </c>
      <c r="C306" s="5" t="inlineStr"/>
      <c r="D306" s="5" t="inlineStr">
        <is>
          <t>Princes End Convenience Store</t>
        </is>
      </c>
      <c r="E306" s="5" t="inlineStr">
        <is>
          <t>Convenience Store</t>
        </is>
      </c>
      <c r="F306" s="5" t="inlineStr">
        <is>
          <t>Convenience store &amp; off-licence</t>
        </is>
      </c>
      <c r="G306" s="5" t="inlineStr">
        <is>
          <t>Independent</t>
        </is>
      </c>
      <c r="H306" s="5" t="inlineStr">
        <is>
          <t>1</t>
        </is>
      </c>
      <c r="I306" s="5" t="inlineStr"/>
      <c r="J306" s="5" t="inlineStr">
        <is>
          <t>Tipton</t>
        </is>
      </c>
      <c r="K306" s="5" t="inlineStr"/>
      <c r="L306" s="5" t="inlineStr"/>
      <c r="M306" s="5" t="inlineStr"/>
      <c r="N306" s="5" t="inlineStr"/>
      <c r="O306" s="5" t="inlineStr"/>
      <c r="P306" s="5" t="inlineStr"/>
      <c r="Q306" s="5" t="inlineStr"/>
      <c r="R306" s="5" t="inlineStr"/>
      <c r="S306" s="5" t="inlineStr"/>
      <c r="T306" s="5" t="inlineStr"/>
      <c r="U306" s="5" t="inlineStr"/>
      <c r="V306" s="5" t="inlineStr">
        <is>
          <t>Low</t>
        </is>
      </c>
      <c r="W306" s="5" t="inlineStr">
        <is>
          <t>Independent retailer; Relevant category</t>
        </is>
      </c>
      <c r="X306" s="5" t="inlineStr">
        <is>
          <t>Not Found</t>
        </is>
      </c>
      <c r="Y306" s="5" t="inlineStr">
        <is>
          <t>Not Found</t>
        </is>
      </c>
      <c r="Z306" s="5" t="inlineStr">
        <is>
          <t>Low</t>
        </is>
      </c>
      <c r="AA306" s="5" t="inlineStr">
        <is>
          <t>Requires Verification</t>
        </is>
      </c>
      <c r="AB306" s="5" t="inlineStr">
        <is>
          <t>https://www.yell.com/biz/princes-end-convenience-store-tipton-9797719/</t>
        </is>
      </c>
    </row>
    <row r="307">
      <c r="A307" s="10" t="inlineStr">
        <is>
          <t>WY-0136</t>
        </is>
      </c>
      <c r="B307" s="10" t="inlineStr">
        <is>
          <t>WY-0136-01</t>
        </is>
      </c>
      <c r="C307" s="10" t="inlineStr"/>
      <c r="D307" s="10" t="inlineStr">
        <is>
          <t>Quix Newsagents, Off Licence &amp; Convenience Store</t>
        </is>
      </c>
      <c r="E307" s="10" t="inlineStr">
        <is>
          <t>Convenience Store</t>
        </is>
      </c>
      <c r="F307" s="10" t="inlineStr">
        <is>
          <t>Newsagent, off-licence &amp; convenience store</t>
        </is>
      </c>
      <c r="G307" s="10" t="inlineStr">
        <is>
          <t>Independent</t>
        </is>
      </c>
      <c r="H307" s="10" t="inlineStr">
        <is>
          <t>1</t>
        </is>
      </c>
      <c r="I307" s="10" t="inlineStr"/>
      <c r="J307" s="10" t="inlineStr">
        <is>
          <t>Shipley</t>
        </is>
      </c>
      <c r="K307" s="10" t="inlineStr"/>
      <c r="L307" s="10" t="inlineStr"/>
      <c r="M307" s="10" t="inlineStr"/>
      <c r="N307" s="10" t="inlineStr"/>
      <c r="O307" s="10" t="inlineStr"/>
      <c r="P307" s="10" t="inlineStr"/>
      <c r="Q307" s="10" t="inlineStr"/>
      <c r="R307" s="10" t="inlineStr"/>
      <c r="S307" s="10" t="inlineStr"/>
      <c r="T307" s="10" t="inlineStr"/>
      <c r="U307" s="10" t="inlineStr"/>
      <c r="V307" s="10" t="inlineStr">
        <is>
          <t>Low</t>
        </is>
      </c>
      <c r="W307" s="10" t="inlineStr">
        <is>
          <t>Independent retailer; Relevant category</t>
        </is>
      </c>
      <c r="X307" s="10" t="inlineStr">
        <is>
          <t>Not Found</t>
        </is>
      </c>
      <c r="Y307" s="10" t="inlineStr">
        <is>
          <t>Not Found</t>
        </is>
      </c>
      <c r="Z307" s="10" t="inlineStr">
        <is>
          <t>Low</t>
        </is>
      </c>
      <c r="AA307" s="10" t="inlineStr">
        <is>
          <t>Requires Verification</t>
        </is>
      </c>
      <c r="AB307" s="10" t="inlineStr">
        <is>
          <t>https://www.yorkshire.com/shipley/shopping/corner-shops/quix-newsagents-off-licence-convenience-store</t>
        </is>
      </c>
    </row>
    <row r="308">
      <c r="A308" s="5" t="inlineStr">
        <is>
          <t>WY-0137</t>
        </is>
      </c>
      <c r="B308" s="5" t="inlineStr">
        <is>
          <t>WY-0137-01</t>
        </is>
      </c>
      <c r="C308" s="5" t="inlineStr"/>
      <c r="D308" s="5" t="inlineStr">
        <is>
          <t>Rahien Mini Market</t>
        </is>
      </c>
      <c r="E308" s="5" t="inlineStr">
        <is>
          <t>Convenience Store</t>
        </is>
      </c>
      <c r="F308" s="5" t="inlineStr">
        <is>
          <t>Mini market</t>
        </is>
      </c>
      <c r="G308" s="5" t="inlineStr">
        <is>
          <t>Independent</t>
        </is>
      </c>
      <c r="H308" s="5" t="inlineStr">
        <is>
          <t>1</t>
        </is>
      </c>
      <c r="I308" s="5" t="inlineStr">
        <is>
          <t>Queen's Road</t>
        </is>
      </c>
      <c r="J308" s="5" t="inlineStr">
        <is>
          <t>Leeds</t>
        </is>
      </c>
      <c r="K308" s="5" t="inlineStr"/>
      <c r="L308" s="5" t="inlineStr"/>
      <c r="M308" s="5" t="inlineStr"/>
      <c r="N308" s="5" t="inlineStr"/>
      <c r="O308" s="5" t="inlineStr"/>
      <c r="P308" s="5" t="inlineStr"/>
      <c r="Q308" s="5" t="inlineStr"/>
      <c r="R308" s="5" t="inlineStr"/>
      <c r="S308" s="5" t="inlineStr"/>
      <c r="T308" s="5" t="inlineStr"/>
      <c r="U308" s="5" t="inlineStr"/>
      <c r="V308" s="5" t="inlineStr">
        <is>
          <t>Low</t>
        </is>
      </c>
      <c r="W308" s="5" t="inlineStr">
        <is>
          <t>Independent retailer; Relevant category</t>
        </is>
      </c>
      <c r="X308" s="5" t="inlineStr">
        <is>
          <t>Not Found</t>
        </is>
      </c>
      <c r="Y308" s="5" t="inlineStr">
        <is>
          <t>Not Found</t>
        </is>
      </c>
      <c r="Z308" s="5" t="inlineStr">
        <is>
          <t>Low</t>
        </is>
      </c>
      <c r="AA308" s="5" t="inlineStr">
        <is>
          <t>Requires Verification</t>
        </is>
      </c>
      <c r="AB308" s="5" t="inlineStr">
        <is>
          <t>https://www.yorkshire.com/headingley/shopping/markets/rahien-mini-market</t>
        </is>
      </c>
    </row>
    <row r="309">
      <c r="A309" s="10" t="inlineStr">
        <is>
          <t>UK-000647</t>
        </is>
      </c>
      <c r="B309" s="10" t="inlineStr">
        <is>
          <t>UK-000647-01</t>
        </is>
      </c>
      <c r="C309" s="10" t="inlineStr"/>
      <c r="D309" s="10" t="inlineStr">
        <is>
          <t>Rakkas</t>
        </is>
      </c>
      <c r="E309" s="10" t="inlineStr">
        <is>
          <t>Smoke / Shisha Shop</t>
        </is>
      </c>
      <c r="F309" s="10" t="inlineStr">
        <is>
          <t>Shisha lounge / Turkish restaurant</t>
        </is>
      </c>
      <c r="G309" s="10" t="inlineStr">
        <is>
          <t>Independent</t>
        </is>
      </c>
      <c r="H309" s="10" t="inlineStr">
        <is>
          <t>1</t>
        </is>
      </c>
      <c r="I309" s="10" t="inlineStr">
        <is>
          <t>369 Green Lanes</t>
        </is>
      </c>
      <c r="J309" s="10" t="inlineStr">
        <is>
          <t>Harringay</t>
        </is>
      </c>
      <c r="K309" s="10" t="inlineStr">
        <is>
          <t>N4 1DY</t>
        </is>
      </c>
      <c r="L309" s="10" t="inlineStr"/>
      <c r="M309" s="10" t="inlineStr"/>
      <c r="N309" s="10" t="inlineStr"/>
      <c r="O309" s="10" t="inlineStr"/>
      <c r="P309" s="10" t="inlineStr"/>
      <c r="Q309" s="10" t="inlineStr"/>
      <c r="R309" s="10" t="inlineStr"/>
      <c r="S309" s="10" t="inlineStr"/>
      <c r="T309" s="10" t="inlineStr"/>
      <c r="U309" s="10" t="inlineStr"/>
      <c r="V309" s="10" t="inlineStr">
        <is>
          <t>Medium</t>
        </is>
      </c>
      <c r="W309" s="10" t="inlineStr">
        <is>
          <t>Independent retailer; Core relevant category</t>
        </is>
      </c>
      <c r="X309" s="10" t="inlineStr">
        <is>
          <t>Not Found</t>
        </is>
      </c>
      <c r="Y309" s="10" t="inlineStr">
        <is>
          <t>Not Found</t>
        </is>
      </c>
      <c r="Z309" s="10" t="inlineStr">
        <is>
          <t>Medium</t>
        </is>
      </c>
      <c r="AA309" s="10" t="inlineStr">
        <is>
          <t>Requires Verification</t>
        </is>
      </c>
      <c r="AB309" s="10" t="inlineStr">
        <is>
          <t>https://www.yelp.co.uk/biz/rakkas-london</t>
        </is>
      </c>
    </row>
    <row r="310">
      <c r="A310" s="5" t="inlineStr">
        <is>
          <t>UK-000503</t>
        </is>
      </c>
      <c r="B310" s="5" t="inlineStr">
        <is>
          <t>UK-000503-01</t>
        </is>
      </c>
      <c r="C310" s="5" t="inlineStr"/>
      <c r="D310" s="5" t="inlineStr">
        <is>
          <t>Red Hot Vaping</t>
        </is>
      </c>
      <c r="E310" s="5" t="inlineStr">
        <is>
          <t>Vape Shop</t>
        </is>
      </c>
      <c r="F310" s="5" t="inlineStr">
        <is>
          <t>Vape kits, e-liquids &amp; accessories</t>
        </is>
      </c>
      <c r="G310" s="5" t="inlineStr">
        <is>
          <t>Independent</t>
        </is>
      </c>
      <c r="H310" s="5" t="inlineStr">
        <is>
          <t>1</t>
        </is>
      </c>
      <c r="I310" s="5" t="inlineStr"/>
      <c r="J310" s="5" t="inlineStr">
        <is>
          <t>Wednesbury</t>
        </is>
      </c>
      <c r="K310" s="5" t="inlineStr"/>
      <c r="L310" s="5" t="inlineStr"/>
      <c r="M310" s="5" t="inlineStr"/>
      <c r="N310" s="5" t="inlineStr"/>
      <c r="O310" s="5" t="inlineStr"/>
      <c r="P310" s="5" t="inlineStr"/>
      <c r="Q310" s="5" t="inlineStr"/>
      <c r="R310" s="5" t="inlineStr"/>
      <c r="S310" s="5" t="inlineStr"/>
      <c r="T310" s="5" t="inlineStr"/>
      <c r="U310" s="5" t="inlineStr"/>
      <c r="V310" s="5" t="inlineStr">
        <is>
          <t>Medium</t>
        </is>
      </c>
      <c r="W310" s="5" t="inlineStr">
        <is>
          <t>Independent retailer; Core relevant category</t>
        </is>
      </c>
      <c r="X310" s="5" t="inlineStr">
        <is>
          <t>Not Found</t>
        </is>
      </c>
      <c r="Y310" s="5" t="inlineStr">
        <is>
          <t>Not Found</t>
        </is>
      </c>
      <c r="Z310" s="5" t="inlineStr">
        <is>
          <t>Low</t>
        </is>
      </c>
      <c r="AA310" s="5" t="inlineStr">
        <is>
          <t>Requires Verification</t>
        </is>
      </c>
      <c r="AB310" s="5" t="inlineStr">
        <is>
          <t>https://vapeshops.puffingbird.com/england/wednesbury</t>
        </is>
      </c>
    </row>
    <row r="311">
      <c r="A311" s="10" t="inlineStr">
        <is>
          <t>UK-000269</t>
        </is>
      </c>
      <c r="B311" s="10" t="inlineStr">
        <is>
          <t>UK-000269-01</t>
        </is>
      </c>
      <c r="C311" s="10" t="inlineStr"/>
      <c r="D311" s="10" t="inlineStr">
        <is>
          <t>Retreat Sheesha Lounge</t>
        </is>
      </c>
      <c r="E311" s="10" t="inlineStr">
        <is>
          <t>Smoke / Shisha Shop</t>
        </is>
      </c>
      <c r="F311" s="10" t="inlineStr">
        <is>
          <t>Shisha cafe / lounge</t>
        </is>
      </c>
      <c r="G311" s="10" t="inlineStr">
        <is>
          <t>Independent</t>
        </is>
      </c>
      <c r="H311" s="10" t="inlineStr">
        <is>
          <t>1</t>
        </is>
      </c>
      <c r="I311" s="10" t="inlineStr"/>
      <c r="J311" s="10" t="inlineStr">
        <is>
          <t>Kingston upon Hull</t>
        </is>
      </c>
      <c r="K311" s="10" t="inlineStr"/>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Not Found</t>
        </is>
      </c>
      <c r="Y311" s="10" t="inlineStr">
        <is>
          <t>Not Found</t>
        </is>
      </c>
      <c r="Z311" s="10" t="inlineStr">
        <is>
          <t>Low</t>
        </is>
      </c>
      <c r="AA311" s="10" t="inlineStr">
        <is>
          <t>Requires Verification</t>
        </is>
      </c>
      <c r="AB311" s="10" t="inlineStr">
        <is>
          <t>https://www.tripadvisor.co.uk/Restaurant_Review-g186317-d4522051-Reviews-Retreat_Sheesha_Lounge-Kingston_upon_Hull_East_Riding_of_Yorkshire_England.html</t>
        </is>
      </c>
    </row>
    <row r="312">
      <c r="A312" s="5" t="inlineStr">
        <is>
          <t>WY-0138</t>
        </is>
      </c>
      <c r="B312" s="5" t="inlineStr">
        <is>
          <t>WY-0138-01</t>
        </is>
      </c>
      <c r="C312" s="5" t="inlineStr"/>
      <c r="D312" s="5" t="inlineStr">
        <is>
          <t>Revo Vapes</t>
        </is>
      </c>
      <c r="E312" s="5" t="inlineStr">
        <is>
          <t>Vape Shop</t>
        </is>
      </c>
      <c r="F312" s="5" t="inlineStr"/>
      <c r="G312" s="5" t="inlineStr">
        <is>
          <t>Independent</t>
        </is>
      </c>
      <c r="H312" s="5" t="inlineStr">
        <is>
          <t>1</t>
        </is>
      </c>
      <c r="I312" s="5" t="inlineStr">
        <is>
          <t>Unit 1a, 91 Queen Street</t>
        </is>
      </c>
      <c r="J312" s="5" t="inlineStr">
        <is>
          <t>Morley</t>
        </is>
      </c>
      <c r="K312" s="5" t="inlineStr">
        <is>
          <t>LS27 8DW</t>
        </is>
      </c>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Independent retailer; Core relevant category</t>
        </is>
      </c>
      <c r="X312" s="5" t="inlineStr">
        <is>
          <t>Not Found</t>
        </is>
      </c>
      <c r="Y312" s="5" t="inlineStr">
        <is>
          <t>Not Found</t>
        </is>
      </c>
      <c r="Z312" s="5" t="inlineStr">
        <is>
          <t>Low</t>
        </is>
      </c>
      <c r="AA312" s="5" t="inlineStr">
        <is>
          <t>Requires Verification</t>
        </is>
      </c>
      <c r="AB312" s="5" t="inlineStr">
        <is>
          <t>https://revo-vapes.wheree.com/</t>
        </is>
      </c>
    </row>
    <row r="313">
      <c r="A313" s="10" t="inlineStr">
        <is>
          <t>UK-000270</t>
        </is>
      </c>
      <c r="B313" s="10" t="inlineStr">
        <is>
          <t>UK-000270-01</t>
        </is>
      </c>
      <c r="C313" s="10" t="inlineStr"/>
      <c r="D313" s="10" t="inlineStr">
        <is>
          <t>Revolution Vape</t>
        </is>
      </c>
      <c r="E313" s="10" t="inlineStr">
        <is>
          <t>Vape Shop</t>
        </is>
      </c>
      <c r="F313" s="10" t="inlineStr">
        <is>
          <t>Vape shop</t>
        </is>
      </c>
      <c r="G313" s="10" t="inlineStr">
        <is>
          <t>Independent</t>
        </is>
      </c>
      <c r="H313" s="10" t="inlineStr">
        <is>
          <t>1</t>
        </is>
      </c>
      <c r="I313" s="10" t="inlineStr">
        <is>
          <t>75 High Street</t>
        </is>
      </c>
      <c r="J313" s="10" t="inlineStr">
        <is>
          <t>Rotherham</t>
        </is>
      </c>
      <c r="K313" s="10" t="inlineStr">
        <is>
          <t>S63 7QB</t>
        </is>
      </c>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Not Found</t>
        </is>
      </c>
      <c r="Y313" s="10" t="inlineStr">
        <is>
          <t>Not Found</t>
        </is>
      </c>
      <c r="Z313" s="10" t="inlineStr">
        <is>
          <t>Low</t>
        </is>
      </c>
      <c r="AA313" s="10" t="inlineStr">
        <is>
          <t>Requires Verification</t>
        </is>
      </c>
      <c r="AB313" s="10" t="inlineStr">
        <is>
          <t>https://wath-upon-dearne.cylex-uk.co.uk/company/revolution-vape-19882113.html</t>
        </is>
      </c>
    </row>
    <row r="314">
      <c r="A314" s="5" t="inlineStr">
        <is>
          <t>UK-000505</t>
        </is>
      </c>
      <c r="B314" s="5" t="inlineStr">
        <is>
          <t>UK-000505-01</t>
        </is>
      </c>
      <c r="C314" s="5" t="inlineStr"/>
      <c r="D314" s="5" t="inlineStr">
        <is>
          <t>Rhythm 'N' Vape Sedgley</t>
        </is>
      </c>
      <c r="E314" s="5" t="inlineStr">
        <is>
          <t>Vape Shop</t>
        </is>
      </c>
      <c r="F314" s="5" t="inlineStr">
        <is>
          <t>Vape kits, e-liquids &amp; accessories</t>
        </is>
      </c>
      <c r="G314" s="5" t="inlineStr">
        <is>
          <t>Independent</t>
        </is>
      </c>
      <c r="H314" s="5" t="inlineStr">
        <is>
          <t>1</t>
        </is>
      </c>
      <c r="I314" s="5" t="inlineStr">
        <is>
          <t>2 Bull Ring</t>
        </is>
      </c>
      <c r="J314" s="5" t="inlineStr">
        <is>
          <t>Dudley</t>
        </is>
      </c>
      <c r="K314" s="5" t="inlineStr">
        <is>
          <t>DY3 1SG</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Low</t>
        </is>
      </c>
      <c r="AA314" s="5" t="inlineStr">
        <is>
          <t>Requires Verification</t>
        </is>
      </c>
      <c r="AB314" s="5" t="inlineStr">
        <is>
          <t>https://www.yelp.com/search?cflt=vapeshops&amp;find_loc=Dudley%2C+West+Midlands</t>
        </is>
      </c>
    </row>
    <row r="315">
      <c r="A315" s="10" t="inlineStr">
        <is>
          <t>UK-000506</t>
        </is>
      </c>
      <c r="B315" s="10" t="inlineStr">
        <is>
          <t>UK-000506-01</t>
        </is>
      </c>
      <c r="C315" s="10" t="inlineStr"/>
      <c r="D315" s="10" t="inlineStr">
        <is>
          <t>Rowley News</t>
        </is>
      </c>
      <c r="E315" s="10" t="inlineStr">
        <is>
          <t>Newsagent</t>
        </is>
      </c>
      <c r="F315" s="10" t="inlineStr">
        <is>
          <t>Newsagent &amp; convenience</t>
        </is>
      </c>
      <c r="G315" s="10" t="inlineStr">
        <is>
          <t>Independent</t>
        </is>
      </c>
      <c r="H315" s="10" t="inlineStr">
        <is>
          <t>1</t>
        </is>
      </c>
      <c r="I315" s="10" t="inlineStr"/>
      <c r="J315" s="10" t="inlineStr">
        <is>
          <t>Rowley Regis</t>
        </is>
      </c>
      <c r="K315" s="10" t="inlineStr"/>
      <c r="L315" s="10" t="inlineStr"/>
      <c r="M315" s="10" t="inlineStr"/>
      <c r="N315" s="10" t="inlineStr"/>
      <c r="O315" s="10" t="inlineStr"/>
      <c r="P315" s="10" t="inlineStr"/>
      <c r="Q315" s="10" t="inlineStr"/>
      <c r="R315" s="10" t="inlineStr"/>
      <c r="S315" s="10" t="inlineStr"/>
      <c r="T315" s="10" t="inlineStr"/>
      <c r="U315" s="10" t="inlineStr"/>
      <c r="V315" s="10" t="inlineStr">
        <is>
          <t>Low</t>
        </is>
      </c>
      <c r="W315" s="10" t="inlineStr">
        <is>
          <t>Independent retailer; Relevant category</t>
        </is>
      </c>
      <c r="X315" s="10" t="inlineStr">
        <is>
          <t>Not Found</t>
        </is>
      </c>
      <c r="Y315" s="10" t="inlineStr">
        <is>
          <t>Not Found</t>
        </is>
      </c>
      <c r="Z315" s="10" t="inlineStr">
        <is>
          <t>Low</t>
        </is>
      </c>
      <c r="AA315" s="10" t="inlineStr">
        <is>
          <t>Requires Verification</t>
        </is>
      </c>
      <c r="AB315" s="10" t="inlineStr">
        <is>
          <t>https://rowley-regis.cylex-uk.co.uk/company/rowley-news-13010899.html</t>
        </is>
      </c>
    </row>
    <row r="316">
      <c r="A316" s="5" t="inlineStr">
        <is>
          <t>UK-000274</t>
        </is>
      </c>
      <c r="B316" s="5" t="inlineStr">
        <is>
          <t>UK-000274-01</t>
        </is>
      </c>
      <c r="C316" s="5" t="inlineStr"/>
      <c r="D316" s="5" t="inlineStr">
        <is>
          <t>S.J. Convenience Store</t>
        </is>
      </c>
      <c r="E316" s="5" t="inlineStr">
        <is>
          <t>Convenience Store</t>
        </is>
      </c>
      <c r="F316" s="5" t="inlineStr">
        <is>
          <t>Corner shop</t>
        </is>
      </c>
      <c r="G316" s="5" t="inlineStr">
        <is>
          <t>Independent</t>
        </is>
      </c>
      <c r="H316" s="5" t="inlineStr">
        <is>
          <t>1</t>
        </is>
      </c>
      <c r="I316" s="5" t="inlineStr"/>
      <c r="J316" s="5" t="inlineStr">
        <is>
          <t>Kingston upon Hull</t>
        </is>
      </c>
      <c r="K316" s="5" t="inlineStr"/>
      <c r="L316" s="5" t="inlineStr"/>
      <c r="M316" s="5" t="inlineStr"/>
      <c r="N316" s="5" t="inlineStr"/>
      <c r="O316" s="5" t="inlineStr"/>
      <c r="P316" s="5" t="inlineStr"/>
      <c r="Q316" s="5" t="inlineStr"/>
      <c r="R316" s="5" t="inlineStr"/>
      <c r="S316" s="5" t="inlineStr"/>
      <c r="T316" s="5" t="inlineStr"/>
      <c r="U316" s="5" t="inlineStr"/>
      <c r="V316" s="5" t="inlineStr">
        <is>
          <t>Low</t>
        </is>
      </c>
      <c r="W316" s="5" t="inlineStr">
        <is>
          <t>Independent retailer; Relevant category</t>
        </is>
      </c>
      <c r="X316" s="5" t="inlineStr">
        <is>
          <t>Not Found</t>
        </is>
      </c>
      <c r="Y316" s="5" t="inlineStr">
        <is>
          <t>Not Found</t>
        </is>
      </c>
      <c r="Z316" s="5" t="inlineStr">
        <is>
          <t>Low</t>
        </is>
      </c>
      <c r="AA316" s="5" t="inlineStr">
        <is>
          <t>Requires Verification</t>
        </is>
      </c>
      <c r="AB316" s="5" t="inlineStr">
        <is>
          <t>https://www.yorkshire.com/hull/shopping/corner-shops/sj-convenience-store</t>
        </is>
      </c>
    </row>
    <row r="317">
      <c r="A317" s="10" t="inlineStr">
        <is>
          <t>UK-000650</t>
        </is>
      </c>
      <c r="B317" s="10" t="inlineStr">
        <is>
          <t>UK-000650-01</t>
        </is>
      </c>
      <c r="C317" s="10" t="inlineStr"/>
      <c r="D317" s="10" t="inlineStr">
        <is>
          <t>S.S. Supermarket</t>
        </is>
      </c>
      <c r="E317" s="10" t="inlineStr">
        <is>
          <t>Independent Supermarket</t>
        </is>
      </c>
      <c r="F317" s="10" t="inlineStr">
        <is>
          <t>World-food supermarket</t>
        </is>
      </c>
      <c r="G317" s="10" t="inlineStr">
        <is>
          <t>Independent</t>
        </is>
      </c>
      <c r="H317" s="10" t="inlineStr">
        <is>
          <t>1</t>
        </is>
      </c>
      <c r="I317" s="10" t="inlineStr">
        <is>
          <t>243-245 Ilford Lane</t>
        </is>
      </c>
      <c r="J317" s="10" t="inlineStr">
        <is>
          <t>Ilford</t>
        </is>
      </c>
      <c r="K317" s="10" t="inlineStr">
        <is>
          <t>IG1 2SB</t>
        </is>
      </c>
      <c r="L317" s="10" t="inlineStr"/>
      <c r="M317" s="10" t="inlineStr"/>
      <c r="N317" s="10" t="inlineStr"/>
      <c r="O317" s="10" t="inlineStr"/>
      <c r="P317" s="10" t="inlineStr"/>
      <c r="Q317" s="10" t="inlineStr"/>
      <c r="R317" s="10" t="inlineStr"/>
      <c r="S317" s="10" t="inlineStr"/>
      <c r="T317" s="10" t="inlineStr"/>
      <c r="U317" s="10" t="inlineStr"/>
      <c r="V317" s="10" t="inlineStr">
        <is>
          <t>Low</t>
        </is>
      </c>
      <c r="W317" s="10" t="inlineStr">
        <is>
          <t>Independent retailer; Relevant category</t>
        </is>
      </c>
      <c r="X317" s="10" t="inlineStr">
        <is>
          <t>Not Found</t>
        </is>
      </c>
      <c r="Y317" s="10" t="inlineStr">
        <is>
          <t>Not Found</t>
        </is>
      </c>
      <c r="Z317" s="10" t="inlineStr">
        <is>
          <t>Medium</t>
        </is>
      </c>
      <c r="AA317" s="10" t="inlineStr">
        <is>
          <t>Requires Verification</t>
        </is>
      </c>
      <c r="AB317" s="10" t="inlineStr">
        <is>
          <t>https://ilford.cylex-uk.co.uk/company/s-s-supermarket-13379555.html</t>
        </is>
      </c>
    </row>
    <row r="318">
      <c r="A318" s="5" t="inlineStr">
        <is>
          <t>UK-000652</t>
        </is>
      </c>
      <c r="B318" s="5" t="inlineStr">
        <is>
          <t>UK-000652-01</t>
        </is>
      </c>
      <c r="C318" s="5" t="inlineStr"/>
      <c r="D318" s="5" t="inlineStr">
        <is>
          <t>SW9 Vapes</t>
        </is>
      </c>
      <c r="E318" s="5" t="inlineStr">
        <is>
          <t>Vape Shop</t>
        </is>
      </c>
      <c r="F318" s="5" t="inlineStr"/>
      <c r="G318" s="5" t="inlineStr">
        <is>
          <t>Independent</t>
        </is>
      </c>
      <c r="H318" s="5" t="inlineStr">
        <is>
          <t>1</t>
        </is>
      </c>
      <c r="I318" s="5" t="inlineStr">
        <is>
          <t>418 Brixton Road</t>
        </is>
      </c>
      <c r="J318" s="5" t="inlineStr">
        <is>
          <t>London</t>
        </is>
      </c>
      <c r="K318" s="5" t="inlineStr">
        <is>
          <t>SW9 7AY</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Not Found</t>
        </is>
      </c>
      <c r="Y318" s="5" t="inlineStr">
        <is>
          <t>Not Found</t>
        </is>
      </c>
      <c r="Z318" s="5" t="inlineStr">
        <is>
          <t>Low</t>
        </is>
      </c>
      <c r="AA318" s="5" t="inlineStr">
        <is>
          <t>Requires Verification</t>
        </is>
      </c>
      <c r="AB318" s="5" t="inlineStr">
        <is>
          <t>https://www.yell.com/biz/sw9-vapes-london-9756375/</t>
        </is>
      </c>
    </row>
    <row r="319">
      <c r="A319" s="10" t="inlineStr">
        <is>
          <t>UK-000275</t>
        </is>
      </c>
      <c r="B319" s="10" t="inlineStr">
        <is>
          <t>UK-000275-01</t>
        </is>
      </c>
      <c r="C319" s="10" t="inlineStr"/>
      <c r="D319" s="10" t="inlineStr">
        <is>
          <t>Sako Polish Shop Doncaster</t>
        </is>
      </c>
      <c r="E319" s="10" t="inlineStr">
        <is>
          <t>Independent Supermarket</t>
        </is>
      </c>
      <c r="F319" s="10" t="inlineStr">
        <is>
          <t>Polish / European grocery store</t>
        </is>
      </c>
      <c r="G319" s="10" t="inlineStr">
        <is>
          <t>Independent</t>
        </is>
      </c>
      <c r="H319" s="10" t="inlineStr">
        <is>
          <t>1</t>
        </is>
      </c>
      <c r="I319" s="10" t="inlineStr">
        <is>
          <t>40 Duke Street</t>
        </is>
      </c>
      <c r="J319" s="10" t="inlineStr">
        <is>
          <t>Doncaster</t>
        </is>
      </c>
      <c r="K319" s="10" t="inlineStr"/>
      <c r="L319" s="10" t="inlineStr"/>
      <c r="M319" s="10" t="inlineStr"/>
      <c r="N319" s="10" t="inlineStr"/>
      <c r="O319" s="10" t="inlineStr">
        <is>
          <t>https://sakomarket.com/</t>
        </is>
      </c>
      <c r="P319" s="10" t="inlineStr"/>
      <c r="Q319" s="10" t="inlineStr"/>
      <c r="R319" s="10" t="inlineStr"/>
      <c r="S319" s="10" t="inlineStr"/>
      <c r="T319" s="10" t="inlineStr"/>
      <c r="U319" s="10" t="inlineStr"/>
      <c r="V319" s="10" t="inlineStr">
        <is>
          <t>Medium</t>
        </is>
      </c>
      <c r="W319" s="10" t="inlineStr">
        <is>
          <t>Independent retailer; Relevant category; Active website</t>
        </is>
      </c>
      <c r="X319" s="10" t="inlineStr">
        <is>
          <t>Not Found</t>
        </is>
      </c>
      <c r="Y319" s="10" t="inlineStr">
        <is>
          <t>Website Found</t>
        </is>
      </c>
      <c r="Z319" s="10" t="inlineStr">
        <is>
          <t>Low</t>
        </is>
      </c>
      <c r="AA319" s="10" t="inlineStr">
        <is>
          <t>Requires Verification</t>
        </is>
      </c>
      <c r="AB319" s="10" t="inlineStr">
        <is>
          <t>https://bippermedia.com/uk/st/england/south-yorkshire/doncaster/grocery-store/sako-polish-shop-doncaster-doncaster/</t>
        </is>
      </c>
    </row>
    <row r="320">
      <c r="A320" s="5" t="inlineStr">
        <is>
          <t>UK-000653</t>
        </is>
      </c>
      <c r="B320" s="5" t="inlineStr">
        <is>
          <t>UK-000653-01</t>
        </is>
      </c>
      <c r="C320" s="5" t="inlineStr"/>
      <c r="D320" s="5" t="inlineStr">
        <is>
          <t>Salon Wine Store</t>
        </is>
      </c>
      <c r="E320" s="5" t="inlineStr">
        <is>
          <t>Off-Licence</t>
        </is>
      </c>
      <c r="F320" s="5" t="inlineStr"/>
      <c r="G320" s="5" t="inlineStr">
        <is>
          <t>Independent</t>
        </is>
      </c>
      <c r="H320" s="5" t="inlineStr">
        <is>
          <t>1</t>
        </is>
      </c>
      <c r="I320" s="5" t="inlineStr">
        <is>
          <t>79 Atlantic Road</t>
        </is>
      </c>
      <c r="J320" s="5" t="inlineStr">
        <is>
          <t>London</t>
        </is>
      </c>
      <c r="K320" s="5" t="inlineStr">
        <is>
          <t>SW9 8PU</t>
        </is>
      </c>
      <c r="L320" s="5" t="inlineStr"/>
      <c r="M320" s="5" t="inlineStr"/>
      <c r="N320" s="5" t="inlineStr"/>
      <c r="O320" s="5" t="inlineStr"/>
      <c r="P320" s="5" t="inlineStr"/>
      <c r="Q320" s="5" t="inlineStr"/>
      <c r="R320" s="5" t="inlineStr"/>
      <c r="S320" s="5" t="inlineStr"/>
      <c r="T320" s="5" t="inlineStr"/>
      <c r="U320" s="5" t="inlineStr"/>
      <c r="V320" s="5" t="inlineStr">
        <is>
          <t>Low</t>
        </is>
      </c>
      <c r="W320" s="5" t="inlineStr">
        <is>
          <t>Independent retailer; Relevant category</t>
        </is>
      </c>
      <c r="X320" s="5" t="inlineStr">
        <is>
          <t>Not Found</t>
        </is>
      </c>
      <c r="Y320" s="5" t="inlineStr">
        <is>
          <t>Not Found</t>
        </is>
      </c>
      <c r="Z320" s="5" t="inlineStr">
        <is>
          <t>Low</t>
        </is>
      </c>
      <c r="AA320" s="5" t="inlineStr">
        <is>
          <t>Requires Verification</t>
        </is>
      </c>
      <c r="AB320" s="5" t="inlineStr">
        <is>
          <t>https://www.yell.com/s/off+licences-sw9.html</t>
        </is>
      </c>
    </row>
    <row r="321">
      <c r="A321" s="10" t="inlineStr">
        <is>
          <t>UK-000654</t>
        </is>
      </c>
      <c r="B321" s="10" t="inlineStr">
        <is>
          <t>UK-000654-01</t>
        </is>
      </c>
      <c r="C321" s="10" t="inlineStr"/>
      <c r="D321" s="10" t="inlineStr">
        <is>
          <t>Sameer Bazaar Cash &amp; Carry</t>
        </is>
      </c>
      <c r="E321" s="10" t="inlineStr">
        <is>
          <t>Cash &amp; Carry</t>
        </is>
      </c>
      <c r="F321" s="10" t="inlineStr">
        <is>
          <t>Wholesale cash &amp; carry / world foods</t>
        </is>
      </c>
      <c r="G321" s="10" t="inlineStr">
        <is>
          <t>Independent</t>
        </is>
      </c>
      <c r="H321" s="10" t="inlineStr">
        <is>
          <t>1</t>
        </is>
      </c>
      <c r="I321" s="10" t="inlineStr">
        <is>
          <t>354-356 Green Street</t>
        </is>
      </c>
      <c r="J321" s="10" t="inlineStr">
        <is>
          <t>Upton Park</t>
        </is>
      </c>
      <c r="K321" s="10" t="inlineStr">
        <is>
          <t>E13 9AP</t>
        </is>
      </c>
      <c r="L321" s="10" t="inlineStr"/>
      <c r="M321" s="10" t="inlineStr"/>
      <c r="N321" s="10" t="inlineStr"/>
      <c r="O321" s="10" t="inlineStr"/>
      <c r="P321" s="10" t="inlineStr"/>
      <c r="Q321" s="10" t="inlineStr"/>
      <c r="R321" s="10" t="inlineStr"/>
      <c r="S321" s="10" t="inlineStr"/>
      <c r="T321" s="10" t="inlineStr"/>
      <c r="U321" s="10" t="inlineStr"/>
      <c r="V321" s="10" t="inlineStr">
        <is>
          <t>Medium</t>
        </is>
      </c>
      <c r="W321" s="10" t="inlineStr">
        <is>
          <t>Independent retailer; Core relevant category</t>
        </is>
      </c>
      <c r="X321" s="10" t="inlineStr">
        <is>
          <t>Not Found</t>
        </is>
      </c>
      <c r="Y321" s="10" t="inlineStr">
        <is>
          <t>Not Found</t>
        </is>
      </c>
      <c r="Z321" s="10" t="inlineStr">
        <is>
          <t>Low</t>
        </is>
      </c>
      <c r="AA321" s="10" t="inlineStr">
        <is>
          <t>Requires Verification</t>
        </is>
      </c>
      <c r="AB321" s="10" t="inlineStr">
        <is>
          <t>https://london.cylex-uk.co.uk/upton-park/grocery%20stores.html</t>
        </is>
      </c>
    </row>
    <row r="322">
      <c r="A322" s="5" t="inlineStr">
        <is>
          <t>UK-000509</t>
        </is>
      </c>
      <c r="B322" s="5" t="inlineStr">
        <is>
          <t>UK-000509-01</t>
        </is>
      </c>
      <c r="C322" s="5" t="inlineStr"/>
      <c r="D322" s="5" t="inlineStr">
        <is>
          <t>Samis Wholesale Cash &amp; Carry</t>
        </is>
      </c>
      <c r="E322" s="5" t="inlineStr">
        <is>
          <t>Cash &amp; Carry</t>
        </is>
      </c>
      <c r="F322" s="5" t="inlineStr">
        <is>
          <t>Wholesale cash &amp; carry</t>
        </is>
      </c>
      <c r="G322" s="5" t="inlineStr">
        <is>
          <t>Independent</t>
        </is>
      </c>
      <c r="H322" s="5" t="inlineStr">
        <is>
          <t>1</t>
        </is>
      </c>
      <c r="I322" s="5" t="inlineStr">
        <is>
          <t>82-89 Cecil Street</t>
        </is>
      </c>
      <c r="J322" s="5" t="inlineStr">
        <is>
          <t>Birmingham</t>
        </is>
      </c>
      <c r="K322" s="5" t="inlineStr">
        <is>
          <t>B19 3SU</t>
        </is>
      </c>
      <c r="L322" s="5" t="inlineStr"/>
      <c r="M322" s="5" t="inlineStr"/>
      <c r="N322" s="5" t="inlineStr"/>
      <c r="O322" s="5" t="inlineStr"/>
      <c r="P322" s="5" t="inlineStr"/>
      <c r="Q322" s="5" t="inlineStr"/>
      <c r="R322" s="5" t="inlineStr"/>
      <c r="S322" s="5" t="inlineStr"/>
      <c r="T322" s="5" t="inlineStr"/>
      <c r="U322" s="5" t="inlineStr"/>
      <c r="V322" s="5" t="inlineStr">
        <is>
          <t>Medium</t>
        </is>
      </c>
      <c r="W322" s="5" t="inlineStr">
        <is>
          <t>Independent retailer; Core relevant category</t>
        </is>
      </c>
      <c r="X322" s="5" t="inlineStr">
        <is>
          <t>Not Found</t>
        </is>
      </c>
      <c r="Y322" s="5" t="inlineStr">
        <is>
          <t>Not Found</t>
        </is>
      </c>
      <c r="Z322" s="5" t="inlineStr">
        <is>
          <t>Low</t>
        </is>
      </c>
      <c r="AA322" s="5" t="inlineStr">
        <is>
          <t>Requires Verification</t>
        </is>
      </c>
      <c r="AB322" s="5" t="inlineStr">
        <is>
          <t>https://www.192.com/atoz/business/birmingham-b19/cash-and-carry-wholesalers/samis-wholesale-cash-carry/6080ff65ef1c18fecbf50d53bfba449b89d2db3f/ml/</t>
        </is>
      </c>
    </row>
    <row r="323">
      <c r="A323" s="10" t="inlineStr">
        <is>
          <t>UK-000512</t>
        </is>
      </c>
      <c r="B323" s="10" t="inlineStr">
        <is>
          <t>UK-000512-01</t>
        </is>
      </c>
      <c r="C323" s="10" t="inlineStr"/>
      <c r="D323" s="10" t="inlineStr">
        <is>
          <t>Savers Express</t>
        </is>
      </c>
      <c r="E323" s="10" t="inlineStr">
        <is>
          <t>Convenience Store</t>
        </is>
      </c>
      <c r="F323" s="10" t="inlineStr">
        <is>
          <t>Convenience store &amp; off-licence</t>
        </is>
      </c>
      <c r="G323" s="10" t="inlineStr">
        <is>
          <t>Independent</t>
        </is>
      </c>
      <c r="H323" s="10" t="inlineStr">
        <is>
          <t>1</t>
        </is>
      </c>
      <c r="I323" s="10" t="inlineStr"/>
      <c r="J323" s="10" t="inlineStr">
        <is>
          <t>Cradley Heath</t>
        </is>
      </c>
      <c r="K323" s="10" t="inlineStr"/>
      <c r="L323" s="10" t="inlineStr"/>
      <c r="M323" s="10" t="inlineStr"/>
      <c r="N323" s="10" t="inlineStr"/>
      <c r="O323" s="10" t="inlineStr"/>
      <c r="P323" s="10" t="inlineStr"/>
      <c r="Q323" s="10" t="inlineStr"/>
      <c r="R323" s="10" t="inlineStr"/>
      <c r="S323" s="10" t="inlineStr"/>
      <c r="T323" s="10" t="inlineStr"/>
      <c r="U323" s="10" t="inlineStr"/>
      <c r="V323" s="10" t="inlineStr">
        <is>
          <t>Low</t>
        </is>
      </c>
      <c r="W323" s="10" t="inlineStr">
        <is>
          <t>Independent retailer; Relevant category</t>
        </is>
      </c>
      <c r="X323" s="10" t="inlineStr">
        <is>
          <t>Not Found</t>
        </is>
      </c>
      <c r="Y323" s="10" t="inlineStr">
        <is>
          <t>Not Found</t>
        </is>
      </c>
      <c r="Z323" s="10" t="inlineStr">
        <is>
          <t>Low</t>
        </is>
      </c>
      <c r="AA323" s="10" t="inlineStr">
        <is>
          <t>Requires Verification</t>
        </is>
      </c>
      <c r="AB323" s="10" t="inlineStr">
        <is>
          <t>https://cradley-heath.cylex-uk.co.uk/company/savers-express-19840611.html</t>
        </is>
      </c>
    </row>
    <row r="324">
      <c r="A324" s="5" t="inlineStr">
        <is>
          <t>UK-000513</t>
        </is>
      </c>
      <c r="B324" s="5" t="inlineStr">
        <is>
          <t>UK-000513-01</t>
        </is>
      </c>
      <c r="C324" s="5" t="inlineStr"/>
      <c r="D324" s="5" t="inlineStr">
        <is>
          <t>Sekhon Supermarket Ltd</t>
        </is>
      </c>
      <c r="E324" s="5" t="inlineStr">
        <is>
          <t>Independent Supermarket</t>
        </is>
      </c>
      <c r="F324" s="5" t="inlineStr">
        <is>
          <t>Asian / international grocery</t>
        </is>
      </c>
      <c r="G324" s="5" t="inlineStr">
        <is>
          <t>Independent</t>
        </is>
      </c>
      <c r="H324" s="5" t="inlineStr">
        <is>
          <t>1</t>
        </is>
      </c>
      <c r="I324" s="5" t="inlineStr">
        <is>
          <t>67 Lowe Street</t>
        </is>
      </c>
      <c r="J324" s="5" t="inlineStr">
        <is>
          <t>Wolverhampton</t>
        </is>
      </c>
      <c r="K324" s="5" t="inlineStr">
        <is>
          <t>WV6 0QG</t>
        </is>
      </c>
      <c r="L324" s="5" t="inlineStr"/>
      <c r="M324" s="5" t="inlineStr"/>
      <c r="N324" s="5" t="inlineStr"/>
      <c r="O324" s="5" t="inlineStr"/>
      <c r="P324" s="5" t="inlineStr"/>
      <c r="Q324" s="5" t="inlineStr"/>
      <c r="R324" s="5" t="inlineStr"/>
      <c r="S324" s="5" t="inlineStr"/>
      <c r="T324" s="5" t="inlineStr"/>
      <c r="U324" s="5" t="inlineStr"/>
      <c r="V324" s="5" t="inlineStr">
        <is>
          <t>Low</t>
        </is>
      </c>
      <c r="W324" s="5" t="inlineStr">
        <is>
          <t>Independent retailer; Relevant category</t>
        </is>
      </c>
      <c r="X324" s="5" t="inlineStr">
        <is>
          <t>Not Found</t>
        </is>
      </c>
      <c r="Y324" s="5" t="inlineStr">
        <is>
          <t>Not Found</t>
        </is>
      </c>
      <c r="Z324" s="5" t="inlineStr">
        <is>
          <t>Low</t>
        </is>
      </c>
      <c r="AA324" s="5" t="inlineStr">
        <is>
          <t>Requires Verification</t>
        </is>
      </c>
      <c r="AB324" s="5" t="inlineStr">
        <is>
          <t>https://www.wolverhampton.co.uk/supermarkets/</t>
        </is>
      </c>
    </row>
    <row r="325">
      <c r="A325" s="10" t="inlineStr">
        <is>
          <t>UK-000514</t>
        </is>
      </c>
      <c r="B325" s="10" t="inlineStr">
        <is>
          <t>UK-000514-01</t>
        </is>
      </c>
      <c r="C325" s="10" t="inlineStr"/>
      <c r="D325" s="10" t="inlineStr">
        <is>
          <t>Shade E-Vaping</t>
        </is>
      </c>
      <c r="E325" s="10" t="inlineStr">
        <is>
          <t>Vape Shop</t>
        </is>
      </c>
      <c r="F325" s="10" t="inlineStr">
        <is>
          <t>Vape kits, e-liquids &amp; accessories</t>
        </is>
      </c>
      <c r="G325" s="10" t="inlineStr">
        <is>
          <t>Independent</t>
        </is>
      </c>
      <c r="H325" s="10" t="inlineStr">
        <is>
          <t>1</t>
        </is>
      </c>
      <c r="I325" s="10" t="inlineStr">
        <is>
          <t>31 King Street</t>
        </is>
      </c>
      <c r="J325" s="10" t="inlineStr">
        <is>
          <t>Dudley</t>
        </is>
      </c>
      <c r="K325" s="10" t="inlineStr">
        <is>
          <t>DY2 8NY</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https://www.yelp.com/search?cflt=vapeshops&amp;find_loc=Dudley%2C+West+Midlands</t>
        </is>
      </c>
    </row>
    <row r="326">
      <c r="A326" s="5" t="inlineStr">
        <is>
          <t>WY-0146</t>
        </is>
      </c>
      <c r="B326" s="5" t="inlineStr">
        <is>
          <t>WY-0146-01</t>
        </is>
      </c>
      <c r="C326" s="5" t="inlineStr"/>
      <c r="D326" s="5" t="inlineStr">
        <is>
          <t>Sheepridge Off Licence</t>
        </is>
      </c>
      <c r="E326" s="5" t="inlineStr">
        <is>
          <t>Off-Licence</t>
        </is>
      </c>
      <c r="F326" s="5" t="inlineStr">
        <is>
          <t>Off-licence and convenience store</t>
        </is>
      </c>
      <c r="G326" s="5" t="inlineStr">
        <is>
          <t>Independent</t>
        </is>
      </c>
      <c r="H326" s="5" t="inlineStr">
        <is>
          <t>1</t>
        </is>
      </c>
      <c r="I326" s="5" t="inlineStr">
        <is>
          <t>73 Lawrence Road</t>
        </is>
      </c>
      <c r="J326" s="5" t="inlineStr">
        <is>
          <t>Huddersfield</t>
        </is>
      </c>
      <c r="K326" s="5" t="inlineStr">
        <is>
          <t>HD1 4LW</t>
        </is>
      </c>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https://www.192.com/atoz/business/huddersfield-hd1/convenience-stores/sheepridge-off-licence-limited/bfc32af555a5eed742b2bfb4d8a2acd75ab80d62/comp/</t>
        </is>
      </c>
    </row>
    <row r="327">
      <c r="A327" s="10" t="inlineStr">
        <is>
          <t>UK-000381</t>
        </is>
      </c>
      <c r="B327" s="10" t="inlineStr">
        <is>
          <t>UK-000381-01</t>
        </is>
      </c>
      <c r="C327" s="10" t="inlineStr"/>
      <c r="D327" s="10" t="inlineStr">
        <is>
          <t>Shisha Club UK</t>
        </is>
      </c>
      <c r="E327" s="10" t="inlineStr">
        <is>
          <t>Smoke / Shisha Shop</t>
        </is>
      </c>
      <c r="F327" s="10" t="inlineStr">
        <is>
          <t>Shisha products retailer</t>
        </is>
      </c>
      <c r="G327" s="10" t="inlineStr">
        <is>
          <t>Independent</t>
        </is>
      </c>
      <c r="H327" s="10" t="inlineStr">
        <is>
          <t>1</t>
        </is>
      </c>
      <c r="I327" s="10" t="inlineStr">
        <is>
          <t>253 Featherstall Road</t>
        </is>
      </c>
      <c r="J327" s="10" t="inlineStr">
        <is>
          <t>Oldham</t>
        </is>
      </c>
      <c r="K327" s="10" t="inlineStr">
        <is>
          <t>OL1 2NJ</t>
        </is>
      </c>
      <c r="L327" s="10" t="inlineStr"/>
      <c r="M327" s="10" t="inlineStr"/>
      <c r="N327" s="10" t="inlineStr"/>
      <c r="O327" s="10" t="inlineStr">
        <is>
          <t>https://shisha-club-uk.ueniweb.com/</t>
        </is>
      </c>
      <c r="P327" s="10" t="inlineStr"/>
      <c r="Q327" s="10" t="inlineStr"/>
      <c r="R327" s="10" t="inlineStr"/>
      <c r="S327" s="10" t="inlineStr"/>
      <c r="T327" s="10" t="inlineStr"/>
      <c r="U327" s="10" t="inlineStr"/>
      <c r="V327" s="10" t="inlineStr">
        <is>
          <t>Medium</t>
        </is>
      </c>
      <c r="W327" s="10" t="inlineStr">
        <is>
          <t>Independent retailer; Core relevant category; Active website</t>
        </is>
      </c>
      <c r="X327" s="10" t="inlineStr">
        <is>
          <t>Not Found</t>
        </is>
      </c>
      <c r="Y327" s="10" t="inlineStr">
        <is>
          <t>Website Found</t>
        </is>
      </c>
      <c r="Z327" s="10" t="inlineStr">
        <is>
          <t>Low</t>
        </is>
      </c>
      <c r="AA327" s="10" t="inlineStr">
        <is>
          <t>Requires Verification</t>
        </is>
      </c>
      <c r="AB327" s="10" t="inlineStr">
        <is>
          <t>https://shisha-club-uk.ueniweb.com/</t>
        </is>
      </c>
    </row>
    <row r="328">
      <c r="A328" s="5" t="inlineStr">
        <is>
          <t>WY-0147</t>
        </is>
      </c>
      <c r="B328" s="5" t="inlineStr">
        <is>
          <t>WY-0147-01</t>
        </is>
      </c>
      <c r="C328" s="5" t="inlineStr"/>
      <c r="D328" s="5" t="inlineStr">
        <is>
          <t>Shoesmiths Tobacconist</t>
        </is>
      </c>
      <c r="E328" s="5" t="inlineStr">
        <is>
          <t>Tobacco Specialist</t>
        </is>
      </c>
      <c r="F328" s="5" t="inlineStr">
        <is>
          <t>Traditional tobacconist and cigar shop</t>
        </is>
      </c>
      <c r="G328" s="5" t="inlineStr">
        <is>
          <t>Independent</t>
        </is>
      </c>
      <c r="H328" s="5" t="inlineStr">
        <is>
          <t>1</t>
        </is>
      </c>
      <c r="I328" s="5" t="inlineStr">
        <is>
          <t>65 Commercial Street</t>
        </is>
      </c>
      <c r="J328" s="5" t="inlineStr">
        <is>
          <t>Halifax</t>
        </is>
      </c>
      <c r="K328" s="5" t="inlineStr">
        <is>
          <t>HX1 1BE</t>
        </is>
      </c>
      <c r="L328" s="5" t="inlineStr"/>
      <c r="M328" s="5" t="inlineStr"/>
      <c r="N328" s="5" t="inlineStr"/>
      <c r="O328" s="5" t="inlineStr"/>
      <c r="P328" s="5" t="inlineStr">
        <is>
          <t>https://www.facebook.com/shoesmiths/</t>
        </is>
      </c>
      <c r="Q328" s="5" t="inlineStr"/>
      <c r="R328" s="5" t="inlineStr"/>
      <c r="S328" s="5" t="inlineStr"/>
      <c r="T328" s="5" t="inlineStr"/>
      <c r="U328" s="5" t="inlineStr"/>
      <c r="V328" s="5" t="inlineStr">
        <is>
          <t>Medium</t>
        </is>
      </c>
      <c r="W328" s="5" t="inlineStr">
        <is>
          <t>Independent retailer; Core relevant category; Social presence</t>
        </is>
      </c>
      <c r="X328" s="5" t="inlineStr">
        <is>
          <t>Not Found</t>
        </is>
      </c>
      <c r="Y328" s="5" t="inlineStr">
        <is>
          <t>Not Found</t>
        </is>
      </c>
      <c r="Z328" s="5" t="inlineStr">
        <is>
          <t>Medium</t>
        </is>
      </c>
      <c r="AA328" s="5" t="inlineStr">
        <is>
          <t>Requires Verification</t>
        </is>
      </c>
      <c r="AB328" s="5" t="inlineStr">
        <is>
          <t>https://www.facebook.com/shoesmiths/</t>
        </is>
      </c>
    </row>
    <row r="329">
      <c r="A329" s="10" t="inlineStr">
        <is>
          <t>UK-000657</t>
        </is>
      </c>
      <c r="B329" s="10" t="inlineStr">
        <is>
          <t>UK-000657-01</t>
        </is>
      </c>
      <c r="C329" s="10" t="inlineStr"/>
      <c r="D329" s="10" t="inlineStr">
        <is>
          <t>Silverpoint Cash &amp; Carry Ltd</t>
        </is>
      </c>
      <c r="E329" s="10" t="inlineStr">
        <is>
          <t>Cash &amp; Carry</t>
        </is>
      </c>
      <c r="F329" s="10" t="inlineStr">
        <is>
          <t>Wholesale cash &amp; carry</t>
        </is>
      </c>
      <c r="G329" s="10" t="inlineStr">
        <is>
          <t>Independent</t>
        </is>
      </c>
      <c r="H329" s="10" t="inlineStr">
        <is>
          <t>1</t>
        </is>
      </c>
      <c r="I329" s="10" t="inlineStr">
        <is>
          <t>370a-370d Romford Road</t>
        </is>
      </c>
      <c r="J329" s="10" t="inlineStr">
        <is>
          <t>Forest Gate</t>
        </is>
      </c>
      <c r="K329" s="10" t="inlineStr">
        <is>
          <t>E7 8BF</t>
        </is>
      </c>
      <c r="L329" s="10" t="inlineStr"/>
      <c r="M329" s="10" t="inlineStr"/>
      <c r="N329" s="10" t="inlineStr"/>
      <c r="O329" s="10" t="inlineStr"/>
      <c r="P329" s="10" t="inlineStr"/>
      <c r="Q329" s="10" t="inlineStr"/>
      <c r="R329" s="10" t="inlineStr"/>
      <c r="S329" s="10" t="inlineStr"/>
      <c r="T329" s="10" t="inlineStr"/>
      <c r="U329" s="10" t="inlineStr"/>
      <c r="V329" s="10" t="inlineStr">
        <is>
          <t>Medium</t>
        </is>
      </c>
      <c r="W329" s="10" t="inlineStr">
        <is>
          <t>Independent retailer; Core relevant category</t>
        </is>
      </c>
      <c r="X329" s="10" t="inlineStr">
        <is>
          <t>Not Found</t>
        </is>
      </c>
      <c r="Y329" s="10" t="inlineStr">
        <is>
          <t>Not Found</t>
        </is>
      </c>
      <c r="Z329" s="10" t="inlineStr">
        <is>
          <t>Low</t>
        </is>
      </c>
      <c r="AA329" s="10" t="inlineStr">
        <is>
          <t>Requires Verification</t>
        </is>
      </c>
      <c r="AB329" s="10" t="inlineStr">
        <is>
          <t>https://www.yell.com/s/cash+and+carry-london+borough+of+newham.html</t>
        </is>
      </c>
    </row>
    <row r="330">
      <c r="A330" s="5" t="inlineStr">
        <is>
          <t>UK-000812</t>
        </is>
      </c>
      <c r="B330" s="5" t="inlineStr">
        <is>
          <t>UK-000812-01</t>
        </is>
      </c>
      <c r="C330" s="5" t="inlineStr"/>
      <c r="D330" s="5" t="inlineStr">
        <is>
          <t>Simply Vape</t>
        </is>
      </c>
      <c r="E330" s="5" t="inlineStr">
        <is>
          <t>Vape Shop</t>
        </is>
      </c>
      <c r="F330" s="5" t="inlineStr">
        <is>
          <t>Vape &amp; e-liquid retailer</t>
        </is>
      </c>
      <c r="G330" s="5" t="inlineStr">
        <is>
          <t>Independent</t>
        </is>
      </c>
      <c r="H330" s="5" t="inlineStr">
        <is>
          <t>1</t>
        </is>
      </c>
      <c r="I330" s="5" t="inlineStr">
        <is>
          <t>The Esplanade</t>
        </is>
      </c>
      <c r="J330" s="5" t="inlineStr">
        <is>
          <t>Bootle</t>
        </is>
      </c>
      <c r="K330" s="5" t="inlineStr">
        <is>
          <t>L20 4SX</t>
        </is>
      </c>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Not Found</t>
        </is>
      </c>
      <c r="Y330" s="5" t="inlineStr">
        <is>
          <t>Not Found</t>
        </is>
      </c>
      <c r="Z330" s="5" t="inlineStr">
        <is>
          <t>Low</t>
        </is>
      </c>
      <c r="AA330" s="5" t="inlineStr">
        <is>
          <t>Requires Verification</t>
        </is>
      </c>
      <c r="AB330" s="5" t="inlineStr">
        <is>
          <t>https://www.yell.com/biz/simply-vape-bootle-9726011/</t>
        </is>
      </c>
    </row>
    <row r="331">
      <c r="A331" s="10" t="inlineStr">
        <is>
          <t>UK-000658</t>
        </is>
      </c>
      <c r="B331" s="10" t="inlineStr">
        <is>
          <t>UK-000658-01</t>
        </is>
      </c>
      <c r="C331" s="10" t="inlineStr"/>
      <c r="D331" s="10" t="inlineStr">
        <is>
          <t>Single Tree Foods Ltd</t>
        </is>
      </c>
      <c r="E331" s="10" t="inlineStr">
        <is>
          <t>Convenience Store</t>
        </is>
      </c>
      <c r="F331" s="10" t="inlineStr">
        <is>
          <t>Convenience &amp; grocery</t>
        </is>
      </c>
      <c r="G331" s="10" t="inlineStr">
        <is>
          <t>Independent</t>
        </is>
      </c>
      <c r="H331" s="10" t="inlineStr">
        <is>
          <t>1</t>
        </is>
      </c>
      <c r="I331" s="10" t="inlineStr">
        <is>
          <t>283 Brettenham Road</t>
        </is>
      </c>
      <c r="J331" s="10" t="inlineStr">
        <is>
          <t>Edmonton</t>
        </is>
      </c>
      <c r="K331" s="10" t="inlineStr">
        <is>
          <t>N18 2HF</t>
        </is>
      </c>
      <c r="L331" s="10" t="inlineStr"/>
      <c r="M331" s="10" t="inlineStr"/>
      <c r="N331" s="10" t="inlineStr"/>
      <c r="O331" s="10" t="inlineStr"/>
      <c r="P331" s="10" t="inlineStr"/>
      <c r="Q331" s="10" t="inlineStr"/>
      <c r="R331" s="10" t="inlineStr"/>
      <c r="S331" s="10" t="inlineStr"/>
      <c r="T331" s="10" t="inlineStr"/>
      <c r="U331" s="10" t="inlineStr"/>
      <c r="V331" s="10" t="inlineStr">
        <is>
          <t>Low</t>
        </is>
      </c>
      <c r="W331" s="10" t="inlineStr">
        <is>
          <t>Independent retailer; Relevant category</t>
        </is>
      </c>
      <c r="X331" s="10" t="inlineStr">
        <is>
          <t>Not Found</t>
        </is>
      </c>
      <c r="Y331" s="10" t="inlineStr">
        <is>
          <t>Not Found</t>
        </is>
      </c>
      <c r="Z331" s="10" t="inlineStr">
        <is>
          <t>Low</t>
        </is>
      </c>
      <c r="AA331" s="10" t="inlineStr">
        <is>
          <t>Requires Verification</t>
        </is>
      </c>
      <c r="AB331" s="10" t="inlineStr">
        <is>
          <t>https://www.192.com/atoz/business/enfield/convenience--stores/</t>
        </is>
      </c>
    </row>
    <row r="332">
      <c r="A332" s="5" t="inlineStr">
        <is>
          <t>UK-000278</t>
        </is>
      </c>
      <c r="B332" s="5" t="inlineStr">
        <is>
          <t>UK-000278-01</t>
        </is>
      </c>
      <c r="C332" s="5" t="inlineStr"/>
      <c r="D332" s="5" t="inlineStr">
        <is>
          <t>Smoke Free Skipton</t>
        </is>
      </c>
      <c r="E332" s="5" t="inlineStr">
        <is>
          <t>Vape Shop</t>
        </is>
      </c>
      <c r="F332" s="5" t="inlineStr">
        <is>
          <t>E-cigarette &amp; e-liquid shop</t>
        </is>
      </c>
      <c r="G332" s="5" t="inlineStr">
        <is>
          <t>Independent</t>
        </is>
      </c>
      <c r="H332" s="5" t="inlineStr">
        <is>
          <t>1</t>
        </is>
      </c>
      <c r="I332" s="5" t="inlineStr">
        <is>
          <t>19 Water Street</t>
        </is>
      </c>
      <c r="J332" s="5" t="inlineStr">
        <is>
          <t>Skipton</t>
        </is>
      </c>
      <c r="K332" s="5" t="inlineStr">
        <is>
          <t>BD23 1PQ</t>
        </is>
      </c>
      <c r="L332" s="5" t="inlineStr"/>
      <c r="M332" s="5" t="inlineStr"/>
      <c r="N332" s="5" t="inlineStr"/>
      <c r="O332" s="5" t="inlineStr"/>
      <c r="P332" s="5" t="inlineStr"/>
      <c r="Q332" s="5" t="inlineStr"/>
      <c r="R332" s="5" t="inlineStr"/>
      <c r="S332" s="5" t="inlineStr"/>
      <c r="T332" s="5" t="inlineStr"/>
      <c r="U332" s="5" t="inlineStr"/>
      <c r="V332" s="5" t="inlineStr">
        <is>
          <t>Medium</t>
        </is>
      </c>
      <c r="W332" s="5" t="inlineStr">
        <is>
          <t>Independent retailer; Core relevant category</t>
        </is>
      </c>
      <c r="X332" s="5" t="inlineStr">
        <is>
          <t>Not Found</t>
        </is>
      </c>
      <c r="Y332" s="5" t="inlineStr">
        <is>
          <t>Not Found</t>
        </is>
      </c>
      <c r="Z332" s="5" t="inlineStr">
        <is>
          <t>Low</t>
        </is>
      </c>
      <c r="AA332" s="5" t="inlineStr">
        <is>
          <t>Requires Verification</t>
        </is>
      </c>
      <c r="AB332" s="5" t="inlineStr">
        <is>
          <t>https://ecigdirectory.co.uk/vape-shop/listing/smoke-free-skipton</t>
        </is>
      </c>
    </row>
    <row r="333">
      <c r="A333" s="10" t="inlineStr">
        <is>
          <t>UK-000659</t>
        </is>
      </c>
      <c r="B333" s="10" t="inlineStr">
        <is>
          <t>UK-000659-01</t>
        </is>
      </c>
      <c r="C333" s="10" t="inlineStr"/>
      <c r="D333" s="10" t="inlineStr">
        <is>
          <t>Smoke n Shisha</t>
        </is>
      </c>
      <c r="E333" s="10" t="inlineStr">
        <is>
          <t>Smoke / Shisha Shop</t>
        </is>
      </c>
      <c r="F333" s="10" t="inlineStr">
        <is>
          <t>Shisha &amp; tobacco retailer</t>
        </is>
      </c>
      <c r="G333" s="10" t="inlineStr">
        <is>
          <t>Independent</t>
        </is>
      </c>
      <c r="H333" s="10" t="inlineStr">
        <is>
          <t>1</t>
        </is>
      </c>
      <c r="I333" s="10" t="inlineStr">
        <is>
          <t>93a Praed Street</t>
        </is>
      </c>
      <c r="J333" s="10" t="inlineStr">
        <is>
          <t>London</t>
        </is>
      </c>
      <c r="K333" s="10" t="inlineStr">
        <is>
          <t>W2 1NT</t>
        </is>
      </c>
      <c r="L333" s="10" t="inlineStr"/>
      <c r="M333" s="10" t="inlineStr"/>
      <c r="N333" s="10" t="inlineStr"/>
      <c r="O333" s="10" t="inlineStr"/>
      <c r="P333" s="10" t="inlineStr"/>
      <c r="Q333" s="10" t="inlineStr"/>
      <c r="R333" s="10" t="inlineStr"/>
      <c r="S333" s="10" t="inlineStr"/>
      <c r="T333" s="10" t="inlineStr"/>
      <c r="U333" s="10" t="inlineStr"/>
      <c r="V333" s="10" t="inlineStr">
        <is>
          <t>Medium</t>
        </is>
      </c>
      <c r="W333" s="10" t="inlineStr">
        <is>
          <t>Independent retailer; Core relevant category</t>
        </is>
      </c>
      <c r="X333" s="10" t="inlineStr">
        <is>
          <t>Not Found</t>
        </is>
      </c>
      <c r="Y333" s="10" t="inlineStr">
        <is>
          <t>Not Found</t>
        </is>
      </c>
      <c r="Z333" s="10" t="inlineStr">
        <is>
          <t>Low</t>
        </is>
      </c>
      <c r="AA333" s="10" t="inlineStr">
        <is>
          <t>Requires Verification</t>
        </is>
      </c>
      <c r="AB333" s="10" t="inlineStr">
        <is>
          <t>https://www.yell.com/s/tobacconists-praed+mews+w2+london+borough+of+westminster+london.html</t>
        </is>
      </c>
    </row>
    <row r="334">
      <c r="A334" s="5" t="inlineStr">
        <is>
          <t>WY-0149</t>
        </is>
      </c>
      <c r="B334" s="5" t="inlineStr">
        <is>
          <t>WY-0149-01</t>
        </is>
      </c>
      <c r="C334" s="5" t="inlineStr"/>
      <c r="D334" s="5" t="inlineStr">
        <is>
          <t>Smokers D'Lite</t>
        </is>
      </c>
      <c r="E334" s="5" t="inlineStr">
        <is>
          <t>Vape Shop</t>
        </is>
      </c>
      <c r="F334" s="5" t="inlineStr">
        <is>
          <t>Vape and smoking accessories</t>
        </is>
      </c>
      <c r="G334" s="5" t="inlineStr">
        <is>
          <t>Independent</t>
        </is>
      </c>
      <c r="H334" s="5" t="inlineStr">
        <is>
          <t>1</t>
        </is>
      </c>
      <c r="I334" s="5" t="inlineStr">
        <is>
          <t>20 Thorntons Arcade</t>
        </is>
      </c>
      <c r="J334" s="5" t="inlineStr">
        <is>
          <t>Leeds</t>
        </is>
      </c>
      <c r="K334" s="5" t="inlineStr">
        <is>
          <t>LS1 6LQ</t>
        </is>
      </c>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Independent retailer; Core relevant category</t>
        </is>
      </c>
      <c r="X334" s="5" t="inlineStr">
        <is>
          <t>Not Found</t>
        </is>
      </c>
      <c r="Y334" s="5" t="inlineStr">
        <is>
          <t>Not Found</t>
        </is>
      </c>
      <c r="Z334" s="5" t="inlineStr">
        <is>
          <t>Low</t>
        </is>
      </c>
      <c r="AA334" s="5" t="inlineStr">
        <is>
          <t>Requires Verification</t>
        </is>
      </c>
      <c r="AB334" s="5" t="inlineStr">
        <is>
          <t>https://ecigdirectory.co.uk/vape-shop-leeds/</t>
        </is>
      </c>
    </row>
    <row r="335">
      <c r="A335" s="10" t="inlineStr">
        <is>
          <t>UK-000815</t>
        </is>
      </c>
      <c r="B335" s="10" t="inlineStr">
        <is>
          <t>UK-000815-01</t>
        </is>
      </c>
      <c r="C335" s="10" t="inlineStr"/>
      <c r="D335" s="10" t="inlineStr">
        <is>
          <t>Sohal Licensed Grocers</t>
        </is>
      </c>
      <c r="E335" s="10" t="inlineStr">
        <is>
          <t>Off-Licence</t>
        </is>
      </c>
      <c r="F335" s="10" t="inlineStr">
        <is>
          <t>Licensed grocer / off-licence</t>
        </is>
      </c>
      <c r="G335" s="10" t="inlineStr">
        <is>
          <t>Independent</t>
        </is>
      </c>
      <c r="H335" s="10" t="inlineStr">
        <is>
          <t>1</t>
        </is>
      </c>
      <c r="I335" s="10" t="inlineStr">
        <is>
          <t>6 Balornock Road</t>
        </is>
      </c>
      <c r="J335" s="10" t="inlineStr">
        <is>
          <t>Glasgow</t>
        </is>
      </c>
      <c r="K335" s="10" t="inlineStr">
        <is>
          <t>G21 3UH</t>
        </is>
      </c>
      <c r="L335" s="10" t="inlineStr"/>
      <c r="M335" s="10" t="inlineStr"/>
      <c r="N335" s="10" t="inlineStr"/>
      <c r="O335" s="10" t="inlineStr"/>
      <c r="P335" s="10" t="inlineStr"/>
      <c r="Q335" s="10" t="inlineStr"/>
      <c r="R335" s="10" t="inlineStr"/>
      <c r="S335" s="10" t="inlineStr"/>
      <c r="T335" s="10" t="inlineStr"/>
      <c r="U335" s="10" t="inlineStr"/>
      <c r="V335" s="10" t="inlineStr">
        <is>
          <t>Low</t>
        </is>
      </c>
      <c r="W335" s="10" t="inlineStr">
        <is>
          <t>Independent retailer; Relevant category</t>
        </is>
      </c>
      <c r="X335" s="10" t="inlineStr">
        <is>
          <t>Not Found</t>
        </is>
      </c>
      <c r="Y335" s="10" t="inlineStr">
        <is>
          <t>Not Found</t>
        </is>
      </c>
      <c r="Z335" s="10" t="inlineStr">
        <is>
          <t>Low</t>
        </is>
      </c>
      <c r="AA335" s="10" t="inlineStr">
        <is>
          <t>Requires Verification</t>
        </is>
      </c>
      <c r="AB335" s="10" t="inlineStr">
        <is>
          <t>https://www.yelp.co.uk/search?find_desc=Off+Licence&amp;find_loc=Springburn%2C+Glasgow</t>
        </is>
      </c>
    </row>
    <row r="336">
      <c r="A336" s="5" t="inlineStr">
        <is>
          <t>UK-000661</t>
        </is>
      </c>
      <c r="B336" s="5" t="inlineStr">
        <is>
          <t>UK-000661-01</t>
        </is>
      </c>
      <c r="C336" s="5" t="inlineStr"/>
      <c r="D336" s="5" t="inlineStr">
        <is>
          <t>Soho Food &amp; Wine</t>
        </is>
      </c>
      <c r="E336" s="5" t="inlineStr">
        <is>
          <t>Convenience Store</t>
        </is>
      </c>
      <c r="F336" s="5" t="inlineStr">
        <is>
          <t>Convenience &amp; off-licence</t>
        </is>
      </c>
      <c r="G336" s="5" t="inlineStr">
        <is>
          <t>Independent</t>
        </is>
      </c>
      <c r="H336" s="5" t="inlineStr">
        <is>
          <t>1</t>
        </is>
      </c>
      <c r="I336" s="5" t="inlineStr"/>
      <c r="J336" s="5" t="inlineStr">
        <is>
          <t>London</t>
        </is>
      </c>
      <c r="K336" s="5" t="inlineStr"/>
      <c r="L336" s="5" t="inlineStr"/>
      <c r="M336" s="5" t="inlineStr"/>
      <c r="N336" s="5" t="inlineStr"/>
      <c r="O336" s="5" t="inlineStr"/>
      <c r="P336" s="5" t="inlineStr"/>
      <c r="Q336" s="5" t="inlineStr"/>
      <c r="R336" s="5" t="inlineStr"/>
      <c r="S336" s="5" t="inlineStr"/>
      <c r="T336" s="5" t="inlineStr"/>
      <c r="U336" s="5" t="inlineStr"/>
      <c r="V336" s="5" t="inlineStr">
        <is>
          <t>Low</t>
        </is>
      </c>
      <c r="W336" s="5" t="inlineStr">
        <is>
          <t>Independent retailer; Relevant category</t>
        </is>
      </c>
      <c r="X336" s="5" t="inlineStr">
        <is>
          <t>Not Found</t>
        </is>
      </c>
      <c r="Y336" s="5" t="inlineStr">
        <is>
          <t>Not Found</t>
        </is>
      </c>
      <c r="Z336" s="5" t="inlineStr">
        <is>
          <t>Low</t>
        </is>
      </c>
      <c r="AA336" s="5" t="inlineStr">
        <is>
          <t>Requires Verification</t>
        </is>
      </c>
      <c r="AB336" s="5" t="inlineStr">
        <is>
          <t>https://www.yell.com/biz/soho-food-and-wine-london-8165136/</t>
        </is>
      </c>
    </row>
    <row r="337">
      <c r="A337" s="10" t="inlineStr">
        <is>
          <t>WY-0151</t>
        </is>
      </c>
      <c r="B337" s="10" t="inlineStr">
        <is>
          <t>WY-0151-01</t>
        </is>
      </c>
      <c r="C337" s="10" t="inlineStr"/>
      <c r="D337" s="10" t="inlineStr">
        <is>
          <t>Soothill Convenience Store &amp; Off Licence</t>
        </is>
      </c>
      <c r="E337" s="10" t="inlineStr">
        <is>
          <t>Convenience Store</t>
        </is>
      </c>
      <c r="F337" s="10" t="inlineStr">
        <is>
          <t>Convenience store and off-licence</t>
        </is>
      </c>
      <c r="G337" s="10" t="inlineStr">
        <is>
          <t>Independent</t>
        </is>
      </c>
      <c r="H337" s="10" t="inlineStr">
        <is>
          <t>1</t>
        </is>
      </c>
      <c r="I337" s="10" t="inlineStr"/>
      <c r="J337" s="10" t="inlineStr">
        <is>
          <t>Batley</t>
        </is>
      </c>
      <c r="K337" s="10" t="inlineStr"/>
      <c r="L337" s="10" t="inlineStr"/>
      <c r="M337" s="10" t="inlineStr"/>
      <c r="N337" s="10" t="inlineStr"/>
      <c r="O337" s="10" t="inlineStr"/>
      <c r="P337" s="10" t="inlineStr"/>
      <c r="Q337" s="10" t="inlineStr"/>
      <c r="R337" s="10" t="inlineStr"/>
      <c r="S337" s="10" t="inlineStr"/>
      <c r="T337" s="10" t="inlineStr">
        <is>
          <t>11966163</t>
        </is>
      </c>
      <c r="U337" s="10" t="inlineStr"/>
      <c r="V337" s="10" t="inlineStr">
        <is>
          <t>Low</t>
        </is>
      </c>
      <c r="W337" s="10" t="inlineStr">
        <is>
          <t>Independent retailer; Relevant category</t>
        </is>
      </c>
      <c r="X337" s="10" t="inlineStr">
        <is>
          <t>Not Found</t>
        </is>
      </c>
      <c r="Y337" s="10" t="inlineStr">
        <is>
          <t>Not Found</t>
        </is>
      </c>
      <c r="Z337" s="10" t="inlineStr">
        <is>
          <t>Low</t>
        </is>
      </c>
      <c r="AA337" s="10" t="inlineStr">
        <is>
          <t>Requires Verification</t>
        </is>
      </c>
      <c r="AB337" s="10" t="inlineStr">
        <is>
          <t>https://find-and-update.company-information.service.gov.uk/company/11966163/persons-with-significant-control</t>
        </is>
      </c>
    </row>
    <row r="338">
      <c r="A338" s="5" t="inlineStr">
        <is>
          <t>UK-000817</t>
        </is>
      </c>
      <c r="B338" s="5" t="inlineStr">
        <is>
          <t>UK-000817-01</t>
        </is>
      </c>
      <c r="C338" s="5" t="inlineStr"/>
      <c r="D338" s="5" t="inlineStr">
        <is>
          <t>Southside Drinks Company</t>
        </is>
      </c>
      <c r="E338" s="5" t="inlineStr">
        <is>
          <t>Off-Licence</t>
        </is>
      </c>
      <c r="F338" s="5" t="inlineStr">
        <is>
          <t>Off-licence / wine &amp; spirits</t>
        </is>
      </c>
      <c r="G338" s="5" t="inlineStr">
        <is>
          <t>Independent</t>
        </is>
      </c>
      <c r="H338" s="5" t="inlineStr">
        <is>
          <t>1</t>
        </is>
      </c>
      <c r="I338" s="5" t="inlineStr">
        <is>
          <t>471 Victoria Road</t>
        </is>
      </c>
      <c r="J338" s="5" t="inlineStr">
        <is>
          <t>Glasgow</t>
        </is>
      </c>
      <c r="K338" s="5" t="inlineStr">
        <is>
          <t>G42 8RL</t>
        </is>
      </c>
      <c r="L338" s="5" t="inlineStr"/>
      <c r="M338" s="5" t="inlineStr"/>
      <c r="N338" s="5" t="inlineStr"/>
      <c r="O338" s="5" t="inlineStr"/>
      <c r="P338" s="5" t="inlineStr"/>
      <c r="Q338" s="5" t="inlineStr"/>
      <c r="R338" s="5" t="inlineStr"/>
      <c r="S338" s="5" t="inlineStr"/>
      <c r="T338" s="5" t="inlineStr"/>
      <c r="U338" s="5" t="inlineStr"/>
      <c r="V338" s="5" t="inlineStr">
        <is>
          <t>Low</t>
        </is>
      </c>
      <c r="W338" s="5" t="inlineStr">
        <is>
          <t>Independent retailer; Relevant category</t>
        </is>
      </c>
      <c r="X338" s="5" t="inlineStr">
        <is>
          <t>Not Found</t>
        </is>
      </c>
      <c r="Y338" s="5" t="inlineStr">
        <is>
          <t>Not Found</t>
        </is>
      </c>
      <c r="Z338" s="5" t="inlineStr">
        <is>
          <t>Low</t>
        </is>
      </c>
      <c r="AA338" s="5" t="inlineStr">
        <is>
          <t>Requires Verification</t>
        </is>
      </c>
      <c r="AB338" s="5" t="inlineStr">
        <is>
          <t>https://tsa-property.co.uk/project/471-victoria-road-glasgow-g42-8rl/</t>
        </is>
      </c>
    </row>
    <row r="339">
      <c r="A339" s="10" t="inlineStr">
        <is>
          <t>UK-000662</t>
        </is>
      </c>
      <c r="B339" s="10" t="inlineStr">
        <is>
          <t>UK-000662-01</t>
        </is>
      </c>
      <c r="C339" s="10" t="inlineStr"/>
      <c r="D339" s="10" t="inlineStr">
        <is>
          <t>Spicebazar</t>
        </is>
      </c>
      <c r="E339" s="10" t="inlineStr">
        <is>
          <t>Independent Supermarket</t>
        </is>
      </c>
      <c r="F339" s="10" t="inlineStr">
        <is>
          <t>Indian / world-food supermarket</t>
        </is>
      </c>
      <c r="G339" s="10" t="inlineStr">
        <is>
          <t>Independent</t>
        </is>
      </c>
      <c r="H339" s="10" t="inlineStr">
        <is>
          <t>1</t>
        </is>
      </c>
      <c r="I339" s="10" t="inlineStr">
        <is>
          <t>110 Cranbrook Road</t>
        </is>
      </c>
      <c r="J339" s="10" t="inlineStr">
        <is>
          <t>Ilford</t>
        </is>
      </c>
      <c r="K339" s="10" t="inlineStr">
        <is>
          <t>IG1 4LZ</t>
        </is>
      </c>
      <c r="L339" s="10" t="inlineStr"/>
      <c r="M339" s="10" t="inlineStr"/>
      <c r="N339" s="10" t="inlineStr"/>
      <c r="O339" s="10" t="inlineStr"/>
      <c r="P339" s="10" t="inlineStr"/>
      <c r="Q339" s="10" t="inlineStr"/>
      <c r="R339" s="10" t="inlineStr"/>
      <c r="S339" s="10" t="inlineStr"/>
      <c r="T339" s="10" t="inlineStr"/>
      <c r="U339" s="10" t="inlineStr"/>
      <c r="V339" s="10" t="inlineStr">
        <is>
          <t>Low</t>
        </is>
      </c>
      <c r="W339" s="10" t="inlineStr">
        <is>
          <t>Independent retailer; Relevant category</t>
        </is>
      </c>
      <c r="X339" s="10" t="inlineStr">
        <is>
          <t>Not Found</t>
        </is>
      </c>
      <c r="Y339" s="10" t="inlineStr">
        <is>
          <t>Not Found</t>
        </is>
      </c>
      <c r="Z339" s="10" t="inlineStr">
        <is>
          <t>Low</t>
        </is>
      </c>
      <c r="AA339" s="10" t="inlineStr">
        <is>
          <t>Requires Verification</t>
        </is>
      </c>
      <c r="AB339" s="10" t="inlineStr">
        <is>
          <t>https://ilford.cylex-uk.co.uk/grocery-stores/</t>
        </is>
      </c>
    </row>
    <row r="340">
      <c r="A340" s="5" t="inlineStr">
        <is>
          <t>WY-0153</t>
        </is>
      </c>
      <c r="B340" s="5" t="inlineStr">
        <is>
          <t>WY-0153-01</t>
        </is>
      </c>
      <c r="C340" s="5" t="inlineStr"/>
      <c r="D340" s="5" t="inlineStr">
        <is>
          <t>Stainbeck Off Licence (Best-one)</t>
        </is>
      </c>
      <c r="E340" s="5" t="inlineStr">
        <is>
          <t>Off-Licence</t>
        </is>
      </c>
      <c r="F340" s="5" t="inlineStr">
        <is>
          <t>Off-licence and convenience store under Best-one symbol</t>
        </is>
      </c>
      <c r="G340" s="5" t="inlineStr">
        <is>
          <t>Franchise / Symbol Group</t>
        </is>
      </c>
      <c r="H340" s="5" t="inlineStr">
        <is>
          <t>1</t>
        </is>
      </c>
      <c r="I340" s="5" t="inlineStr"/>
      <c r="J340" s="5" t="inlineStr">
        <is>
          <t>Leeds</t>
        </is>
      </c>
      <c r="K340" s="5" t="inlineStr"/>
      <c r="L340" s="5" t="inlineStr"/>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Not Found</t>
        </is>
      </c>
      <c r="Y340" s="5" t="inlineStr">
        <is>
          <t>Not Found</t>
        </is>
      </c>
      <c r="Z340" s="5" t="inlineStr">
        <is>
          <t>Low</t>
        </is>
      </c>
      <c r="AA340" s="5" t="inlineStr">
        <is>
          <t>Requires Verification</t>
        </is>
      </c>
      <c r="AB340" s="5" t="inlineStr">
        <is>
          <t>https://www.yorkshire.com/chapel-allerton/shopping/off-license</t>
        </is>
      </c>
    </row>
    <row r="341">
      <c r="A341" s="10" t="inlineStr">
        <is>
          <t>WY-0154</t>
        </is>
      </c>
      <c r="B341" s="10" t="inlineStr">
        <is>
          <t>WY-0154-01</t>
        </is>
      </c>
      <c r="C341" s="10" t="inlineStr"/>
      <c r="D341" s="10" t="inlineStr">
        <is>
          <t>Star Express Off-Licence &amp; Convenience Store</t>
        </is>
      </c>
      <c r="E341" s="10" t="inlineStr">
        <is>
          <t>Off-Licence</t>
        </is>
      </c>
      <c r="F341" s="10" t="inlineStr">
        <is>
          <t>Off-licence and convenience store</t>
        </is>
      </c>
      <c r="G341" s="10" t="inlineStr">
        <is>
          <t>Independent</t>
        </is>
      </c>
      <c r="H341" s="10" t="inlineStr">
        <is>
          <t>1</t>
        </is>
      </c>
      <c r="I341" s="10" t="inlineStr">
        <is>
          <t>Norfolk Avenue</t>
        </is>
      </c>
      <c r="J341" s="10" t="inlineStr">
        <is>
          <t>Huddersfield</t>
        </is>
      </c>
      <c r="K341" s="10" t="inlineStr"/>
      <c r="L341" s="10" t="inlineStr"/>
      <c r="M341" s="10" t="inlineStr"/>
      <c r="N341" s="10" t="inlineStr"/>
      <c r="O341" s="10" t="inlineStr"/>
      <c r="P341" s="10" t="inlineStr"/>
      <c r="Q341" s="10" t="inlineStr"/>
      <c r="R341" s="10" t="inlineStr"/>
      <c r="S341" s="10" t="inlineStr"/>
      <c r="T341" s="10" t="inlineStr"/>
      <c r="U341" s="10" t="inlineStr"/>
      <c r="V341" s="10" t="inlineStr">
        <is>
          <t>Low</t>
        </is>
      </c>
      <c r="W341" s="10" t="inlineStr">
        <is>
          <t>Independent retailer; Relevant category</t>
        </is>
      </c>
      <c r="X341" s="10" t="inlineStr">
        <is>
          <t>Not Found</t>
        </is>
      </c>
      <c r="Y341" s="10" t="inlineStr">
        <is>
          <t>Not Found</t>
        </is>
      </c>
      <c r="Z341" s="10" t="inlineStr">
        <is>
          <t>Low</t>
        </is>
      </c>
      <c r="AA341" s="10" t="inlineStr">
        <is>
          <t>Requires Verification</t>
        </is>
      </c>
      <c r="AB341" s="10" t="inlineStr">
        <is>
          <t>https://www.yorkshire.com/huddersfield/shopping/off-license/star-express-off-licence-convenience-store</t>
        </is>
      </c>
    </row>
    <row r="342">
      <c r="A342" s="5" t="inlineStr">
        <is>
          <t>UK-000818</t>
        </is>
      </c>
      <c r="B342" s="5" t="inlineStr">
        <is>
          <t>UK-000818-01</t>
        </is>
      </c>
      <c r="C342" s="5" t="inlineStr"/>
      <c r="D342" s="5" t="inlineStr">
        <is>
          <t>Star News</t>
        </is>
      </c>
      <c r="E342" s="5" t="inlineStr">
        <is>
          <t>Newsagent</t>
        </is>
      </c>
      <c r="F342" s="5" t="inlineStr">
        <is>
          <t>Newsagent &amp; convenience</t>
        </is>
      </c>
      <c r="G342" s="5" t="inlineStr">
        <is>
          <t>Independent</t>
        </is>
      </c>
      <c r="H342" s="5" t="inlineStr">
        <is>
          <t>1</t>
        </is>
      </c>
      <c r="I342" s="5" t="inlineStr"/>
      <c r="J342" s="5" t="inlineStr">
        <is>
          <t>Liverpool</t>
        </is>
      </c>
      <c r="K342" s="5" t="inlineStr">
        <is>
          <t>L3 8HR</t>
        </is>
      </c>
      <c r="L342" s="5" t="inlineStr"/>
      <c r="M342" s="5" t="inlineStr"/>
      <c r="N342" s="5" t="inlineStr"/>
      <c r="O342" s="5" t="inlineStr"/>
      <c r="P342" s="5" t="inlineStr"/>
      <c r="Q342" s="5" t="inlineStr"/>
      <c r="R342" s="5" t="inlineStr"/>
      <c r="S342" s="5" t="inlineStr"/>
      <c r="T342" s="5" t="inlineStr"/>
      <c r="U342" s="5" t="inlineStr"/>
      <c r="V342" s="5" t="inlineStr">
        <is>
          <t>Low</t>
        </is>
      </c>
      <c r="W342" s="5" t="inlineStr">
        <is>
          <t>Independent retailer; Relevant category</t>
        </is>
      </c>
      <c r="X342" s="5" t="inlineStr">
        <is>
          <t>Not Found</t>
        </is>
      </c>
      <c r="Y342" s="5" t="inlineStr">
        <is>
          <t>Not Found</t>
        </is>
      </c>
      <c r="Z342" s="5" t="inlineStr">
        <is>
          <t>Low</t>
        </is>
      </c>
      <c r="AA342" s="5" t="inlineStr">
        <is>
          <t>Requires Verification</t>
        </is>
      </c>
      <c r="AB342" s="5" t="inlineStr">
        <is>
          <t>https://www.yell.com/biz/star-news-liverpool-1873832/</t>
        </is>
      </c>
    </row>
    <row r="343">
      <c r="A343" s="10" t="inlineStr">
        <is>
          <t>UK-000516</t>
        </is>
      </c>
      <c r="B343" s="10" t="inlineStr">
        <is>
          <t>UK-000516-01</t>
        </is>
      </c>
      <c r="C343" s="10" t="inlineStr"/>
      <c r="D343" s="10" t="inlineStr">
        <is>
          <t>Star Supermarket</t>
        </is>
      </c>
      <c r="E343" s="10" t="inlineStr">
        <is>
          <t>Independent Supermarket</t>
        </is>
      </c>
      <c r="F343" s="10" t="inlineStr">
        <is>
          <t>Asian / world food supermarket</t>
        </is>
      </c>
      <c r="G343" s="10" t="inlineStr">
        <is>
          <t>Independent</t>
        </is>
      </c>
      <c r="H343" s="10" t="inlineStr">
        <is>
          <t>1</t>
        </is>
      </c>
      <c r="I343" s="10" t="inlineStr">
        <is>
          <t>Tollgate Shopping Centre</t>
        </is>
      </c>
      <c r="J343" s="10" t="inlineStr">
        <is>
          <t>Smethwick</t>
        </is>
      </c>
      <c r="K343" s="10" t="inlineStr"/>
      <c r="L343" s="10" t="inlineStr"/>
      <c r="M343" s="10" t="inlineStr"/>
      <c r="N343" s="10" t="inlineStr"/>
      <c r="O343" s="10" t="inlineStr"/>
      <c r="P343" s="10" t="inlineStr"/>
      <c r="Q343" s="10" t="inlineStr">
        <is>
          <t>https://www.instagram.com/starsupermarket_birmingham/</t>
        </is>
      </c>
      <c r="R343" s="10" t="inlineStr"/>
      <c r="S343" s="10" t="inlineStr"/>
      <c r="T343" s="10" t="inlineStr"/>
      <c r="U343" s="10" t="inlineStr"/>
      <c r="V343" s="10" t="inlineStr">
        <is>
          <t>Medium</t>
        </is>
      </c>
      <c r="W343" s="10" t="inlineStr">
        <is>
          <t>Independent retailer; Relevant category; Social presence</t>
        </is>
      </c>
      <c r="X343" s="10" t="inlineStr">
        <is>
          <t>Not Found</t>
        </is>
      </c>
      <c r="Y343" s="10" t="inlineStr">
        <is>
          <t>Not Found</t>
        </is>
      </c>
      <c r="Z343" s="10" t="inlineStr">
        <is>
          <t>Medium</t>
        </is>
      </c>
      <c r="AA343" s="10" t="inlineStr">
        <is>
          <t>Requires Verification</t>
        </is>
      </c>
      <c r="AB343" s="10" t="inlineStr">
        <is>
          <t>https://www.instagram.com/starsupermarket_birmingham/</t>
        </is>
      </c>
    </row>
    <row r="344">
      <c r="A344" s="5" t="inlineStr">
        <is>
          <t>UK-000819</t>
        </is>
      </c>
      <c r="B344" s="5" t="inlineStr">
        <is>
          <t>UK-000819-01</t>
        </is>
      </c>
      <c r="C344" s="5" t="inlineStr"/>
      <c r="D344" s="5" t="inlineStr">
        <is>
          <t>Steamworx Vape Room</t>
        </is>
      </c>
      <c r="E344" s="5" t="inlineStr">
        <is>
          <t>Vape Shop</t>
        </is>
      </c>
      <c r="F344" s="5" t="inlineStr">
        <is>
          <t>Vape &amp; e-liquid retailer</t>
        </is>
      </c>
      <c r="G344" s="5" t="inlineStr">
        <is>
          <t>Independent</t>
        </is>
      </c>
      <c r="H344" s="5" t="inlineStr">
        <is>
          <t>1</t>
        </is>
      </c>
      <c r="I344" s="5" t="inlineStr">
        <is>
          <t>202 Knowsley Road</t>
        </is>
      </c>
      <c r="J344" s="5" t="inlineStr">
        <is>
          <t>Bootle</t>
        </is>
      </c>
      <c r="K344" s="5" t="inlineStr">
        <is>
          <t>L20 4NU</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Low</t>
        </is>
      </c>
      <c r="AA344" s="5" t="inlineStr">
        <is>
          <t>Requires Verification</t>
        </is>
      </c>
      <c r="AB344" s="5" t="inlineStr">
        <is>
          <t>https://www.yell.com/biz/steamworx-vape-room-bootle-9782515/</t>
        </is>
      </c>
    </row>
    <row r="345">
      <c r="A345" s="10" t="inlineStr">
        <is>
          <t>WY-0155</t>
        </is>
      </c>
      <c r="B345" s="10" t="inlineStr">
        <is>
          <t>WY-0155-01</t>
        </is>
      </c>
      <c r="C345" s="10" t="inlineStr"/>
      <c r="D345" s="10" t="inlineStr">
        <is>
          <t>Stringers Service Station</t>
        </is>
      </c>
      <c r="E345" s="10" t="inlineStr">
        <is>
          <t>Petrol Station / Forecourt</t>
        </is>
      </c>
      <c r="F345" s="10" t="inlineStr">
        <is>
          <t>Independent forecourt (Murco fuel) with shop</t>
        </is>
      </c>
      <c r="G345" s="10" t="inlineStr">
        <is>
          <t>Independent</t>
        </is>
      </c>
      <c r="H345" s="10" t="inlineStr">
        <is>
          <t>1</t>
        </is>
      </c>
      <c r="I345" s="10" t="inlineStr">
        <is>
          <t>102 Southgate</t>
        </is>
      </c>
      <c r="J345" s="10" t="inlineStr">
        <is>
          <t>Pontefract</t>
        </is>
      </c>
      <c r="K345" s="10" t="inlineStr">
        <is>
          <t>WF8 1PN</t>
        </is>
      </c>
      <c r="L345" s="10" t="inlineStr"/>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Not Found</t>
        </is>
      </c>
      <c r="Y345" s="10" t="inlineStr">
        <is>
          <t>Not Found</t>
        </is>
      </c>
      <c r="Z345" s="10" t="inlineStr">
        <is>
          <t>Medium</t>
        </is>
      </c>
      <c r="AA345" s="10" t="inlineStr">
        <is>
          <t>Requires Verification</t>
        </is>
      </c>
      <c r="AB345" s="10" t="inlineStr">
        <is>
          <t>https://www.petrolprices.com/locations/pontefract/grove-road/6837</t>
        </is>
      </c>
    </row>
    <row r="346">
      <c r="A346" s="5" t="inlineStr">
        <is>
          <t>UK-000383</t>
        </is>
      </c>
      <c r="B346" s="5" t="inlineStr">
        <is>
          <t>UK-000383-01</t>
        </is>
      </c>
      <c r="C346" s="5" t="inlineStr"/>
      <c r="D346" s="5" t="inlineStr">
        <is>
          <t>Swinton Vape (Swinton Market, Salford)</t>
        </is>
      </c>
      <c r="E346" s="5" t="inlineStr">
        <is>
          <t>Vape Shop</t>
        </is>
      </c>
      <c r="F346" s="5" t="inlineStr">
        <is>
          <t>Market vape stall/shop</t>
        </is>
      </c>
      <c r="G346" s="5" t="inlineStr">
        <is>
          <t>Independent</t>
        </is>
      </c>
      <c r="H346" s="5" t="inlineStr">
        <is>
          <t>1</t>
        </is>
      </c>
      <c r="I346" s="5" t="inlineStr">
        <is>
          <t>Swinton Market, Chorley Road</t>
        </is>
      </c>
      <c r="J346" s="5" t="inlineStr">
        <is>
          <t>Salford</t>
        </is>
      </c>
      <c r="K346" s="5" t="inlineStr">
        <is>
          <t>M27 4BH</t>
        </is>
      </c>
      <c r="L346" s="5" t="inlineStr"/>
      <c r="M346" s="5" t="inlineStr"/>
      <c r="N346" s="5" t="inlineStr"/>
      <c r="O346" s="5" t="inlineStr"/>
      <c r="P346" s="5" t="inlineStr"/>
      <c r="Q346" s="5" t="inlineStr"/>
      <c r="R346" s="5" t="inlineStr"/>
      <c r="S346" s="5" t="inlineStr"/>
      <c r="T346" s="5" t="inlineStr"/>
      <c r="U346" s="5" t="inlineStr"/>
      <c r="V346" s="5" t="inlineStr">
        <is>
          <t>Medium</t>
        </is>
      </c>
      <c r="W346" s="5" t="inlineStr">
        <is>
          <t>Independent retailer; Core relevant category</t>
        </is>
      </c>
      <c r="X346" s="5" t="inlineStr">
        <is>
          <t>Not Found</t>
        </is>
      </c>
      <c r="Y346" s="5" t="inlineStr">
        <is>
          <t>Not Found</t>
        </is>
      </c>
      <c r="Z346" s="5" t="inlineStr">
        <is>
          <t>Low</t>
        </is>
      </c>
      <c r="AA346" s="5" t="inlineStr">
        <is>
          <t>Requires Verification</t>
        </is>
      </c>
      <c r="AB346" s="5" t="inlineStr">
        <is>
          <t>https://ecigdirectory.co.uk/vape-shop/listing/swinton-vape</t>
        </is>
      </c>
    </row>
    <row r="347">
      <c r="A347" s="10" t="inlineStr">
        <is>
          <t>UK-000385</t>
        </is>
      </c>
      <c r="B347" s="10" t="inlineStr">
        <is>
          <t>UK-000385-01</t>
        </is>
      </c>
      <c r="C347" s="10" t="inlineStr"/>
      <c r="D347" s="10" t="inlineStr">
        <is>
          <t>Tameside Ecigs</t>
        </is>
      </c>
      <c r="E347" s="10" t="inlineStr">
        <is>
          <t>Vape Shop</t>
        </is>
      </c>
      <c r="F347" s="10" t="inlineStr"/>
      <c r="G347" s="10" t="inlineStr">
        <is>
          <t>Independent</t>
        </is>
      </c>
      <c r="H347" s="10" t="inlineStr">
        <is>
          <t>1</t>
        </is>
      </c>
      <c r="I347" s="10" t="inlineStr">
        <is>
          <t>78 Cavendish Street</t>
        </is>
      </c>
      <c r="J347" s="10" t="inlineStr">
        <is>
          <t>Ashton-under-Lyne</t>
        </is>
      </c>
      <c r="K347" s="10" t="inlineStr">
        <is>
          <t>OL6 7DN</t>
        </is>
      </c>
      <c r="L347" s="10" t="inlineStr"/>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Not Found</t>
        </is>
      </c>
      <c r="Y347" s="10" t="inlineStr">
        <is>
          <t>Not Found</t>
        </is>
      </c>
      <c r="Z347" s="10" t="inlineStr">
        <is>
          <t>Low</t>
        </is>
      </c>
      <c r="AA347" s="10" t="inlineStr">
        <is>
          <t>Requires Verification</t>
        </is>
      </c>
      <c r="AB347" s="10" t="inlineStr">
        <is>
          <t>https://ecigdirectory.co.uk/vape-shop/listing/tameside-ecigs-ashton-under-lyne</t>
        </is>
      </c>
    </row>
    <row r="348">
      <c r="A348" s="5" t="inlineStr">
        <is>
          <t>UK-000281</t>
        </is>
      </c>
      <c r="B348" s="5" t="inlineStr">
        <is>
          <t>UK-000281-01</t>
        </is>
      </c>
      <c r="C348" s="5" t="inlineStr"/>
      <c r="D348" s="5" t="inlineStr">
        <is>
          <t>Tang Hall Food &amp; Wine</t>
        </is>
      </c>
      <c r="E348" s="5" t="inlineStr">
        <is>
          <t>Off-Licence</t>
        </is>
      </c>
      <c r="F348" s="5" t="inlineStr">
        <is>
          <t>Off-licence &amp; convenience</t>
        </is>
      </c>
      <c r="G348" s="5" t="inlineStr">
        <is>
          <t>Independent</t>
        </is>
      </c>
      <c r="H348" s="5" t="inlineStr">
        <is>
          <t>1</t>
        </is>
      </c>
      <c r="I348" s="5" t="inlineStr">
        <is>
          <t>202 Melrosegate</t>
        </is>
      </c>
      <c r="J348" s="5" t="inlineStr">
        <is>
          <t>York</t>
        </is>
      </c>
      <c r="K348" s="5" t="inlineStr">
        <is>
          <t>YO10 3SW</t>
        </is>
      </c>
      <c r="L348" s="5" t="inlineStr"/>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Not Found</t>
        </is>
      </c>
      <c r="Y348" s="5" t="inlineStr">
        <is>
          <t>Not Found</t>
        </is>
      </c>
      <c r="Z348" s="5" t="inlineStr">
        <is>
          <t>Low</t>
        </is>
      </c>
      <c r="AA348" s="5" t="inlineStr">
        <is>
          <t>Requires Verification</t>
        </is>
      </c>
      <c r="AB348" s="5" t="inlineStr">
        <is>
          <t>https://www.yorkshire.com/york/shopping/off-license</t>
        </is>
      </c>
    </row>
    <row r="349">
      <c r="A349" s="10" t="inlineStr">
        <is>
          <t>UK-000822</t>
        </is>
      </c>
      <c r="B349" s="10" t="inlineStr">
        <is>
          <t>UK-000822-01</t>
        </is>
      </c>
      <c r="C349" s="10" t="inlineStr"/>
      <c r="D349" s="10" t="inlineStr">
        <is>
          <t>Taste of Poland</t>
        </is>
      </c>
      <c r="E349" s="10" t="inlineStr">
        <is>
          <t>Independent Supermarket</t>
        </is>
      </c>
      <c r="F349" s="10" t="inlineStr">
        <is>
          <t>Polish world-food grocery</t>
        </is>
      </c>
      <c r="G349" s="10" t="inlineStr">
        <is>
          <t>Independent</t>
        </is>
      </c>
      <c r="H349" s="10" t="inlineStr">
        <is>
          <t>1</t>
        </is>
      </c>
      <c r="I349" s="10" t="inlineStr"/>
      <c r="J349" s="10" t="inlineStr">
        <is>
          <t>Edinburgh</t>
        </is>
      </c>
      <c r="K349" s="10" t="inlineStr"/>
      <c r="L349" s="10" t="inlineStr"/>
      <c r="M349" s="10" t="inlineStr"/>
      <c r="N349" s="10" t="inlineStr"/>
      <c r="O349" s="10" t="inlineStr"/>
      <c r="P349" s="10" t="inlineStr"/>
      <c r="Q349" s="10" t="inlineStr"/>
      <c r="R349" s="10" t="inlineStr"/>
      <c r="S349" s="10" t="inlineStr"/>
      <c r="T349" s="10" t="inlineStr"/>
      <c r="U349" s="10" t="inlineStr"/>
      <c r="V349" s="10" t="inlineStr">
        <is>
          <t>Low</t>
        </is>
      </c>
      <c r="W349" s="10" t="inlineStr">
        <is>
          <t>Independent retailer; Relevant category</t>
        </is>
      </c>
      <c r="X349" s="10" t="inlineStr">
        <is>
          <t>Not Found</t>
        </is>
      </c>
      <c r="Y349" s="10" t="inlineStr">
        <is>
          <t>Not Found</t>
        </is>
      </c>
      <c r="Z349" s="10" t="inlineStr">
        <is>
          <t>Low</t>
        </is>
      </c>
      <c r="AA349" s="10" t="inlineStr">
        <is>
          <t>Requires Verification</t>
        </is>
      </c>
      <c r="AB349" s="10" t="inlineStr">
        <is>
          <t>https://edinburgh.cylex-uk.co.uk/company/taste-of-poland-27505910.html</t>
        </is>
      </c>
    </row>
    <row r="350">
      <c r="A350" s="5" t="inlineStr">
        <is>
          <t>UK-000664</t>
        </is>
      </c>
      <c r="B350" s="5" t="inlineStr">
        <is>
          <t>UK-000664-01</t>
        </is>
      </c>
      <c r="C350" s="5" t="inlineStr"/>
      <c r="D350" s="5" t="inlineStr">
        <is>
          <t>Tech Repairs &amp; Ladbroke Vapes</t>
        </is>
      </c>
      <c r="E350" s="5" t="inlineStr">
        <is>
          <t>Vape Shop</t>
        </is>
      </c>
      <c r="F350" s="5" t="inlineStr">
        <is>
          <t>Vape shop &amp; phone/tech repairs</t>
        </is>
      </c>
      <c r="G350" s="5" t="inlineStr">
        <is>
          <t>Independent</t>
        </is>
      </c>
      <c r="H350" s="5" t="inlineStr">
        <is>
          <t>1</t>
        </is>
      </c>
      <c r="I350" s="5" t="inlineStr">
        <is>
          <t>150 Ladbroke Grove</t>
        </is>
      </c>
      <c r="J350" s="5" t="inlineStr">
        <is>
          <t>London</t>
        </is>
      </c>
      <c r="K350" s="5" t="inlineStr">
        <is>
          <t>W10 5NE</t>
        </is>
      </c>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Not Found</t>
        </is>
      </c>
      <c r="Y350" s="5" t="inlineStr">
        <is>
          <t>Not Found</t>
        </is>
      </c>
      <c r="Z350" s="5" t="inlineStr">
        <is>
          <t>Low</t>
        </is>
      </c>
      <c r="AA350" s="5" t="inlineStr">
        <is>
          <t>Requires Verification</t>
        </is>
      </c>
      <c r="AB350" s="5" t="inlineStr">
        <is>
          <t>https://www.yell.com/s/tobacconists-ladbroke+grove-west+london.html</t>
        </is>
      </c>
    </row>
    <row r="351">
      <c r="A351" s="10" t="inlineStr">
        <is>
          <t>UK-000665</t>
        </is>
      </c>
      <c r="B351" s="10" t="inlineStr">
        <is>
          <t>UK-000665-01</t>
        </is>
      </c>
      <c r="C351" s="10" t="inlineStr"/>
      <c r="D351" s="10" t="inlineStr">
        <is>
          <t>The Canary Wharf Vapour Co</t>
        </is>
      </c>
      <c r="E351" s="10" t="inlineStr">
        <is>
          <t>Vape Shop</t>
        </is>
      </c>
      <c r="F351" s="10" t="inlineStr">
        <is>
          <t>Vape hardware &amp; e-liquids</t>
        </is>
      </c>
      <c r="G351" s="10" t="inlineStr">
        <is>
          <t>Independent</t>
        </is>
      </c>
      <c r="H351" s="10" t="inlineStr">
        <is>
          <t>1</t>
        </is>
      </c>
      <c r="I351" s="10" t="inlineStr">
        <is>
          <t>38 Goulston Street</t>
        </is>
      </c>
      <c r="J351" s="10" t="inlineStr">
        <is>
          <t>Whitechapel</t>
        </is>
      </c>
      <c r="K351" s="10" t="inlineStr">
        <is>
          <t>E1 7TP</t>
        </is>
      </c>
      <c r="L351" s="10" t="inlineStr"/>
      <c r="M351" s="10" t="inlineStr"/>
      <c r="N351" s="10" t="inlineStr"/>
      <c r="O351" s="10" t="inlineStr"/>
      <c r="P351" s="10" t="inlineStr"/>
      <c r="Q351" s="10" t="inlineStr"/>
      <c r="R351" s="10" t="inlineStr"/>
      <c r="S351" s="10" t="inlineStr"/>
      <c r="T351" s="10" t="inlineStr"/>
      <c r="U351" s="10" t="inlineStr"/>
      <c r="V351" s="10" t="inlineStr">
        <is>
          <t>Medium</t>
        </is>
      </c>
      <c r="W351" s="10" t="inlineStr">
        <is>
          <t>Independent retailer; Core relevant category</t>
        </is>
      </c>
      <c r="X351" s="10" t="inlineStr">
        <is>
          <t>Not Found</t>
        </is>
      </c>
      <c r="Y351" s="10" t="inlineStr">
        <is>
          <t>Not Found</t>
        </is>
      </c>
      <c r="Z351" s="10" t="inlineStr">
        <is>
          <t>Low</t>
        </is>
      </c>
      <c r="AA351" s="10" t="inlineStr">
        <is>
          <t>Requires Verification</t>
        </is>
      </c>
      <c r="AB351" s="10" t="inlineStr">
        <is>
          <t>https://www.yelp.co.uk/search?cflt=vapeshops&amp;find_loc=Whitechapel+Rd%2C+London+E1</t>
        </is>
      </c>
    </row>
    <row r="352">
      <c r="A352" s="5" t="inlineStr">
        <is>
          <t>UK-000823</t>
        </is>
      </c>
      <c r="B352" s="5" t="inlineStr">
        <is>
          <t>UK-000823-01</t>
        </is>
      </c>
      <c r="C352" s="5" t="inlineStr"/>
      <c r="D352" s="5" t="inlineStr">
        <is>
          <t>The Continental Food</t>
        </is>
      </c>
      <c r="E352" s="5" t="inlineStr">
        <is>
          <t>Independent Supermarket</t>
        </is>
      </c>
      <c r="F352" s="5" t="inlineStr">
        <is>
          <t>European world-food grocery</t>
        </is>
      </c>
      <c r="G352" s="5" t="inlineStr">
        <is>
          <t>Independent</t>
        </is>
      </c>
      <c r="H352" s="5" t="inlineStr">
        <is>
          <t>1</t>
        </is>
      </c>
      <c r="I352" s="5" t="inlineStr"/>
      <c r="J352" s="5" t="inlineStr">
        <is>
          <t>Edinburgh</t>
        </is>
      </c>
      <c r="K352" s="5" t="inlineStr"/>
      <c r="L352" s="5" t="inlineStr"/>
      <c r="M352" s="5" t="inlineStr"/>
      <c r="N352" s="5" t="inlineStr"/>
      <c r="O352" s="5" t="inlineStr"/>
      <c r="P352" s="5" t="inlineStr"/>
      <c r="Q352" s="5" t="inlineStr"/>
      <c r="R352" s="5" t="inlineStr"/>
      <c r="S352" s="5" t="inlineStr"/>
      <c r="T352" s="5" t="inlineStr"/>
      <c r="U352" s="5" t="inlineStr"/>
      <c r="V352" s="5" t="inlineStr">
        <is>
          <t>Low</t>
        </is>
      </c>
      <c r="W352" s="5" t="inlineStr">
        <is>
          <t>Independent retailer; Relevant category</t>
        </is>
      </c>
      <c r="X352" s="5" t="inlineStr">
        <is>
          <t>Not Found</t>
        </is>
      </c>
      <c r="Y352" s="5" t="inlineStr">
        <is>
          <t>Not Found</t>
        </is>
      </c>
      <c r="Z352" s="5" t="inlineStr">
        <is>
          <t>Low</t>
        </is>
      </c>
      <c r="AA352" s="5" t="inlineStr">
        <is>
          <t>Requires Verification</t>
        </is>
      </c>
      <c r="AB352" s="5" t="inlineStr">
        <is>
          <t>https://edinburgh.cylex-uk.co.uk/company/the-continental-food-19711581.html</t>
        </is>
      </c>
    </row>
    <row r="353">
      <c r="A353" s="10" t="inlineStr">
        <is>
          <t>UK-000824</t>
        </is>
      </c>
      <c r="B353" s="10" t="inlineStr">
        <is>
          <t>UK-000824-01</t>
        </is>
      </c>
      <c r="C353" s="10" t="inlineStr"/>
      <c r="D353" s="10" t="inlineStr">
        <is>
          <t>The Dairy Convenience Store</t>
        </is>
      </c>
      <c r="E353" s="10" t="inlineStr">
        <is>
          <t>Convenience Store</t>
        </is>
      </c>
      <c r="F353" s="10" t="inlineStr">
        <is>
          <t>Grocer &amp; convenience store</t>
        </is>
      </c>
      <c r="G353" s="10" t="inlineStr">
        <is>
          <t>Independent</t>
        </is>
      </c>
      <c r="H353" s="10" t="inlineStr">
        <is>
          <t>1</t>
        </is>
      </c>
      <c r="I353" s="10" t="inlineStr">
        <is>
          <t>111A Broad Lane</t>
        </is>
      </c>
      <c r="J353" s="10" t="inlineStr">
        <is>
          <t>Liverpool</t>
        </is>
      </c>
      <c r="K353" s="10" t="inlineStr">
        <is>
          <t>L32 6QD</t>
        </is>
      </c>
      <c r="L353" s="10" t="inlineStr"/>
      <c r="M353" s="10" t="inlineStr"/>
      <c r="N353" s="10" t="inlineStr"/>
      <c r="O353" s="10" t="inlineStr"/>
      <c r="P353" s="10" t="inlineStr"/>
      <c r="Q353" s="10" t="inlineStr"/>
      <c r="R353" s="10" t="inlineStr"/>
      <c r="S353" s="10" t="inlineStr"/>
      <c r="T353" s="10" t="inlineStr"/>
      <c r="U353" s="10" t="inlineStr"/>
      <c r="V353" s="10" t="inlineStr">
        <is>
          <t>Low</t>
        </is>
      </c>
      <c r="W353" s="10" t="inlineStr">
        <is>
          <t>Independent retailer; Relevant category</t>
        </is>
      </c>
      <c r="X353" s="10" t="inlineStr">
        <is>
          <t>Not Found</t>
        </is>
      </c>
      <c r="Y353" s="10" t="inlineStr">
        <is>
          <t>Not Found</t>
        </is>
      </c>
      <c r="Z353" s="10" t="inlineStr">
        <is>
          <t>Low</t>
        </is>
      </c>
      <c r="AA353" s="10" t="inlineStr">
        <is>
          <t>Requires Verification</t>
        </is>
      </c>
      <c r="AB353" s="10" t="inlineStr">
        <is>
          <t>https://kirkby.cylex-uk.co.uk/convenience-stores/</t>
        </is>
      </c>
    </row>
    <row r="354">
      <c r="A354" s="5" t="inlineStr">
        <is>
          <t>WY-0159</t>
        </is>
      </c>
      <c r="B354" s="5" t="inlineStr">
        <is>
          <t>WY-0159-01</t>
        </is>
      </c>
      <c r="C354" s="5" t="inlineStr"/>
      <c r="D354" s="5" t="inlineStr">
        <is>
          <t>The Local: Elland</t>
        </is>
      </c>
      <c r="E354" s="5" t="inlineStr">
        <is>
          <t>Off-Licence</t>
        </is>
      </c>
      <c r="F354" s="5" t="inlineStr">
        <is>
          <t>Off-licence and everyday essentials</t>
        </is>
      </c>
      <c r="G354" s="5" t="inlineStr">
        <is>
          <t>Unknown</t>
        </is>
      </c>
      <c r="H354" s="5" t="inlineStr">
        <is>
          <t>1</t>
        </is>
      </c>
      <c r="I354" s="5" t="inlineStr">
        <is>
          <t>160 Westgate</t>
        </is>
      </c>
      <c r="J354" s="5" t="inlineStr">
        <is>
          <t>Elland</t>
        </is>
      </c>
      <c r="K354" s="5" t="inlineStr">
        <is>
          <t>HX5 0BB</t>
        </is>
      </c>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Relevant category</t>
        </is>
      </c>
      <c r="X354" s="5" t="inlineStr">
        <is>
          <t>Not Found</t>
        </is>
      </c>
      <c r="Y354" s="5" t="inlineStr">
        <is>
          <t>Not Found</t>
        </is>
      </c>
      <c r="Z354" s="5" t="inlineStr">
        <is>
          <t>Medium</t>
        </is>
      </c>
      <c r="AA354" s="5" t="inlineStr">
        <is>
          <t>Requires Verification</t>
        </is>
      </c>
      <c r="AB354" s="5" t="inlineStr">
        <is>
          <t>https://www.yorkshire.com/elland/shopping/off-license</t>
        </is>
      </c>
    </row>
    <row r="355">
      <c r="A355" s="10" t="inlineStr">
        <is>
          <t>UK-000666</t>
        </is>
      </c>
      <c r="B355" s="10" t="inlineStr">
        <is>
          <t>UK-000666-01</t>
        </is>
      </c>
      <c r="C355" s="10" t="inlineStr"/>
      <c r="D355" s="10" t="inlineStr">
        <is>
          <t>The London Vape Company (Holloway)</t>
        </is>
      </c>
      <c r="E355" s="10" t="inlineStr">
        <is>
          <t>Vape Shop</t>
        </is>
      </c>
      <c r="F355" s="10" t="inlineStr">
        <is>
          <t>Vape hardware &amp; e-liquids</t>
        </is>
      </c>
      <c r="G355" s="10" t="inlineStr">
        <is>
          <t>Independent</t>
        </is>
      </c>
      <c r="H355" s="10" t="inlineStr">
        <is>
          <t>1</t>
        </is>
      </c>
      <c r="I355" s="10" t="inlineStr">
        <is>
          <t>213 Holloway Road</t>
        </is>
      </c>
      <c r="J355" s="10" t="inlineStr">
        <is>
          <t>Holloway</t>
        </is>
      </c>
      <c r="K355" s="10" t="inlineStr">
        <is>
          <t>N7 8DL</t>
        </is>
      </c>
      <c r="L355" s="10" t="inlineStr"/>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Not Found</t>
        </is>
      </c>
      <c r="Y355" s="10" t="inlineStr">
        <is>
          <t>Not Found</t>
        </is>
      </c>
      <c r="Z355" s="10" t="inlineStr">
        <is>
          <t>Low</t>
        </is>
      </c>
      <c r="AA355" s="10" t="inlineStr">
        <is>
          <t>Requires Verification</t>
        </is>
      </c>
      <c r="AB355" s="10" t="inlineStr">
        <is>
          <t>https://www.yell.com/s/vape+shops-holloway-north+london.html</t>
        </is>
      </c>
    </row>
    <row r="356">
      <c r="A356" s="5" t="inlineStr">
        <is>
          <t>UK-000521</t>
        </is>
      </c>
      <c r="B356" s="5" t="inlineStr">
        <is>
          <t>UK-000521-01</t>
        </is>
      </c>
      <c r="C356" s="5" t="inlineStr"/>
      <c r="D356" s="5" t="inlineStr">
        <is>
          <t>The Maltings Convenience Store</t>
        </is>
      </c>
      <c r="E356" s="5" t="inlineStr">
        <is>
          <t>Convenience Store</t>
        </is>
      </c>
      <c r="F356" s="5" t="inlineStr">
        <is>
          <t>Convenience store &amp; off-licence</t>
        </is>
      </c>
      <c r="G356" s="5" t="inlineStr">
        <is>
          <t>Independent</t>
        </is>
      </c>
      <c r="H356" s="5" t="inlineStr">
        <is>
          <t>1</t>
        </is>
      </c>
      <c r="I356" s="5" t="inlineStr">
        <is>
          <t>2 Anderson Road</t>
        </is>
      </c>
      <c r="J356" s="5" t="inlineStr">
        <is>
          <t>Smethwick</t>
        </is>
      </c>
      <c r="K356" s="5" t="inlineStr">
        <is>
          <t>B66 4AR</t>
        </is>
      </c>
      <c r="L356" s="5" t="inlineStr"/>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Not Found</t>
        </is>
      </c>
      <c r="Y356" s="5" t="inlineStr">
        <is>
          <t>Not Found</t>
        </is>
      </c>
      <c r="Z356" s="5" t="inlineStr">
        <is>
          <t>Medium</t>
        </is>
      </c>
      <c r="AA356" s="5" t="inlineStr">
        <is>
          <t>Requires Verification</t>
        </is>
      </c>
      <c r="AB356" s="5" t="inlineStr">
        <is>
          <t>https://www.192.com/atoz/business/smethwick/convenience--stores/</t>
        </is>
      </c>
    </row>
    <row r="357">
      <c r="A357" s="10" t="inlineStr">
        <is>
          <t>UK-000522</t>
        </is>
      </c>
      <c r="B357" s="10" t="inlineStr">
        <is>
          <t>UK-000522-01</t>
        </is>
      </c>
      <c r="C357" s="10" t="inlineStr"/>
      <c r="D357" s="10" t="inlineStr">
        <is>
          <t>The Polish Shop Cash &amp; Carry Ltd</t>
        </is>
      </c>
      <c r="E357" s="10" t="inlineStr">
        <is>
          <t>Cash &amp; Carry</t>
        </is>
      </c>
      <c r="F357" s="10" t="inlineStr">
        <is>
          <t>Polish/European food cash &amp; carry</t>
        </is>
      </c>
      <c r="G357" s="10" t="inlineStr">
        <is>
          <t>Independent</t>
        </is>
      </c>
      <c r="H357" s="10" t="inlineStr">
        <is>
          <t>1</t>
        </is>
      </c>
      <c r="I357" s="10" t="inlineStr"/>
      <c r="J357" s="10" t="inlineStr">
        <is>
          <t>West Bromwich</t>
        </is>
      </c>
      <c r="K357" s="10" t="inlineStr">
        <is>
          <t>B70</t>
        </is>
      </c>
      <c r="L357" s="10" t="inlineStr"/>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Not Found</t>
        </is>
      </c>
      <c r="Y357" s="10" t="inlineStr">
        <is>
          <t>Not Found</t>
        </is>
      </c>
      <c r="Z357" s="10" t="inlineStr">
        <is>
          <t>Medium</t>
        </is>
      </c>
      <c r="AA357" s="10" t="inlineStr">
        <is>
          <t>Requires Verification</t>
        </is>
      </c>
      <c r="AB357" s="10" t="inlineStr">
        <is>
          <t>https://www.yell.com/biz/the-polish-shop-cash-and-carry-ltd-west-bromwich-7882066/</t>
        </is>
      </c>
    </row>
    <row r="358">
      <c r="A358" s="5" t="inlineStr">
        <is>
          <t>UK-000523</t>
        </is>
      </c>
      <c r="B358" s="5" t="inlineStr">
        <is>
          <t>UK-000523-01</t>
        </is>
      </c>
      <c r="C358" s="5" t="inlineStr"/>
      <c r="D358" s="5" t="inlineStr">
        <is>
          <t>The Seafood Centre</t>
        </is>
      </c>
      <c r="E358" s="5" t="inlineStr">
        <is>
          <t>Cash &amp; Carry</t>
        </is>
      </c>
      <c r="F358" s="5" t="inlineStr">
        <is>
          <t>Seafood wholesaler</t>
        </is>
      </c>
      <c r="G358" s="5" t="inlineStr">
        <is>
          <t>Independent</t>
        </is>
      </c>
      <c r="H358" s="5" t="inlineStr">
        <is>
          <t>1</t>
        </is>
      </c>
      <c r="I358" s="5" t="inlineStr">
        <is>
          <t>37 Regal Drive</t>
        </is>
      </c>
      <c r="J358" s="5" t="inlineStr">
        <is>
          <t>Walsall</t>
        </is>
      </c>
      <c r="K358" s="5" t="inlineStr">
        <is>
          <t>WS2 9HQ</t>
        </is>
      </c>
      <c r="L358" s="5" t="inlineStr"/>
      <c r="M358" s="5" t="inlineStr"/>
      <c r="N358" s="5" t="inlineStr"/>
      <c r="O358" s="5" t="inlineStr"/>
      <c r="P358" s="5" t="inlineStr"/>
      <c r="Q358" s="5" t="inlineStr"/>
      <c r="R358" s="5" t="inlineStr"/>
      <c r="S358" s="5" t="inlineStr"/>
      <c r="T358" s="5" t="inlineStr"/>
      <c r="U358" s="5" t="inlineStr"/>
      <c r="V358" s="5" t="inlineStr">
        <is>
          <t>Medium</t>
        </is>
      </c>
      <c r="W358" s="5" t="inlineStr">
        <is>
          <t>Independent retailer; Core relevant category</t>
        </is>
      </c>
      <c r="X358" s="5" t="inlineStr">
        <is>
          <t>Not Found</t>
        </is>
      </c>
      <c r="Y358" s="5" t="inlineStr">
        <is>
          <t>Not Found</t>
        </is>
      </c>
      <c r="Z358" s="5" t="inlineStr">
        <is>
          <t>Low</t>
        </is>
      </c>
      <c r="AA358" s="5" t="inlineStr">
        <is>
          <t>Requires Verification</t>
        </is>
      </c>
      <c r="AB358" s="5" t="inlineStr">
        <is>
          <t>https://wholesalersbirmingham.co.uk/cash-and-carry-walsall/</t>
        </is>
      </c>
    </row>
    <row r="359">
      <c r="A359" s="10" t="inlineStr">
        <is>
          <t>UK-000388</t>
        </is>
      </c>
      <c r="B359" s="10" t="inlineStr">
        <is>
          <t>UK-000388-01</t>
        </is>
      </c>
      <c r="C359" s="10" t="inlineStr"/>
      <c r="D359" s="10" t="inlineStr">
        <is>
          <t>The Shack Horwich</t>
        </is>
      </c>
      <c r="E359" s="10" t="inlineStr">
        <is>
          <t>Vape Shop</t>
        </is>
      </c>
      <c r="F359" s="10" t="inlineStr"/>
      <c r="G359" s="10" t="inlineStr">
        <is>
          <t>Independent</t>
        </is>
      </c>
      <c r="H359" s="10" t="inlineStr">
        <is>
          <t>1</t>
        </is>
      </c>
      <c r="I359" s="10" t="inlineStr">
        <is>
          <t>92 Winter Hey Lane</t>
        </is>
      </c>
      <c r="J359" s="10" t="inlineStr">
        <is>
          <t>Bolton</t>
        </is>
      </c>
      <c r="K359" s="10" t="inlineStr">
        <is>
          <t>BL6 7NZ</t>
        </is>
      </c>
      <c r="L359" s="10" t="inlineStr"/>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Not Found</t>
        </is>
      </c>
      <c r="Y359" s="10" t="inlineStr">
        <is>
          <t>Not Found</t>
        </is>
      </c>
      <c r="Z359" s="10" t="inlineStr">
        <is>
          <t>Low</t>
        </is>
      </c>
      <c r="AA359" s="10" t="inlineStr">
        <is>
          <t>Requires Verification</t>
        </is>
      </c>
      <c r="AB359" s="10" t="inlineStr">
        <is>
          <t>https://vapeshops.puffingbird.com/england/bolton</t>
        </is>
      </c>
    </row>
    <row r="360">
      <c r="A360" s="5" t="inlineStr">
        <is>
          <t>WY-0162</t>
        </is>
      </c>
      <c r="B360" s="5" t="inlineStr">
        <is>
          <t>WY-0162-01</t>
        </is>
      </c>
      <c r="C360" s="5" t="inlineStr"/>
      <c r="D360" s="5" t="inlineStr">
        <is>
          <t>The Vape Shop Wakefield</t>
        </is>
      </c>
      <c r="E360" s="5" t="inlineStr">
        <is>
          <t>Vape Shop</t>
        </is>
      </c>
      <c r="F360" s="5" t="inlineStr">
        <is>
          <t>E-cigarettes and e-liquids (American and British ranges)</t>
        </is>
      </c>
      <c r="G360" s="5" t="inlineStr">
        <is>
          <t>Independent</t>
        </is>
      </c>
      <c r="H360" s="5" t="inlineStr">
        <is>
          <t>1</t>
        </is>
      </c>
      <c r="I360" s="5" t="inlineStr">
        <is>
          <t>Horbury Road</t>
        </is>
      </c>
      <c r="J360" s="5" t="inlineStr">
        <is>
          <t>Wakefield</t>
        </is>
      </c>
      <c r="K360" s="5" t="inlineStr"/>
      <c r="L360" s="5" t="inlineStr"/>
      <c r="M360" s="5" t="inlineStr"/>
      <c r="N360" s="5" t="inlineStr"/>
      <c r="O360" s="5" t="inlineStr"/>
      <c r="P360" s="5" t="inlineStr">
        <is>
          <t>https://www.facebook.com/vapeshopwakefield.uk/</t>
        </is>
      </c>
      <c r="Q360" s="5" t="inlineStr"/>
      <c r="R360" s="5" t="inlineStr"/>
      <c r="S360" s="5" t="inlineStr"/>
      <c r="T360" s="5" t="inlineStr"/>
      <c r="U360" s="5" t="inlineStr"/>
      <c r="V360" s="5" t="inlineStr">
        <is>
          <t>Medium</t>
        </is>
      </c>
      <c r="W360" s="5" t="inlineStr">
        <is>
          <t>Independent retailer; Core relevant category; Social presence</t>
        </is>
      </c>
      <c r="X360" s="5" t="inlineStr">
        <is>
          <t>Not Found</t>
        </is>
      </c>
      <c r="Y360" s="5" t="inlineStr">
        <is>
          <t>Not Found</t>
        </is>
      </c>
      <c r="Z360" s="5" t="inlineStr">
        <is>
          <t>Low</t>
        </is>
      </c>
      <c r="AA360" s="5" t="inlineStr">
        <is>
          <t>Requires Verification</t>
        </is>
      </c>
      <c r="AB360" s="5" t="inlineStr">
        <is>
          <t>https://www.facebook.com/vapeshopwakefield.uk/</t>
        </is>
      </c>
    </row>
    <row r="361">
      <c r="A361" s="10" t="inlineStr">
        <is>
          <t>UK-000389</t>
        </is>
      </c>
      <c r="B361" s="10" t="inlineStr">
        <is>
          <t>UK-000389-01</t>
        </is>
      </c>
      <c r="C361" s="10" t="inlineStr"/>
      <c r="D361" s="10" t="inlineStr">
        <is>
          <t>The Vape Store (Sale, Trafford)</t>
        </is>
      </c>
      <c r="E361" s="10" t="inlineStr">
        <is>
          <t>Vape Shop</t>
        </is>
      </c>
      <c r="F361" s="10" t="inlineStr">
        <is>
          <t>Vape hardware, e-liquids &amp; disposables</t>
        </is>
      </c>
      <c r="G361" s="10" t="inlineStr">
        <is>
          <t>Independent</t>
        </is>
      </c>
      <c r="H361" s="10" t="inlineStr">
        <is>
          <t>1</t>
        </is>
      </c>
      <c r="I361" s="10" t="inlineStr">
        <is>
          <t>72 Marsland Road</t>
        </is>
      </c>
      <c r="J361" s="10" t="inlineStr">
        <is>
          <t>Sale</t>
        </is>
      </c>
      <c r="K361" s="10" t="inlineStr">
        <is>
          <t>M33 3HG</t>
        </is>
      </c>
      <c r="L361" s="10" t="inlineStr"/>
      <c r="M361" s="10" t="inlineStr"/>
      <c r="N361" s="10" t="inlineStr"/>
      <c r="O361" s="10" t="inlineStr"/>
      <c r="P361" s="10" t="inlineStr"/>
      <c r="Q361" s="10" t="inlineStr"/>
      <c r="R361" s="10" t="inlineStr"/>
      <c r="S361" s="10" t="inlineStr"/>
      <c r="T361" s="10" t="inlineStr">
        <is>
          <t>10937677</t>
        </is>
      </c>
      <c r="U361" s="10" t="inlineStr">
        <is>
          <t>Active (per Companies House listing)</t>
        </is>
      </c>
      <c r="V361" s="10" t="inlineStr">
        <is>
          <t>Medium</t>
        </is>
      </c>
      <c r="W361" s="10" t="inlineStr">
        <is>
          <t>Independent retailer; Core relevant category</t>
        </is>
      </c>
      <c r="X361" s="10" t="inlineStr">
        <is>
          <t>Not Found</t>
        </is>
      </c>
      <c r="Y361" s="10" t="inlineStr">
        <is>
          <t>Not Found</t>
        </is>
      </c>
      <c r="Z361" s="10" t="inlineStr">
        <is>
          <t>Medium</t>
        </is>
      </c>
      <c r="AA361" s="10" t="inlineStr">
        <is>
          <t>Partially Verified</t>
        </is>
      </c>
      <c r="AB361" s="10" t="inlineStr">
        <is>
          <t>https://find-and-update.company-information.service.gov.uk/company/10937677</t>
        </is>
      </c>
    </row>
    <row r="362">
      <c r="A362" s="5" t="inlineStr">
        <is>
          <t>UK-000286</t>
        </is>
      </c>
      <c r="B362" s="5" t="inlineStr">
        <is>
          <t>UK-000286-01</t>
        </is>
      </c>
      <c r="C362" s="5" t="inlineStr"/>
      <c r="D362" s="5" t="inlineStr">
        <is>
          <t>The Vape Supermarket</t>
        </is>
      </c>
      <c r="E362" s="5" t="inlineStr">
        <is>
          <t>Vape Shop</t>
        </is>
      </c>
      <c r="F362" s="5" t="inlineStr">
        <is>
          <t>Vape shop</t>
        </is>
      </c>
      <c r="G362" s="5" t="inlineStr">
        <is>
          <t>Independent</t>
        </is>
      </c>
      <c r="H362" s="5" t="inlineStr">
        <is>
          <t>1</t>
        </is>
      </c>
      <c r="I362" s="5" t="inlineStr"/>
      <c r="J362" s="5" t="inlineStr">
        <is>
          <t>Barnsley</t>
        </is>
      </c>
      <c r="K362" s="5" t="inlineStr"/>
      <c r="L362" s="5" t="inlineStr"/>
      <c r="M362" s="5" t="inlineStr"/>
      <c r="N362" s="5" t="inlineStr"/>
      <c r="O362" s="5" t="inlineStr"/>
      <c r="P362" s="5" t="inlineStr">
        <is>
          <t>https://www.facebook.com/TheVapeSupermarket/</t>
        </is>
      </c>
      <c r="Q362" s="5" t="inlineStr"/>
      <c r="R362" s="5" t="inlineStr"/>
      <c r="S362" s="5" t="inlineStr"/>
      <c r="T362" s="5" t="inlineStr"/>
      <c r="U362" s="5" t="inlineStr"/>
      <c r="V362" s="5" t="inlineStr">
        <is>
          <t>Medium</t>
        </is>
      </c>
      <c r="W362" s="5" t="inlineStr">
        <is>
          <t>Independent retailer; Core relevant category; Social presence</t>
        </is>
      </c>
      <c r="X362" s="5" t="inlineStr">
        <is>
          <t>Not Found</t>
        </is>
      </c>
      <c r="Y362" s="5" t="inlineStr">
        <is>
          <t>Not Found</t>
        </is>
      </c>
      <c r="Z362" s="5" t="inlineStr">
        <is>
          <t>Low</t>
        </is>
      </c>
      <c r="AA362" s="5" t="inlineStr">
        <is>
          <t>Requires Verification</t>
        </is>
      </c>
      <c r="AB362" s="5" t="inlineStr">
        <is>
          <t>https://www.facebook.com/TheVapeSupermarket/</t>
        </is>
      </c>
    </row>
    <row r="363">
      <c r="A363" s="10" t="inlineStr">
        <is>
          <t>UK-000393</t>
        </is>
      </c>
      <c r="B363" s="10" t="inlineStr">
        <is>
          <t>UK-000393-01</t>
        </is>
      </c>
      <c r="C363" s="10" t="inlineStr"/>
      <c r="D363" s="10" t="inlineStr">
        <is>
          <t>The Vape Tavern Stalybridge</t>
        </is>
      </c>
      <c r="E363" s="10" t="inlineStr">
        <is>
          <t>Vape Shop</t>
        </is>
      </c>
      <c r="F363" s="10" t="inlineStr"/>
      <c r="G363" s="10" t="inlineStr">
        <is>
          <t>Independent</t>
        </is>
      </c>
      <c r="H363" s="10" t="inlineStr">
        <is>
          <t>1</t>
        </is>
      </c>
      <c r="I363" s="10" t="inlineStr"/>
      <c r="J363" s="10" t="inlineStr">
        <is>
          <t>Stalybridge</t>
        </is>
      </c>
      <c r="K363" s="10" t="inlineStr"/>
      <c r="L363" s="10" t="inlineStr"/>
      <c r="M363" s="10" t="inlineStr"/>
      <c r="N363" s="10" t="inlineStr"/>
      <c r="O363" s="10" t="inlineStr">
        <is>
          <t>https://www.thevapetavernstalybridge.com/</t>
        </is>
      </c>
      <c r="P363" s="10" t="inlineStr"/>
      <c r="Q363" s="10" t="inlineStr"/>
      <c r="R363" s="10" t="inlineStr"/>
      <c r="S363" s="10" t="inlineStr"/>
      <c r="T363" s="10" t="inlineStr"/>
      <c r="U363" s="10" t="inlineStr"/>
      <c r="V363" s="10" t="inlineStr">
        <is>
          <t>Medium</t>
        </is>
      </c>
      <c r="W363" s="10" t="inlineStr">
        <is>
          <t>Independent retailer; Core relevant category; Active website</t>
        </is>
      </c>
      <c r="X363" s="10" t="inlineStr">
        <is>
          <t>Not Found</t>
        </is>
      </c>
      <c r="Y363" s="10" t="inlineStr">
        <is>
          <t>Website Found</t>
        </is>
      </c>
      <c r="Z363" s="10" t="inlineStr">
        <is>
          <t>Low</t>
        </is>
      </c>
      <c r="AA363" s="10" t="inlineStr">
        <is>
          <t>Requires Verification</t>
        </is>
      </c>
      <c r="AB363" s="10" t="inlineStr">
        <is>
          <t>https://www.thevapetavernstalybridge.com/</t>
        </is>
      </c>
    </row>
    <row r="364">
      <c r="A364" s="5" t="inlineStr">
        <is>
          <t>UK-000394</t>
        </is>
      </c>
      <c r="B364" s="5" t="inlineStr">
        <is>
          <t>UK-000394-01</t>
        </is>
      </c>
      <c r="C364" s="5" t="inlineStr"/>
      <c r="D364" s="5" t="inlineStr">
        <is>
          <t>The Vape Volt Farnworth</t>
        </is>
      </c>
      <c r="E364" s="5" t="inlineStr">
        <is>
          <t>Vape Shop</t>
        </is>
      </c>
      <c r="F364" s="5" t="inlineStr"/>
      <c r="G364" s="5" t="inlineStr">
        <is>
          <t>Independent</t>
        </is>
      </c>
      <c r="H364" s="5" t="inlineStr">
        <is>
          <t>1</t>
        </is>
      </c>
      <c r="I364" s="5" t="inlineStr">
        <is>
          <t>32A Brackley Street</t>
        </is>
      </c>
      <c r="J364" s="5" t="inlineStr">
        <is>
          <t>Bolton</t>
        </is>
      </c>
      <c r="K364" s="5" t="inlineStr">
        <is>
          <t>BL4 9DR</t>
        </is>
      </c>
      <c r="L364" s="5" t="inlineStr"/>
      <c r="M364" s="5" t="inlineStr"/>
      <c r="N364" s="5" t="inlineStr"/>
      <c r="O364" s="5" t="inlineStr"/>
      <c r="P364" s="5" t="inlineStr">
        <is>
          <t>https://www.facebook.com/VapeVoltFarnworth/</t>
        </is>
      </c>
      <c r="Q364" s="5" t="inlineStr"/>
      <c r="R364" s="5" t="inlineStr"/>
      <c r="S364" s="5" t="inlineStr"/>
      <c r="T364" s="5" t="inlineStr"/>
      <c r="U364" s="5" t="inlineStr"/>
      <c r="V364" s="5" t="inlineStr">
        <is>
          <t>Medium</t>
        </is>
      </c>
      <c r="W364" s="5" t="inlineStr">
        <is>
          <t>Independent retailer; Core relevant category; Social presence</t>
        </is>
      </c>
      <c r="X364" s="5" t="inlineStr">
        <is>
          <t>Not Found</t>
        </is>
      </c>
      <c r="Y364" s="5" t="inlineStr">
        <is>
          <t>Not Found</t>
        </is>
      </c>
      <c r="Z364" s="5" t="inlineStr">
        <is>
          <t>Low</t>
        </is>
      </c>
      <c r="AA364" s="5" t="inlineStr">
        <is>
          <t>Requires Verification</t>
        </is>
      </c>
      <c r="AB364" s="5" t="inlineStr">
        <is>
          <t>https://www.facebook.com/VapeVoltFarnworth/</t>
        </is>
      </c>
    </row>
    <row r="365">
      <c r="A365" s="10" t="inlineStr">
        <is>
          <t>UK-000667</t>
        </is>
      </c>
      <c r="B365" s="10" t="inlineStr">
        <is>
          <t>UK-000667-01</t>
        </is>
      </c>
      <c r="C365" s="10" t="inlineStr"/>
      <c r="D365" s="10" t="inlineStr">
        <is>
          <t>The Vaper</t>
        </is>
      </c>
      <c r="E365" s="10" t="inlineStr">
        <is>
          <t>Vape Shop</t>
        </is>
      </c>
      <c r="F365" s="10" t="inlineStr"/>
      <c r="G365" s="10" t="inlineStr">
        <is>
          <t>Independent</t>
        </is>
      </c>
      <c r="H365" s="10" t="inlineStr">
        <is>
          <t>1</t>
        </is>
      </c>
      <c r="I365" s="10" t="inlineStr">
        <is>
          <t>374a Streatham High Road</t>
        </is>
      </c>
      <c r="J365" s="10" t="inlineStr">
        <is>
          <t>London</t>
        </is>
      </c>
      <c r="K365" s="10" t="inlineStr">
        <is>
          <t>SW16 6HP</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https://www.yell.com/biz/the-vaper-london-8913915/</t>
        </is>
      </c>
    </row>
    <row r="366">
      <c r="A366" s="5" t="inlineStr">
        <is>
          <t>UK-000287</t>
        </is>
      </c>
      <c r="B366" s="5" t="inlineStr">
        <is>
          <t>UK-000287-01</t>
        </is>
      </c>
      <c r="C366" s="5" t="inlineStr"/>
      <c r="D366" s="5" t="inlineStr">
        <is>
          <t>The Vapers Guild</t>
        </is>
      </c>
      <c r="E366" s="5" t="inlineStr">
        <is>
          <t>Vape Shop</t>
        </is>
      </c>
      <c r="F366" s="5" t="inlineStr">
        <is>
          <t>E-cigarette and e-liquid shop</t>
        </is>
      </c>
      <c r="G366" s="5" t="inlineStr">
        <is>
          <t>Independent</t>
        </is>
      </c>
      <c r="H366" s="5" t="inlineStr">
        <is>
          <t>1</t>
        </is>
      </c>
      <c r="I366" s="5" t="inlineStr"/>
      <c r="J366" s="5" t="inlineStr">
        <is>
          <t>Kingston upon Hull</t>
        </is>
      </c>
      <c r="K366" s="5" t="inlineStr"/>
      <c r="L366" s="5" t="inlineStr"/>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Not Found</t>
        </is>
      </c>
      <c r="Y366" s="5" t="inlineStr">
        <is>
          <t>Not Found</t>
        </is>
      </c>
      <c r="Z366" s="5" t="inlineStr">
        <is>
          <t>Low</t>
        </is>
      </c>
      <c r="AA366" s="5" t="inlineStr">
        <is>
          <t>Requires Verification</t>
        </is>
      </c>
      <c r="AB366" s="5" t="inlineStr">
        <is>
          <t>https://ecigdirectory.co.uk/vape-shop/listing/the-vapers-guild-hull</t>
        </is>
      </c>
    </row>
    <row r="367">
      <c r="A367" s="10" t="inlineStr">
        <is>
          <t>UK-000828</t>
        </is>
      </c>
      <c r="B367" s="10" t="inlineStr">
        <is>
          <t>UK-000828-01</t>
        </is>
      </c>
      <c r="C367" s="10" t="inlineStr"/>
      <c r="D367" s="10" t="inlineStr">
        <is>
          <t>The Vapour Shop Paisley</t>
        </is>
      </c>
      <c r="E367" s="10" t="inlineStr">
        <is>
          <t>Vape Shop</t>
        </is>
      </c>
      <c r="F367" s="10" t="inlineStr">
        <is>
          <t>Vape shop</t>
        </is>
      </c>
      <c r="G367" s="10" t="inlineStr">
        <is>
          <t>Independent</t>
        </is>
      </c>
      <c r="H367" s="10" t="inlineStr">
        <is>
          <t>1</t>
        </is>
      </c>
      <c r="I367" s="10" t="inlineStr">
        <is>
          <t>3A Moss Street</t>
        </is>
      </c>
      <c r="J367" s="10" t="inlineStr">
        <is>
          <t>Paisley</t>
        </is>
      </c>
      <c r="K367" s="10" t="inlineStr"/>
      <c r="L367" s="10" t="inlineStr"/>
      <c r="M367" s="10" t="inlineStr"/>
      <c r="N367" s="10" t="inlineStr"/>
      <c r="O367" s="10" t="inlineStr"/>
      <c r="P367" s="10" t="inlineStr"/>
      <c r="Q367" s="10" t="inlineStr"/>
      <c r="R367" s="10" t="inlineStr"/>
      <c r="S367" s="10" t="inlineStr"/>
      <c r="T367" s="10" t="inlineStr"/>
      <c r="U367" s="10" t="inlineStr"/>
      <c r="V367" s="10" t="inlineStr">
        <is>
          <t>Medium</t>
        </is>
      </c>
      <c r="W367" s="10" t="inlineStr">
        <is>
          <t>Independent retailer; Core relevant category</t>
        </is>
      </c>
      <c r="X367" s="10" t="inlineStr">
        <is>
          <t>Not Found</t>
        </is>
      </c>
      <c r="Y367" s="10" t="inlineStr">
        <is>
          <t>Not Found</t>
        </is>
      </c>
      <c r="Z367" s="10" t="inlineStr">
        <is>
          <t>Low</t>
        </is>
      </c>
      <c r="AA367" s="10" t="inlineStr">
        <is>
          <t>Requires Verification</t>
        </is>
      </c>
      <c r="AB367" s="10" t="inlineStr">
        <is>
          <t>https://m.yelp.com/biz/the-vapour-shop-paisley</t>
        </is>
      </c>
    </row>
    <row r="368">
      <c r="A368" s="5" t="inlineStr">
        <is>
          <t>UK-000395</t>
        </is>
      </c>
      <c r="B368" s="5" t="inlineStr">
        <is>
          <t>UK-000395-01</t>
        </is>
      </c>
      <c r="C368" s="5" t="inlineStr"/>
      <c r="D368" s="5" t="inlineStr">
        <is>
          <t>The Village Convenience Store</t>
        </is>
      </c>
      <c r="E368" s="5" t="inlineStr">
        <is>
          <t>Convenience Store</t>
        </is>
      </c>
      <c r="F368" s="5" t="inlineStr">
        <is>
          <t>Convenience &amp; off-licence</t>
        </is>
      </c>
      <c r="G368" s="5" t="inlineStr">
        <is>
          <t>Independent</t>
        </is>
      </c>
      <c r="H368" s="5" t="inlineStr">
        <is>
          <t>1</t>
        </is>
      </c>
      <c r="I368" s="5" t="inlineStr">
        <is>
          <t>728-730 Manchester Road</t>
        </is>
      </c>
      <c r="J368" s="5" t="inlineStr">
        <is>
          <t>Rochdale</t>
        </is>
      </c>
      <c r="K368" s="5" t="inlineStr">
        <is>
          <t>OL11 3AQ</t>
        </is>
      </c>
      <c r="L368" s="5" t="inlineStr"/>
      <c r="M368" s="5" t="inlineStr"/>
      <c r="N368" s="5" t="inlineStr"/>
      <c r="O368" s="5" t="inlineStr"/>
      <c r="P368" s="5" t="inlineStr"/>
      <c r="Q368" s="5" t="inlineStr"/>
      <c r="R368" s="5" t="inlineStr"/>
      <c r="S368" s="5" t="inlineStr"/>
      <c r="T368" s="5" t="inlineStr"/>
      <c r="U368" s="5" t="inlineStr"/>
      <c r="V368" s="5" t="inlineStr">
        <is>
          <t>Low</t>
        </is>
      </c>
      <c r="W368" s="5" t="inlineStr">
        <is>
          <t>Independent retailer; Relevant category</t>
        </is>
      </c>
      <c r="X368" s="5" t="inlineStr">
        <is>
          <t>Not Found</t>
        </is>
      </c>
      <c r="Y368" s="5" t="inlineStr">
        <is>
          <t>Not Found</t>
        </is>
      </c>
      <c r="Z368" s="5" t="inlineStr">
        <is>
          <t>Low</t>
        </is>
      </c>
      <c r="AA368" s="5" t="inlineStr">
        <is>
          <t>Requires Verification</t>
        </is>
      </c>
      <c r="AB368" s="5" t="inlineStr">
        <is>
          <t>https://heywood.cylex-uk.co.uk/company/the-village-convenience-store-14674727.html</t>
        </is>
      </c>
    </row>
    <row r="369">
      <c r="A369" s="10" t="inlineStr">
        <is>
          <t>WY-0163</t>
        </is>
      </c>
      <c r="B369" s="10" t="inlineStr">
        <is>
          <t>WY-0163-01</t>
        </is>
      </c>
      <c r="C369" s="10" t="inlineStr"/>
      <c r="D369" s="10" t="inlineStr">
        <is>
          <t>The Vintage Vapour Co</t>
        </is>
      </c>
      <c r="E369" s="10" t="inlineStr">
        <is>
          <t>Vape Shop</t>
        </is>
      </c>
      <c r="F369" s="10" t="inlineStr">
        <is>
          <t>Vape retailer</t>
        </is>
      </c>
      <c r="G369" s="10" t="inlineStr">
        <is>
          <t>Independent</t>
        </is>
      </c>
      <c r="H369" s="10" t="inlineStr">
        <is>
          <t>1</t>
        </is>
      </c>
      <c r="I369" s="10" t="inlineStr">
        <is>
          <t>12 Town End</t>
        </is>
      </c>
      <c r="J369" s="10" t="inlineStr">
        <is>
          <t>Ossett</t>
        </is>
      </c>
      <c r="K369" s="10" t="inlineStr">
        <is>
          <t>WF5 8BJ</t>
        </is>
      </c>
      <c r="L369" s="10" t="inlineStr"/>
      <c r="M369" s="10" t="inlineStr"/>
      <c r="N369" s="10" t="inlineStr"/>
      <c r="O369" s="10" t="inlineStr"/>
      <c r="P369" s="10" t="inlineStr"/>
      <c r="Q369" s="10" t="inlineStr"/>
      <c r="R369" s="10" t="inlineStr"/>
      <c r="S369" s="10" t="inlineStr"/>
      <c r="T369" s="10" t="inlineStr"/>
      <c r="U369" s="10" t="inlineStr"/>
      <c r="V369" s="10" t="inlineStr">
        <is>
          <t>Medium</t>
        </is>
      </c>
      <c r="W369" s="10" t="inlineStr">
        <is>
          <t>Independent retailer; Core relevant category</t>
        </is>
      </c>
      <c r="X369" s="10" t="inlineStr">
        <is>
          <t>Not Found</t>
        </is>
      </c>
      <c r="Y369" s="10" t="inlineStr">
        <is>
          <t>Not Found</t>
        </is>
      </c>
      <c r="Z369" s="10" t="inlineStr">
        <is>
          <t>Low</t>
        </is>
      </c>
      <c r="AA369" s="10" t="inlineStr">
        <is>
          <t>Requires Verification</t>
        </is>
      </c>
      <c r="AB369" s="10" t="inlineStr">
        <is>
          <t>https://vapegeezer.co.uk/vape-shop-directory/locations/west-yorkshire/</t>
        </is>
      </c>
    </row>
    <row r="370">
      <c r="A370" s="5" t="inlineStr">
        <is>
          <t>UK-000829</t>
        </is>
      </c>
      <c r="B370" s="5" t="inlineStr">
        <is>
          <t>UK-000829-01</t>
        </is>
      </c>
      <c r="C370" s="5" t="inlineStr"/>
      <c r="D370" s="5" t="inlineStr">
        <is>
          <t>The Wine Lodge</t>
        </is>
      </c>
      <c r="E370" s="5" t="inlineStr">
        <is>
          <t>Off-Licence</t>
        </is>
      </c>
      <c r="F370" s="5" t="inlineStr">
        <is>
          <t>Off-licence / wines &amp; spirits</t>
        </is>
      </c>
      <c r="G370" s="5" t="inlineStr">
        <is>
          <t>Independent</t>
        </is>
      </c>
      <c r="H370" s="5" t="inlineStr">
        <is>
          <t>1</t>
        </is>
      </c>
      <c r="I370" s="5" t="inlineStr">
        <is>
          <t>159-161 Lodge Lane</t>
        </is>
      </c>
      <c r="J370" s="5" t="inlineStr">
        <is>
          <t>Liverpool</t>
        </is>
      </c>
      <c r="K370" s="5" t="inlineStr">
        <is>
          <t>L8 0QQ</t>
        </is>
      </c>
      <c r="L370" s="5" t="inlineStr"/>
      <c r="M370" s="5" t="inlineStr"/>
      <c r="N370" s="5" t="inlineStr"/>
      <c r="O370" s="5" t="inlineStr"/>
      <c r="P370" s="5" t="inlineStr"/>
      <c r="Q370" s="5" t="inlineStr"/>
      <c r="R370" s="5" t="inlineStr"/>
      <c r="S370" s="5" t="inlineStr"/>
      <c r="T370" s="5" t="inlineStr"/>
      <c r="U370" s="5" t="inlineStr"/>
      <c r="V370" s="5" t="inlineStr">
        <is>
          <t>Low</t>
        </is>
      </c>
      <c r="W370" s="5" t="inlineStr">
        <is>
          <t>Independent retailer; Relevant category</t>
        </is>
      </c>
      <c r="X370" s="5" t="inlineStr">
        <is>
          <t>Not Found</t>
        </is>
      </c>
      <c r="Y370" s="5" t="inlineStr">
        <is>
          <t>Not Found</t>
        </is>
      </c>
      <c r="Z370" s="5" t="inlineStr">
        <is>
          <t>Low</t>
        </is>
      </c>
      <c r="AA370" s="5" t="inlineStr">
        <is>
          <t>Requires Verification</t>
        </is>
      </c>
      <c r="AB370" s="5" t="inlineStr">
        <is>
          <t>https://www.yell.com/biz/the-wine-lodge-liverpool-1268926/</t>
        </is>
      </c>
    </row>
    <row r="371">
      <c r="A371" s="10" t="inlineStr">
        <is>
          <t>WY-0166</t>
        </is>
      </c>
      <c r="B371" s="10" t="inlineStr">
        <is>
          <t>WY-0166-01</t>
        </is>
      </c>
      <c r="C371" s="10" t="inlineStr"/>
      <c r="D371" s="10" t="inlineStr">
        <is>
          <t>Told Vape Co</t>
        </is>
      </c>
      <c r="E371" s="10" t="inlineStr">
        <is>
          <t>Vape Shop</t>
        </is>
      </c>
      <c r="F371" s="10" t="inlineStr">
        <is>
          <t>Vape retailer</t>
        </is>
      </c>
      <c r="G371" s="10" t="inlineStr">
        <is>
          <t>Independent</t>
        </is>
      </c>
      <c r="H371" s="10" t="inlineStr">
        <is>
          <t>1</t>
        </is>
      </c>
      <c r="I371" s="10" t="inlineStr">
        <is>
          <t>29 Queen Street</t>
        </is>
      </c>
      <c r="J371" s="10" t="inlineStr">
        <is>
          <t>Horbury</t>
        </is>
      </c>
      <c r="K371" s="10" t="inlineStr">
        <is>
          <t>WF4 6LP</t>
        </is>
      </c>
      <c r="L371" s="10" t="inlineStr"/>
      <c r="M371" s="10" t="inlineStr"/>
      <c r="N371" s="10" t="inlineStr"/>
      <c r="O371" s="10" t="inlineStr"/>
      <c r="P371" s="10" t="inlineStr"/>
      <c r="Q371" s="10" t="inlineStr"/>
      <c r="R371" s="10" t="inlineStr"/>
      <c r="S371" s="10" t="inlineStr"/>
      <c r="T371" s="10" t="inlineStr"/>
      <c r="U371" s="10" t="inlineStr"/>
      <c r="V371" s="10" t="inlineStr">
        <is>
          <t>Medium</t>
        </is>
      </c>
      <c r="W371" s="10" t="inlineStr">
        <is>
          <t>Independent retailer; Core relevant category</t>
        </is>
      </c>
      <c r="X371" s="10" t="inlineStr">
        <is>
          <t>Not Found</t>
        </is>
      </c>
      <c r="Y371" s="10" t="inlineStr">
        <is>
          <t>Not Found</t>
        </is>
      </c>
      <c r="Z371" s="10" t="inlineStr">
        <is>
          <t>Medium</t>
        </is>
      </c>
      <c r="AA371" s="10" t="inlineStr">
        <is>
          <t>Requires Verification</t>
        </is>
      </c>
      <c r="AB371" s="10" t="inlineStr">
        <is>
          <t>https://ecigdirectory.co.uk/vape-shop/listing/told-vape-co</t>
        </is>
      </c>
    </row>
    <row r="372">
      <c r="A372" s="5" t="inlineStr">
        <is>
          <t>UK-000526</t>
        </is>
      </c>
      <c r="B372" s="5" t="inlineStr">
        <is>
          <t>UK-000526-01</t>
        </is>
      </c>
      <c r="C372" s="5" t="inlineStr"/>
      <c r="D372" s="5" t="inlineStr">
        <is>
          <t>Toor Supermarket</t>
        </is>
      </c>
      <c r="E372" s="5" t="inlineStr">
        <is>
          <t>Independent Supermarket</t>
        </is>
      </c>
      <c r="F372" s="5" t="inlineStr">
        <is>
          <t>South Asian / world food supermarket</t>
        </is>
      </c>
      <c r="G372" s="5" t="inlineStr">
        <is>
          <t>Independent</t>
        </is>
      </c>
      <c r="H372" s="5" t="inlineStr">
        <is>
          <t>1</t>
        </is>
      </c>
      <c r="I372" s="5" t="inlineStr"/>
      <c r="J372" s="5" t="inlineStr">
        <is>
          <t>Smethwick</t>
        </is>
      </c>
      <c r="K372" s="5" t="inlineStr"/>
      <c r="L372" s="5" t="inlineStr"/>
      <c r="M372" s="5" t="inlineStr"/>
      <c r="N372" s="5" t="inlineStr"/>
      <c r="O372" s="5" t="inlineStr"/>
      <c r="P372" s="5" t="inlineStr"/>
      <c r="Q372" s="5" t="inlineStr"/>
      <c r="R372" s="5" t="inlineStr"/>
      <c r="S372" s="5" t="inlineStr"/>
      <c r="T372" s="5" t="inlineStr"/>
      <c r="U372" s="5" t="inlineStr"/>
      <c r="V372" s="5" t="inlineStr">
        <is>
          <t>Low</t>
        </is>
      </c>
      <c r="W372" s="5" t="inlineStr">
        <is>
          <t>Independent retailer; Relevant category</t>
        </is>
      </c>
      <c r="X372" s="5" t="inlineStr">
        <is>
          <t>Not Found</t>
        </is>
      </c>
      <c r="Y372" s="5" t="inlineStr">
        <is>
          <t>Not Found</t>
        </is>
      </c>
      <c r="Z372" s="5" t="inlineStr">
        <is>
          <t>Low</t>
        </is>
      </c>
      <c r="AA372" s="5" t="inlineStr">
        <is>
          <t>Requires Verification</t>
        </is>
      </c>
      <c r="AB372" s="5" t="inlineStr">
        <is>
          <t>https://www.yelp.com/search?find_desc=Asian+Supermarket&amp;find_loc=Smethwick%2C+West+Midlands</t>
        </is>
      </c>
    </row>
    <row r="373">
      <c r="A373" s="10" t="inlineStr">
        <is>
          <t>WY-0167</t>
        </is>
      </c>
      <c r="B373" s="10" t="inlineStr">
        <is>
          <t>WY-0167-01</t>
        </is>
      </c>
      <c r="C373" s="10" t="inlineStr"/>
      <c r="D373" s="10" t="inlineStr">
        <is>
          <t>Top Shelf Off Licence</t>
        </is>
      </c>
      <c r="E373" s="10" t="inlineStr">
        <is>
          <t>Off-Licence</t>
        </is>
      </c>
      <c r="F373" s="10" t="inlineStr">
        <is>
          <t>Off-licence</t>
        </is>
      </c>
      <c r="G373" s="10" t="inlineStr">
        <is>
          <t>Independent</t>
        </is>
      </c>
      <c r="H373" s="10" t="inlineStr">
        <is>
          <t>1</t>
        </is>
      </c>
      <c r="I373" s="10" t="inlineStr">
        <is>
          <t>557 Leeds Road</t>
        </is>
      </c>
      <c r="J373" s="10" t="inlineStr">
        <is>
          <t>Wakefield</t>
        </is>
      </c>
      <c r="K373" s="10" t="inlineStr">
        <is>
          <t>WF1 2JL</t>
        </is>
      </c>
      <c r="L373" s="10" t="inlineStr"/>
      <c r="M373" s="10" t="inlineStr"/>
      <c r="N373" s="10" t="inlineStr"/>
      <c r="O373" s="10" t="inlineStr"/>
      <c r="P373" s="10" t="inlineStr"/>
      <c r="Q373" s="10" t="inlineStr"/>
      <c r="R373" s="10" t="inlineStr"/>
      <c r="S373" s="10" t="inlineStr"/>
      <c r="T373" s="10" t="inlineStr"/>
      <c r="U373" s="10" t="inlineStr"/>
      <c r="V373" s="10" t="inlineStr">
        <is>
          <t>Low</t>
        </is>
      </c>
      <c r="W373" s="10" t="inlineStr">
        <is>
          <t>Independent retailer; Relevant category</t>
        </is>
      </c>
      <c r="X373" s="10" t="inlineStr">
        <is>
          <t>Not Found</t>
        </is>
      </c>
      <c r="Y373" s="10" t="inlineStr">
        <is>
          <t>Not Found</t>
        </is>
      </c>
      <c r="Z373" s="10" t="inlineStr">
        <is>
          <t>Low</t>
        </is>
      </c>
      <c r="AA373" s="10" t="inlineStr">
        <is>
          <t>Requires Verification</t>
        </is>
      </c>
      <c r="AB373" s="10" t="inlineStr">
        <is>
          <t>https://www.foodhygienerankings.co.uk/authorities/wakefield</t>
        </is>
      </c>
    </row>
    <row r="374">
      <c r="A374" s="5" t="inlineStr">
        <is>
          <t>WY-0168</t>
        </is>
      </c>
      <c r="B374" s="5" t="inlineStr">
        <is>
          <t>WY-0168-01</t>
        </is>
      </c>
      <c r="C374" s="5" t="inlineStr"/>
      <c r="D374" s="5" t="inlineStr">
        <is>
          <t>Turners Food &amp; Wine</t>
        </is>
      </c>
      <c r="E374" s="5" t="inlineStr">
        <is>
          <t>Convenience Store</t>
        </is>
      </c>
      <c r="F374" s="5" t="inlineStr">
        <is>
          <t>Convenience store with off-licence</t>
        </is>
      </c>
      <c r="G374" s="5" t="inlineStr">
        <is>
          <t>Independent</t>
        </is>
      </c>
      <c r="H374" s="5" t="inlineStr">
        <is>
          <t>1</t>
        </is>
      </c>
      <c r="I374" s="5" t="inlineStr"/>
      <c r="J374" s="5" t="inlineStr">
        <is>
          <t>Leeds</t>
        </is>
      </c>
      <c r="K374" s="5" t="inlineStr"/>
      <c r="L374" s="5" t="inlineStr"/>
      <c r="M374" s="5" t="inlineStr"/>
      <c r="N374" s="5" t="inlineStr"/>
      <c r="O374" s="5" t="inlineStr"/>
      <c r="P374" s="5" t="inlineStr"/>
      <c r="Q374" s="5" t="inlineStr"/>
      <c r="R374" s="5" t="inlineStr"/>
      <c r="S374" s="5" t="inlineStr"/>
      <c r="T374" s="5" t="inlineStr"/>
      <c r="U374" s="5" t="inlineStr"/>
      <c r="V374" s="5" t="inlineStr">
        <is>
          <t>Low</t>
        </is>
      </c>
      <c r="W374" s="5" t="inlineStr">
        <is>
          <t>Independent retailer; Relevant category</t>
        </is>
      </c>
      <c r="X374" s="5" t="inlineStr">
        <is>
          <t>Not Found</t>
        </is>
      </c>
      <c r="Y374" s="5" t="inlineStr">
        <is>
          <t>Not Found</t>
        </is>
      </c>
      <c r="Z374" s="5" t="inlineStr">
        <is>
          <t>Low</t>
        </is>
      </c>
      <c r="AA374" s="5" t="inlineStr">
        <is>
          <t>Requires Verification</t>
        </is>
      </c>
      <c r="AB374" s="5" t="inlineStr">
        <is>
          <t>https://www.yorkshire.com/leeds/shopping/off-license</t>
        </is>
      </c>
    </row>
    <row r="375">
      <c r="A375" s="10" t="inlineStr">
        <is>
          <t>UK-000396</t>
        </is>
      </c>
      <c r="B375" s="10" t="inlineStr">
        <is>
          <t>UK-000396-01</t>
        </is>
      </c>
      <c r="C375" s="10" t="inlineStr"/>
      <c r="D375" s="10" t="inlineStr">
        <is>
          <t>Two Apples Restaurant &amp; Shisha Lounge</t>
        </is>
      </c>
      <c r="E375" s="10" t="inlineStr">
        <is>
          <t>Smoke / Shisha Shop</t>
        </is>
      </c>
      <c r="F375" s="10" t="inlineStr">
        <is>
          <t>Restaurant &amp; shisha lounge</t>
        </is>
      </c>
      <c r="G375" s="10" t="inlineStr">
        <is>
          <t>Independent</t>
        </is>
      </c>
      <c r="H375" s="10" t="inlineStr">
        <is>
          <t>1</t>
        </is>
      </c>
      <c r="I375" s="10" t="inlineStr">
        <is>
          <t>The Queens, 341 Rochdale Road</t>
        </is>
      </c>
      <c r="J375" s="10" t="inlineStr">
        <is>
          <t>Oldham</t>
        </is>
      </c>
      <c r="K375" s="10" t="inlineStr">
        <is>
          <t>OL1 2HD</t>
        </is>
      </c>
      <c r="L375" s="10" t="inlineStr"/>
      <c r="M375" s="10" t="inlineStr"/>
      <c r="N375" s="10" t="inlineStr"/>
      <c r="O375" s="10" t="inlineStr"/>
      <c r="P375" s="10" t="inlineStr"/>
      <c r="Q375" s="10" t="inlineStr"/>
      <c r="R375" s="10" t="inlineStr"/>
      <c r="S375" s="10" t="inlineStr"/>
      <c r="T375" s="10" t="inlineStr"/>
      <c r="U375" s="10" t="inlineStr"/>
      <c r="V375" s="10" t="inlineStr">
        <is>
          <t>Medium</t>
        </is>
      </c>
      <c r="W375" s="10" t="inlineStr">
        <is>
          <t>Independent retailer; Core relevant category</t>
        </is>
      </c>
      <c r="X375" s="10" t="inlineStr">
        <is>
          <t>Not Found</t>
        </is>
      </c>
      <c r="Y375" s="10" t="inlineStr">
        <is>
          <t>Not Found</t>
        </is>
      </c>
      <c r="Z375" s="10" t="inlineStr">
        <is>
          <t>Low</t>
        </is>
      </c>
      <c r="AA375" s="10" t="inlineStr">
        <is>
          <t>Requires Verification</t>
        </is>
      </c>
      <c r="AB375" s="10" t="inlineStr">
        <is>
          <t>https://shisha.com/listing/shisha-bar-lounge-two-apples-restaurant-oldham/</t>
        </is>
      </c>
    </row>
    <row r="376">
      <c r="A376" s="5" t="inlineStr">
        <is>
          <t>WY-0169</t>
        </is>
      </c>
      <c r="B376" s="5" t="inlineStr">
        <is>
          <t>WY-0169-01</t>
        </is>
      </c>
      <c r="C376" s="5" t="inlineStr"/>
      <c r="D376" s="5" t="inlineStr">
        <is>
          <t>Tylor's Booze</t>
        </is>
      </c>
      <c r="E376" s="5" t="inlineStr">
        <is>
          <t>Off-Licence</t>
        </is>
      </c>
      <c r="F376" s="5" t="inlineStr">
        <is>
          <t>Off-licence</t>
        </is>
      </c>
      <c r="G376" s="5" t="inlineStr">
        <is>
          <t>Independent</t>
        </is>
      </c>
      <c r="H376" s="5" t="inlineStr">
        <is>
          <t>1</t>
        </is>
      </c>
      <c r="I376" s="5" t="inlineStr">
        <is>
          <t>33 Albion Street</t>
        </is>
      </c>
      <c r="J376" s="5" t="inlineStr">
        <is>
          <t>Castleford</t>
        </is>
      </c>
      <c r="K376" s="5" t="inlineStr">
        <is>
          <t>WF10 1EG</t>
        </is>
      </c>
      <c r="L376" s="5" t="inlineStr"/>
      <c r="M376" s="5" t="inlineStr"/>
      <c r="N376" s="5" t="inlineStr"/>
      <c r="O376" s="5" t="inlineStr"/>
      <c r="P376" s="5" t="inlineStr"/>
      <c r="Q376" s="5" t="inlineStr"/>
      <c r="R376" s="5" t="inlineStr"/>
      <c r="S376" s="5" t="inlineStr"/>
      <c r="T376" s="5" t="inlineStr">
        <is>
          <t>12100725</t>
        </is>
      </c>
      <c r="U376" s="5" t="inlineStr">
        <is>
          <t>Active</t>
        </is>
      </c>
      <c r="V376" s="5" t="inlineStr">
        <is>
          <t>Low</t>
        </is>
      </c>
      <c r="W376" s="5" t="inlineStr">
        <is>
          <t>Independent retailer; Relevant category</t>
        </is>
      </c>
      <c r="X376" s="5" t="inlineStr">
        <is>
          <t>Not Found</t>
        </is>
      </c>
      <c r="Y376" s="5" t="inlineStr">
        <is>
          <t>Not Found</t>
        </is>
      </c>
      <c r="Z376" s="5" t="inlineStr">
        <is>
          <t>Medium</t>
        </is>
      </c>
      <c r="AA376" s="5" t="inlineStr">
        <is>
          <t>Partially Verified</t>
        </is>
      </c>
      <c r="AB376" s="5" t="inlineStr">
        <is>
          <t>https://find-and-update.company-information.service.gov.uk/company/12100725</t>
        </is>
      </c>
    </row>
    <row r="377">
      <c r="A377" s="10" t="inlineStr">
        <is>
          <t>UK-000527</t>
        </is>
      </c>
      <c r="B377" s="10" t="inlineStr">
        <is>
          <t>UK-000527-01</t>
        </is>
      </c>
      <c r="C377" s="10" t="inlineStr"/>
      <c r="D377" s="10" t="inlineStr">
        <is>
          <t>U Wish Lounge</t>
        </is>
      </c>
      <c r="E377" s="10" t="inlineStr">
        <is>
          <t>Smoke / Shisha Shop</t>
        </is>
      </c>
      <c r="F377" s="10" t="inlineStr">
        <is>
          <t>Shisha lounge</t>
        </is>
      </c>
      <c r="G377" s="10" t="inlineStr">
        <is>
          <t>Independent</t>
        </is>
      </c>
      <c r="H377" s="10" t="inlineStr">
        <is>
          <t>1</t>
        </is>
      </c>
      <c r="I377" s="10" t="inlineStr">
        <is>
          <t>81 Eyre Street</t>
        </is>
      </c>
      <c r="J377" s="10" t="inlineStr">
        <is>
          <t>Birmingham</t>
        </is>
      </c>
      <c r="K377" s="10" t="inlineStr"/>
      <c r="L377" s="10" t="inlineStr"/>
      <c r="M377" s="10" t="inlineStr"/>
      <c r="N377" s="10" t="inlineStr"/>
      <c r="O377" s="10" t="inlineStr">
        <is>
          <t>https://uwishlounge.co.uk/</t>
        </is>
      </c>
      <c r="P377" s="10" t="inlineStr"/>
      <c r="Q377" s="10" t="inlineStr"/>
      <c r="R377" s="10" t="inlineStr"/>
      <c r="S377" s="10" t="inlineStr"/>
      <c r="T377" s="10" t="inlineStr"/>
      <c r="U377" s="10" t="inlineStr"/>
      <c r="V377" s="10" t="inlineStr">
        <is>
          <t>Medium</t>
        </is>
      </c>
      <c r="W377" s="10" t="inlineStr">
        <is>
          <t>Independent retailer; Core relevant category; Active website</t>
        </is>
      </c>
      <c r="X377" s="10" t="inlineStr">
        <is>
          <t>Not Found</t>
        </is>
      </c>
      <c r="Y377" s="10" t="inlineStr">
        <is>
          <t>Website Found</t>
        </is>
      </c>
      <c r="Z377" s="10" t="inlineStr">
        <is>
          <t>Low</t>
        </is>
      </c>
      <c r="AA377" s="10" t="inlineStr">
        <is>
          <t>Requires Verification</t>
        </is>
      </c>
      <c r="AB377" s="10" t="inlineStr">
        <is>
          <t>https://uwishlounge.co.uk/</t>
        </is>
      </c>
    </row>
    <row r="378">
      <c r="A378" s="5" t="inlineStr">
        <is>
          <t>UK-000528</t>
        </is>
      </c>
      <c r="B378" s="5" t="inlineStr">
        <is>
          <t>UK-000528-01</t>
        </is>
      </c>
      <c r="C378" s="5" t="inlineStr"/>
      <c r="D378" s="5" t="inlineStr">
        <is>
          <t>Ultimate Vape Lounge - Stourbridge</t>
        </is>
      </c>
      <c r="E378" s="5" t="inlineStr">
        <is>
          <t>Vape Shop</t>
        </is>
      </c>
      <c r="F378" s="5" t="inlineStr">
        <is>
          <t>Vape lounge, e-liquids &amp; hardware</t>
        </is>
      </c>
      <c r="G378" s="5" t="inlineStr">
        <is>
          <t>Independent</t>
        </is>
      </c>
      <c r="H378" s="5" t="inlineStr">
        <is>
          <t>1</t>
        </is>
      </c>
      <c r="I378" s="5" t="inlineStr"/>
      <c r="J378" s="5" t="inlineStr">
        <is>
          <t>Stourbridge</t>
        </is>
      </c>
      <c r="K378" s="5" t="inlineStr"/>
      <c r="L378" s="5" t="inlineStr"/>
      <c r="M378" s="5" t="inlineStr"/>
      <c r="N378" s="5" t="inlineStr"/>
      <c r="O378" s="5" t="inlineStr"/>
      <c r="P378" s="5" t="inlineStr">
        <is>
          <t>https://www.facebook.com/ultimatevapeloungestourbridge/</t>
        </is>
      </c>
      <c r="Q378" s="5" t="inlineStr"/>
      <c r="R378" s="5" t="inlineStr"/>
      <c r="S378" s="5" t="inlineStr"/>
      <c r="T378" s="5" t="inlineStr"/>
      <c r="U378" s="5" t="inlineStr"/>
      <c r="V378" s="5" t="inlineStr">
        <is>
          <t>Medium</t>
        </is>
      </c>
      <c r="W378" s="5" t="inlineStr">
        <is>
          <t>Independent retailer; Core relevant category; Social presence</t>
        </is>
      </c>
      <c r="X378" s="5" t="inlineStr">
        <is>
          <t>Not Found</t>
        </is>
      </c>
      <c r="Y378" s="5" t="inlineStr">
        <is>
          <t>Not Found</t>
        </is>
      </c>
      <c r="Z378" s="5" t="inlineStr">
        <is>
          <t>Low</t>
        </is>
      </c>
      <c r="AA378" s="5" t="inlineStr">
        <is>
          <t>Requires Verification</t>
        </is>
      </c>
      <c r="AB378" s="5" t="inlineStr">
        <is>
          <t>https://www.facebook.com/ultimatevapeloungestourbridge/</t>
        </is>
      </c>
    </row>
    <row r="379">
      <c r="A379" s="10" t="inlineStr">
        <is>
          <t>UK-000529</t>
        </is>
      </c>
      <c r="B379" s="10" t="inlineStr">
        <is>
          <t>UK-000529-01</t>
        </is>
      </c>
      <c r="C379" s="10" t="inlineStr"/>
      <c r="D379" s="10" t="inlineStr">
        <is>
          <t>Ultimate Vapes Acocks Green</t>
        </is>
      </c>
      <c r="E379" s="10" t="inlineStr">
        <is>
          <t>Vape Shop</t>
        </is>
      </c>
      <c r="F379" s="10" t="inlineStr">
        <is>
          <t>Vape hardware and e-liquid retailer</t>
        </is>
      </c>
      <c r="G379" s="10" t="inlineStr">
        <is>
          <t>Independent</t>
        </is>
      </c>
      <c r="H379" s="10" t="inlineStr">
        <is>
          <t>1</t>
        </is>
      </c>
      <c r="I379" s="10" t="inlineStr">
        <is>
          <t>1093 Warwick Road</t>
        </is>
      </c>
      <c r="J379" s="10" t="inlineStr">
        <is>
          <t>Birmingham</t>
        </is>
      </c>
      <c r="K379" s="10" t="inlineStr">
        <is>
          <t>B27 6QT</t>
        </is>
      </c>
      <c r="L379" s="10" t="inlineStr"/>
      <c r="M379" s="10" t="inlineStr"/>
      <c r="N379" s="10" t="inlineStr"/>
      <c r="O379" s="10" t="inlineStr"/>
      <c r="P379" s="10" t="inlineStr"/>
      <c r="Q379" s="10" t="inlineStr"/>
      <c r="R379" s="10" t="inlineStr"/>
      <c r="S379" s="10" t="inlineStr"/>
      <c r="T379" s="10" t="inlineStr"/>
      <c r="U379" s="10" t="inlineStr"/>
      <c r="V379" s="10" t="inlineStr">
        <is>
          <t>Medium</t>
        </is>
      </c>
      <c r="W379" s="10" t="inlineStr">
        <is>
          <t>Independent retailer; Core relevant category</t>
        </is>
      </c>
      <c r="X379" s="10" t="inlineStr">
        <is>
          <t>Not Found</t>
        </is>
      </c>
      <c r="Y379" s="10" t="inlineStr">
        <is>
          <t>Not Found</t>
        </is>
      </c>
      <c r="Z379" s="10" t="inlineStr">
        <is>
          <t>Low</t>
        </is>
      </c>
      <c r="AA379" s="10" t="inlineStr">
        <is>
          <t>Requires Verification</t>
        </is>
      </c>
      <c r="AB379" s="10" t="inlineStr">
        <is>
          <t>https://acocks-green.cylex-uk.co.uk/company/ultimate-vapes-acocks-green-28300869.html</t>
        </is>
      </c>
    </row>
    <row r="380">
      <c r="A380" s="5" t="inlineStr">
        <is>
          <t>WY-0170</t>
        </is>
      </c>
      <c r="B380" s="5" t="inlineStr">
        <is>
          <t>WY-0170-01</t>
        </is>
      </c>
      <c r="C380" s="5" t="inlineStr"/>
      <c r="D380" s="5" t="inlineStr">
        <is>
          <t>Umrah Supermarket</t>
        </is>
      </c>
      <c r="E380" s="5" t="inlineStr">
        <is>
          <t>Independent Supermarket</t>
        </is>
      </c>
      <c r="F380" s="5" t="inlineStr">
        <is>
          <t>South Asian, Middle Eastern and African foods supermarket</t>
        </is>
      </c>
      <c r="G380" s="5" t="inlineStr">
        <is>
          <t>Independent</t>
        </is>
      </c>
      <c r="H380" s="5" t="inlineStr">
        <is>
          <t>1</t>
        </is>
      </c>
      <c r="I380" s="5" t="inlineStr">
        <is>
          <t>Trinity Street</t>
        </is>
      </c>
      <c r="J380" s="5" t="inlineStr">
        <is>
          <t>Huddersfield</t>
        </is>
      </c>
      <c r="K380" s="5" t="inlineStr"/>
      <c r="L380" s="5" t="inlineStr"/>
      <c r="M380" s="5" t="inlineStr"/>
      <c r="N380" s="5" t="inlineStr"/>
      <c r="O380" s="5" t="inlineStr"/>
      <c r="P380" s="5" t="inlineStr">
        <is>
          <t>https://www.facebook.com/p/Umrah-Supermarket-Huddersfield-61555683256072/</t>
        </is>
      </c>
      <c r="Q380" s="5" t="inlineStr"/>
      <c r="R380" s="5" t="inlineStr"/>
      <c r="S380" s="5" t="inlineStr"/>
      <c r="T380" s="5" t="inlineStr"/>
      <c r="U380" s="5" t="inlineStr"/>
      <c r="V380" s="5" t="inlineStr">
        <is>
          <t>Medium</t>
        </is>
      </c>
      <c r="W380" s="5" t="inlineStr">
        <is>
          <t>Independent retailer; Relevant category; Social presence</t>
        </is>
      </c>
      <c r="X380" s="5" t="inlineStr">
        <is>
          <t>Not Found</t>
        </is>
      </c>
      <c r="Y380" s="5" t="inlineStr">
        <is>
          <t>Not Found</t>
        </is>
      </c>
      <c r="Z380" s="5" t="inlineStr">
        <is>
          <t>Low</t>
        </is>
      </c>
      <c r="AA380" s="5" t="inlineStr">
        <is>
          <t>Requires Verification</t>
        </is>
      </c>
      <c r="AB380" s="5" t="inlineStr">
        <is>
          <t>https://www.facebook.com/p/Umrah-Supermarket-Huddersfield-61555683256072/</t>
        </is>
      </c>
    </row>
    <row r="381">
      <c r="A381" s="10" t="inlineStr">
        <is>
          <t>UK-000830</t>
        </is>
      </c>
      <c r="B381" s="10" t="inlineStr">
        <is>
          <t>UK-000830-01</t>
        </is>
      </c>
      <c r="C381" s="10" t="inlineStr"/>
      <c r="D381" s="10" t="inlineStr">
        <is>
          <t>Umrah Supermarket</t>
        </is>
      </c>
      <c r="E381" s="10" t="inlineStr">
        <is>
          <t>Independent Supermarket</t>
        </is>
      </c>
      <c r="F381" s="10" t="inlineStr">
        <is>
          <t>World-food / international supermarket</t>
        </is>
      </c>
      <c r="G381" s="10" t="inlineStr">
        <is>
          <t>Independent</t>
        </is>
      </c>
      <c r="H381" s="10" t="inlineStr">
        <is>
          <t>1</t>
        </is>
      </c>
      <c r="I381" s="10" t="inlineStr">
        <is>
          <t>22 Lodge Lane</t>
        </is>
      </c>
      <c r="J381" s="10" t="inlineStr">
        <is>
          <t>Liverpool</t>
        </is>
      </c>
      <c r="K381" s="10" t="inlineStr">
        <is>
          <t>L8 0QH</t>
        </is>
      </c>
      <c r="L381" s="10" t="inlineStr"/>
      <c r="M381" s="10" t="inlineStr"/>
      <c r="N381" s="10" t="inlineStr"/>
      <c r="O381" s="10" t="inlineStr"/>
      <c r="P381" s="10" t="inlineStr">
        <is>
          <t>https://www.facebook.com/61552273532708/</t>
        </is>
      </c>
      <c r="Q381" s="10" t="inlineStr"/>
      <c r="R381" s="10" t="inlineStr"/>
      <c r="S381" s="10" t="inlineStr"/>
      <c r="T381" s="10" t="inlineStr"/>
      <c r="U381" s="10" t="inlineStr"/>
      <c r="V381" s="10" t="inlineStr">
        <is>
          <t>Medium</t>
        </is>
      </c>
      <c r="W381" s="10" t="inlineStr">
        <is>
          <t>Independent retailer; Relevant category; Social presence</t>
        </is>
      </c>
      <c r="X381" s="10" t="inlineStr">
        <is>
          <t>Not Found</t>
        </is>
      </c>
      <c r="Y381" s="10" t="inlineStr">
        <is>
          <t>Not Found</t>
        </is>
      </c>
      <c r="Z381" s="10" t="inlineStr">
        <is>
          <t>Low</t>
        </is>
      </c>
      <c r="AA381" s="10" t="inlineStr">
        <is>
          <t>Requires Verification</t>
        </is>
      </c>
      <c r="AB381" s="10" t="inlineStr">
        <is>
          <t>https://www.facebook.com/61552273532708/posts/welcome-to-your-umrah-supermarket-22-lodge-lane-liverpool-l80qh-god-bless/122130130478075784/</t>
        </is>
      </c>
    </row>
    <row r="382">
      <c r="A382" s="5" t="inlineStr">
        <is>
          <t>UK-000398</t>
        </is>
      </c>
      <c r="B382" s="5" t="inlineStr">
        <is>
          <t>UK-000398-01</t>
        </is>
      </c>
      <c r="C382" s="5" t="inlineStr"/>
      <c r="D382" s="5" t="inlineStr">
        <is>
          <t>VAPE CITI (Mount Street, Manchester)</t>
        </is>
      </c>
      <c r="E382" s="5" t="inlineStr">
        <is>
          <t>Vape Shop</t>
        </is>
      </c>
      <c r="F382" s="5" t="inlineStr">
        <is>
          <t>Vape hardware, e-liquids &amp; disposables</t>
        </is>
      </c>
      <c r="G382" s="5" t="inlineStr">
        <is>
          <t>Independent</t>
        </is>
      </c>
      <c r="H382" s="5" t="inlineStr">
        <is>
          <t>1</t>
        </is>
      </c>
      <c r="I382" s="5" t="inlineStr">
        <is>
          <t>10-12 Mount Street</t>
        </is>
      </c>
      <c r="J382" s="5" t="inlineStr">
        <is>
          <t>Manchester</t>
        </is>
      </c>
      <c r="K382" s="5" t="inlineStr">
        <is>
          <t>M2 5NT</t>
        </is>
      </c>
      <c r="L382" s="5" t="inlineStr"/>
      <c r="M382" s="5" t="inlineStr"/>
      <c r="N382" s="5" t="inlineStr"/>
      <c r="O382" s="5" t="inlineStr"/>
      <c r="P382" s="5" t="inlineStr"/>
      <c r="Q382" s="5" t="inlineStr"/>
      <c r="R382" s="5" t="inlineStr"/>
      <c r="S382" s="5" t="inlineStr"/>
      <c r="T382" s="5" t="inlineStr"/>
      <c r="U382" s="5" t="inlineStr"/>
      <c r="V382" s="5" t="inlineStr">
        <is>
          <t>Medium</t>
        </is>
      </c>
      <c r="W382" s="5" t="inlineStr">
        <is>
          <t>Independent retailer; Core relevant category</t>
        </is>
      </c>
      <c r="X382" s="5" t="inlineStr">
        <is>
          <t>Not Found</t>
        </is>
      </c>
      <c r="Y382" s="5" t="inlineStr">
        <is>
          <t>Not Found</t>
        </is>
      </c>
      <c r="Z382" s="5" t="inlineStr">
        <is>
          <t>Low</t>
        </is>
      </c>
      <c r="AA382" s="5" t="inlineStr">
        <is>
          <t>Requires Verification</t>
        </is>
      </c>
      <c r="AB382" s="5" t="inlineStr">
        <is>
          <t>https://ecigdirectory.co.uk/vape-shop/listing/vape-citi-oxford-street-manchester</t>
        </is>
      </c>
    </row>
    <row r="383">
      <c r="A383" s="10" t="inlineStr">
        <is>
          <t>UK-000530</t>
        </is>
      </c>
      <c r="B383" s="10" t="inlineStr">
        <is>
          <t>UK-000530-01</t>
        </is>
      </c>
      <c r="C383" s="10" t="inlineStr"/>
      <c r="D383" s="10" t="inlineStr">
        <is>
          <t>VT Off Licence &amp; Convenience Store</t>
        </is>
      </c>
      <c r="E383" s="10" t="inlineStr">
        <is>
          <t>Off-Licence</t>
        </is>
      </c>
      <c r="F383" s="10" t="inlineStr">
        <is>
          <t>Off-licence and convenience store</t>
        </is>
      </c>
      <c r="G383" s="10" t="inlineStr">
        <is>
          <t>Independent</t>
        </is>
      </c>
      <c r="H383" s="10" t="inlineStr">
        <is>
          <t>1</t>
        </is>
      </c>
      <c r="I383" s="10" t="inlineStr">
        <is>
          <t>10 School Road</t>
        </is>
      </c>
      <c r="J383" s="10" t="inlineStr">
        <is>
          <t>Birmingham</t>
        </is>
      </c>
      <c r="K383" s="10" t="inlineStr">
        <is>
          <t>B14 4BJ</t>
        </is>
      </c>
      <c r="L383" s="10" t="inlineStr"/>
      <c r="M383" s="10" t="inlineStr"/>
      <c r="N383" s="10" t="inlineStr"/>
      <c r="O383" s="10" t="inlineStr"/>
      <c r="P383" s="10" t="inlineStr"/>
      <c r="Q383" s="10" t="inlineStr"/>
      <c r="R383" s="10" t="inlineStr"/>
      <c r="S383" s="10" t="inlineStr"/>
      <c r="T383" s="10" t="inlineStr"/>
      <c r="U383" s="10" t="inlineStr"/>
      <c r="V383" s="10" t="inlineStr">
        <is>
          <t>Low</t>
        </is>
      </c>
      <c r="W383" s="10" t="inlineStr">
        <is>
          <t>Independent retailer; Relevant category</t>
        </is>
      </c>
      <c r="X383" s="10" t="inlineStr">
        <is>
          <t>Not Found</t>
        </is>
      </c>
      <c r="Y383" s="10" t="inlineStr">
        <is>
          <t>Not Found</t>
        </is>
      </c>
      <c r="Z383" s="10" t="inlineStr">
        <is>
          <t>Low</t>
        </is>
      </c>
      <c r="AA383" s="10" t="inlineStr">
        <is>
          <t>Requires Verification</t>
        </is>
      </c>
      <c r="AB383" s="10" t="inlineStr">
        <is>
          <t>https://birmingham.cylex-uk.co.uk/company/vt-off-licence---convenience-store-27496181.html</t>
        </is>
      </c>
    </row>
    <row r="384">
      <c r="A384" s="5" t="inlineStr">
        <is>
          <t>UK-000532</t>
        </is>
      </c>
      <c r="B384" s="5" t="inlineStr">
        <is>
          <t>UK-000532-01</t>
        </is>
      </c>
      <c r="C384" s="5" t="inlineStr"/>
      <c r="D384" s="5" t="inlineStr">
        <is>
          <t>Value Vapes</t>
        </is>
      </c>
      <c r="E384" s="5" t="inlineStr">
        <is>
          <t>Vape Shop</t>
        </is>
      </c>
      <c r="F384" s="5" t="inlineStr">
        <is>
          <t>Vape hardware and e-liquid retailer</t>
        </is>
      </c>
      <c r="G384" s="5" t="inlineStr">
        <is>
          <t>Independent</t>
        </is>
      </c>
      <c r="H384" s="5" t="inlineStr">
        <is>
          <t>1</t>
        </is>
      </c>
      <c r="I384" s="5" t="inlineStr">
        <is>
          <t>278 Vicarage Road</t>
        </is>
      </c>
      <c r="J384" s="5" t="inlineStr">
        <is>
          <t>Birmingham</t>
        </is>
      </c>
      <c r="K384" s="5" t="inlineStr">
        <is>
          <t>B14 7NH</t>
        </is>
      </c>
      <c r="L384" s="5" t="inlineStr"/>
      <c r="M384" s="5" t="inlineStr"/>
      <c r="N384" s="5" t="inlineStr"/>
      <c r="O384" s="5" t="inlineStr"/>
      <c r="P384" s="5" t="inlineStr"/>
      <c r="Q384" s="5" t="inlineStr"/>
      <c r="R384" s="5" t="inlineStr"/>
      <c r="S384" s="5" t="inlineStr"/>
      <c r="T384" s="5" t="inlineStr"/>
      <c r="U384" s="5" t="inlineStr"/>
      <c r="V384" s="5" t="inlineStr">
        <is>
          <t>Medium</t>
        </is>
      </c>
      <c r="W384" s="5" t="inlineStr">
        <is>
          <t>Independent retailer; Core relevant category</t>
        </is>
      </c>
      <c r="X384" s="5" t="inlineStr">
        <is>
          <t>Not Found</t>
        </is>
      </c>
      <c r="Y384" s="5" t="inlineStr">
        <is>
          <t>Not Found</t>
        </is>
      </c>
      <c r="Z384" s="5" t="inlineStr">
        <is>
          <t>Low</t>
        </is>
      </c>
      <c r="AA384" s="5" t="inlineStr">
        <is>
          <t>Requires Verification</t>
        </is>
      </c>
      <c r="AB384" s="5" t="inlineStr">
        <is>
          <t>https://www.yell.com/biz/value-vapes-birmingham-10450779/</t>
        </is>
      </c>
    </row>
    <row r="385">
      <c r="A385" s="10" t="inlineStr">
        <is>
          <t>UK-000399</t>
        </is>
      </c>
      <c r="B385" s="10" t="inlineStr">
        <is>
          <t>UK-000399-01</t>
        </is>
      </c>
      <c r="C385" s="10" t="inlineStr"/>
      <c r="D385" s="10" t="inlineStr">
        <is>
          <t>Vape &amp; Mobiles (Fallowfield, Manchester)</t>
        </is>
      </c>
      <c r="E385" s="10" t="inlineStr">
        <is>
          <t>Vape Shop</t>
        </is>
      </c>
      <c r="F385" s="10" t="inlineStr">
        <is>
          <t>Vape &amp; mobile phone accessories</t>
        </is>
      </c>
      <c r="G385" s="10" t="inlineStr">
        <is>
          <t>Independent</t>
        </is>
      </c>
      <c r="H385" s="10" t="inlineStr">
        <is>
          <t>1</t>
        </is>
      </c>
      <c r="I385" s="10" t="inlineStr">
        <is>
          <t>Sherwood Centre, 268 Wilmslow Road</t>
        </is>
      </c>
      <c r="J385" s="10" t="inlineStr">
        <is>
          <t>Manchester</t>
        </is>
      </c>
      <c r="K385" s="10" t="inlineStr">
        <is>
          <t>M14 6JR</t>
        </is>
      </c>
      <c r="L385" s="10" t="inlineStr"/>
      <c r="M385" s="10" t="inlineStr"/>
      <c r="N385" s="10" t="inlineStr"/>
      <c r="O385" s="10" t="inlineStr"/>
      <c r="P385" s="10" t="inlineStr"/>
      <c r="Q385" s="10" t="inlineStr"/>
      <c r="R385" s="10" t="inlineStr"/>
      <c r="S385" s="10" t="inlineStr"/>
      <c r="T385" s="10" t="inlineStr"/>
      <c r="U385" s="10" t="inlineStr"/>
      <c r="V385" s="10" t="inlineStr">
        <is>
          <t>Medium</t>
        </is>
      </c>
      <c r="W385" s="10" t="inlineStr">
        <is>
          <t>Independent retailer; Core relevant category</t>
        </is>
      </c>
      <c r="X385" s="10" t="inlineStr">
        <is>
          <t>Not Found</t>
        </is>
      </c>
      <c r="Y385" s="10" t="inlineStr">
        <is>
          <t>Not Found</t>
        </is>
      </c>
      <c r="Z385" s="10" t="inlineStr">
        <is>
          <t>Low</t>
        </is>
      </c>
      <c r="AA385" s="10" t="inlineStr">
        <is>
          <t>Requires Verification</t>
        </is>
      </c>
      <c r="AB385" s="10" t="inlineStr">
        <is>
          <t>https://vape-mobiles.wheree.com/</t>
        </is>
      </c>
    </row>
    <row r="386">
      <c r="A386" s="5" t="inlineStr">
        <is>
          <t>UK-000400</t>
        </is>
      </c>
      <c r="B386" s="5" t="inlineStr">
        <is>
          <t>UK-000400-01</t>
        </is>
      </c>
      <c r="C386" s="5" t="inlineStr"/>
      <c r="D386" s="5" t="inlineStr">
        <is>
          <t>Vape 360 (Withington, Manchester)</t>
        </is>
      </c>
      <c r="E386" s="5" t="inlineStr">
        <is>
          <t>Vape Shop</t>
        </is>
      </c>
      <c r="F386" s="5" t="inlineStr">
        <is>
          <t>Vape hardware, e-liquids &amp; disposables</t>
        </is>
      </c>
      <c r="G386" s="5" t="inlineStr">
        <is>
          <t>Independent</t>
        </is>
      </c>
      <c r="H386" s="5" t="inlineStr">
        <is>
          <t>1</t>
        </is>
      </c>
      <c r="I386" s="5" t="inlineStr">
        <is>
          <t>488 Wilmslow Road</t>
        </is>
      </c>
      <c r="J386" s="5" t="inlineStr">
        <is>
          <t>Manchester</t>
        </is>
      </c>
      <c r="K386" s="5" t="inlineStr">
        <is>
          <t>M20 3BG</t>
        </is>
      </c>
      <c r="L386" s="5" t="inlineStr"/>
      <c r="M386" s="5" t="inlineStr"/>
      <c r="N386" s="5" t="inlineStr"/>
      <c r="O386" s="5" t="inlineStr"/>
      <c r="P386" s="5" t="inlineStr"/>
      <c r="Q386" s="5" t="inlineStr"/>
      <c r="R386" s="5" t="inlineStr"/>
      <c r="S386" s="5" t="inlineStr"/>
      <c r="T386" s="5" t="inlineStr"/>
      <c r="U386" s="5" t="inlineStr"/>
      <c r="V386" s="5" t="inlineStr">
        <is>
          <t>Medium</t>
        </is>
      </c>
      <c r="W386" s="5" t="inlineStr">
        <is>
          <t>Independent retailer; Core relevant category</t>
        </is>
      </c>
      <c r="X386" s="5" t="inlineStr">
        <is>
          <t>Not Found</t>
        </is>
      </c>
      <c r="Y386" s="5" t="inlineStr">
        <is>
          <t>Not Found</t>
        </is>
      </c>
      <c r="Z386" s="5" t="inlineStr">
        <is>
          <t>Low</t>
        </is>
      </c>
      <c r="AA386" s="5" t="inlineStr">
        <is>
          <t>Requires Verification</t>
        </is>
      </c>
      <c r="AB386" s="5" t="inlineStr">
        <is>
          <t>https://manchester.cylex-uk.co.uk/company/vape-360-withington-manchester-28423693.html</t>
        </is>
      </c>
    </row>
    <row r="387">
      <c r="A387" s="10" t="inlineStr">
        <is>
          <t>UK-000533</t>
        </is>
      </c>
      <c r="B387" s="10" t="inlineStr">
        <is>
          <t>UK-000533-01</t>
        </is>
      </c>
      <c r="C387" s="10" t="inlineStr"/>
      <c r="D387" s="10" t="inlineStr">
        <is>
          <t>Vape Bar Brierley Hill</t>
        </is>
      </c>
      <c r="E387" s="10" t="inlineStr">
        <is>
          <t>Vape Shop</t>
        </is>
      </c>
      <c r="F387" s="10" t="inlineStr">
        <is>
          <t>Alternative smoking equipment &amp; vapes</t>
        </is>
      </c>
      <c r="G387" s="10" t="inlineStr">
        <is>
          <t>Independent</t>
        </is>
      </c>
      <c r="H387" s="10" t="inlineStr">
        <is>
          <t>1</t>
        </is>
      </c>
      <c r="I387" s="10" t="inlineStr"/>
      <c r="J387" s="10" t="inlineStr">
        <is>
          <t>Brierley Hill</t>
        </is>
      </c>
      <c r="K387" s="10" t="inlineStr"/>
      <c r="L387" s="10" t="inlineStr"/>
      <c r="M387" s="10" t="inlineStr"/>
      <c r="N387" s="10" t="inlineStr"/>
      <c r="O387" s="10" t="inlineStr"/>
      <c r="P387" s="10" t="inlineStr">
        <is>
          <t>https://www.facebook.com/Vapebarbrierleyhill/</t>
        </is>
      </c>
      <c r="Q387" s="10" t="inlineStr"/>
      <c r="R387" s="10" t="inlineStr"/>
      <c r="S387" s="10" t="inlineStr"/>
      <c r="T387" s="10" t="inlineStr"/>
      <c r="U387" s="10" t="inlineStr"/>
      <c r="V387" s="10" t="inlineStr">
        <is>
          <t>Medium</t>
        </is>
      </c>
      <c r="W387" s="10" t="inlineStr">
        <is>
          <t>Independent retailer; Core relevant category; Social presence</t>
        </is>
      </c>
      <c r="X387" s="10" t="inlineStr">
        <is>
          <t>Not Found</t>
        </is>
      </c>
      <c r="Y387" s="10" t="inlineStr">
        <is>
          <t>Not Found</t>
        </is>
      </c>
      <c r="Z387" s="10" t="inlineStr">
        <is>
          <t>Low</t>
        </is>
      </c>
      <c r="AA387" s="10" t="inlineStr">
        <is>
          <t>Requires Verification</t>
        </is>
      </c>
      <c r="AB387" s="10" t="inlineStr">
        <is>
          <t>https://www.facebook.com/Vapebarbrierleyhill/</t>
        </is>
      </c>
    </row>
    <row r="388">
      <c r="A388" s="5" t="inlineStr">
        <is>
          <t>UK-000402</t>
        </is>
      </c>
      <c r="B388" s="5" t="inlineStr">
        <is>
          <t>UK-000402-01</t>
        </is>
      </c>
      <c r="C388" s="5" t="inlineStr"/>
      <c r="D388" s="5" t="inlineStr">
        <is>
          <t>Vape Citi Bury</t>
        </is>
      </c>
      <c r="E388" s="5" t="inlineStr">
        <is>
          <t>Vape Shop</t>
        </is>
      </c>
      <c r="F388" s="5" t="inlineStr"/>
      <c r="G388" s="5" t="inlineStr">
        <is>
          <t>Independent</t>
        </is>
      </c>
      <c r="H388" s="5" t="inlineStr">
        <is>
          <t>1</t>
        </is>
      </c>
      <c r="I388" s="5" t="inlineStr">
        <is>
          <t>5 Market Street</t>
        </is>
      </c>
      <c r="J388" s="5" t="inlineStr">
        <is>
          <t>Bury</t>
        </is>
      </c>
      <c r="K388" s="5" t="inlineStr">
        <is>
          <t>BL9 0BL</t>
        </is>
      </c>
      <c r="L388" s="5" t="inlineStr"/>
      <c r="M388" s="5" t="inlineStr"/>
      <c r="N388" s="5" t="inlineStr"/>
      <c r="O388" s="5" t="inlineStr"/>
      <c r="P388" s="5" t="inlineStr"/>
      <c r="Q388" s="5" t="inlineStr"/>
      <c r="R388" s="5" t="inlineStr"/>
      <c r="S388" s="5" t="inlineStr"/>
      <c r="T388" s="5" t="inlineStr"/>
      <c r="U388" s="5" t="inlineStr"/>
      <c r="V388" s="5" t="inlineStr">
        <is>
          <t>Medium</t>
        </is>
      </c>
      <c r="W388" s="5" t="inlineStr">
        <is>
          <t>Independent retailer; Core relevant category</t>
        </is>
      </c>
      <c r="X388" s="5" t="inlineStr">
        <is>
          <t>Not Found</t>
        </is>
      </c>
      <c r="Y388" s="5" t="inlineStr">
        <is>
          <t>Not Found</t>
        </is>
      </c>
      <c r="Z388" s="5" t="inlineStr">
        <is>
          <t>Low</t>
        </is>
      </c>
      <c r="AA388" s="5" t="inlineStr">
        <is>
          <t>Requires Verification</t>
        </is>
      </c>
      <c r="AB388" s="5" t="inlineStr">
        <is>
          <t>https://ecigdirectory.co.uk/vape-shop/listing/vape-citi-bury</t>
        </is>
      </c>
    </row>
    <row r="389">
      <c r="A389" s="10" t="inlineStr">
        <is>
          <t>WY-0172</t>
        </is>
      </c>
      <c r="B389" s="10" t="inlineStr">
        <is>
          <t>WY-0172-01</t>
        </is>
      </c>
      <c r="C389" s="10" t="inlineStr"/>
      <c r="D389" s="10" t="inlineStr">
        <is>
          <t>Vape Dream</t>
        </is>
      </c>
      <c r="E389" s="10" t="inlineStr">
        <is>
          <t>Vape Shop</t>
        </is>
      </c>
      <c r="F389" s="10" t="inlineStr">
        <is>
          <t>Vape retailer</t>
        </is>
      </c>
      <c r="G389" s="10" t="inlineStr">
        <is>
          <t>Independent</t>
        </is>
      </c>
      <c r="H389" s="10" t="inlineStr">
        <is>
          <t>1</t>
        </is>
      </c>
      <c r="I389" s="10" t="inlineStr"/>
      <c r="J389" s="10" t="inlineStr">
        <is>
          <t>Dewsbury</t>
        </is>
      </c>
      <c r="K389" s="10" t="inlineStr"/>
      <c r="L389" s="10" t="inlineStr"/>
      <c r="M389" s="10" t="inlineStr"/>
      <c r="N389" s="10" t="inlineStr"/>
      <c r="O389" s="10" t="inlineStr"/>
      <c r="P389" s="10" t="inlineStr">
        <is>
          <t>https://www.facebook.com/p/Vape-Dream-Vape-Shop-61558567906935/</t>
        </is>
      </c>
      <c r="Q389" s="10" t="inlineStr"/>
      <c r="R389" s="10" t="inlineStr"/>
      <c r="S389" s="10" t="inlineStr"/>
      <c r="T389" s="10" t="inlineStr"/>
      <c r="U389" s="10" t="inlineStr"/>
      <c r="V389" s="10" t="inlineStr">
        <is>
          <t>Medium</t>
        </is>
      </c>
      <c r="W389" s="10" t="inlineStr">
        <is>
          <t>Independent retailer; Core relevant category; Social presence</t>
        </is>
      </c>
      <c r="X389" s="10" t="inlineStr">
        <is>
          <t>Not Found</t>
        </is>
      </c>
      <c r="Y389" s="10" t="inlineStr">
        <is>
          <t>Not Found</t>
        </is>
      </c>
      <c r="Z389" s="10" t="inlineStr">
        <is>
          <t>Low</t>
        </is>
      </c>
      <c r="AA389" s="10" t="inlineStr">
        <is>
          <t>Requires Verification</t>
        </is>
      </c>
      <c r="AB389" s="10" t="inlineStr">
        <is>
          <t>https://www.facebook.com/p/Vape-Dream-Vape-Shop-61558567906935/</t>
        </is>
      </c>
    </row>
    <row r="390">
      <c r="A390" s="5" t="inlineStr">
        <is>
          <t>UK-000288</t>
        </is>
      </c>
      <c r="B390" s="5" t="inlineStr">
        <is>
          <t>UK-000288-01</t>
        </is>
      </c>
      <c r="C390" s="5" t="inlineStr"/>
      <c r="D390" s="5" t="inlineStr">
        <is>
          <t>Vape HQ Stocksbridge</t>
        </is>
      </c>
      <c r="E390" s="5" t="inlineStr">
        <is>
          <t>Vape Shop</t>
        </is>
      </c>
      <c r="F390" s="5" t="inlineStr">
        <is>
          <t>Vape shop</t>
        </is>
      </c>
      <c r="G390" s="5" t="inlineStr">
        <is>
          <t>Independent</t>
        </is>
      </c>
      <c r="H390" s="5" t="inlineStr">
        <is>
          <t>1</t>
        </is>
      </c>
      <c r="I390" s="5" t="inlineStr"/>
      <c r="J390" s="5" t="inlineStr">
        <is>
          <t>Sheffield</t>
        </is>
      </c>
      <c r="K390" s="5" t="inlineStr"/>
      <c r="L390" s="5" t="inlineStr"/>
      <c r="M390" s="5" t="inlineStr"/>
      <c r="N390" s="5" t="inlineStr"/>
      <c r="O390" s="5" t="inlineStr"/>
      <c r="P390" s="5" t="inlineStr">
        <is>
          <t>https://www.facebook.com/VHQStocksbridge/</t>
        </is>
      </c>
      <c r="Q390" s="5" t="inlineStr"/>
      <c r="R390" s="5" t="inlineStr"/>
      <c r="S390" s="5" t="inlineStr"/>
      <c r="T390" s="5" t="inlineStr"/>
      <c r="U390" s="5" t="inlineStr"/>
      <c r="V390" s="5" t="inlineStr">
        <is>
          <t>Medium</t>
        </is>
      </c>
      <c r="W390" s="5" t="inlineStr">
        <is>
          <t>Independent retailer; Core relevant category; Social presence</t>
        </is>
      </c>
      <c r="X390" s="5" t="inlineStr">
        <is>
          <t>Not Found</t>
        </is>
      </c>
      <c r="Y390" s="5" t="inlineStr">
        <is>
          <t>Not Found</t>
        </is>
      </c>
      <c r="Z390" s="5" t="inlineStr">
        <is>
          <t>Low</t>
        </is>
      </c>
      <c r="AA390" s="5" t="inlineStr">
        <is>
          <t>Requires Verification</t>
        </is>
      </c>
      <c r="AB390" s="5" t="inlineStr">
        <is>
          <t>https://www.facebook.com/VHQStocksbridge/</t>
        </is>
      </c>
    </row>
    <row r="391">
      <c r="A391" s="10" t="inlineStr">
        <is>
          <t>UK-000403</t>
        </is>
      </c>
      <c r="B391" s="10" t="inlineStr">
        <is>
          <t>UK-000403-01</t>
        </is>
      </c>
      <c r="C391" s="10" t="inlineStr"/>
      <c r="D391" s="10" t="inlineStr">
        <is>
          <t>Vape Huts</t>
        </is>
      </c>
      <c r="E391" s="10" t="inlineStr">
        <is>
          <t>Vape Shop</t>
        </is>
      </c>
      <c r="F391" s="10" t="inlineStr"/>
      <c r="G391" s="10" t="inlineStr">
        <is>
          <t>Independent</t>
        </is>
      </c>
      <c r="H391" s="10" t="inlineStr">
        <is>
          <t>1</t>
        </is>
      </c>
      <c r="I391" s="10" t="inlineStr">
        <is>
          <t>451-453 Broadway</t>
        </is>
      </c>
      <c r="J391" s="10" t="inlineStr">
        <is>
          <t>Chadderton</t>
        </is>
      </c>
      <c r="K391" s="10" t="inlineStr">
        <is>
          <t>OL9 8AP</t>
        </is>
      </c>
      <c r="L391" s="10" t="inlineStr"/>
      <c r="M391" s="10" t="inlineStr"/>
      <c r="N391" s="10" t="inlineStr"/>
      <c r="O391" s="10" t="inlineStr"/>
      <c r="P391" s="10" t="inlineStr"/>
      <c r="Q391" s="10" t="inlineStr"/>
      <c r="R391" s="10" t="inlineStr"/>
      <c r="S391" s="10" t="inlineStr"/>
      <c r="T391" s="10" t="inlineStr"/>
      <c r="U391" s="10" t="inlineStr"/>
      <c r="V391" s="10" t="inlineStr">
        <is>
          <t>Medium</t>
        </is>
      </c>
      <c r="W391" s="10" t="inlineStr">
        <is>
          <t>Independent retailer; Core relevant category</t>
        </is>
      </c>
      <c r="X391" s="10" t="inlineStr">
        <is>
          <t>Not Found</t>
        </is>
      </c>
      <c r="Y391" s="10" t="inlineStr">
        <is>
          <t>Not Found</t>
        </is>
      </c>
      <c r="Z391" s="10" t="inlineStr">
        <is>
          <t>Low</t>
        </is>
      </c>
      <c r="AA391" s="10" t="inlineStr">
        <is>
          <t>Requires Verification</t>
        </is>
      </c>
      <c r="AB391" s="10" t="inlineStr">
        <is>
          <t>https://vapeshops.puffingbird.com/england/oldham</t>
        </is>
      </c>
    </row>
    <row r="392">
      <c r="A392" s="5" t="inlineStr">
        <is>
          <t>UK-000534</t>
        </is>
      </c>
      <c r="B392" s="5" t="inlineStr">
        <is>
          <t>UK-000534-01</t>
        </is>
      </c>
      <c r="C392" s="5" t="inlineStr"/>
      <c r="D392" s="5" t="inlineStr">
        <is>
          <t>Vape Inn Ltd</t>
        </is>
      </c>
      <c r="E392" s="5" t="inlineStr">
        <is>
          <t>Vape Shop</t>
        </is>
      </c>
      <c r="F392" s="5" t="inlineStr">
        <is>
          <t>Vape kits, e-liquids &amp; accessories</t>
        </is>
      </c>
      <c r="G392" s="5" t="inlineStr">
        <is>
          <t>Independent</t>
        </is>
      </c>
      <c r="H392" s="5" t="inlineStr">
        <is>
          <t>1</t>
        </is>
      </c>
      <c r="I392" s="5" t="inlineStr"/>
      <c r="J392" s="5" t="inlineStr">
        <is>
          <t>Wednesbury</t>
        </is>
      </c>
      <c r="K392" s="5" t="inlineStr"/>
      <c r="L392" s="5" t="inlineStr"/>
      <c r="M392" s="5" t="inlineStr"/>
      <c r="N392" s="5" t="inlineStr"/>
      <c r="O392" s="5" t="inlineStr"/>
      <c r="P392" s="5" t="inlineStr"/>
      <c r="Q392" s="5" t="inlineStr"/>
      <c r="R392" s="5" t="inlineStr"/>
      <c r="S392" s="5" t="inlineStr"/>
      <c r="T392" s="5" t="inlineStr"/>
      <c r="U392" s="5" t="inlineStr"/>
      <c r="V392" s="5" t="inlineStr">
        <is>
          <t>Medium</t>
        </is>
      </c>
      <c r="W392" s="5" t="inlineStr">
        <is>
          <t>Independent retailer; Core relevant category</t>
        </is>
      </c>
      <c r="X392" s="5" t="inlineStr">
        <is>
          <t>Not Found</t>
        </is>
      </c>
      <c r="Y392" s="5" t="inlineStr">
        <is>
          <t>Not Found</t>
        </is>
      </c>
      <c r="Z392" s="5" t="inlineStr">
        <is>
          <t>Low</t>
        </is>
      </c>
      <c r="AA392" s="5" t="inlineStr">
        <is>
          <t>Requires Verification</t>
        </is>
      </c>
      <c r="AB392" s="5" t="inlineStr">
        <is>
          <t>https://www.yell.com/s/vape+shops-wednesbury.html</t>
        </is>
      </c>
    </row>
    <row r="393">
      <c r="A393" s="10" t="inlineStr">
        <is>
          <t>UK-000675</t>
        </is>
      </c>
      <c r="B393" s="10" t="inlineStr">
        <is>
          <t>UK-000675-01</t>
        </is>
      </c>
      <c r="C393" s="10" t="inlineStr"/>
      <c r="D393" s="10" t="inlineStr">
        <is>
          <t>Vape Island Ltd</t>
        </is>
      </c>
      <c r="E393" s="10" t="inlineStr">
        <is>
          <t>Vape Shop</t>
        </is>
      </c>
      <c r="F393" s="10" t="inlineStr">
        <is>
          <t>Vape hardware &amp; e-liquids</t>
        </is>
      </c>
      <c r="G393" s="10" t="inlineStr">
        <is>
          <t>Independent</t>
        </is>
      </c>
      <c r="H393" s="10" t="inlineStr">
        <is>
          <t>1</t>
        </is>
      </c>
      <c r="I393" s="10" t="inlineStr">
        <is>
          <t>26 Green Street</t>
        </is>
      </c>
      <c r="J393" s="10" t="inlineStr">
        <is>
          <t>Forest Gate</t>
        </is>
      </c>
      <c r="K393" s="10" t="inlineStr">
        <is>
          <t>E7 8BZ</t>
        </is>
      </c>
      <c r="L393" s="10" t="inlineStr"/>
      <c r="M393" s="10" t="inlineStr"/>
      <c r="N393" s="10" t="inlineStr"/>
      <c r="O393" s="10" t="inlineStr"/>
      <c r="P393" s="10" t="inlineStr"/>
      <c r="Q393" s="10" t="inlineStr"/>
      <c r="R393" s="10" t="inlineStr"/>
      <c r="S393" s="10" t="inlineStr"/>
      <c r="T393" s="10" t="inlineStr"/>
      <c r="U393" s="10" t="inlineStr"/>
      <c r="V393" s="10" t="inlineStr">
        <is>
          <t>Medium</t>
        </is>
      </c>
      <c r="W393" s="10" t="inlineStr">
        <is>
          <t>Independent retailer; Core relevant category</t>
        </is>
      </c>
      <c r="X393" s="10" t="inlineStr">
        <is>
          <t>Not Found</t>
        </is>
      </c>
      <c r="Y393" s="10" t="inlineStr">
        <is>
          <t>Not Found</t>
        </is>
      </c>
      <c r="Z393" s="10" t="inlineStr">
        <is>
          <t>Low</t>
        </is>
      </c>
      <c r="AA393" s="10" t="inlineStr">
        <is>
          <t>Requires Verification</t>
        </is>
      </c>
      <c r="AB393" s="10" t="inlineStr">
        <is>
          <t>https://www.yell.com/s/vape+shops-stratford-east+london.html</t>
        </is>
      </c>
    </row>
    <row r="394">
      <c r="A394" s="5" t="inlineStr">
        <is>
          <t>UK-000833</t>
        </is>
      </c>
      <c r="B394" s="5" t="inlineStr">
        <is>
          <t>UK-000833-01</t>
        </is>
      </c>
      <c r="C394" s="5" t="inlineStr"/>
      <c r="D394" s="5" t="inlineStr">
        <is>
          <t>Vape Made Easy</t>
        </is>
      </c>
      <c r="E394" s="5" t="inlineStr">
        <is>
          <t>Vape Shop</t>
        </is>
      </c>
      <c r="F394" s="5" t="inlineStr">
        <is>
          <t>E-cigarette shop</t>
        </is>
      </c>
      <c r="G394" s="5" t="inlineStr">
        <is>
          <t>Independent</t>
        </is>
      </c>
      <c r="H394" s="5" t="inlineStr">
        <is>
          <t>1</t>
        </is>
      </c>
      <c r="I394" s="5" t="inlineStr"/>
      <c r="J394" s="5" t="inlineStr">
        <is>
          <t>Glasgow</t>
        </is>
      </c>
      <c r="K394" s="5" t="inlineStr"/>
      <c r="L394" s="5" t="inlineStr"/>
      <c r="M394" s="5" t="inlineStr"/>
      <c r="N394" s="5" t="inlineStr"/>
      <c r="O394" s="5" t="inlineStr"/>
      <c r="P394" s="5" t="inlineStr"/>
      <c r="Q394" s="5" t="inlineStr"/>
      <c r="R394" s="5" t="inlineStr"/>
      <c r="S394" s="5" t="inlineStr"/>
      <c r="T394" s="5" t="inlineStr"/>
      <c r="U394" s="5" t="inlineStr"/>
      <c r="V394" s="5" t="inlineStr">
        <is>
          <t>Medium</t>
        </is>
      </c>
      <c r="W394" s="5" t="inlineStr">
        <is>
          <t>Independent retailer; Core relevant category</t>
        </is>
      </c>
      <c r="X394" s="5" t="inlineStr">
        <is>
          <t>Not Found</t>
        </is>
      </c>
      <c r="Y394" s="5" t="inlineStr">
        <is>
          <t>Not Found</t>
        </is>
      </c>
      <c r="Z394" s="5" t="inlineStr">
        <is>
          <t>Low</t>
        </is>
      </c>
      <c r="AA394" s="5" t="inlineStr">
        <is>
          <t>Requires Verification</t>
        </is>
      </c>
      <c r="AB394" s="5" t="inlineStr">
        <is>
          <t>https://www.yell.com/biz/vape-made-easy-glasgow-9257174/</t>
        </is>
      </c>
    </row>
    <row r="395">
      <c r="A395" s="10" t="inlineStr">
        <is>
          <t>UK-000404</t>
        </is>
      </c>
      <c r="B395" s="10" t="inlineStr">
        <is>
          <t>UK-000404-01</t>
        </is>
      </c>
      <c r="C395" s="10" t="inlineStr"/>
      <c r="D395" s="10" t="inlineStr">
        <is>
          <t>Vape Maze Westhoughton</t>
        </is>
      </c>
      <c r="E395" s="10" t="inlineStr">
        <is>
          <t>Vape Shop</t>
        </is>
      </c>
      <c r="F395" s="10" t="inlineStr"/>
      <c r="G395" s="10" t="inlineStr">
        <is>
          <t>Independent</t>
        </is>
      </c>
      <c r="H395" s="10" t="inlineStr">
        <is>
          <t>1</t>
        </is>
      </c>
      <c r="I395" s="10" t="inlineStr">
        <is>
          <t>13 Market Street</t>
        </is>
      </c>
      <c r="J395" s="10" t="inlineStr">
        <is>
          <t>Bolton</t>
        </is>
      </c>
      <c r="K395" s="10" t="inlineStr">
        <is>
          <t>BL5 3AH</t>
        </is>
      </c>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Independent retailer; Core relevant category</t>
        </is>
      </c>
      <c r="X395" s="10" t="inlineStr">
        <is>
          <t>Not Found</t>
        </is>
      </c>
      <c r="Y395" s="10" t="inlineStr">
        <is>
          <t>Not Found</t>
        </is>
      </c>
      <c r="Z395" s="10" t="inlineStr">
        <is>
          <t>Low</t>
        </is>
      </c>
      <c r="AA395" s="10" t="inlineStr">
        <is>
          <t>Requires Verification</t>
        </is>
      </c>
      <c r="AB395" s="10" t="inlineStr">
        <is>
          <t>https://westhoughton.cylex-uk.co.uk/vape-shops/</t>
        </is>
      </c>
    </row>
    <row r="396">
      <c r="A396" s="5" t="inlineStr">
        <is>
          <t>UK-000405</t>
        </is>
      </c>
      <c r="B396" s="5" t="inlineStr">
        <is>
          <t>UK-000405-01</t>
        </is>
      </c>
      <c r="C396" s="5" t="inlineStr"/>
      <c r="D396" s="5" t="inlineStr">
        <is>
          <t>Vape My Day</t>
        </is>
      </c>
      <c r="E396" s="5" t="inlineStr">
        <is>
          <t>Vape Shop</t>
        </is>
      </c>
      <c r="F396" s="5" t="inlineStr"/>
      <c r="G396" s="5" t="inlineStr">
        <is>
          <t>Independent</t>
        </is>
      </c>
      <c r="H396" s="5" t="inlineStr">
        <is>
          <t>1</t>
        </is>
      </c>
      <c r="I396" s="5" t="inlineStr">
        <is>
          <t>95a Duchess Street</t>
        </is>
      </c>
      <c r="J396" s="5" t="inlineStr">
        <is>
          <t>Shaw</t>
        </is>
      </c>
      <c r="K396" s="5" t="inlineStr">
        <is>
          <t>OL2 7XD</t>
        </is>
      </c>
      <c r="L396" s="5" t="inlineStr"/>
      <c r="M396" s="5" t="inlineStr"/>
      <c r="N396" s="5" t="inlineStr"/>
      <c r="O396" s="5" t="inlineStr"/>
      <c r="P396" s="5" t="inlineStr"/>
      <c r="Q396" s="5" t="inlineStr"/>
      <c r="R396" s="5" t="inlineStr"/>
      <c r="S396" s="5" t="inlineStr"/>
      <c r="T396" s="5" t="inlineStr"/>
      <c r="U396" s="5" t="inlineStr"/>
      <c r="V396" s="5" t="inlineStr">
        <is>
          <t>Medium</t>
        </is>
      </c>
      <c r="W396" s="5" t="inlineStr">
        <is>
          <t>Independent retailer; Core relevant category</t>
        </is>
      </c>
      <c r="X396" s="5" t="inlineStr">
        <is>
          <t>Not Found</t>
        </is>
      </c>
      <c r="Y396" s="5" t="inlineStr">
        <is>
          <t>Not Found</t>
        </is>
      </c>
      <c r="Z396" s="5" t="inlineStr">
        <is>
          <t>Low</t>
        </is>
      </c>
      <c r="AA396" s="5" t="inlineStr">
        <is>
          <t>Requires Verification</t>
        </is>
      </c>
      <c r="AB396" s="5" t="inlineStr">
        <is>
          <t>https://ecigdirectory.co.uk/vape-shop/listing/vape-my-day</t>
        </is>
      </c>
    </row>
    <row r="397">
      <c r="A397" s="10" t="inlineStr">
        <is>
          <t>WY-0173</t>
        </is>
      </c>
      <c r="B397" s="10" t="inlineStr">
        <is>
          <t>WY-0173-01</t>
        </is>
      </c>
      <c r="C397" s="10" t="inlineStr"/>
      <c r="D397" s="10" t="inlineStr">
        <is>
          <t>Vape N Go</t>
        </is>
      </c>
      <c r="E397" s="10" t="inlineStr">
        <is>
          <t>Vape Shop</t>
        </is>
      </c>
      <c r="F397" s="10" t="inlineStr"/>
      <c r="G397" s="10" t="inlineStr">
        <is>
          <t>Independent</t>
        </is>
      </c>
      <c r="H397" s="10" t="inlineStr">
        <is>
          <t>1</t>
        </is>
      </c>
      <c r="I397" s="10" t="inlineStr">
        <is>
          <t>14 The Square</t>
        </is>
      </c>
      <c r="J397" s="10" t="inlineStr">
        <is>
          <t>Halifax</t>
        </is>
      </c>
      <c r="K397" s="10" t="inlineStr">
        <is>
          <t>HX1 1RU</t>
        </is>
      </c>
      <c r="L397" s="10" t="inlineStr"/>
      <c r="M397" s="10" t="inlineStr"/>
      <c r="N397" s="10" t="inlineStr"/>
      <c r="O397" s="10" t="inlineStr"/>
      <c r="P397" s="10" t="inlineStr"/>
      <c r="Q397" s="10" t="inlineStr"/>
      <c r="R397" s="10" t="inlineStr"/>
      <c r="S397" s="10" t="inlineStr"/>
      <c r="T397" s="10" t="inlineStr"/>
      <c r="U397" s="10" t="inlineStr"/>
      <c r="V397" s="10" t="inlineStr">
        <is>
          <t>Medium</t>
        </is>
      </c>
      <c r="W397" s="10" t="inlineStr">
        <is>
          <t>Independent retailer; Core relevant category</t>
        </is>
      </c>
      <c r="X397" s="10" t="inlineStr">
        <is>
          <t>Not Found</t>
        </is>
      </c>
      <c r="Y397" s="10" t="inlineStr">
        <is>
          <t>Not Found</t>
        </is>
      </c>
      <c r="Z397" s="10" t="inlineStr">
        <is>
          <t>Low</t>
        </is>
      </c>
      <c r="AA397" s="10" t="inlineStr">
        <is>
          <t>Requires Verification</t>
        </is>
      </c>
      <c r="AB397" s="10" t="inlineStr">
        <is>
          <t>https://www.yell.com/s/tobacconists-halifax.html</t>
        </is>
      </c>
    </row>
    <row r="398">
      <c r="A398" s="5" t="inlineStr">
        <is>
          <t>UK-000289</t>
        </is>
      </c>
      <c r="B398" s="5" t="inlineStr">
        <is>
          <t>UK-000289-01</t>
        </is>
      </c>
      <c r="C398" s="5" t="inlineStr"/>
      <c r="D398" s="5" t="inlineStr">
        <is>
          <t>Vape Newland</t>
        </is>
      </c>
      <c r="E398" s="5" t="inlineStr">
        <is>
          <t>Vape Shop</t>
        </is>
      </c>
      <c r="F398" s="5" t="inlineStr">
        <is>
          <t>E-liquid and hardware shop</t>
        </is>
      </c>
      <c r="G398" s="5" t="inlineStr">
        <is>
          <t>Independent</t>
        </is>
      </c>
      <c r="H398" s="5" t="inlineStr">
        <is>
          <t>1</t>
        </is>
      </c>
      <c r="I398" s="5" t="inlineStr">
        <is>
          <t>124 Newland Avenue</t>
        </is>
      </c>
      <c r="J398" s="5" t="inlineStr">
        <is>
          <t>Kingston upon Hull</t>
        </is>
      </c>
      <c r="K398" s="5" t="inlineStr"/>
      <c r="L398" s="5" t="inlineStr"/>
      <c r="M398" s="5" t="inlineStr"/>
      <c r="N398" s="5" t="inlineStr"/>
      <c r="O398" s="5" t="inlineStr"/>
      <c r="P398" s="5" t="inlineStr">
        <is>
          <t>https://www.facebook.com/p/Vape-Newland-100086500027739/</t>
        </is>
      </c>
      <c r="Q398" s="5" t="inlineStr"/>
      <c r="R398" s="5" t="inlineStr"/>
      <c r="S398" s="5" t="inlineStr"/>
      <c r="T398" s="5" t="inlineStr"/>
      <c r="U398" s="5" t="inlineStr"/>
      <c r="V398" s="5" t="inlineStr">
        <is>
          <t>Medium</t>
        </is>
      </c>
      <c r="W398" s="5" t="inlineStr">
        <is>
          <t>Independent retailer; Core relevant category; Social presence</t>
        </is>
      </c>
      <c r="X398" s="5" t="inlineStr">
        <is>
          <t>Not Found</t>
        </is>
      </c>
      <c r="Y398" s="5" t="inlineStr">
        <is>
          <t>Not Found</t>
        </is>
      </c>
      <c r="Z398" s="5" t="inlineStr">
        <is>
          <t>Low</t>
        </is>
      </c>
      <c r="AA398" s="5" t="inlineStr">
        <is>
          <t>Requires Verification</t>
        </is>
      </c>
      <c r="AB398" s="5" t="inlineStr">
        <is>
          <t>https://www.facebook.com/p/Vape-Newland-100086500027739/</t>
        </is>
      </c>
    </row>
    <row r="399">
      <c r="A399" s="10" t="inlineStr">
        <is>
          <t>UK-000676</t>
        </is>
      </c>
      <c r="B399" s="10" t="inlineStr">
        <is>
          <t>UK-000676-01</t>
        </is>
      </c>
      <c r="C399" s="10" t="inlineStr"/>
      <c r="D399" s="10" t="inlineStr">
        <is>
          <t>Vape Pure Ltd</t>
        </is>
      </c>
      <c r="E399" s="10" t="inlineStr">
        <is>
          <t>Vape Shop</t>
        </is>
      </c>
      <c r="F399" s="10" t="inlineStr">
        <is>
          <t>Vape hardware &amp; e-liquids</t>
        </is>
      </c>
      <c r="G399" s="10" t="inlineStr">
        <is>
          <t>Independent</t>
        </is>
      </c>
      <c r="H399" s="10" t="inlineStr">
        <is>
          <t>1</t>
        </is>
      </c>
      <c r="I399" s="10" t="inlineStr"/>
      <c r="J399" s="10" t="inlineStr">
        <is>
          <t>Wood Green</t>
        </is>
      </c>
      <c r="K399" s="10" t="inlineStr">
        <is>
          <t>N22</t>
        </is>
      </c>
      <c r="L399" s="10" t="inlineStr"/>
      <c r="M399" s="10" t="inlineStr"/>
      <c r="N399" s="10" t="inlineStr"/>
      <c r="O399" s="10" t="inlineStr"/>
      <c r="P399" s="10" t="inlineStr"/>
      <c r="Q399" s="10" t="inlineStr"/>
      <c r="R399" s="10" t="inlineStr"/>
      <c r="S399" s="10" t="inlineStr"/>
      <c r="T399" s="10" t="inlineStr"/>
      <c r="U399" s="10" t="inlineStr"/>
      <c r="V399" s="10" t="inlineStr">
        <is>
          <t>Medium</t>
        </is>
      </c>
      <c r="W399" s="10" t="inlineStr">
        <is>
          <t>Independent retailer; Core relevant category</t>
        </is>
      </c>
      <c r="X399" s="10" t="inlineStr">
        <is>
          <t>Not Found</t>
        </is>
      </c>
      <c r="Y399" s="10" t="inlineStr">
        <is>
          <t>Not Found</t>
        </is>
      </c>
      <c r="Z399" s="10" t="inlineStr">
        <is>
          <t>Low</t>
        </is>
      </c>
      <c r="AA399" s="10" t="inlineStr">
        <is>
          <t>Requires Verification</t>
        </is>
      </c>
      <c r="AB399" s="10" t="inlineStr">
        <is>
          <t>https://www.yell.com/biz/vape-pure-ltd-london-9829626/</t>
        </is>
      </c>
    </row>
    <row r="400">
      <c r="A400" s="5" t="inlineStr">
        <is>
          <t>WY-0176</t>
        </is>
      </c>
      <c r="B400" s="5" t="inlineStr">
        <is>
          <t>WY-0176-01</t>
        </is>
      </c>
      <c r="C400" s="5" t="inlineStr"/>
      <c r="D400" s="5" t="inlineStr">
        <is>
          <t>Vape Road Cleckheaton</t>
        </is>
      </c>
      <c r="E400" s="5" t="inlineStr">
        <is>
          <t>Vape Shop</t>
        </is>
      </c>
      <c r="F400" s="5" t="inlineStr">
        <is>
          <t>Vape retailer</t>
        </is>
      </c>
      <c r="G400" s="5" t="inlineStr">
        <is>
          <t>Independent</t>
        </is>
      </c>
      <c r="H400" s="5" t="inlineStr">
        <is>
          <t>1</t>
        </is>
      </c>
      <c r="I400" s="5" t="inlineStr">
        <is>
          <t>Railway Street</t>
        </is>
      </c>
      <c r="J400" s="5" t="inlineStr">
        <is>
          <t>Cleckheaton</t>
        </is>
      </c>
      <c r="K400" s="5" t="inlineStr"/>
      <c r="L400" s="5" t="inlineStr"/>
      <c r="M400" s="5" t="inlineStr"/>
      <c r="N400" s="5" t="inlineStr"/>
      <c r="O400" s="5" t="inlineStr"/>
      <c r="P400" s="5" t="inlineStr"/>
      <c r="Q400" s="5" t="inlineStr"/>
      <c r="R400" s="5" t="inlineStr"/>
      <c r="S400" s="5" t="inlineStr"/>
      <c r="T400" s="5" t="inlineStr"/>
      <c r="U400" s="5" t="inlineStr"/>
      <c r="V400" s="5" t="inlineStr">
        <is>
          <t>Medium</t>
        </is>
      </c>
      <c r="W400" s="5" t="inlineStr">
        <is>
          <t>Independent retailer; Core relevant category</t>
        </is>
      </c>
      <c r="X400" s="5" t="inlineStr">
        <is>
          <t>Not Found</t>
        </is>
      </c>
      <c r="Y400" s="5" t="inlineStr">
        <is>
          <t>Not Found</t>
        </is>
      </c>
      <c r="Z400" s="5" t="inlineStr">
        <is>
          <t>Low</t>
        </is>
      </c>
      <c r="AA400" s="5" t="inlineStr">
        <is>
          <t>Requires Verification</t>
        </is>
      </c>
      <c r="AB400" s="5" t="inlineStr">
        <is>
          <t>https://cleckheaton.cylex-uk.co.uk/company/vape-road-cleckheaton-26986187.html</t>
        </is>
      </c>
    </row>
    <row r="401">
      <c r="A401" s="10" t="inlineStr">
        <is>
          <t>UK-000290</t>
        </is>
      </c>
      <c r="B401" s="10" t="inlineStr">
        <is>
          <t>UK-000290-01</t>
        </is>
      </c>
      <c r="C401" s="10" t="inlineStr"/>
      <c r="D401" s="10" t="inlineStr">
        <is>
          <t>Vape Safe Bridlington</t>
        </is>
      </c>
      <c r="E401" s="10" t="inlineStr">
        <is>
          <t>Vape Shop</t>
        </is>
      </c>
      <c r="F401" s="10" t="inlineStr">
        <is>
          <t>E-liquid and hardware shop</t>
        </is>
      </c>
      <c r="G401" s="10" t="inlineStr">
        <is>
          <t>Independent</t>
        </is>
      </c>
      <c r="H401" s="10" t="inlineStr">
        <is>
          <t>1</t>
        </is>
      </c>
      <c r="I401" s="10" t="inlineStr">
        <is>
          <t>4b Promenade</t>
        </is>
      </c>
      <c r="J401" s="10" t="inlineStr">
        <is>
          <t>Bridlington</t>
        </is>
      </c>
      <c r="K401" s="10" t="inlineStr">
        <is>
          <t>YO15 2PX</t>
        </is>
      </c>
      <c r="L401" s="10" t="inlineStr"/>
      <c r="M401" s="10" t="inlineStr"/>
      <c r="N401" s="10" t="inlineStr"/>
      <c r="O401" s="10" t="inlineStr"/>
      <c r="P401" s="10" t="inlineStr"/>
      <c r="Q401" s="10" t="inlineStr"/>
      <c r="R401" s="10" t="inlineStr"/>
      <c r="S401" s="10" t="inlineStr"/>
      <c r="T401" s="10" t="inlineStr"/>
      <c r="U401" s="10" t="inlineStr"/>
      <c r="V401" s="10" t="inlineStr">
        <is>
          <t>Medium</t>
        </is>
      </c>
      <c r="W401" s="10" t="inlineStr">
        <is>
          <t>Independent retailer; Core relevant category</t>
        </is>
      </c>
      <c r="X401" s="10" t="inlineStr">
        <is>
          <t>Not Found</t>
        </is>
      </c>
      <c r="Y401" s="10" t="inlineStr">
        <is>
          <t>Not Found</t>
        </is>
      </c>
      <c r="Z401" s="10" t="inlineStr">
        <is>
          <t>Low</t>
        </is>
      </c>
      <c r="AA401" s="10" t="inlineStr">
        <is>
          <t>Requires Verification</t>
        </is>
      </c>
      <c r="AB401" s="10" t="inlineStr">
        <is>
          <t>https://www.yell.com/s/vape+shops-bridlington.html</t>
        </is>
      </c>
    </row>
    <row r="402">
      <c r="A402" s="5" t="inlineStr">
        <is>
          <t>UK-000406</t>
        </is>
      </c>
      <c r="B402" s="5" t="inlineStr">
        <is>
          <t>UK-000406-01</t>
        </is>
      </c>
      <c r="C402" s="5" t="inlineStr"/>
      <c r="D402" s="5" t="inlineStr">
        <is>
          <t>Vape Saloon Leigh</t>
        </is>
      </c>
      <c r="E402" s="5" t="inlineStr">
        <is>
          <t>Vape Shop</t>
        </is>
      </c>
      <c r="F402" s="5" t="inlineStr"/>
      <c r="G402" s="5" t="inlineStr">
        <is>
          <t>Independent</t>
        </is>
      </c>
      <c r="H402" s="5" t="inlineStr">
        <is>
          <t>1</t>
        </is>
      </c>
      <c r="I402" s="5" t="inlineStr"/>
      <c r="J402" s="5" t="inlineStr">
        <is>
          <t>Leigh</t>
        </is>
      </c>
      <c r="K402" s="5" t="inlineStr"/>
      <c r="L402" s="5" t="inlineStr"/>
      <c r="M402" s="5" t="inlineStr"/>
      <c r="N402" s="5" t="inlineStr"/>
      <c r="O402" s="5" t="inlineStr"/>
      <c r="P402" s="5" t="inlineStr">
        <is>
          <t>https://www.facebook.com/VapeSaloonLeigh/</t>
        </is>
      </c>
      <c r="Q402" s="5" t="inlineStr"/>
      <c r="R402" s="5" t="inlineStr"/>
      <c r="S402" s="5" t="inlineStr"/>
      <c r="T402" s="5" t="inlineStr"/>
      <c r="U402" s="5" t="inlineStr"/>
      <c r="V402" s="5" t="inlineStr">
        <is>
          <t>Medium</t>
        </is>
      </c>
      <c r="W402" s="5" t="inlineStr">
        <is>
          <t>Independent retailer; Core relevant category; Social presence</t>
        </is>
      </c>
      <c r="X402" s="5" t="inlineStr">
        <is>
          <t>Not Found</t>
        </is>
      </c>
      <c r="Y402" s="5" t="inlineStr">
        <is>
          <t>Not Found</t>
        </is>
      </c>
      <c r="Z402" s="5" t="inlineStr">
        <is>
          <t>Low</t>
        </is>
      </c>
      <c r="AA402" s="5" t="inlineStr">
        <is>
          <t>Requires Verification</t>
        </is>
      </c>
      <c r="AB402" s="5" t="inlineStr">
        <is>
          <t>https://www.facebook.com/VapeSaloonLeigh/</t>
        </is>
      </c>
    </row>
    <row r="403">
      <c r="A403" s="10" t="inlineStr">
        <is>
          <t>UK-000291</t>
        </is>
      </c>
      <c r="B403" s="10" t="inlineStr">
        <is>
          <t>UK-000291-01</t>
        </is>
      </c>
      <c r="C403" s="10" t="inlineStr"/>
      <c r="D403" s="10" t="inlineStr">
        <is>
          <t>Vape Store &amp; Bargains Galore</t>
        </is>
      </c>
      <c r="E403" s="10" t="inlineStr">
        <is>
          <t>Vape Shop</t>
        </is>
      </c>
      <c r="F403" s="10" t="inlineStr">
        <is>
          <t>Vape shop and discount store</t>
        </is>
      </c>
      <c r="G403" s="10" t="inlineStr">
        <is>
          <t>Independent</t>
        </is>
      </c>
      <c r="H403" s="10" t="inlineStr">
        <is>
          <t>1</t>
        </is>
      </c>
      <c r="I403" s="10" t="inlineStr"/>
      <c r="J403" s="10" t="inlineStr">
        <is>
          <t>Barnsley</t>
        </is>
      </c>
      <c r="K403" s="10" t="inlineStr"/>
      <c r="L403" s="10" t="inlineStr"/>
      <c r="M403" s="10" t="inlineStr"/>
      <c r="N403" s="10" t="inlineStr"/>
      <c r="O403" s="10" t="inlineStr"/>
      <c r="P403" s="10" t="inlineStr">
        <is>
          <t>https://www.facebook.com/VapeStorebarnsley/</t>
        </is>
      </c>
      <c r="Q403" s="10" t="inlineStr"/>
      <c r="R403" s="10" t="inlineStr"/>
      <c r="S403" s="10" t="inlineStr"/>
      <c r="T403" s="10" t="inlineStr"/>
      <c r="U403" s="10" t="inlineStr"/>
      <c r="V403" s="10" t="inlineStr">
        <is>
          <t>Medium</t>
        </is>
      </c>
      <c r="W403" s="10" t="inlineStr">
        <is>
          <t>Independent retailer; Core relevant category; Social presence</t>
        </is>
      </c>
      <c r="X403" s="10" t="inlineStr">
        <is>
          <t>Not Found</t>
        </is>
      </c>
      <c r="Y403" s="10" t="inlineStr">
        <is>
          <t>Not Found</t>
        </is>
      </c>
      <c r="Z403" s="10" t="inlineStr">
        <is>
          <t>Low</t>
        </is>
      </c>
      <c r="AA403" s="10" t="inlineStr">
        <is>
          <t>Requires Verification</t>
        </is>
      </c>
      <c r="AB403" s="10" t="inlineStr">
        <is>
          <t>https://www.yell.com/biz/vape-store-and-bargains-galore-barnsley-10072936/</t>
        </is>
      </c>
    </row>
    <row r="404">
      <c r="A404" s="5" t="inlineStr">
        <is>
          <t>UK-000536</t>
        </is>
      </c>
      <c r="B404" s="5" t="inlineStr">
        <is>
          <t>UK-000536-01</t>
        </is>
      </c>
      <c r="C404" s="5" t="inlineStr"/>
      <c r="D404" s="5" t="inlineStr">
        <is>
          <t>Vape Vision Gornal</t>
        </is>
      </c>
      <c r="E404" s="5" t="inlineStr">
        <is>
          <t>Vape Shop</t>
        </is>
      </c>
      <c r="F404" s="5" t="inlineStr">
        <is>
          <t>Vape kits, e-liquids &amp; accessories</t>
        </is>
      </c>
      <c r="G404" s="5" t="inlineStr">
        <is>
          <t>Independent</t>
        </is>
      </c>
      <c r="H404" s="5" t="inlineStr">
        <is>
          <t>1</t>
        </is>
      </c>
      <c r="I404" s="5" t="inlineStr">
        <is>
          <t>44 Louise Street</t>
        </is>
      </c>
      <c r="J404" s="5" t="inlineStr">
        <is>
          <t>Dudley</t>
        </is>
      </c>
      <c r="K404" s="5" t="inlineStr">
        <is>
          <t>DY3 2UB</t>
        </is>
      </c>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Independent retailer; Core relevant category</t>
        </is>
      </c>
      <c r="X404" s="5" t="inlineStr">
        <is>
          <t>Not Found</t>
        </is>
      </c>
      <c r="Y404" s="5" t="inlineStr">
        <is>
          <t>Not Found</t>
        </is>
      </c>
      <c r="Z404" s="5" t="inlineStr">
        <is>
          <t>Low</t>
        </is>
      </c>
      <c r="AA404" s="5" t="inlineStr">
        <is>
          <t>Requires Verification</t>
        </is>
      </c>
      <c r="AB404" s="5" t="inlineStr">
        <is>
          <t>https://www.yelp.com/search?cflt=vapeshops&amp;find_loc=Dudley%2C+West+Midlands</t>
        </is>
      </c>
    </row>
    <row r="405">
      <c r="A405" s="10" t="inlineStr">
        <is>
          <t>UK-000408</t>
        </is>
      </c>
      <c r="B405" s="10" t="inlineStr">
        <is>
          <t>UK-000408-01</t>
        </is>
      </c>
      <c r="C405" s="10" t="inlineStr"/>
      <c r="D405" s="10" t="inlineStr">
        <is>
          <t>Vape World (Eccles, Salford)</t>
        </is>
      </c>
      <c r="E405" s="10" t="inlineStr">
        <is>
          <t>Vape Shop</t>
        </is>
      </c>
      <c r="F405" s="10" t="inlineStr">
        <is>
          <t>Vape hardware, e-liquids &amp; disposables</t>
        </is>
      </c>
      <c r="G405" s="10" t="inlineStr">
        <is>
          <t>Independent</t>
        </is>
      </c>
      <c r="H405" s="10" t="inlineStr">
        <is>
          <t>1</t>
        </is>
      </c>
      <c r="I405" s="10" t="inlineStr">
        <is>
          <t>120 Liverpool Road</t>
        </is>
      </c>
      <c r="J405" s="10" t="inlineStr">
        <is>
          <t>Eccles</t>
        </is>
      </c>
      <c r="K405" s="10" t="inlineStr">
        <is>
          <t>M30 0WZ</t>
        </is>
      </c>
      <c r="L405" s="10" t="inlineStr"/>
      <c r="M405" s="10" t="inlineStr"/>
      <c r="N405" s="10" t="inlineStr"/>
      <c r="O405" s="10" t="inlineStr"/>
      <c r="P405" s="10" t="inlineStr"/>
      <c r="Q405" s="10" t="inlineStr"/>
      <c r="R405" s="10" t="inlineStr"/>
      <c r="S405" s="10" t="inlineStr"/>
      <c r="T405" s="10" t="inlineStr"/>
      <c r="U405" s="10" t="inlineStr"/>
      <c r="V405" s="10" t="inlineStr">
        <is>
          <t>Medium</t>
        </is>
      </c>
      <c r="W405" s="10" t="inlineStr">
        <is>
          <t>Independent retailer; Core relevant category</t>
        </is>
      </c>
      <c r="X405" s="10" t="inlineStr">
        <is>
          <t>Not Found</t>
        </is>
      </c>
      <c r="Y405" s="10" t="inlineStr">
        <is>
          <t>Not Found</t>
        </is>
      </c>
      <c r="Z405" s="10" t="inlineStr">
        <is>
          <t>Low</t>
        </is>
      </c>
      <c r="AA405" s="10" t="inlineStr">
        <is>
          <t>Requires Verification</t>
        </is>
      </c>
      <c r="AB405" s="10" t="inlineStr">
        <is>
          <t>https://eccles-city-of-salford.cylex-uk.co.uk/vape-shops/</t>
        </is>
      </c>
    </row>
    <row r="406">
      <c r="A406" s="5" t="inlineStr">
        <is>
          <t>WY-0178</t>
        </is>
      </c>
      <c r="B406" s="5" t="inlineStr">
        <is>
          <t>WY-0178-01</t>
        </is>
      </c>
      <c r="C406" s="5" t="inlineStr"/>
      <c r="D406" s="5" t="inlineStr">
        <is>
          <t>Vape and Wine Village</t>
        </is>
      </c>
      <c r="E406" s="5" t="inlineStr">
        <is>
          <t>Off-Licence</t>
        </is>
      </c>
      <c r="F406" s="5" t="inlineStr">
        <is>
          <t>Off-licence and vape shop</t>
        </is>
      </c>
      <c r="G406" s="5" t="inlineStr">
        <is>
          <t>Independent</t>
        </is>
      </c>
      <c r="H406" s="5" t="inlineStr">
        <is>
          <t>1</t>
        </is>
      </c>
      <c r="I406" s="5" t="inlineStr">
        <is>
          <t>13-15 Hyde Park Road</t>
        </is>
      </c>
      <c r="J406" s="5" t="inlineStr">
        <is>
          <t>Leeds</t>
        </is>
      </c>
      <c r="K406" s="5" t="inlineStr">
        <is>
          <t>LS6 1PY</t>
        </is>
      </c>
      <c r="L406" s="5" t="inlineStr"/>
      <c r="M406" s="5" t="inlineStr"/>
      <c r="N406" s="5" t="inlineStr"/>
      <c r="O406" s="5" t="inlineStr"/>
      <c r="P406" s="5" t="inlineStr"/>
      <c r="Q406" s="5" t="inlineStr"/>
      <c r="R406" s="5" t="inlineStr"/>
      <c r="S406" s="5" t="inlineStr"/>
      <c r="T406" s="5" t="inlineStr"/>
      <c r="U406" s="5" t="inlineStr"/>
      <c r="V406" s="5" t="inlineStr">
        <is>
          <t>Low</t>
        </is>
      </c>
      <c r="W406" s="5" t="inlineStr">
        <is>
          <t>Independent retailer; Relevant category</t>
        </is>
      </c>
      <c r="X406" s="5" t="inlineStr">
        <is>
          <t>Not Found</t>
        </is>
      </c>
      <c r="Y406" s="5" t="inlineStr">
        <is>
          <t>Not Found</t>
        </is>
      </c>
      <c r="Z406" s="5" t="inlineStr">
        <is>
          <t>Low</t>
        </is>
      </c>
      <c r="AA406" s="5" t="inlineStr">
        <is>
          <t>Requires Verification</t>
        </is>
      </c>
      <c r="AB406" s="5" t="inlineStr">
        <is>
          <t>https://www.yorkshire.com/leeds/shopping/off-license</t>
        </is>
      </c>
    </row>
    <row r="407">
      <c r="A407" s="10" t="inlineStr">
        <is>
          <t>WY-0179</t>
        </is>
      </c>
      <c r="B407" s="10" t="inlineStr">
        <is>
          <t>WY-0179-01</t>
        </is>
      </c>
      <c r="C407" s="10" t="inlineStr"/>
      <c r="D407" s="10" t="inlineStr">
        <is>
          <t>VapeShop Leeds</t>
        </is>
      </c>
      <c r="E407" s="10" t="inlineStr">
        <is>
          <t>Vape Shop</t>
        </is>
      </c>
      <c r="F407" s="10" t="inlineStr">
        <is>
          <t>E-cigarette specialist</t>
        </is>
      </c>
      <c r="G407" s="10" t="inlineStr">
        <is>
          <t>Independent</t>
        </is>
      </c>
      <c r="H407" s="10" t="inlineStr">
        <is>
          <t>1</t>
        </is>
      </c>
      <c r="I407" s="10" t="inlineStr">
        <is>
          <t>229 Selby Road</t>
        </is>
      </c>
      <c r="J407" s="10" t="inlineStr">
        <is>
          <t>Leeds</t>
        </is>
      </c>
      <c r="K407" s="10" t="inlineStr">
        <is>
          <t>LS15 7HW</t>
        </is>
      </c>
      <c r="L407" s="10" t="inlineStr"/>
      <c r="M407" s="10" t="inlineStr"/>
      <c r="N407" s="10" t="inlineStr"/>
      <c r="O407" s="10" t="inlineStr"/>
      <c r="P407" s="10" t="inlineStr"/>
      <c r="Q407" s="10" t="inlineStr"/>
      <c r="R407" s="10" t="inlineStr"/>
      <c r="S407" s="10" t="inlineStr"/>
      <c r="T407" s="10" t="inlineStr"/>
      <c r="U407" s="10" t="inlineStr"/>
      <c r="V407" s="10" t="inlineStr">
        <is>
          <t>Medium</t>
        </is>
      </c>
      <c r="W407" s="10" t="inlineStr">
        <is>
          <t>Independent retailer; Core relevant category</t>
        </is>
      </c>
      <c r="X407" s="10" t="inlineStr">
        <is>
          <t>Not Found</t>
        </is>
      </c>
      <c r="Y407" s="10" t="inlineStr">
        <is>
          <t>Not Found</t>
        </is>
      </c>
      <c r="Z407" s="10" t="inlineStr">
        <is>
          <t>Low</t>
        </is>
      </c>
      <c r="AA407" s="10" t="inlineStr">
        <is>
          <t>Requires Verification</t>
        </is>
      </c>
      <c r="AB407" s="10" t="inlineStr">
        <is>
          <t>https://ecigdirectory.co.uk/vape-shop/listing/vapeshop-leeds</t>
        </is>
      </c>
    </row>
    <row r="408">
      <c r="A408" s="5" t="inlineStr">
        <is>
          <t>UK-000409</t>
        </is>
      </c>
      <c r="B408" s="5" t="inlineStr">
        <is>
          <t>UK-000409-01</t>
        </is>
      </c>
      <c r="C408" s="5" t="inlineStr"/>
      <c r="D408" s="5" t="inlineStr">
        <is>
          <t>Vapenation Hindley</t>
        </is>
      </c>
      <c r="E408" s="5" t="inlineStr">
        <is>
          <t>Vape Shop</t>
        </is>
      </c>
      <c r="F408" s="5" t="inlineStr"/>
      <c r="G408" s="5" t="inlineStr">
        <is>
          <t>Independent</t>
        </is>
      </c>
      <c r="H408" s="5" t="inlineStr">
        <is>
          <t>1</t>
        </is>
      </c>
      <c r="I408" s="5" t="inlineStr">
        <is>
          <t>Atherton Road</t>
        </is>
      </c>
      <c r="J408" s="5" t="inlineStr">
        <is>
          <t>Wigan</t>
        </is>
      </c>
      <c r="K408" s="5" t="inlineStr"/>
      <c r="L408" s="5" t="inlineStr"/>
      <c r="M408" s="5" t="inlineStr"/>
      <c r="N408" s="5" t="inlineStr"/>
      <c r="O408" s="5" t="inlineStr"/>
      <c r="P408" s="5" t="inlineStr"/>
      <c r="Q408" s="5" t="inlineStr"/>
      <c r="R408" s="5" t="inlineStr"/>
      <c r="S408" s="5" t="inlineStr"/>
      <c r="T408" s="5" t="inlineStr"/>
      <c r="U408" s="5" t="inlineStr"/>
      <c r="V408" s="5" t="inlineStr">
        <is>
          <t>Medium</t>
        </is>
      </c>
      <c r="W408" s="5" t="inlineStr">
        <is>
          <t>Independent retailer; Core relevant category</t>
        </is>
      </c>
      <c r="X408" s="5" t="inlineStr">
        <is>
          <t>Not Found</t>
        </is>
      </c>
      <c r="Y408" s="5" t="inlineStr">
        <is>
          <t>Not Found</t>
        </is>
      </c>
      <c r="Z408" s="5" t="inlineStr">
        <is>
          <t>Low</t>
        </is>
      </c>
      <c r="AA408" s="5" t="inlineStr">
        <is>
          <t>Requires Verification</t>
        </is>
      </c>
      <c r="AB408" s="5" t="inlineStr">
        <is>
          <t>https://hindley.cylex-uk.co.uk/company/vapenation-27279730.html</t>
        </is>
      </c>
    </row>
    <row r="409">
      <c r="A409" s="10" t="inlineStr">
        <is>
          <t>UK-000678</t>
        </is>
      </c>
      <c r="B409" s="10" t="inlineStr">
        <is>
          <t>UK-000678-01</t>
        </is>
      </c>
      <c r="C409" s="10" t="inlineStr"/>
      <c r="D409" s="10" t="inlineStr">
        <is>
          <t>Vapeology (Leyton)</t>
        </is>
      </c>
      <c r="E409" s="10" t="inlineStr">
        <is>
          <t>Vape Shop</t>
        </is>
      </c>
      <c r="F409" s="10" t="inlineStr">
        <is>
          <t>Vape hardware &amp; e-liquids</t>
        </is>
      </c>
      <c r="G409" s="10" t="inlineStr">
        <is>
          <t>Independent</t>
        </is>
      </c>
      <c r="H409" s="10" t="inlineStr">
        <is>
          <t>1</t>
        </is>
      </c>
      <c r="I409" s="10" t="inlineStr">
        <is>
          <t>622 Lea Bridge Road</t>
        </is>
      </c>
      <c r="J409" s="10" t="inlineStr">
        <is>
          <t>Leyton</t>
        </is>
      </c>
      <c r="K409" s="10" t="inlineStr">
        <is>
          <t>E10 6AP</t>
        </is>
      </c>
      <c r="L409" s="10" t="inlineStr"/>
      <c r="M409" s="10" t="inlineStr"/>
      <c r="N409" s="10" t="inlineStr"/>
      <c r="O409" s="10" t="inlineStr"/>
      <c r="P409" s="10" t="inlineStr"/>
      <c r="Q409" s="10" t="inlineStr"/>
      <c r="R409" s="10" t="inlineStr"/>
      <c r="S409" s="10" t="inlineStr"/>
      <c r="T409" s="10" t="inlineStr"/>
      <c r="U409" s="10" t="inlineStr"/>
      <c r="V409" s="10" t="inlineStr">
        <is>
          <t>Medium</t>
        </is>
      </c>
      <c r="W409" s="10" t="inlineStr">
        <is>
          <t>Independent retailer; Core relevant category</t>
        </is>
      </c>
      <c r="X409" s="10" t="inlineStr">
        <is>
          <t>Not Found</t>
        </is>
      </c>
      <c r="Y409" s="10" t="inlineStr">
        <is>
          <t>Not Found</t>
        </is>
      </c>
      <c r="Z409" s="10" t="inlineStr">
        <is>
          <t>Medium</t>
        </is>
      </c>
      <c r="AA409" s="10" t="inlineStr">
        <is>
          <t>Requires Verification</t>
        </is>
      </c>
      <c r="AB409" s="10" t="inlineStr">
        <is>
          <t>https://ecigdirectory.co.uk/vape-shop/listing/vapeology-leytonstone</t>
        </is>
      </c>
    </row>
    <row r="410">
      <c r="A410" s="5" t="inlineStr">
        <is>
          <t>UK-000679</t>
        </is>
      </c>
      <c r="B410" s="5" t="inlineStr">
        <is>
          <t>UK-000679-01</t>
        </is>
      </c>
      <c r="C410" s="5" t="inlineStr"/>
      <c r="D410" s="5" t="inlineStr">
        <is>
          <t>Vapers City</t>
        </is>
      </c>
      <c r="E410" s="5" t="inlineStr">
        <is>
          <t>Vape Shop</t>
        </is>
      </c>
      <c r="F410" s="5" t="inlineStr">
        <is>
          <t>Vape hardware &amp; e-liquids</t>
        </is>
      </c>
      <c r="G410" s="5" t="inlineStr">
        <is>
          <t>Independent</t>
        </is>
      </c>
      <c r="H410" s="5" t="inlineStr">
        <is>
          <t>1</t>
        </is>
      </c>
      <c r="I410" s="5" t="inlineStr">
        <is>
          <t>202 Uxbridge Road</t>
        </is>
      </c>
      <c r="J410" s="5" t="inlineStr">
        <is>
          <t>London</t>
        </is>
      </c>
      <c r="K410" s="5" t="inlineStr">
        <is>
          <t>W12 7JP</t>
        </is>
      </c>
      <c r="L410" s="5" t="inlineStr"/>
      <c r="M410" s="5" t="inlineStr"/>
      <c r="N410" s="5" t="inlineStr"/>
      <c r="O410" s="5" t="inlineStr"/>
      <c r="P410" s="5" t="inlineStr"/>
      <c r="Q410" s="5" t="inlineStr"/>
      <c r="R410" s="5" t="inlineStr"/>
      <c r="S410" s="5" t="inlineStr"/>
      <c r="T410" s="5" t="inlineStr"/>
      <c r="U410" s="5" t="inlineStr"/>
      <c r="V410" s="5" t="inlineStr">
        <is>
          <t>Medium</t>
        </is>
      </c>
      <c r="W410" s="5" t="inlineStr">
        <is>
          <t>Independent retailer; Core relevant category</t>
        </is>
      </c>
      <c r="X410" s="5" t="inlineStr">
        <is>
          <t>Not Found</t>
        </is>
      </c>
      <c r="Y410" s="5" t="inlineStr">
        <is>
          <t>Not Found</t>
        </is>
      </c>
      <c r="Z410" s="5" t="inlineStr">
        <is>
          <t>Low</t>
        </is>
      </c>
      <c r="AA410" s="5" t="inlineStr">
        <is>
          <t>Requires Verification</t>
        </is>
      </c>
      <c r="AB410" s="5" t="inlineStr">
        <is>
          <t>https://www.yell.com/biz/vapers-city-london-9724114/</t>
        </is>
      </c>
    </row>
    <row r="411">
      <c r="A411" s="10" t="inlineStr">
        <is>
          <t>UK-000837</t>
        </is>
      </c>
      <c r="B411" s="10" t="inlineStr">
        <is>
          <t>UK-000837-01</t>
        </is>
      </c>
      <c r="C411" s="10" t="inlineStr"/>
      <c r="D411" s="10" t="inlineStr">
        <is>
          <t>Vapes Wirral</t>
        </is>
      </c>
      <c r="E411" s="10" t="inlineStr">
        <is>
          <t>Vape Shop</t>
        </is>
      </c>
      <c r="F411" s="10" t="inlineStr">
        <is>
          <t>Vape shop</t>
        </is>
      </c>
      <c r="G411" s="10" t="inlineStr">
        <is>
          <t>Independent</t>
        </is>
      </c>
      <c r="H411" s="10" t="inlineStr">
        <is>
          <t>1</t>
        </is>
      </c>
      <c r="I411" s="10" t="inlineStr">
        <is>
          <t>60 Market Street</t>
        </is>
      </c>
      <c r="J411" s="10" t="inlineStr">
        <is>
          <t>Wirral</t>
        </is>
      </c>
      <c r="K411" s="10" t="inlineStr">
        <is>
          <t>CH47 3BB</t>
        </is>
      </c>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https://vapeshops.puffingbird.com/england/wirral</t>
        </is>
      </c>
    </row>
    <row r="412">
      <c r="A412" s="5" t="inlineStr">
        <is>
          <t>WY-0182</t>
        </is>
      </c>
      <c r="B412" s="5" t="inlineStr">
        <is>
          <t>WY-0182-01</t>
        </is>
      </c>
      <c r="C412" s="5" t="inlineStr"/>
      <c r="D412" s="5" t="inlineStr">
        <is>
          <t>Vaping Bar Normanton</t>
        </is>
      </c>
      <c r="E412" s="5" t="inlineStr">
        <is>
          <t>Vape Shop</t>
        </is>
      </c>
      <c r="F412" s="5" t="inlineStr">
        <is>
          <t>Vape retailer</t>
        </is>
      </c>
      <c r="G412" s="5" t="inlineStr">
        <is>
          <t>Independent</t>
        </is>
      </c>
      <c r="H412" s="5" t="inlineStr">
        <is>
          <t>1</t>
        </is>
      </c>
      <c r="I412" s="5" t="inlineStr"/>
      <c r="J412" s="5" t="inlineStr">
        <is>
          <t>Normanton</t>
        </is>
      </c>
      <c r="K412" s="5" t="inlineStr"/>
      <c r="L412" s="5" t="inlineStr"/>
      <c r="M412" s="5" t="inlineStr"/>
      <c r="N412" s="5" t="inlineStr"/>
      <c r="O412" s="5" t="inlineStr"/>
      <c r="P412" s="5" t="inlineStr">
        <is>
          <t>https://www.facebook.com/p/Vaping-Bar-Normanton-100063635944918/</t>
        </is>
      </c>
      <c r="Q412" s="5" t="inlineStr"/>
      <c r="R412" s="5" t="inlineStr"/>
      <c r="S412" s="5" t="inlineStr"/>
      <c r="T412" s="5" t="inlineStr"/>
      <c r="U412" s="5" t="inlineStr"/>
      <c r="V412" s="5" t="inlineStr">
        <is>
          <t>Medium</t>
        </is>
      </c>
      <c r="W412" s="5" t="inlineStr">
        <is>
          <t>Independent retailer; Core relevant category; Social presence</t>
        </is>
      </c>
      <c r="X412" s="5" t="inlineStr">
        <is>
          <t>Not Found</t>
        </is>
      </c>
      <c r="Y412" s="5" t="inlineStr">
        <is>
          <t>Not Found</t>
        </is>
      </c>
      <c r="Z412" s="5" t="inlineStr">
        <is>
          <t>Low</t>
        </is>
      </c>
      <c r="AA412" s="5" t="inlineStr">
        <is>
          <t>Requires Verification</t>
        </is>
      </c>
      <c r="AB412" s="5" t="inlineStr">
        <is>
          <t>https://www.facebook.com/p/Vaping-Bar-Normanton-100063635944918/</t>
        </is>
      </c>
    </row>
    <row r="413">
      <c r="A413" s="10" t="inlineStr">
        <is>
          <t>UK-000410</t>
        </is>
      </c>
      <c r="B413" s="10" t="inlineStr">
        <is>
          <t>UK-000410-01</t>
        </is>
      </c>
      <c r="C413" s="10" t="inlineStr"/>
      <c r="D413" s="10" t="inlineStr">
        <is>
          <t>Vapour Chase Farnworth</t>
        </is>
      </c>
      <c r="E413" s="10" t="inlineStr">
        <is>
          <t>Vape Shop</t>
        </is>
      </c>
      <c r="F413" s="10" t="inlineStr"/>
      <c r="G413" s="10" t="inlineStr">
        <is>
          <t>Independent</t>
        </is>
      </c>
      <c r="H413" s="10" t="inlineStr">
        <is>
          <t>1</t>
        </is>
      </c>
      <c r="I413" s="10" t="inlineStr">
        <is>
          <t>68 Market Street</t>
        </is>
      </c>
      <c r="J413" s="10" t="inlineStr">
        <is>
          <t>Bolton</t>
        </is>
      </c>
      <c r="K413" s="10" t="inlineStr">
        <is>
          <t>BL4 7NY</t>
        </is>
      </c>
      <c r="L413" s="10" t="inlineStr"/>
      <c r="M413" s="10" t="inlineStr"/>
      <c r="N413" s="10" t="inlineStr"/>
      <c r="O413" s="10" t="inlineStr"/>
      <c r="P413" s="10" t="inlineStr"/>
      <c r="Q413" s="10" t="inlineStr"/>
      <c r="R413" s="10" t="inlineStr"/>
      <c r="S413" s="10" t="inlineStr"/>
      <c r="T413" s="10" t="inlineStr"/>
      <c r="U413" s="10" t="inlineStr"/>
      <c r="V413" s="10" t="inlineStr">
        <is>
          <t>Medium</t>
        </is>
      </c>
      <c r="W413" s="10" t="inlineStr">
        <is>
          <t>Independent retailer; Core relevant category</t>
        </is>
      </c>
      <c r="X413" s="10" t="inlineStr">
        <is>
          <t>Not Found</t>
        </is>
      </c>
      <c r="Y413" s="10" t="inlineStr">
        <is>
          <t>Not Found</t>
        </is>
      </c>
      <c r="Z413" s="10" t="inlineStr">
        <is>
          <t>Low</t>
        </is>
      </c>
      <c r="AA413" s="10" t="inlineStr">
        <is>
          <t>Requires Verification</t>
        </is>
      </c>
      <c r="AB413" s="10" t="inlineStr">
        <is>
          <t>https://vapemaps.co/england/greater-manchester/farnworth</t>
        </is>
      </c>
    </row>
    <row r="414">
      <c r="A414" s="5" t="inlineStr">
        <is>
          <t>UK-000681</t>
        </is>
      </c>
      <c r="B414" s="5" t="inlineStr">
        <is>
          <t>UK-000681-01</t>
        </is>
      </c>
      <c r="C414" s="5" t="inlineStr"/>
      <c r="D414" s="5" t="inlineStr">
        <is>
          <t>Vapour Gallery (Stratford)</t>
        </is>
      </c>
      <c r="E414" s="5" t="inlineStr">
        <is>
          <t>Vape Shop</t>
        </is>
      </c>
      <c r="F414" s="5" t="inlineStr">
        <is>
          <t>Vape hardware &amp; e-liquids</t>
        </is>
      </c>
      <c r="G414" s="5" t="inlineStr">
        <is>
          <t>Independent</t>
        </is>
      </c>
      <c r="H414" s="5" t="inlineStr">
        <is>
          <t>1</t>
        </is>
      </c>
      <c r="I414" s="5" t="inlineStr">
        <is>
          <t>7-9 West Ham Lane</t>
        </is>
      </c>
      <c r="J414" s="5" t="inlineStr">
        <is>
          <t>Stratford</t>
        </is>
      </c>
      <c r="K414" s="5" t="inlineStr"/>
      <c r="L414" s="5" t="inlineStr"/>
      <c r="M414" s="5" t="inlineStr"/>
      <c r="N414" s="5" t="inlineStr"/>
      <c r="O414" s="5" t="inlineStr"/>
      <c r="P414" s="5" t="inlineStr"/>
      <c r="Q414" s="5" t="inlineStr"/>
      <c r="R414" s="5" t="inlineStr"/>
      <c r="S414" s="5" t="inlineStr"/>
      <c r="T414" s="5" t="inlineStr"/>
      <c r="U414" s="5" t="inlineStr"/>
      <c r="V414" s="5" t="inlineStr">
        <is>
          <t>Medium</t>
        </is>
      </c>
      <c r="W414" s="5" t="inlineStr">
        <is>
          <t>Independent retailer; Core relevant category</t>
        </is>
      </c>
      <c r="X414" s="5" t="inlineStr">
        <is>
          <t>Not Found</t>
        </is>
      </c>
      <c r="Y414" s="5" t="inlineStr">
        <is>
          <t>Not Found</t>
        </is>
      </c>
      <c r="Z414" s="5" t="inlineStr">
        <is>
          <t>Low</t>
        </is>
      </c>
      <c r="AA414" s="5" t="inlineStr">
        <is>
          <t>Requires Verification</t>
        </is>
      </c>
      <c r="AB414" s="5" t="inlineStr">
        <is>
          <t>https://london.cylex-uk.co.uk/stratford/retail%20shops.html</t>
        </is>
      </c>
    </row>
    <row r="415">
      <c r="A415" s="10" t="inlineStr">
        <is>
          <t>WY-0184</t>
        </is>
      </c>
      <c r="B415" s="10" t="inlineStr">
        <is>
          <t>WY-0184-01</t>
        </is>
      </c>
      <c r="C415" s="10" t="inlineStr"/>
      <c r="D415" s="10" t="inlineStr">
        <is>
          <t>Vapour Parlour</t>
        </is>
      </c>
      <c r="E415" s="10" t="inlineStr">
        <is>
          <t>Vape Shop</t>
        </is>
      </c>
      <c r="F415" s="10" t="inlineStr">
        <is>
          <t>Vape retailer</t>
        </is>
      </c>
      <c r="G415" s="10" t="inlineStr">
        <is>
          <t>Independent</t>
        </is>
      </c>
      <c r="H415" s="10" t="inlineStr">
        <is>
          <t>1</t>
        </is>
      </c>
      <c r="I415" s="10" t="inlineStr">
        <is>
          <t>83 Kirkby Road</t>
        </is>
      </c>
      <c r="J415" s="10" t="inlineStr">
        <is>
          <t>Hemsworth</t>
        </is>
      </c>
      <c r="K415" s="10" t="inlineStr"/>
      <c r="L415" s="10" t="inlineStr"/>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Not Found</t>
        </is>
      </c>
      <c r="Y415" s="10" t="inlineStr">
        <is>
          <t>Not Found</t>
        </is>
      </c>
      <c r="Z415" s="10" t="inlineStr">
        <is>
          <t>Low</t>
        </is>
      </c>
      <c r="AA415" s="10" t="inlineStr">
        <is>
          <t>Requires Verification</t>
        </is>
      </c>
      <c r="AB415" s="10" t="inlineStr">
        <is>
          <t>https://ecigdirectory.co.uk/vape-shop/listing/vapour-parlour</t>
        </is>
      </c>
    </row>
    <row r="416">
      <c r="A416" s="5" t="inlineStr">
        <is>
          <t>UK-000840</t>
        </is>
      </c>
      <c r="B416" s="5" t="inlineStr">
        <is>
          <t>UK-000840-01</t>
        </is>
      </c>
      <c r="C416" s="5" t="inlineStr"/>
      <c r="D416" s="5" t="inlineStr">
        <is>
          <t>Vapourzone Waterloo</t>
        </is>
      </c>
      <c r="E416" s="5" t="inlineStr">
        <is>
          <t>Vape Shop</t>
        </is>
      </c>
      <c r="F416" s="5" t="inlineStr">
        <is>
          <t>Vape shop</t>
        </is>
      </c>
      <c r="G416" s="5" t="inlineStr">
        <is>
          <t>Independent</t>
        </is>
      </c>
      <c r="H416" s="5" t="inlineStr">
        <is>
          <t>1</t>
        </is>
      </c>
      <c r="I416" s="5" t="inlineStr">
        <is>
          <t>121 South Road</t>
        </is>
      </c>
      <c r="J416" s="5" t="inlineStr">
        <is>
          <t>Liverpool</t>
        </is>
      </c>
      <c r="K416" s="5" t="inlineStr"/>
      <c r="L416" s="5" t="inlineStr"/>
      <c r="M416" s="5" t="inlineStr"/>
      <c r="N416" s="5" t="inlineStr"/>
      <c r="O416" s="5" t="inlineStr"/>
      <c r="P416" s="5" t="inlineStr"/>
      <c r="Q416" s="5" t="inlineStr"/>
      <c r="R416" s="5" t="inlineStr"/>
      <c r="S416" s="5" t="inlineStr"/>
      <c r="T416" s="5" t="inlineStr"/>
      <c r="U416" s="5" t="inlineStr"/>
      <c r="V416" s="5" t="inlineStr">
        <is>
          <t>Medium</t>
        </is>
      </c>
      <c r="W416" s="5" t="inlineStr">
        <is>
          <t>Independent retailer; Core relevant category</t>
        </is>
      </c>
      <c r="X416" s="5" t="inlineStr">
        <is>
          <t>Not Found</t>
        </is>
      </c>
      <c r="Y416" s="5" t="inlineStr">
        <is>
          <t>Not Found</t>
        </is>
      </c>
      <c r="Z416" s="5" t="inlineStr">
        <is>
          <t>Low</t>
        </is>
      </c>
      <c r="AA416" s="5" t="inlineStr">
        <is>
          <t>Requires Verification</t>
        </is>
      </c>
      <c r="AB416" s="5" t="inlineStr">
        <is>
          <t>https://ecigdirectory.co.uk/vape-shop/listing/vapourzone-waterloo</t>
        </is>
      </c>
    </row>
    <row r="417">
      <c r="A417" s="10" t="inlineStr">
        <is>
          <t>UK-000682</t>
        </is>
      </c>
      <c r="B417" s="10" t="inlineStr">
        <is>
          <t>UK-000682-01</t>
        </is>
      </c>
      <c r="C417" s="10" t="inlineStr"/>
      <c r="D417" s="10" t="inlineStr">
        <is>
          <t>Victoria News</t>
        </is>
      </c>
      <c r="E417" s="10" t="inlineStr">
        <is>
          <t>Newsagent</t>
        </is>
      </c>
      <c r="F417" s="10" t="inlineStr">
        <is>
          <t>Newsagent &amp; convenience</t>
        </is>
      </c>
      <c r="G417" s="10" t="inlineStr">
        <is>
          <t>Independent</t>
        </is>
      </c>
      <c r="H417" s="10" t="inlineStr">
        <is>
          <t>1</t>
        </is>
      </c>
      <c r="I417" s="10" t="inlineStr">
        <is>
          <t>28 Strutton Ground</t>
        </is>
      </c>
      <c r="J417" s="10" t="inlineStr">
        <is>
          <t>London</t>
        </is>
      </c>
      <c r="K417" s="10" t="inlineStr">
        <is>
          <t>SW1P 2HR</t>
        </is>
      </c>
      <c r="L417" s="10" t="inlineStr"/>
      <c r="M417" s="10" t="inlineStr"/>
      <c r="N417" s="10" t="inlineStr"/>
      <c r="O417" s="10" t="inlineStr"/>
      <c r="P417" s="10" t="inlineStr"/>
      <c r="Q417" s="10" t="inlineStr"/>
      <c r="R417" s="10" t="inlineStr"/>
      <c r="S417" s="10" t="inlineStr"/>
      <c r="T417" s="10" t="inlineStr"/>
      <c r="U417" s="10" t="inlineStr"/>
      <c r="V417" s="10" t="inlineStr">
        <is>
          <t>Low</t>
        </is>
      </c>
      <c r="W417" s="10" t="inlineStr">
        <is>
          <t>Independent retailer; Relevant category</t>
        </is>
      </c>
      <c r="X417" s="10" t="inlineStr">
        <is>
          <t>Not Found</t>
        </is>
      </c>
      <c r="Y417" s="10" t="inlineStr">
        <is>
          <t>Not Found</t>
        </is>
      </c>
      <c r="Z417" s="10" t="inlineStr">
        <is>
          <t>Low</t>
        </is>
      </c>
      <c r="AA417" s="10" t="inlineStr">
        <is>
          <t>Requires Verification</t>
        </is>
      </c>
      <c r="AB417" s="10" t="inlineStr">
        <is>
          <t>https://www.yell.com/biz/victoria-news-london-467809/</t>
        </is>
      </c>
    </row>
    <row r="418">
      <c r="A418" s="5" t="inlineStr">
        <is>
          <t>UK-000411</t>
        </is>
      </c>
      <c r="B418" s="5" t="inlineStr">
        <is>
          <t>UK-000411-01</t>
        </is>
      </c>
      <c r="C418" s="5" t="inlineStr"/>
      <c r="D418" s="5" t="inlineStr">
        <is>
          <t>Village &amp; Shisha Lounge (Rusholme)</t>
        </is>
      </c>
      <c r="E418" s="5" t="inlineStr">
        <is>
          <t>Smoke / Shisha Shop</t>
        </is>
      </c>
      <c r="F418" s="5" t="inlineStr">
        <is>
          <t>Shisha lounge / restaurant</t>
        </is>
      </c>
      <c r="G418" s="5" t="inlineStr">
        <is>
          <t>Independent</t>
        </is>
      </c>
      <c r="H418" s="5" t="inlineStr">
        <is>
          <t>1</t>
        </is>
      </c>
      <c r="I418" s="5" t="inlineStr">
        <is>
          <t>97 Wilmslow Road</t>
        </is>
      </c>
      <c r="J418" s="5" t="inlineStr">
        <is>
          <t>Manchester</t>
        </is>
      </c>
      <c r="K418" s="5" t="inlineStr">
        <is>
          <t>M14 5SU</t>
        </is>
      </c>
      <c r="L418" s="5" t="inlineStr"/>
      <c r="M418" s="5" t="inlineStr"/>
      <c r="N418" s="5" t="inlineStr"/>
      <c r="O418" s="5" t="inlineStr"/>
      <c r="P418" s="5" t="inlineStr"/>
      <c r="Q418" s="5" t="inlineStr"/>
      <c r="R418" s="5" t="inlineStr"/>
      <c r="S418" s="5" t="inlineStr"/>
      <c r="T418" s="5" t="inlineStr"/>
      <c r="U418" s="5" t="inlineStr"/>
      <c r="V418" s="5" t="inlineStr">
        <is>
          <t>Medium</t>
        </is>
      </c>
      <c r="W418" s="5" t="inlineStr">
        <is>
          <t>Independent retailer; Core relevant category</t>
        </is>
      </c>
      <c r="X418" s="5" t="inlineStr">
        <is>
          <t>Not Found</t>
        </is>
      </c>
      <c r="Y418" s="5" t="inlineStr">
        <is>
          <t>Not Found</t>
        </is>
      </c>
      <c r="Z418" s="5" t="inlineStr">
        <is>
          <t>Low</t>
        </is>
      </c>
      <c r="AA418" s="5" t="inlineStr">
        <is>
          <t>Requires Verification</t>
        </is>
      </c>
      <c r="AB418" s="5" t="inlineStr">
        <is>
          <t>https://www.onionring.co.uk/restaurants/8504/Village-&amp;-Shisha-Lounge/</t>
        </is>
      </c>
    </row>
    <row r="419">
      <c r="A419" s="10" t="inlineStr">
        <is>
          <t>UK-000684</t>
        </is>
      </c>
      <c r="B419" s="10" t="inlineStr">
        <is>
          <t>UK-000684-01</t>
        </is>
      </c>
      <c r="C419" s="10" t="inlineStr"/>
      <c r="D419" s="10" t="inlineStr">
        <is>
          <t>Vx-Change</t>
        </is>
      </c>
      <c r="E419" s="10" t="inlineStr">
        <is>
          <t>Vape Shop</t>
        </is>
      </c>
      <c r="F419" s="10" t="inlineStr"/>
      <c r="G419" s="10" t="inlineStr">
        <is>
          <t>Independent</t>
        </is>
      </c>
      <c r="H419" s="10" t="inlineStr">
        <is>
          <t>1</t>
        </is>
      </c>
      <c r="I419" s="10" t="inlineStr">
        <is>
          <t>36 High Street</t>
        </is>
      </c>
      <c r="J419" s="10" t="inlineStr">
        <is>
          <t>Hounslow</t>
        </is>
      </c>
      <c r="K419" s="10" t="inlineStr">
        <is>
          <t>TW3 1NW</t>
        </is>
      </c>
      <c r="L419" s="10" t="inlineStr"/>
      <c r="M419" s="10" t="inlineStr"/>
      <c r="N419" s="10" t="inlineStr"/>
      <c r="O419" s="10" t="inlineStr"/>
      <c r="P419" s="10" t="inlineStr"/>
      <c r="Q419" s="10" t="inlineStr"/>
      <c r="R419" s="10" t="inlineStr"/>
      <c r="S419" s="10" t="inlineStr"/>
      <c r="T419" s="10" t="inlineStr"/>
      <c r="U419" s="10" t="inlineStr"/>
      <c r="V419" s="10" t="inlineStr">
        <is>
          <t>Medium</t>
        </is>
      </c>
      <c r="W419" s="10" t="inlineStr">
        <is>
          <t>Independent retailer; Core relevant category</t>
        </is>
      </c>
      <c r="X419" s="10" t="inlineStr">
        <is>
          <t>Not Found</t>
        </is>
      </c>
      <c r="Y419" s="10" t="inlineStr">
        <is>
          <t>Not Found</t>
        </is>
      </c>
      <c r="Z419" s="10" t="inlineStr">
        <is>
          <t>Low</t>
        </is>
      </c>
      <c r="AA419" s="10" t="inlineStr">
        <is>
          <t>Requires Verification</t>
        </is>
      </c>
      <c r="AB419" s="10" t="inlineStr">
        <is>
          <t>https://www.yell.com/biz/vx-change-hounslow-10141765/</t>
        </is>
      </c>
    </row>
    <row r="420">
      <c r="A420" s="5" t="inlineStr">
        <is>
          <t>WY-0185</t>
        </is>
      </c>
      <c r="B420" s="5" t="inlineStr">
        <is>
          <t>WY-0185-01</t>
        </is>
      </c>
      <c r="C420" s="5" t="inlineStr"/>
      <c r="D420" s="5" t="inlineStr">
        <is>
          <t>Wakefield Road Service Station (Featherstone)</t>
        </is>
      </c>
      <c r="E420" s="5" t="inlineStr">
        <is>
          <t>Petrol Station / Forecourt</t>
        </is>
      </c>
      <c r="F420" s="5" t="inlineStr">
        <is>
          <t>Forecourt with convenience store</t>
        </is>
      </c>
      <c r="G420" s="5" t="inlineStr">
        <is>
          <t>Multi-Site Independent</t>
        </is>
      </c>
      <c r="H420" s="5" t="inlineStr">
        <is>
          <t>3</t>
        </is>
      </c>
      <c r="I420" s="5" t="inlineStr">
        <is>
          <t>Wakefield Road</t>
        </is>
      </c>
      <c r="J420" s="5" t="inlineStr">
        <is>
          <t>Featherstone</t>
        </is>
      </c>
      <c r="K420" s="5" t="inlineStr"/>
      <c r="L420" s="5" t="inlineStr"/>
      <c r="M420" s="5" t="inlineStr"/>
      <c r="N420" s="5" t="inlineStr"/>
      <c r="O420" s="5" t="inlineStr"/>
      <c r="P420" s="5" t="inlineStr"/>
      <c r="Q420" s="5" t="inlineStr"/>
      <c r="R420" s="5" t="inlineStr">
        <is>
          <t>Saqib Javaid; Zeeshan Ali</t>
        </is>
      </c>
      <c r="S420" s="5" t="inlineStr">
        <is>
          <t>Owners / Operators</t>
        </is>
      </c>
      <c r="T420" s="5" t="inlineStr"/>
      <c r="U420" s="5" t="inlineStr"/>
      <c r="V420" s="5" t="inlineStr">
        <is>
          <t>Medium</t>
        </is>
      </c>
      <c r="W420" s="5" t="inlineStr">
        <is>
          <t>Multi-site retailer; Independent retailer; Relevant category</t>
        </is>
      </c>
      <c r="X420" s="5" t="inlineStr">
        <is>
          <t>Not Found</t>
        </is>
      </c>
      <c r="Y420" s="5" t="inlineStr">
        <is>
          <t>Not Found</t>
        </is>
      </c>
      <c r="Z420" s="5" t="inlineStr">
        <is>
          <t>Low</t>
        </is>
      </c>
      <c r="AA420" s="5" t="inlineStr">
        <is>
          <t>Requires Verification</t>
        </is>
      </c>
      <c r="AB420" s="5" t="inlineStr">
        <is>
          <t>https://forecourttrader.co.uk/latest-news/forecourt-operator-duo-add-wakefield-road-service-station-to-portfolio/708047.article</t>
        </is>
      </c>
    </row>
    <row r="421">
      <c r="A421" s="10" t="inlineStr">
        <is>
          <t>UK-000295</t>
        </is>
      </c>
      <c r="B421" s="10" t="inlineStr">
        <is>
          <t>UK-000295-01</t>
        </is>
      </c>
      <c r="C421" s="10" t="inlineStr"/>
      <c r="D421" s="10" t="inlineStr">
        <is>
          <t>Walkley Beer Company</t>
        </is>
      </c>
      <c r="E421" s="10" t="inlineStr">
        <is>
          <t>Off-Licence</t>
        </is>
      </c>
      <c r="F421" s="10" t="inlineStr">
        <is>
          <t>Craft beer bottle shop / micropub</t>
        </is>
      </c>
      <c r="G421" s="10" t="inlineStr">
        <is>
          <t>Independent</t>
        </is>
      </c>
      <c r="H421" s="10" t="inlineStr">
        <is>
          <t>1</t>
        </is>
      </c>
      <c r="I421" s="10" t="inlineStr"/>
      <c r="J421" s="10" t="inlineStr">
        <is>
          <t>Sheffield</t>
        </is>
      </c>
      <c r="K421" s="10" t="inlineStr"/>
      <c r="L421" s="10" t="inlineStr"/>
      <c r="M421" s="10" t="inlineStr"/>
      <c r="N421" s="10" t="inlineStr"/>
      <c r="O421" s="10" t="inlineStr"/>
      <c r="P421" s="10" t="inlineStr"/>
      <c r="Q421" s="10" t="inlineStr"/>
      <c r="R421" s="10" t="inlineStr"/>
      <c r="S421" s="10" t="inlineStr"/>
      <c r="T421" s="10" t="inlineStr"/>
      <c r="U421" s="10" t="inlineStr"/>
      <c r="V421" s="10" t="inlineStr">
        <is>
          <t>Low</t>
        </is>
      </c>
      <c r="W421" s="10" t="inlineStr">
        <is>
          <t>Independent retailer; Relevant category</t>
        </is>
      </c>
      <c r="X421" s="10" t="inlineStr">
        <is>
          <t>Not Found</t>
        </is>
      </c>
      <c r="Y421" s="10" t="inlineStr">
        <is>
          <t>Not Found</t>
        </is>
      </c>
      <c r="Z421" s="10" t="inlineStr">
        <is>
          <t>Low</t>
        </is>
      </c>
      <c r="AA421" s="10" t="inlineStr">
        <is>
          <t>Requires Verification</t>
        </is>
      </c>
      <c r="AB421" s="10" t="inlineStr">
        <is>
          <t>https://www.yorkshire.com/sheffield/shopping/off-license</t>
        </is>
      </c>
    </row>
    <row r="422">
      <c r="A422" s="5" t="inlineStr">
        <is>
          <t>UK-000843</t>
        </is>
      </c>
      <c r="B422" s="5" t="inlineStr">
        <is>
          <t>UK-000843-01</t>
        </is>
      </c>
      <c r="C422" s="5" t="inlineStr"/>
      <c r="D422" s="5" t="inlineStr">
        <is>
          <t>Wallasey Off Licence and Convenience</t>
        </is>
      </c>
      <c r="E422" s="5" t="inlineStr">
        <is>
          <t>Off-Licence</t>
        </is>
      </c>
      <c r="F422" s="5" t="inlineStr">
        <is>
          <t>Off-licence / convenience store</t>
        </is>
      </c>
      <c r="G422" s="5" t="inlineStr">
        <is>
          <t>Independent</t>
        </is>
      </c>
      <c r="H422" s="5" t="inlineStr">
        <is>
          <t>1</t>
        </is>
      </c>
      <c r="I422" s="5" t="inlineStr">
        <is>
          <t>22 King Street</t>
        </is>
      </c>
      <c r="J422" s="5" t="inlineStr">
        <is>
          <t>Wallasey</t>
        </is>
      </c>
      <c r="K422" s="5" t="inlineStr">
        <is>
          <t>CH44 8AU</t>
        </is>
      </c>
      <c r="L422" s="5" t="inlineStr"/>
      <c r="M422" s="5" t="inlineStr"/>
      <c r="N422" s="5" t="inlineStr"/>
      <c r="O422" s="5" t="inlineStr"/>
      <c r="P422" s="5" t="inlineStr"/>
      <c r="Q422" s="5" t="inlineStr"/>
      <c r="R422" s="5" t="inlineStr"/>
      <c r="S422" s="5" t="inlineStr"/>
      <c r="T422" s="5" t="inlineStr"/>
      <c r="U422" s="5" t="inlineStr"/>
      <c r="V422" s="5" t="inlineStr">
        <is>
          <t>Low</t>
        </is>
      </c>
      <c r="W422" s="5" t="inlineStr">
        <is>
          <t>Independent retailer; Relevant category</t>
        </is>
      </c>
      <c r="X422" s="5" t="inlineStr">
        <is>
          <t>Not Found</t>
        </is>
      </c>
      <c r="Y422" s="5" t="inlineStr">
        <is>
          <t>Not Found</t>
        </is>
      </c>
      <c r="Z422" s="5" t="inlineStr">
        <is>
          <t>Low</t>
        </is>
      </c>
      <c r="AA422" s="5" t="inlineStr">
        <is>
          <t>Requires Verification</t>
        </is>
      </c>
      <c r="AB422" s="5" t="inlineStr">
        <is>
          <t>https://ratings.food.gov.uk/business/777455</t>
        </is>
      </c>
    </row>
    <row r="423">
      <c r="A423" s="10" t="inlineStr">
        <is>
          <t>WY-0186</t>
        </is>
      </c>
      <c r="B423" s="10" t="inlineStr">
        <is>
          <t>WY-0186-01</t>
        </is>
      </c>
      <c r="C423" s="10" t="inlineStr"/>
      <c r="D423" s="10" t="inlineStr">
        <is>
          <t>Wayward Wines</t>
        </is>
      </c>
      <c r="E423" s="10" t="inlineStr">
        <is>
          <t>Off-Licence</t>
        </is>
      </c>
      <c r="F423" s="10" t="inlineStr">
        <is>
          <t>Natural / organic wine shop</t>
        </is>
      </c>
      <c r="G423" s="10" t="inlineStr">
        <is>
          <t>Independent</t>
        </is>
      </c>
      <c r="H423" s="10" t="inlineStr">
        <is>
          <t>1</t>
        </is>
      </c>
      <c r="I423" s="10" t="inlineStr">
        <is>
          <t>1C Regent Street</t>
        </is>
      </c>
      <c r="J423" s="10" t="inlineStr">
        <is>
          <t>Leeds</t>
        </is>
      </c>
      <c r="K423" s="10" t="inlineStr">
        <is>
          <t>LS7 4PE</t>
        </is>
      </c>
      <c r="L423" s="10" t="inlineStr"/>
      <c r="M423" s="10" t="inlineStr"/>
      <c r="N423" s="10" t="inlineStr"/>
      <c r="O423" s="10" t="inlineStr"/>
      <c r="P423" s="10" t="inlineStr"/>
      <c r="Q423" s="10" t="inlineStr"/>
      <c r="R423" s="10" t="inlineStr"/>
      <c r="S423" s="10" t="inlineStr"/>
      <c r="T423" s="10" t="inlineStr"/>
      <c r="U423" s="10" t="inlineStr"/>
      <c r="V423" s="10" t="inlineStr">
        <is>
          <t>Low</t>
        </is>
      </c>
      <c r="W423" s="10" t="inlineStr">
        <is>
          <t>Independent retailer; Relevant category</t>
        </is>
      </c>
      <c r="X423" s="10" t="inlineStr">
        <is>
          <t>Not Found</t>
        </is>
      </c>
      <c r="Y423" s="10" t="inlineStr">
        <is>
          <t>Not Found</t>
        </is>
      </c>
      <c r="Z423" s="10" t="inlineStr">
        <is>
          <t>Medium</t>
        </is>
      </c>
      <c r="AA423" s="10" t="inlineStr">
        <is>
          <t>Requires Verification</t>
        </is>
      </c>
      <c r="AB423" s="10" t="inlineStr">
        <is>
          <t>https://confidentials.com/leeds/six-of-the-best-bottle-shops</t>
        </is>
      </c>
    </row>
    <row r="424">
      <c r="A424" s="5" t="inlineStr">
        <is>
          <t>UK-000686</t>
        </is>
      </c>
      <c r="B424" s="5" t="inlineStr">
        <is>
          <t>UK-000686-01</t>
        </is>
      </c>
      <c r="C424" s="5" t="inlineStr"/>
      <c r="D424" s="5" t="inlineStr">
        <is>
          <t>Well Street Wines</t>
        </is>
      </c>
      <c r="E424" s="5" t="inlineStr">
        <is>
          <t>Off-Licence</t>
        </is>
      </c>
      <c r="F424" s="5" t="inlineStr">
        <is>
          <t>Off-licence</t>
        </is>
      </c>
      <c r="G424" s="5" t="inlineStr">
        <is>
          <t>Independent</t>
        </is>
      </c>
      <c r="H424" s="5" t="inlineStr">
        <is>
          <t>1</t>
        </is>
      </c>
      <c r="I424" s="5" t="inlineStr">
        <is>
          <t>98 Well Street</t>
        </is>
      </c>
      <c r="J424" s="5" t="inlineStr">
        <is>
          <t>Hackney</t>
        </is>
      </c>
      <c r="K424" s="5" t="inlineStr">
        <is>
          <t>E9 7JA</t>
        </is>
      </c>
      <c r="L424" s="5" t="inlineStr"/>
      <c r="M424" s="5" t="inlineStr"/>
      <c r="N424" s="5" t="inlineStr"/>
      <c r="O424" s="5" t="inlineStr"/>
      <c r="P424" s="5" t="inlineStr"/>
      <c r="Q424" s="5" t="inlineStr"/>
      <c r="R424" s="5" t="inlineStr"/>
      <c r="S424" s="5" t="inlineStr"/>
      <c r="T424" s="5" t="inlineStr"/>
      <c r="U424" s="5" t="inlineStr"/>
      <c r="V424" s="5" t="inlineStr">
        <is>
          <t>Low</t>
        </is>
      </c>
      <c r="W424" s="5" t="inlineStr">
        <is>
          <t>Independent retailer; Relevant category</t>
        </is>
      </c>
      <c r="X424" s="5" t="inlineStr">
        <is>
          <t>Not Found</t>
        </is>
      </c>
      <c r="Y424" s="5" t="inlineStr">
        <is>
          <t>Not Found</t>
        </is>
      </c>
      <c r="Z424" s="5" t="inlineStr">
        <is>
          <t>Low</t>
        </is>
      </c>
      <c r="AA424" s="5" t="inlineStr">
        <is>
          <t>Requires Verification</t>
        </is>
      </c>
      <c r="AB424" s="5" t="inlineStr">
        <is>
          <t>https://www.yell.com/s/off+licences-stoke+newington-north+london.html</t>
        </is>
      </c>
    </row>
    <row r="425">
      <c r="A425" s="10" t="inlineStr">
        <is>
          <t>UK-000687</t>
        </is>
      </c>
      <c r="B425" s="10" t="inlineStr">
        <is>
          <t>UK-000687-01</t>
        </is>
      </c>
      <c r="C425" s="10" t="inlineStr"/>
      <c r="D425" s="10" t="inlineStr">
        <is>
          <t>West 9 Food &amp; Wine</t>
        </is>
      </c>
      <c r="E425" s="10" t="inlineStr">
        <is>
          <t>Convenience Store</t>
        </is>
      </c>
      <c r="F425" s="10" t="inlineStr">
        <is>
          <t>Convenience &amp; off-licence</t>
        </is>
      </c>
      <c r="G425" s="10" t="inlineStr">
        <is>
          <t>Independent</t>
        </is>
      </c>
      <c r="H425" s="10" t="inlineStr">
        <is>
          <t>1</t>
        </is>
      </c>
      <c r="I425" s="10" t="inlineStr"/>
      <c r="J425" s="10" t="inlineStr">
        <is>
          <t>Bethnal Green</t>
        </is>
      </c>
      <c r="K425" s="10" t="inlineStr">
        <is>
          <t>E2 0RN</t>
        </is>
      </c>
      <c r="L425" s="10" t="inlineStr"/>
      <c r="M425" s="10" t="inlineStr"/>
      <c r="N425" s="10" t="inlineStr"/>
      <c r="O425" s="10" t="inlineStr"/>
      <c r="P425" s="10" t="inlineStr"/>
      <c r="Q425" s="10" t="inlineStr"/>
      <c r="R425" s="10" t="inlineStr"/>
      <c r="S425" s="10" t="inlineStr"/>
      <c r="T425" s="10" t="inlineStr"/>
      <c r="U425" s="10" t="inlineStr"/>
      <c r="V425" s="10" t="inlineStr">
        <is>
          <t>Low</t>
        </is>
      </c>
      <c r="W425" s="10" t="inlineStr">
        <is>
          <t>Independent retailer; Relevant category</t>
        </is>
      </c>
      <c r="X425" s="10" t="inlineStr">
        <is>
          <t>Not Found</t>
        </is>
      </c>
      <c r="Y425" s="10" t="inlineStr">
        <is>
          <t>Not Found</t>
        </is>
      </c>
      <c r="Z425" s="10" t="inlineStr">
        <is>
          <t>Low</t>
        </is>
      </c>
      <c r="AA425" s="10" t="inlineStr">
        <is>
          <t>Requires Verification</t>
        </is>
      </c>
      <c r="AB425" s="10" t="inlineStr">
        <is>
          <t>https://www.192.com/atoz/business/london-e2/general-and-convenience-stores/west-9-food-wine/a1f57525e024dcc489d3e9e2c58c38ed54e83d6f/ml/</t>
        </is>
      </c>
    </row>
    <row r="426">
      <c r="A426" s="5" t="inlineStr">
        <is>
          <t>WY-0187</t>
        </is>
      </c>
      <c r="B426" s="5" t="inlineStr">
        <is>
          <t>WY-0187-01</t>
        </is>
      </c>
      <c r="C426" s="5" t="inlineStr"/>
      <c r="D426" s="5" t="inlineStr">
        <is>
          <t>West End Off Licence</t>
        </is>
      </c>
      <c r="E426" s="5" t="inlineStr">
        <is>
          <t>Off-Licence</t>
        </is>
      </c>
      <c r="F426" s="5" t="inlineStr"/>
      <c r="G426" s="5" t="inlineStr">
        <is>
          <t>Independent</t>
        </is>
      </c>
      <c r="H426" s="5" t="inlineStr">
        <is>
          <t>1</t>
        </is>
      </c>
      <c r="I426" s="5" t="inlineStr">
        <is>
          <t>2 Mile Cross Terrace</t>
        </is>
      </c>
      <c r="J426" s="5" t="inlineStr">
        <is>
          <t>Halifax</t>
        </is>
      </c>
      <c r="K426" s="5" t="inlineStr">
        <is>
          <t>HX1 4HP</t>
        </is>
      </c>
      <c r="L426" s="5" t="inlineStr"/>
      <c r="M426" s="5" t="inlineStr"/>
      <c r="N426" s="5" t="inlineStr"/>
      <c r="O426" s="5" t="inlineStr"/>
      <c r="P426" s="5" t="inlineStr"/>
      <c r="Q426" s="5" t="inlineStr"/>
      <c r="R426" s="5" t="inlineStr"/>
      <c r="S426" s="5" t="inlineStr"/>
      <c r="T426" s="5" t="inlineStr"/>
      <c r="U426" s="5" t="inlineStr"/>
      <c r="V426" s="5" t="inlineStr">
        <is>
          <t>Low</t>
        </is>
      </c>
      <c r="W426" s="5" t="inlineStr">
        <is>
          <t>Independent retailer; Relevant category</t>
        </is>
      </c>
      <c r="X426" s="5" t="inlineStr">
        <is>
          <t>Not Found</t>
        </is>
      </c>
      <c r="Y426" s="5" t="inlineStr">
        <is>
          <t>Not Found</t>
        </is>
      </c>
      <c r="Z426" s="5" t="inlineStr">
        <is>
          <t>Medium</t>
        </is>
      </c>
      <c r="AA426" s="5" t="inlineStr">
        <is>
          <t>Requires Verification</t>
        </is>
      </c>
      <c r="AB426" s="5" t="inlineStr">
        <is>
          <t>https://www.yelp.co.uk/biz/westend-off-licence-rickys-halifax</t>
        </is>
      </c>
    </row>
    <row r="427">
      <c r="A427" s="10" t="inlineStr">
        <is>
          <t>UK-000845</t>
        </is>
      </c>
      <c r="B427" s="10" t="inlineStr">
        <is>
          <t>UK-000845-01</t>
        </is>
      </c>
      <c r="C427" s="10" t="inlineStr"/>
      <c r="D427" s="10" t="inlineStr">
        <is>
          <t>West Street Off Licence</t>
        </is>
      </c>
      <c r="E427" s="10" t="inlineStr">
        <is>
          <t>Off-Licence</t>
        </is>
      </c>
      <c r="F427" s="10" t="inlineStr">
        <is>
          <t>Late-night off-licence with delivery</t>
        </is>
      </c>
      <c r="G427" s="10" t="inlineStr">
        <is>
          <t>Independent</t>
        </is>
      </c>
      <c r="H427" s="10" t="inlineStr">
        <is>
          <t>1</t>
        </is>
      </c>
      <c r="I427" s="10" t="inlineStr">
        <is>
          <t>9 West Street</t>
        </is>
      </c>
      <c r="J427" s="10" t="inlineStr">
        <is>
          <t>Southport</t>
        </is>
      </c>
      <c r="K427" s="10" t="inlineStr">
        <is>
          <t>PR8 1QN</t>
        </is>
      </c>
      <c r="L427" s="10" t="inlineStr"/>
      <c r="M427" s="10" t="inlineStr"/>
      <c r="N427" s="10" t="inlineStr"/>
      <c r="O427" s="10" t="inlineStr"/>
      <c r="P427" s="10" t="inlineStr"/>
      <c r="Q427" s="10" t="inlineStr"/>
      <c r="R427" s="10" t="inlineStr"/>
      <c r="S427" s="10" t="inlineStr"/>
      <c r="T427" s="10" t="inlineStr"/>
      <c r="U427" s="10" t="inlineStr"/>
      <c r="V427" s="10" t="inlineStr">
        <is>
          <t>Low</t>
        </is>
      </c>
      <c r="W427" s="10" t="inlineStr">
        <is>
          <t>Independent retailer; Relevant category</t>
        </is>
      </c>
      <c r="X427" s="10" t="inlineStr">
        <is>
          <t>Not Found</t>
        </is>
      </c>
      <c r="Y427" s="10" t="inlineStr">
        <is>
          <t>Not Found</t>
        </is>
      </c>
      <c r="Z427" s="10" t="inlineStr">
        <is>
          <t>Low</t>
        </is>
      </c>
      <c r="AA427" s="10" t="inlineStr">
        <is>
          <t>Requires Verification</t>
        </is>
      </c>
      <c r="AB427" s="10" t="inlineStr">
        <is>
          <t>https://www.24houralcohol.co.uk/sefton-off-licences</t>
        </is>
      </c>
    </row>
    <row r="428">
      <c r="A428" s="5" t="inlineStr">
        <is>
          <t>UK-000688</t>
        </is>
      </c>
      <c r="B428" s="5" t="inlineStr">
        <is>
          <t>UK-000688-01</t>
        </is>
      </c>
      <c r="C428" s="5" t="inlineStr"/>
      <c r="D428" s="5" t="inlineStr">
        <is>
          <t>Western Cash &amp; Carry</t>
        </is>
      </c>
      <c r="E428" s="5" t="inlineStr">
        <is>
          <t>Cash &amp; Carry</t>
        </is>
      </c>
      <c r="F428" s="5" t="inlineStr"/>
      <c r="G428" s="5" t="inlineStr">
        <is>
          <t>Independent</t>
        </is>
      </c>
      <c r="H428" s="5" t="inlineStr">
        <is>
          <t>1</t>
        </is>
      </c>
      <c r="I428" s="5" t="inlineStr">
        <is>
          <t>212 Western Road</t>
        </is>
      </c>
      <c r="J428" s="5" t="inlineStr">
        <is>
          <t>Southall</t>
        </is>
      </c>
      <c r="K428" s="5" t="inlineStr">
        <is>
          <t>UB2 5JW</t>
        </is>
      </c>
      <c r="L428" s="5" t="inlineStr"/>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Not Found</t>
        </is>
      </c>
      <c r="Y428" s="5" t="inlineStr">
        <is>
          <t>Not Found</t>
        </is>
      </c>
      <c r="Z428" s="5" t="inlineStr">
        <is>
          <t>Low</t>
        </is>
      </c>
      <c r="AA428" s="5" t="inlineStr">
        <is>
          <t>Requires Verification</t>
        </is>
      </c>
      <c r="AB428" s="5" t="inlineStr">
        <is>
          <t>https://www.yell.com/biz/western-cash-and-carry-southall-2039534/</t>
        </is>
      </c>
    </row>
    <row r="429">
      <c r="A429" s="10" t="inlineStr">
        <is>
          <t>UK-000541</t>
        </is>
      </c>
      <c r="B429" s="10" t="inlineStr">
        <is>
          <t>UK-000541-01</t>
        </is>
      </c>
      <c r="C429" s="10" t="inlineStr"/>
      <c r="D429" s="10" t="inlineStr">
        <is>
          <t>Windmill Grocery</t>
        </is>
      </c>
      <c r="E429" s="10" t="inlineStr">
        <is>
          <t>Independent Supermarket</t>
        </is>
      </c>
      <c r="F429" s="10" t="inlineStr">
        <is>
          <t>Grocery / world food store</t>
        </is>
      </c>
      <c r="G429" s="10" t="inlineStr">
        <is>
          <t>Independent</t>
        </is>
      </c>
      <c r="H429" s="10" t="inlineStr">
        <is>
          <t>1</t>
        </is>
      </c>
      <c r="I429" s="10" t="inlineStr">
        <is>
          <t>428 High Street</t>
        </is>
      </c>
      <c r="J429" s="10" t="inlineStr">
        <is>
          <t>Smethwick</t>
        </is>
      </c>
      <c r="K429" s="10" t="inlineStr">
        <is>
          <t>B66 3PJ</t>
        </is>
      </c>
      <c r="L429" s="10" t="inlineStr"/>
      <c r="M429" s="10" t="inlineStr"/>
      <c r="N429" s="10" t="inlineStr"/>
      <c r="O429" s="10" t="inlineStr"/>
      <c r="P429" s="10" t="inlineStr"/>
      <c r="Q429" s="10" t="inlineStr"/>
      <c r="R429" s="10" t="inlineStr"/>
      <c r="S429" s="10" t="inlineStr"/>
      <c r="T429" s="10" t="inlineStr"/>
      <c r="U429" s="10" t="inlineStr"/>
      <c r="V429" s="10" t="inlineStr">
        <is>
          <t>Low</t>
        </is>
      </c>
      <c r="W429" s="10" t="inlineStr">
        <is>
          <t>Independent retailer; Relevant category</t>
        </is>
      </c>
      <c r="X429" s="10" t="inlineStr">
        <is>
          <t>Not Found</t>
        </is>
      </c>
      <c r="Y429" s="10" t="inlineStr">
        <is>
          <t>Not Found</t>
        </is>
      </c>
      <c r="Z429" s="10" t="inlineStr">
        <is>
          <t>Medium</t>
        </is>
      </c>
      <c r="AA429" s="10" t="inlineStr">
        <is>
          <t>Requires Verification</t>
        </is>
      </c>
      <c r="AB429" s="10" t="inlineStr">
        <is>
          <t>https://www.192.com/atoz/business/smethwick/supermarkets/</t>
        </is>
      </c>
    </row>
    <row r="430">
      <c r="A430" s="5" t="inlineStr">
        <is>
          <t>UK-000846</t>
        </is>
      </c>
      <c r="B430" s="5" t="inlineStr">
        <is>
          <t>UK-000846-01</t>
        </is>
      </c>
      <c r="C430" s="5" t="inlineStr"/>
      <c r="D430" s="5" t="inlineStr">
        <is>
          <t>Windsor Wines &amp; Spirits</t>
        </is>
      </c>
      <c r="E430" s="5" t="inlineStr">
        <is>
          <t>Off-Licence</t>
        </is>
      </c>
      <c r="F430" s="5" t="inlineStr">
        <is>
          <t>Off-licence / wines &amp; spirits</t>
        </is>
      </c>
      <c r="G430" s="5" t="inlineStr">
        <is>
          <t>Independent</t>
        </is>
      </c>
      <c r="H430" s="5" t="inlineStr">
        <is>
          <t>1</t>
        </is>
      </c>
      <c r="I430" s="5" t="inlineStr">
        <is>
          <t>166 Windsor Street</t>
        </is>
      </c>
      <c r="J430" s="5" t="inlineStr">
        <is>
          <t>Liverpool</t>
        </is>
      </c>
      <c r="K430" s="5" t="inlineStr">
        <is>
          <t>L8 8EH</t>
        </is>
      </c>
      <c r="L430" s="5" t="inlineStr"/>
      <c r="M430" s="5" t="inlineStr"/>
      <c r="N430" s="5" t="inlineStr"/>
      <c r="O430" s="5" t="inlineStr"/>
      <c r="P430" s="5" t="inlineStr"/>
      <c r="Q430" s="5" t="inlineStr"/>
      <c r="R430" s="5" t="inlineStr"/>
      <c r="S430" s="5" t="inlineStr"/>
      <c r="T430" s="5" t="inlineStr"/>
      <c r="U430" s="5" t="inlineStr"/>
      <c r="V430" s="5" t="inlineStr">
        <is>
          <t>Low</t>
        </is>
      </c>
      <c r="W430" s="5" t="inlineStr">
        <is>
          <t>Independent retailer; Relevant category</t>
        </is>
      </c>
      <c r="X430" s="5" t="inlineStr">
        <is>
          <t>Not Found</t>
        </is>
      </c>
      <c r="Y430" s="5" t="inlineStr">
        <is>
          <t>Not Found</t>
        </is>
      </c>
      <c r="Z430" s="5" t="inlineStr">
        <is>
          <t>Low</t>
        </is>
      </c>
      <c r="AA430" s="5" t="inlineStr">
        <is>
          <t>Requires Verification</t>
        </is>
      </c>
      <c r="AB430" s="5" t="inlineStr">
        <is>
          <t>https://liverpool.cylex-uk.co.uk/off-licence-4.html</t>
        </is>
      </c>
    </row>
    <row r="431">
      <c r="A431" s="10" t="inlineStr">
        <is>
          <t>UK-000847</t>
        </is>
      </c>
      <c r="B431" s="10" t="inlineStr">
        <is>
          <t>UK-000847-01</t>
        </is>
      </c>
      <c r="C431" s="10" t="inlineStr"/>
      <c r="D431" s="10" t="inlineStr">
        <is>
          <t>Wisla Supermarket &amp; Off Licence</t>
        </is>
      </c>
      <c r="E431" s="10" t="inlineStr">
        <is>
          <t>Independent Supermarket</t>
        </is>
      </c>
      <c r="F431" s="10" t="inlineStr">
        <is>
          <t>Polish supermarket / off-licence</t>
        </is>
      </c>
      <c r="G431" s="10" t="inlineStr">
        <is>
          <t>Independent</t>
        </is>
      </c>
      <c r="H431" s="10" t="inlineStr">
        <is>
          <t>1</t>
        </is>
      </c>
      <c r="I431" s="10" t="inlineStr"/>
      <c r="J431" s="10" t="inlineStr">
        <is>
          <t>Southport</t>
        </is>
      </c>
      <c r="K431" s="10" t="inlineStr"/>
      <c r="L431" s="10" t="inlineStr"/>
      <c r="M431" s="10" t="inlineStr"/>
      <c r="N431" s="10" t="inlineStr"/>
      <c r="O431" s="10" t="inlineStr"/>
      <c r="P431" s="10" t="inlineStr"/>
      <c r="Q431" s="10" t="inlineStr"/>
      <c r="R431" s="10" t="inlineStr"/>
      <c r="S431" s="10" t="inlineStr"/>
      <c r="T431" s="10" t="inlineStr"/>
      <c r="U431" s="10" t="inlineStr"/>
      <c r="V431" s="10" t="inlineStr">
        <is>
          <t>Low</t>
        </is>
      </c>
      <c r="W431" s="10" t="inlineStr">
        <is>
          <t>Independent retailer; Relevant category</t>
        </is>
      </c>
      <c r="X431" s="10" t="inlineStr">
        <is>
          <t>Not Found</t>
        </is>
      </c>
      <c r="Y431" s="10" t="inlineStr">
        <is>
          <t>Not Found</t>
        </is>
      </c>
      <c r="Z431" s="10" t="inlineStr">
        <is>
          <t>Low</t>
        </is>
      </c>
      <c r="AA431" s="10" t="inlineStr">
        <is>
          <t>Requires Verification</t>
        </is>
      </c>
      <c r="AB431" s="10" t="inlineStr">
        <is>
          <t>https://www.hereme.uk/merseyside/southport/shop-wisla-supermarket-and-off-licence</t>
        </is>
      </c>
    </row>
    <row r="432">
      <c r="A432" s="5" t="inlineStr">
        <is>
          <t>UK-000848</t>
        </is>
      </c>
      <c r="B432" s="5" t="inlineStr">
        <is>
          <t>UK-000848-01</t>
        </is>
      </c>
      <c r="C432" s="5" t="inlineStr"/>
      <c r="D432" s="5" t="inlineStr">
        <is>
          <t>World Foods Glasgow</t>
        </is>
      </c>
      <c r="E432" s="5" t="inlineStr">
        <is>
          <t>Independent Supermarket</t>
        </is>
      </c>
      <c r="F432" s="5" t="inlineStr">
        <is>
          <t>World food / halal grocery supermarket</t>
        </is>
      </c>
      <c r="G432" s="5" t="inlineStr">
        <is>
          <t>Independent</t>
        </is>
      </c>
      <c r="H432" s="5" t="inlineStr">
        <is>
          <t>1</t>
        </is>
      </c>
      <c r="I432" s="5" t="inlineStr">
        <is>
          <t>23 Nithsdale Street</t>
        </is>
      </c>
      <c r="J432" s="5" t="inlineStr">
        <is>
          <t>Glasgow</t>
        </is>
      </c>
      <c r="K432" s="5" t="inlineStr">
        <is>
          <t>G41 2PZ</t>
        </is>
      </c>
      <c r="L432" s="5" t="inlineStr"/>
      <c r="M432" s="5" t="inlineStr"/>
      <c r="N432" s="5" t="inlineStr"/>
      <c r="O432" s="5" t="inlineStr"/>
      <c r="P432" s="5" t="inlineStr">
        <is>
          <t>https://www.facebook.com/worldfoodsglasgow/</t>
        </is>
      </c>
      <c r="Q432" s="5" t="inlineStr"/>
      <c r="R432" s="5" t="inlineStr"/>
      <c r="S432" s="5" t="inlineStr"/>
      <c r="T432" s="5" t="inlineStr"/>
      <c r="U432" s="5" t="inlineStr"/>
      <c r="V432" s="5" t="inlineStr">
        <is>
          <t>Medium</t>
        </is>
      </c>
      <c r="W432" s="5" t="inlineStr">
        <is>
          <t>Independent retailer; Relevant category; Social presence</t>
        </is>
      </c>
      <c r="X432" s="5" t="inlineStr">
        <is>
          <t>Not Found</t>
        </is>
      </c>
      <c r="Y432" s="5" t="inlineStr">
        <is>
          <t>Not Found</t>
        </is>
      </c>
      <c r="Z432" s="5" t="inlineStr">
        <is>
          <t>Medium</t>
        </is>
      </c>
      <c r="AA432" s="5" t="inlineStr">
        <is>
          <t>Requires Verification</t>
        </is>
      </c>
      <c r="AB432" s="5" t="inlineStr">
        <is>
          <t>https://www.yell.com/biz/world-foods-glasgow-8606449/</t>
        </is>
      </c>
    </row>
    <row r="433">
      <c r="A433" s="10" t="inlineStr">
        <is>
          <t>UK-000544</t>
        </is>
      </c>
      <c r="B433" s="10" t="inlineStr">
        <is>
          <t>UK-000544-01</t>
        </is>
      </c>
      <c r="C433" s="10" t="inlineStr"/>
      <c r="D433" s="10" t="inlineStr">
        <is>
          <t>XO Convenience Store</t>
        </is>
      </c>
      <c r="E433" s="10" t="inlineStr">
        <is>
          <t>Convenience Store</t>
        </is>
      </c>
      <c r="F433" s="10" t="inlineStr">
        <is>
          <t>Convenience store</t>
        </is>
      </c>
      <c r="G433" s="10" t="inlineStr">
        <is>
          <t>Independent</t>
        </is>
      </c>
      <c r="H433" s="10" t="inlineStr">
        <is>
          <t>1</t>
        </is>
      </c>
      <c r="I433" s="10" t="inlineStr">
        <is>
          <t>1049 Pershore Road</t>
        </is>
      </c>
      <c r="J433" s="10" t="inlineStr">
        <is>
          <t>Birmingham</t>
        </is>
      </c>
      <c r="K433" s="10" t="inlineStr">
        <is>
          <t>B30 2YH</t>
        </is>
      </c>
      <c r="L433" s="10" t="inlineStr"/>
      <c r="M433" s="10" t="inlineStr"/>
      <c r="N433" s="10" t="inlineStr"/>
      <c r="O433" s="10" t="inlineStr"/>
      <c r="P433" s="10" t="inlineStr"/>
      <c r="Q433" s="10" t="inlineStr"/>
      <c r="R433" s="10" t="inlineStr"/>
      <c r="S433" s="10" t="inlineStr"/>
      <c r="T433" s="10" t="inlineStr"/>
      <c r="U433" s="10" t="inlineStr"/>
      <c r="V433" s="10" t="inlineStr">
        <is>
          <t>Low</t>
        </is>
      </c>
      <c r="W433" s="10" t="inlineStr">
        <is>
          <t>Independent retailer; Relevant category</t>
        </is>
      </c>
      <c r="X433" s="10" t="inlineStr">
        <is>
          <t>Not Found</t>
        </is>
      </c>
      <c r="Y433" s="10" t="inlineStr">
        <is>
          <t>Not Found</t>
        </is>
      </c>
      <c r="Z433" s="10" t="inlineStr">
        <is>
          <t>Low</t>
        </is>
      </c>
      <c r="AA433" s="10" t="inlineStr">
        <is>
          <t>Requires Verification</t>
        </is>
      </c>
      <c r="AB433" s="10" t="inlineStr">
        <is>
          <t>https://wanderboat.ai/local-businesses/united-kingdom/birmingham/xo-convenience-store/qJ7jZ5ggTf-kodfvot4yHg</t>
        </is>
      </c>
    </row>
    <row r="434">
      <c r="A434" s="5" t="inlineStr">
        <is>
          <t>UK-000545</t>
        </is>
      </c>
      <c r="B434" s="5" t="inlineStr">
        <is>
          <t>UK-000545-01</t>
        </is>
      </c>
      <c r="C434" s="5" t="inlineStr"/>
      <c r="D434" s="5" t="inlineStr">
        <is>
          <t>Yalda Nights Shisha Lounge</t>
        </is>
      </c>
      <c r="E434" s="5" t="inlineStr">
        <is>
          <t>Smoke / Shisha Shop</t>
        </is>
      </c>
      <c r="F434" s="5" t="inlineStr">
        <is>
          <t>Shisha lounge</t>
        </is>
      </c>
      <c r="G434" s="5" t="inlineStr">
        <is>
          <t>Independent</t>
        </is>
      </c>
      <c r="H434" s="5" t="inlineStr">
        <is>
          <t>1</t>
        </is>
      </c>
      <c r="I434" s="5" t="inlineStr">
        <is>
          <t>Sunbeam Street</t>
        </is>
      </c>
      <c r="J434" s="5" t="inlineStr">
        <is>
          <t>Wolverhampton</t>
        </is>
      </c>
      <c r="K434" s="5" t="inlineStr">
        <is>
          <t>WV2 4PF</t>
        </is>
      </c>
      <c r="L434" s="5" t="inlineStr"/>
      <c r="M434" s="5" t="inlineStr"/>
      <c r="N434" s="5" t="inlineStr"/>
      <c r="O434" s="5" t="inlineStr"/>
      <c r="P434" s="5" t="inlineStr">
        <is>
          <t>https://www.facebook.com/p/Yalda-Nights-Shisha-Lounge-100054290121231/</t>
        </is>
      </c>
      <c r="Q434" s="5" t="inlineStr"/>
      <c r="R434" s="5" t="inlineStr"/>
      <c r="S434" s="5" t="inlineStr"/>
      <c r="T434" s="5" t="inlineStr"/>
      <c r="U434" s="5" t="inlineStr"/>
      <c r="V434" s="5" t="inlineStr">
        <is>
          <t>Medium</t>
        </is>
      </c>
      <c r="W434" s="5" t="inlineStr">
        <is>
          <t>Independent retailer; Core relevant category; Social presence</t>
        </is>
      </c>
      <c r="X434" s="5" t="inlineStr">
        <is>
          <t>Not Found</t>
        </is>
      </c>
      <c r="Y434" s="5" t="inlineStr">
        <is>
          <t>Not Found</t>
        </is>
      </c>
      <c r="Z434" s="5" t="inlineStr">
        <is>
          <t>Low</t>
        </is>
      </c>
      <c r="AA434" s="5" t="inlineStr">
        <is>
          <t>Requires Verification</t>
        </is>
      </c>
      <c r="AB434" s="5" t="inlineStr">
        <is>
          <t>https://www.facebook.com/100054290121231/about/</t>
        </is>
      </c>
    </row>
    <row r="435">
      <c r="A435" s="10" t="inlineStr">
        <is>
          <t>UK-000414</t>
        </is>
      </c>
      <c r="B435" s="10" t="inlineStr">
        <is>
          <t>UK-000414-01</t>
        </is>
      </c>
      <c r="C435" s="10" t="inlineStr"/>
      <c r="D435" s="10" t="inlineStr">
        <is>
          <t>Yo1stop Convenience Store</t>
        </is>
      </c>
      <c r="E435" s="10" t="inlineStr">
        <is>
          <t>Convenience Store</t>
        </is>
      </c>
      <c r="F435" s="10" t="inlineStr"/>
      <c r="G435" s="10" t="inlineStr">
        <is>
          <t>Independent</t>
        </is>
      </c>
      <c r="H435" s="10" t="inlineStr">
        <is>
          <t>1</t>
        </is>
      </c>
      <c r="I435" s="10" t="inlineStr">
        <is>
          <t>1 Middleton Road</t>
        </is>
      </c>
      <c r="J435" s="10" t="inlineStr">
        <is>
          <t>Heywood</t>
        </is>
      </c>
      <c r="K435" s="10" t="inlineStr">
        <is>
          <t>OL10 2HS</t>
        </is>
      </c>
      <c r="L435" s="10" t="inlineStr"/>
      <c r="M435" s="10" t="inlineStr"/>
      <c r="N435" s="10" t="inlineStr"/>
      <c r="O435" s="10" t="inlineStr"/>
      <c r="P435" s="10" t="inlineStr"/>
      <c r="Q435" s="10" t="inlineStr"/>
      <c r="R435" s="10" t="inlineStr"/>
      <c r="S435" s="10" t="inlineStr"/>
      <c r="T435" s="10" t="inlineStr"/>
      <c r="U435" s="10" t="inlineStr"/>
      <c r="V435" s="10" t="inlineStr">
        <is>
          <t>Low</t>
        </is>
      </c>
      <c r="W435" s="10" t="inlineStr">
        <is>
          <t>Independent retailer; Relevant category</t>
        </is>
      </c>
      <c r="X435" s="10" t="inlineStr">
        <is>
          <t>Not Found</t>
        </is>
      </c>
      <c r="Y435" s="10" t="inlineStr">
        <is>
          <t>Not Found</t>
        </is>
      </c>
      <c r="Z435" s="10" t="inlineStr">
        <is>
          <t>Low</t>
        </is>
      </c>
      <c r="AA435" s="10" t="inlineStr">
        <is>
          <t>Requires Verification</t>
        </is>
      </c>
      <c r="AB435" s="10" t="inlineStr">
        <is>
          <t>https://heywood.cylex-uk.co.uk/convenience-stores/</t>
        </is>
      </c>
    </row>
    <row r="436">
      <c r="A436" s="5" t="inlineStr">
        <is>
          <t>UK-000415</t>
        </is>
      </c>
      <c r="B436" s="5" t="inlineStr">
        <is>
          <t>UK-000415-01</t>
        </is>
      </c>
      <c r="C436" s="5" t="inlineStr"/>
      <c r="D436" s="5" t="inlineStr">
        <is>
          <t>York Street Convenience Store</t>
        </is>
      </c>
      <c r="E436" s="5" t="inlineStr">
        <is>
          <t>Convenience Store</t>
        </is>
      </c>
      <c r="F436" s="5" t="inlineStr"/>
      <c r="G436" s="5" t="inlineStr">
        <is>
          <t>Independent</t>
        </is>
      </c>
      <c r="H436" s="5" t="inlineStr">
        <is>
          <t>1</t>
        </is>
      </c>
      <c r="I436" s="5" t="inlineStr">
        <is>
          <t>75 York Street</t>
        </is>
      </c>
      <c r="J436" s="5" t="inlineStr">
        <is>
          <t>Heywood</t>
        </is>
      </c>
      <c r="K436" s="5" t="inlineStr">
        <is>
          <t>OL10 4NR</t>
        </is>
      </c>
      <c r="L436" s="5" t="inlineStr"/>
      <c r="M436" s="5" t="inlineStr"/>
      <c r="N436" s="5" t="inlineStr"/>
      <c r="O436" s="5" t="inlineStr"/>
      <c r="P436" s="5" t="inlineStr"/>
      <c r="Q436" s="5" t="inlineStr"/>
      <c r="R436" s="5" t="inlineStr"/>
      <c r="S436" s="5" t="inlineStr"/>
      <c r="T436" s="5" t="inlineStr"/>
      <c r="U436" s="5" t="inlineStr"/>
      <c r="V436" s="5" t="inlineStr">
        <is>
          <t>Low</t>
        </is>
      </c>
      <c r="W436" s="5" t="inlineStr">
        <is>
          <t>Independent retailer; Relevant category</t>
        </is>
      </c>
      <c r="X436" s="5" t="inlineStr">
        <is>
          <t>Not Found</t>
        </is>
      </c>
      <c r="Y436" s="5" t="inlineStr">
        <is>
          <t>Not Found</t>
        </is>
      </c>
      <c r="Z436" s="5" t="inlineStr">
        <is>
          <t>Low</t>
        </is>
      </c>
      <c r="AA436" s="5" t="inlineStr">
        <is>
          <t>Requires Verification</t>
        </is>
      </c>
      <c r="AB436" s="5" t="inlineStr">
        <is>
          <t>https://heywood.cylex-uk.co.uk/convenience-stores/</t>
        </is>
      </c>
    </row>
    <row r="437">
      <c r="A437" s="10" t="inlineStr">
        <is>
          <t>WY-0190</t>
        </is>
      </c>
      <c r="B437" s="10" t="inlineStr">
        <is>
          <t>WY-0190-01</t>
        </is>
      </c>
      <c r="C437" s="10" t="inlineStr"/>
      <c r="D437" s="10" t="inlineStr">
        <is>
          <t>Yorkshire Fuels (Green Lane Service Station)</t>
        </is>
      </c>
      <c r="E437" s="10" t="inlineStr">
        <is>
          <t>Petrol Station / Forecourt</t>
        </is>
      </c>
      <c r="F437" s="10" t="inlineStr">
        <is>
          <t>24-hour forecourt with convenience store</t>
        </is>
      </c>
      <c r="G437" s="10" t="inlineStr">
        <is>
          <t>Independent</t>
        </is>
      </c>
      <c r="H437" s="10" t="inlineStr">
        <is>
          <t>1</t>
        </is>
      </c>
      <c r="I437" s="10" t="inlineStr">
        <is>
          <t>Green Lane</t>
        </is>
      </c>
      <c r="J437" s="10" t="inlineStr">
        <is>
          <t>Yeadon</t>
        </is>
      </c>
      <c r="K437" s="10" t="inlineStr">
        <is>
          <t>LS19 7BU</t>
        </is>
      </c>
      <c r="L437" s="10" t="inlineStr"/>
      <c r="M437" s="10" t="inlineStr"/>
      <c r="N437" s="10" t="inlineStr"/>
      <c r="O437" s="10" t="inlineStr"/>
      <c r="P437" s="10" t="inlineStr"/>
      <c r="Q437" s="10" t="inlineStr"/>
      <c r="R437" s="10" t="inlineStr"/>
      <c r="S437" s="10" t="inlineStr"/>
      <c r="T437" s="10" t="inlineStr">
        <is>
          <t>14479452</t>
        </is>
      </c>
      <c r="U437" s="10" t="inlineStr">
        <is>
          <t>Active</t>
        </is>
      </c>
      <c r="V437" s="10" t="inlineStr">
        <is>
          <t>Low</t>
        </is>
      </c>
      <c r="W437" s="10" t="inlineStr">
        <is>
          <t>Independent retailer; Relevant category</t>
        </is>
      </c>
      <c r="X437" s="10" t="inlineStr">
        <is>
          <t>Not Found</t>
        </is>
      </c>
      <c r="Y437" s="10" t="inlineStr">
        <is>
          <t>Not Found</t>
        </is>
      </c>
      <c r="Z437" s="10" t="inlineStr">
        <is>
          <t>Medium</t>
        </is>
      </c>
      <c r="AA437" s="10" t="inlineStr">
        <is>
          <t>Partially Verified</t>
        </is>
      </c>
      <c r="AB437" s="10" t="inlineStr">
        <is>
          <t>https://find-and-update.company-information.service.gov.uk/company/14479452</t>
        </is>
      </c>
    </row>
    <row r="438">
      <c r="A438" s="5" t="inlineStr">
        <is>
          <t>UK-000417</t>
        </is>
      </c>
      <c r="B438" s="5" t="inlineStr">
        <is>
          <t>UK-000417-01</t>
        </is>
      </c>
      <c r="C438" s="5" t="inlineStr"/>
      <c r="D438" s="5" t="inlineStr">
        <is>
          <t>eCig Factory 2</t>
        </is>
      </c>
      <c r="E438" s="5" t="inlineStr">
        <is>
          <t>Vape Shop</t>
        </is>
      </c>
      <c r="F438" s="5" t="inlineStr"/>
      <c r="G438" s="5" t="inlineStr">
        <is>
          <t>Independent</t>
        </is>
      </c>
      <c r="H438" s="5" t="inlineStr">
        <is>
          <t>1</t>
        </is>
      </c>
      <c r="I438" s="5" t="inlineStr">
        <is>
          <t>75 Featherstall Road North</t>
        </is>
      </c>
      <c r="J438" s="5" t="inlineStr">
        <is>
          <t>Oldham</t>
        </is>
      </c>
      <c r="K438" s="5" t="inlineStr">
        <is>
          <t>OL9 6QB</t>
        </is>
      </c>
      <c r="L438" s="5" t="inlineStr"/>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Not Found</t>
        </is>
      </c>
      <c r="Y438" s="5" t="inlineStr">
        <is>
          <t>Not Found</t>
        </is>
      </c>
      <c r="Z438" s="5" t="inlineStr">
        <is>
          <t>Low</t>
        </is>
      </c>
      <c r="AA438" s="5" t="inlineStr">
        <is>
          <t>Requires Verification</t>
        </is>
      </c>
      <c r="AB438" s="5" t="inlineStr">
        <is>
          <t>https://vapeshops.puffingbird.com/england/oldham</t>
        </is>
      </c>
    </row>
    <row r="439">
      <c r="A439" s="10" t="inlineStr">
        <is>
          <t>WY-0192</t>
        </is>
      </c>
      <c r="B439" s="10" t="inlineStr">
        <is>
          <t>WY-0192-01</t>
        </is>
      </c>
      <c r="C439" s="10" t="inlineStr"/>
      <c r="D439" s="10" t="inlineStr">
        <is>
          <t>eVape Outlet</t>
        </is>
      </c>
      <c r="E439" s="10" t="inlineStr">
        <is>
          <t>Vape Shop</t>
        </is>
      </c>
      <c r="F439" s="10" t="inlineStr">
        <is>
          <t>Vape shop</t>
        </is>
      </c>
      <c r="G439" s="10" t="inlineStr">
        <is>
          <t>Independent</t>
        </is>
      </c>
      <c r="H439" s="10" t="inlineStr">
        <is>
          <t>1</t>
        </is>
      </c>
      <c r="I439" s="10" t="inlineStr"/>
      <c r="J439" s="10" t="inlineStr">
        <is>
          <t>Keighley</t>
        </is>
      </c>
      <c r="K439" s="10" t="inlineStr"/>
      <c r="L439" s="10" t="inlineStr"/>
      <c r="M439" s="10" t="inlineStr"/>
      <c r="N439" s="10" t="inlineStr"/>
      <c r="O439" s="10" t="inlineStr"/>
      <c r="P439" s="10" t="inlineStr"/>
      <c r="Q439" s="10" t="inlineStr"/>
      <c r="R439" s="10" t="inlineStr"/>
      <c r="S439" s="10" t="inlineStr"/>
      <c r="T439" s="10" t="inlineStr"/>
      <c r="U439" s="10" t="inlineStr"/>
      <c r="V439" s="10" t="inlineStr">
        <is>
          <t>Medium</t>
        </is>
      </c>
      <c r="W439" s="10" t="inlineStr">
        <is>
          <t>Independent retailer; Core relevant category</t>
        </is>
      </c>
      <c r="X439" s="10" t="inlineStr">
        <is>
          <t>Not Found</t>
        </is>
      </c>
      <c r="Y439" s="10" t="inlineStr">
        <is>
          <t>Not Found</t>
        </is>
      </c>
      <c r="Z439" s="10" t="inlineStr">
        <is>
          <t>Low</t>
        </is>
      </c>
      <c r="AA439" s="10" t="inlineStr">
        <is>
          <t>Requires Verification</t>
        </is>
      </c>
      <c r="AB439" s="10" t="inlineStr">
        <is>
          <t>https://keighley.cylex-uk.co.uk/company/evape-outlet-27656791.html</t>
        </is>
      </c>
    </row>
    <row r="440">
      <c r="A440" s="5" t="inlineStr">
        <is>
          <t>UK-000546</t>
        </is>
      </c>
      <c r="B440" s="5" t="inlineStr">
        <is>
          <t>UK-000546-01</t>
        </is>
      </c>
      <c r="C440" s="5" t="inlineStr"/>
      <c r="D440" s="5" t="inlineStr">
        <is>
          <t>i Vape Guru Ltd</t>
        </is>
      </c>
      <c r="E440" s="5" t="inlineStr">
        <is>
          <t>Vape Shop</t>
        </is>
      </c>
      <c r="F440" s="5" t="inlineStr">
        <is>
          <t>Vape kits, e-liquids &amp; accessories</t>
        </is>
      </c>
      <c r="G440" s="5" t="inlineStr">
        <is>
          <t>Independent</t>
        </is>
      </c>
      <c r="H440" s="5" t="inlineStr">
        <is>
          <t>1</t>
        </is>
      </c>
      <c r="I440" s="5" t="inlineStr">
        <is>
          <t>24 Market Street</t>
        </is>
      </c>
      <c r="J440" s="5" t="inlineStr">
        <is>
          <t>Stourbridge</t>
        </is>
      </c>
      <c r="K440" s="5" t="inlineStr">
        <is>
          <t>DY8 1AG</t>
        </is>
      </c>
      <c r="L440" s="5" t="inlineStr"/>
      <c r="M440" s="5" t="inlineStr"/>
      <c r="N440" s="5" t="inlineStr"/>
      <c r="O440" s="5" t="inlineStr"/>
      <c r="P440" s="5" t="inlineStr"/>
      <c r="Q440" s="5" t="inlineStr"/>
      <c r="R440" s="5" t="inlineStr"/>
      <c r="S440" s="5" t="inlineStr"/>
      <c r="T440" s="5" t="inlineStr"/>
      <c r="U440" s="5" t="inlineStr"/>
      <c r="V440" s="5" t="inlineStr">
        <is>
          <t>Medium</t>
        </is>
      </c>
      <c r="W440" s="5" t="inlineStr">
        <is>
          <t>Independent retailer; Core relevant category</t>
        </is>
      </c>
      <c r="X440" s="5" t="inlineStr">
        <is>
          <t>Not Found</t>
        </is>
      </c>
      <c r="Y440" s="5" t="inlineStr">
        <is>
          <t>Not Found</t>
        </is>
      </c>
      <c r="Z440" s="5" t="inlineStr">
        <is>
          <t>Medium</t>
        </is>
      </c>
      <c r="AA440" s="5" t="inlineStr">
        <is>
          <t>Requires Verification</t>
        </is>
      </c>
      <c r="AB440" s="5" t="inlineStr">
        <is>
          <t>https://directory.shropshirestar.co.uk/company/1159632123420672</t>
        </is>
      </c>
    </row>
    <row r="441">
      <c r="A441" s="10" t="inlineStr">
        <is>
          <t>WY-0193</t>
        </is>
      </c>
      <c r="B441" s="10" t="inlineStr">
        <is>
          <t>WY-0193-01</t>
        </is>
      </c>
      <c r="C441" s="10" t="inlineStr"/>
      <c r="D441" s="10" t="inlineStr">
        <is>
          <t>iVape Lounge</t>
        </is>
      </c>
      <c r="E441" s="10" t="inlineStr">
        <is>
          <t>Vape Shop</t>
        </is>
      </c>
      <c r="F441" s="10" t="inlineStr"/>
      <c r="G441" s="10" t="inlineStr">
        <is>
          <t>Independent</t>
        </is>
      </c>
      <c r="H441" s="10" t="inlineStr">
        <is>
          <t>1</t>
        </is>
      </c>
      <c r="I441" s="10" t="inlineStr">
        <is>
          <t>53 Halifax Road</t>
        </is>
      </c>
      <c r="J441" s="10" t="inlineStr">
        <is>
          <t>Todmorden</t>
        </is>
      </c>
      <c r="K441" s="10" t="inlineStr">
        <is>
          <t>OL14 5BB</t>
        </is>
      </c>
      <c r="L441" s="10" t="inlineStr"/>
      <c r="M441" s="10" t="inlineStr"/>
      <c r="N441" s="10" t="inlineStr"/>
      <c r="O441" s="10" t="inlineStr"/>
      <c r="P441" s="10" t="inlineStr"/>
      <c r="Q441" s="10" t="inlineStr"/>
      <c r="R441" s="10" t="inlineStr"/>
      <c r="S441" s="10" t="inlineStr"/>
      <c r="T441" s="10" t="inlineStr"/>
      <c r="U441" s="10" t="inlineStr"/>
      <c r="V441" s="10" t="inlineStr">
        <is>
          <t>Medium</t>
        </is>
      </c>
      <c r="W441" s="10" t="inlineStr">
        <is>
          <t>Independent retailer; Core relevant category</t>
        </is>
      </c>
      <c r="X441" s="10" t="inlineStr">
        <is>
          <t>Not Found</t>
        </is>
      </c>
      <c r="Y441" s="10" t="inlineStr">
        <is>
          <t>Not Found</t>
        </is>
      </c>
      <c r="Z441" s="10" t="inlineStr">
        <is>
          <t>Low</t>
        </is>
      </c>
      <c r="AA441" s="10" t="inlineStr">
        <is>
          <t>Requires Verification</t>
        </is>
      </c>
      <c r="AB441" s="10" t="inlineStr">
        <is>
          <t>https://ivape-lounge-todmorden-vape-shop.wheree.com/</t>
        </is>
      </c>
    </row>
  </sheetData>
  <autoFilter ref="A1:AB4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sheetData>
  <autoFilter ref="A1:AB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247"/>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UK-000419</t>
        </is>
      </c>
      <c r="B37" s="10" t="inlineStr">
        <is>
          <t>Azad Supermarket - Alum Rock</t>
        </is>
      </c>
      <c r="C37" s="10" t="inlineStr">
        <is>
          <t>Birmingham</t>
        </is>
      </c>
      <c r="D37" s="10" t="inlineStr">
        <is>
          <t>https://halalhmc.org/outlets/azad-supermarket-alum-rock/</t>
        </is>
      </c>
      <c r="E37" s="10" t="inlineStr">
        <is>
          <t>Directory</t>
        </is>
      </c>
      <c r="F37" s="10" t="inlineStr">
        <is>
          <t>2026-09-17</t>
        </is>
      </c>
      <c r="G37" s="10" t="inlineStr">
        <is>
          <t>address, postcode, multi-site confirmation</t>
        </is>
      </c>
      <c r="H37" s="10" t="inlineStr">
        <is>
          <t>Requires Verification</t>
        </is>
      </c>
    </row>
    <row r="38">
      <c r="A38" s="5" t="inlineStr">
        <is>
          <t>UK-000420</t>
        </is>
      </c>
      <c r="B38" s="5" t="inlineStr">
        <is>
          <t>Azad Supermarket - Balsall Heath (Stoney Lane)</t>
        </is>
      </c>
      <c r="C38" s="5" t="inlineStr">
        <is>
          <t>Birmingham</t>
        </is>
      </c>
      <c r="D38" s="5" t="inlineStr">
        <is>
          <t>https://halalhmc.org/outlets/azad-supermarket-balsall-heath/</t>
        </is>
      </c>
      <c r="E38" s="5" t="inlineStr">
        <is>
          <t>Directory</t>
        </is>
      </c>
      <c r="F38" s="5" t="inlineStr">
        <is>
          <t>2026-09-17</t>
        </is>
      </c>
      <c r="G38" s="5" t="inlineStr">
        <is>
          <t>address, postcode, phone, multi-site confirmation</t>
        </is>
      </c>
      <c r="H38" s="5" t="inlineStr">
        <is>
          <t>Requires Verification</t>
        </is>
      </c>
    </row>
    <row r="39">
      <c r="A39" s="10" t="inlineStr">
        <is>
          <t>UK-000421</t>
        </is>
      </c>
      <c r="B39" s="10" t="inlineStr">
        <is>
          <t>Azad Supermarket - Sparkbrook (Ladypool Road)</t>
        </is>
      </c>
      <c r="C39" s="10" t="inlineStr">
        <is>
          <t>Birmingham</t>
        </is>
      </c>
      <c r="D39" s="10" t="inlineStr">
        <is>
          <t>https://www.ubereats.com/gb/store/azad-supermarket/JDnk99jbUOmiPnraKoxqGw</t>
        </is>
      </c>
      <c r="E39" s="10" t="inlineStr">
        <is>
          <t>Directory</t>
        </is>
      </c>
      <c r="F39" s="10" t="inlineStr">
        <is>
          <t>2026-09-17</t>
        </is>
      </c>
      <c r="G39" s="10" t="inlineStr">
        <is>
          <t>address, postcode, multi-site confirmation</t>
        </is>
      </c>
      <c r="H39" s="10" t="inlineStr">
        <is>
          <t>Requires Verification</t>
        </is>
      </c>
    </row>
    <row r="40">
      <c r="A40" s="5" t="inlineStr">
        <is>
          <t>UK-000691</t>
        </is>
      </c>
      <c r="B40" s="5" t="inlineStr">
        <is>
          <t>Bargain Booze - Lord Street Southport</t>
        </is>
      </c>
      <c r="C40" s="5" t="inlineStr">
        <is>
          <t>Southport</t>
        </is>
      </c>
      <c r="D40" s="5" t="inlineStr">
        <is>
          <t>https://branches.bargainbooze.co.uk/southport/597-599-lord-street.html</t>
        </is>
      </c>
      <c r="E40" s="5" t="inlineStr">
        <is>
          <t>Directory</t>
        </is>
      </c>
      <c r="F40" s="5" t="inlineStr">
        <is>
          <t>2026-09-17</t>
        </is>
      </c>
      <c r="G40" s="5" t="inlineStr">
        <is>
          <t>branch name, Lord Street address, phone</t>
        </is>
      </c>
      <c r="H40" s="5" t="inlineStr">
        <is>
          <t>Requires Verification</t>
        </is>
      </c>
    </row>
    <row r="41">
      <c r="A41" s="10" t="inlineStr">
        <is>
          <t>UK-000297</t>
        </is>
      </c>
      <c r="B41" s="10" t="inlineStr">
        <is>
          <t>Bargain Booze Plus Ashton-in-Makerfield</t>
        </is>
      </c>
      <c r="C41" s="10" t="inlineStr">
        <is>
          <t>Wigan</t>
        </is>
      </c>
      <c r="D41" s="10" t="inlineStr">
        <is>
          <t>https://directory.gazettelive.co.uk/company/438385185382400</t>
        </is>
      </c>
      <c r="E41" s="10" t="inlineStr">
        <is>
          <t>Directory</t>
        </is>
      </c>
      <c r="F41" s="10" t="inlineStr">
        <is>
          <t>2026-09-17</t>
        </is>
      </c>
      <c r="G41" s="10" t="inlineStr">
        <is>
          <t>trading name, address, postcode (via search results)</t>
        </is>
      </c>
      <c r="H41" s="10" t="inlineStr">
        <is>
          <t>Requires Verification</t>
        </is>
      </c>
    </row>
    <row r="42">
      <c r="A42" s="5" t="inlineStr">
        <is>
          <t>UK-000692</t>
        </is>
      </c>
      <c r="B42" s="5" t="inlineStr">
        <is>
          <t>Bargain Booze Select Convenience - Newton-le-Willows</t>
        </is>
      </c>
      <c r="C42" s="5" t="inlineStr">
        <is>
          <t>Newton-le-Willows</t>
        </is>
      </c>
      <c r="D42" s="5" t="inlineStr">
        <is>
          <t>https://branches.bargainbooze.co.uk/newton-le-willows/76b-high-street.html</t>
        </is>
      </c>
      <c r="E42" s="5" t="inlineStr">
        <is>
          <t>Directory</t>
        </is>
      </c>
      <c r="F42" s="5" t="inlineStr">
        <is>
          <t>2026-09-17</t>
        </is>
      </c>
      <c r="G42" s="5" t="inlineStr">
        <is>
          <t>branch name, High Street address, postcode</t>
        </is>
      </c>
      <c r="H42" s="5" t="inlineStr">
        <is>
          <t>Requires Verification</t>
        </is>
      </c>
    </row>
    <row r="43">
      <c r="A43" s="10" t="inlineStr">
        <is>
          <t>UK-000298</t>
        </is>
      </c>
      <c r="B43" s="10" t="inlineStr">
        <is>
          <t>Bargain Booze Wigan Lane</t>
        </is>
      </c>
      <c r="C43" s="10" t="inlineStr">
        <is>
          <t>Wigan</t>
        </is>
      </c>
      <c r="D43" s="10" t="inlineStr">
        <is>
          <t>https://wigan.open-closed.co.uk/bargain-booze-opening-times-54-wigan-lane</t>
        </is>
      </c>
      <c r="E43" s="10" t="inlineStr">
        <is>
          <t>Directory</t>
        </is>
      </c>
      <c r="F43" s="10" t="inlineStr">
        <is>
          <t>2026-09-17</t>
        </is>
      </c>
      <c r="G43" s="10" t="inlineStr">
        <is>
          <t>trading name, address, postcode, phone (via search results)</t>
        </is>
      </c>
      <c r="H43" s="10" t="inlineStr">
        <is>
          <t>Requires Verification</t>
        </is>
      </c>
    </row>
    <row r="44">
      <c r="A44" s="5" t="inlineStr">
        <is>
          <t>UK-000298</t>
        </is>
      </c>
      <c r="B44" s="5" t="inlineStr">
        <is>
          <t>Bargain Booze Wigan Lane</t>
        </is>
      </c>
      <c r="C44" s="5" t="inlineStr">
        <is>
          <t>Wigan</t>
        </is>
      </c>
      <c r="D44" s="5" t="inlineStr">
        <is>
          <t>https://www.facebook.com/BargainBoozeWN11XS/</t>
        </is>
      </c>
      <c r="E44" s="5" t="inlineStr">
        <is>
          <t>Facebook</t>
        </is>
      </c>
      <c r="F44" s="5" t="inlineStr">
        <is>
          <t>2026-09-17</t>
        </is>
      </c>
      <c r="G44" s="5" t="inlineStr">
        <is>
          <t>store page, WN1 1XS</t>
        </is>
      </c>
      <c r="H44" s="5" t="inlineStr">
        <is>
          <t>Requires Verification</t>
        </is>
      </c>
    </row>
    <row r="45">
      <c r="A45" s="10" t="inlineStr">
        <is>
          <t>UK-000693</t>
        </is>
      </c>
      <c r="B45" s="10" t="inlineStr">
        <is>
          <t>Best-One Leith Walk Stores</t>
        </is>
      </c>
      <c r="C45" s="10" t="inlineStr">
        <is>
          <t>Edinburgh</t>
        </is>
      </c>
      <c r="D45" s="10" t="inlineStr">
        <is>
          <t>https://www.yell.com/biz/best-one-leith-walk-stores-edinburgh-4914979/</t>
        </is>
      </c>
      <c r="E45" s="10" t="inlineStr">
        <is>
          <t>Yell</t>
        </is>
      </c>
      <c r="F45" s="10" t="inlineStr">
        <is>
          <t>2026-09-17</t>
        </is>
      </c>
      <c r="G45" s="10" t="inlineStr">
        <is>
          <t>name, address, phone (snippet)</t>
        </is>
      </c>
      <c r="H45" s="10" t="inlineStr">
        <is>
          <t>Requires Verification</t>
        </is>
      </c>
    </row>
    <row r="46">
      <c r="A46" s="5" t="inlineStr">
        <is>
          <t>UK-000693</t>
        </is>
      </c>
      <c r="B46" s="5" t="inlineStr">
        <is>
          <t>Best-One Leith Walk Stores</t>
        </is>
      </c>
      <c r="C46" s="5" t="inlineStr">
        <is>
          <t>Edinburgh</t>
        </is>
      </c>
      <c r="D46" s="5" t="inlineStr">
        <is>
          <t>https://www.192.com/atoz/business/edinburgh-eh6/convenience-stores/best-one-leith-walk-stores/343630dee52d34c844be618f087e93ac150bea7c/ml/</t>
        </is>
      </c>
      <c r="E46" s="5" t="inlineStr">
        <is>
          <t>Directory</t>
        </is>
      </c>
      <c r="F46" s="5" t="inlineStr">
        <is>
          <t>2026-09-17</t>
        </is>
      </c>
      <c r="G46" s="5" t="inlineStr">
        <is>
          <t>postcode confirmation</t>
        </is>
      </c>
      <c r="H46" s="5" t="inlineStr">
        <is>
          <t>Requires Verification</t>
        </is>
      </c>
    </row>
    <row r="47">
      <c r="A47" s="10" t="inlineStr">
        <is>
          <t>UK-000694</t>
        </is>
      </c>
      <c r="B47" s="10" t="inlineStr">
        <is>
          <t>Best-one - Charles Street</t>
        </is>
      </c>
      <c r="C47" s="10" t="inlineStr">
        <is>
          <t>St Helens</t>
        </is>
      </c>
      <c r="D47" s="10" t="inlineStr">
        <is>
          <t>https://st-helens-merseyside.cylex-uk.co.uk/convenience-stores/</t>
        </is>
      </c>
      <c r="E47" s="10" t="inlineStr">
        <is>
          <t>Directory</t>
        </is>
      </c>
      <c r="F47" s="10" t="inlineStr">
        <is>
          <t>2026-09-17</t>
        </is>
      </c>
      <c r="G47" s="10" t="inlineStr">
        <is>
          <t>Best-one Charles Street address, postcode</t>
        </is>
      </c>
      <c r="H47" s="10" t="inlineStr">
        <is>
          <t>Requires Verification</t>
        </is>
      </c>
    </row>
    <row r="48">
      <c r="A48" s="5" t="inlineStr">
        <is>
          <t>UK-000695</t>
        </is>
      </c>
      <c r="B48" s="5" t="inlineStr">
        <is>
          <t>Best-one - Crow Lane East</t>
        </is>
      </c>
      <c r="C48" s="5" t="inlineStr">
        <is>
          <t>Newton-le-Willows</t>
        </is>
      </c>
      <c r="D48" s="5" t="inlineStr">
        <is>
          <t>https://www.mylocalservices.co.uk/Convenience+Stores-Newton+Le+Willows.html</t>
        </is>
      </c>
      <c r="E48" s="5" t="inlineStr">
        <is>
          <t>Directory</t>
        </is>
      </c>
      <c r="F48" s="5" t="inlineStr">
        <is>
          <t>2026-09-17</t>
        </is>
      </c>
      <c r="G48" s="5" t="inlineStr">
        <is>
          <t>Best-one Crow Lane East address, postcode</t>
        </is>
      </c>
      <c r="H48" s="5" t="inlineStr">
        <is>
          <t>Requires Verification</t>
        </is>
      </c>
    </row>
    <row r="49">
      <c r="A49" s="10" t="inlineStr">
        <is>
          <t>UK-000696</t>
        </is>
      </c>
      <c r="B49" s="10" t="inlineStr">
        <is>
          <t>Best-one Paisley (Greenhill Road)</t>
        </is>
      </c>
      <c r="C49" s="10" t="inlineStr">
        <is>
          <t>Paisley</t>
        </is>
      </c>
      <c r="D49" s="10" t="inlineStr">
        <is>
          <t>https://www.yell.com/s/grocers+and+convenience+stores-paisley.html</t>
        </is>
      </c>
      <c r="E49" s="10" t="inlineStr">
        <is>
          <t>Yell</t>
        </is>
      </c>
      <c r="F49" s="10" t="inlineStr">
        <is>
          <t>2026-09-17</t>
        </is>
      </c>
      <c r="G49" s="10" t="inlineStr">
        <is>
          <t>trading name, address</t>
        </is>
      </c>
      <c r="H49" s="10" t="inlineStr">
        <is>
          <t>Requires Verification</t>
        </is>
      </c>
    </row>
    <row r="50">
      <c r="A50" s="5" t="inlineStr">
        <is>
          <t>UK-000299</t>
        </is>
      </c>
      <c r="B50" s="5" t="inlineStr">
        <is>
          <t>Best One (Liverpool Road, Eccles)</t>
        </is>
      </c>
      <c r="C50" s="5" t="inlineStr">
        <is>
          <t>Eccles</t>
        </is>
      </c>
      <c r="D50" s="5" t="inlineStr">
        <is>
          <t>https://www.24houralcohol.co.uk/salford-off-licences</t>
        </is>
      </c>
      <c r="E50" s="5" t="inlineStr">
        <is>
          <t>Directory</t>
        </is>
      </c>
      <c r="F50" s="5" t="inlineStr">
        <is>
          <t>2026-09-17</t>
        </is>
      </c>
      <c r="G50" s="5" t="inlineStr">
        <is>
          <t>business name, address, postcode, licensing</t>
        </is>
      </c>
      <c r="H50" s="5" t="inlineStr">
        <is>
          <t>Requires Verification</t>
        </is>
      </c>
    </row>
    <row r="51">
      <c r="A51" s="10" t="inlineStr">
        <is>
          <t>UK-000697</t>
        </is>
      </c>
      <c r="B51" s="10" t="inlineStr">
        <is>
          <t>Bargain Booze - Page Moss</t>
        </is>
      </c>
      <c r="C51" s="10" t="inlineStr">
        <is>
          <t>Liverpool</t>
        </is>
      </c>
      <c r="D51" s="10" t="inlineStr">
        <is>
          <t>https://huyton.cylex-uk.co.uk/convenience-stores/</t>
        </is>
      </c>
      <c r="E51" s="10" t="inlineStr">
        <is>
          <t>Directory</t>
        </is>
      </c>
      <c r="F51" s="10" t="inlineStr">
        <is>
          <t>2026-09-17</t>
        </is>
      </c>
      <c r="G51" s="10" t="inlineStr">
        <is>
          <t>name, address, postcode, product range</t>
        </is>
      </c>
      <c r="H51" s="10" t="inlineStr">
        <is>
          <t>Requires Verification</t>
        </is>
      </c>
    </row>
    <row r="52">
      <c r="A52" s="5" t="inlineStr">
        <is>
          <t>UK-000698</t>
        </is>
      </c>
      <c r="B52" s="5" t="inlineStr">
        <is>
          <t>Bargain Booze - Prescot Road</t>
        </is>
      </c>
      <c r="C52" s="5" t="inlineStr">
        <is>
          <t>Liverpool</t>
        </is>
      </c>
      <c r="D52" s="5" t="inlineStr">
        <is>
          <t>https://liverpool.cylex-uk.co.uk/vape-shops/?dst=old-swan</t>
        </is>
      </c>
      <c r="E52" s="5" t="inlineStr">
        <is>
          <t>Directory</t>
        </is>
      </c>
      <c r="F52" s="5" t="inlineStr">
        <is>
          <t>2026-09-17</t>
        </is>
      </c>
      <c r="G52" s="5" t="inlineStr">
        <is>
          <t>name, address, postcode, product range</t>
        </is>
      </c>
      <c r="H52" s="5" t="inlineStr">
        <is>
          <t>Requires Verification</t>
        </is>
      </c>
    </row>
    <row r="53">
      <c r="A53" s="10" t="inlineStr">
        <is>
          <t>UK-000699</t>
        </is>
      </c>
      <c r="B53" s="10" t="inlineStr">
        <is>
          <t>Bargain Booze - West Derby Road</t>
        </is>
      </c>
      <c r="C53" s="10" t="inlineStr">
        <is>
          <t>Liverpool</t>
        </is>
      </c>
      <c r="D53" s="10" t="inlineStr">
        <is>
          <t>https://liverpool.cylex-uk.co.uk/vape-shops/?dst=old-swan</t>
        </is>
      </c>
      <c r="E53" s="10" t="inlineStr">
        <is>
          <t>Directory</t>
        </is>
      </c>
      <c r="F53" s="10" t="inlineStr">
        <is>
          <t>2026-09-17</t>
        </is>
      </c>
      <c r="G53" s="10" t="inlineStr">
        <is>
          <t>name, address, postcode, product range</t>
        </is>
      </c>
      <c r="H53" s="10" t="inlineStr">
        <is>
          <t>Requires Verification</t>
        </is>
      </c>
    </row>
    <row r="54">
      <c r="A54" s="5" t="inlineStr">
        <is>
          <t>UK-000700</t>
        </is>
      </c>
      <c r="B54" s="5" t="inlineStr">
        <is>
          <t>Best-one - Elgin Court</t>
        </is>
      </c>
      <c r="C54" s="5" t="inlineStr">
        <is>
          <t>Prescot</t>
        </is>
      </c>
      <c r="D54" s="5" t="inlineStr">
        <is>
          <t>https://www.192.com/atoz/business/prescot-l35/convenience-stores/best-one/c272bbf3-defd-410c-93e2-54df41799bbd/ugc/</t>
        </is>
      </c>
      <c r="E54" s="5" t="inlineStr">
        <is>
          <t>Directory</t>
        </is>
      </c>
      <c r="F54" s="5" t="inlineStr">
        <is>
          <t>2026-09-17</t>
        </is>
      </c>
      <c r="G54" s="5" t="inlineStr">
        <is>
          <t>name, address, postcode</t>
        </is>
      </c>
      <c r="H54" s="5" t="inlineStr">
        <is>
          <t>Requires Verification</t>
        </is>
      </c>
    </row>
    <row r="55">
      <c r="A55" s="10" t="inlineStr">
        <is>
          <t>UK-000701</t>
        </is>
      </c>
      <c r="B55" s="10" t="inlineStr">
        <is>
          <t>Best-one - Halsnead Avenue</t>
        </is>
      </c>
      <c r="C55" s="10" t="inlineStr">
        <is>
          <t>Prescot</t>
        </is>
      </c>
      <c r="D55" s="10" t="inlineStr">
        <is>
          <t>https://www.192.com/atoz/business/prescot-l35/convenience-stores/best-one/c272bbf3-defd-410c-93e2-54df41799bbd/ugc/</t>
        </is>
      </c>
      <c r="E55" s="10" t="inlineStr">
        <is>
          <t>Directory</t>
        </is>
      </c>
      <c r="F55" s="10" t="inlineStr">
        <is>
          <t>2026-09-17</t>
        </is>
      </c>
      <c r="G55" s="10" t="inlineStr">
        <is>
          <t>name, address, postcode</t>
        </is>
      </c>
      <c r="H55" s="10" t="inlineStr">
        <is>
          <t>Requires Verification</t>
        </is>
      </c>
    </row>
    <row r="56">
      <c r="A56" s="5" t="inlineStr">
        <is>
          <t>UK-000702</t>
        </is>
      </c>
      <c r="B56" s="5" t="inlineStr">
        <is>
          <t>Best-one - Loweswater Way</t>
        </is>
      </c>
      <c r="C56" s="5" t="inlineStr">
        <is>
          <t>Liverpool</t>
        </is>
      </c>
      <c r="D56" s="5" t="inlineStr">
        <is>
          <t>https://kirkby.cylex-uk.co.uk/convenience-stores/</t>
        </is>
      </c>
      <c r="E56" s="5" t="inlineStr">
        <is>
          <t>Directory</t>
        </is>
      </c>
      <c r="F56" s="5" t="inlineStr">
        <is>
          <t>2026-09-17</t>
        </is>
      </c>
      <c r="G56" s="5" t="inlineStr">
        <is>
          <t>name, address, postcode</t>
        </is>
      </c>
      <c r="H56" s="5" t="inlineStr">
        <is>
          <t>Requires Verification</t>
        </is>
      </c>
    </row>
    <row r="57">
      <c r="A57" s="10" t="inlineStr">
        <is>
          <t>UK-000703</t>
        </is>
      </c>
      <c r="B57" s="10" t="inlineStr">
        <is>
          <t>Best-one - Westhall Avenue</t>
        </is>
      </c>
      <c r="C57" s="10" t="inlineStr">
        <is>
          <t>Liverpool</t>
        </is>
      </c>
      <c r="D57" s="10" t="inlineStr">
        <is>
          <t>https://kirkby.cylex-uk.co.uk/convenience-stores/</t>
        </is>
      </c>
      <c r="E57" s="10" t="inlineStr">
        <is>
          <t>Directory</t>
        </is>
      </c>
      <c r="F57" s="10" t="inlineStr">
        <is>
          <t>2026-09-17</t>
        </is>
      </c>
      <c r="G57" s="10" t="inlineStr">
        <is>
          <t>name, address, postcode</t>
        </is>
      </c>
      <c r="H57" s="10" t="inlineStr">
        <is>
          <t>Requires Verification</t>
        </is>
      </c>
    </row>
    <row r="58">
      <c r="A58" s="5" t="inlineStr">
        <is>
          <t>UK-000422</t>
        </is>
      </c>
      <c r="B58" s="5" t="inlineStr">
        <is>
          <t>Bestway Walsall</t>
        </is>
      </c>
      <c r="C58" s="5" t="inlineStr">
        <is>
          <t>Walsall</t>
        </is>
      </c>
      <c r="D58" s="5" t="inlineStr">
        <is>
          <t>https://www.bestwaywholesale.co.uk/depots/Bestway-Walsall</t>
        </is>
      </c>
      <c r="E58" s="5" t="inlineStr">
        <is>
          <t>Official Website</t>
        </is>
      </c>
      <c r="F58" s="5" t="inlineStr">
        <is>
          <t>2026-09-17</t>
        </is>
      </c>
      <c r="G58" s="5" t="inlineStr">
        <is>
          <t>address, postcode, phone</t>
        </is>
      </c>
      <c r="H58" s="5" t="inlineStr">
        <is>
          <t>Partially Verified</t>
        </is>
      </c>
    </row>
    <row r="59">
      <c r="A59" s="10" t="inlineStr">
        <is>
          <t>UK-000548</t>
        </is>
      </c>
      <c r="B59" s="10" t="inlineStr">
        <is>
          <t>C.Gars Ltd - St James's</t>
        </is>
      </c>
      <c r="C59" s="10" t="inlineStr">
        <is>
          <t>London</t>
        </is>
      </c>
      <c r="D59" s="10" t="inlineStr">
        <is>
          <t>https://www.cgarsltd.co.uk/cigar-shops/The_Cgars_shop_site.htm</t>
        </is>
      </c>
      <c r="E59" s="10" t="inlineStr">
        <is>
          <t>Official Website</t>
        </is>
      </c>
      <c r="F59" s="10" t="inlineStr">
        <is>
          <t>2026-09-17</t>
        </is>
      </c>
      <c r="G59" s="10" t="inlineStr">
        <is>
          <t>business name, address, postcode, phone</t>
        </is>
      </c>
      <c r="H59" s="10" t="inlineStr">
        <is>
          <t>Requires Verification</t>
        </is>
      </c>
    </row>
    <row r="60">
      <c r="A60" s="5" t="inlineStr">
        <is>
          <t>UK-000549</t>
        </is>
      </c>
      <c r="B60" s="5" t="inlineStr">
        <is>
          <t>C.Gars Ltd - The City (Lime Street)</t>
        </is>
      </c>
      <c r="C60" s="5" t="inlineStr">
        <is>
          <t>London</t>
        </is>
      </c>
      <c r="D60" s="5" t="inlineStr">
        <is>
          <t>https://www.cgarsltd.co.uk/cigar-shops/CGars_The_City_shop.htm</t>
        </is>
      </c>
      <c r="E60" s="5" t="inlineStr">
        <is>
          <t>Official Website</t>
        </is>
      </c>
      <c r="F60" s="5" t="inlineStr">
        <is>
          <t>2026-09-17</t>
        </is>
      </c>
      <c r="G60" s="5" t="inlineStr">
        <is>
          <t>business name, address, postcode, phone</t>
        </is>
      </c>
      <c r="H60" s="5" t="inlineStr">
        <is>
          <t>Requires Verification</t>
        </is>
      </c>
    </row>
    <row r="61">
      <c r="A61" s="10" t="inlineStr">
        <is>
          <t>UK-000550</t>
        </is>
      </c>
      <c r="B61" s="10" t="inlineStr">
        <is>
          <t>Turmeaus Tobacconist - Mayfair</t>
        </is>
      </c>
      <c r="C61" s="10" t="inlineStr">
        <is>
          <t>London</t>
        </is>
      </c>
      <c r="D61" s="10" t="inlineStr">
        <is>
          <t>https://www.turmeaus.co.uk/cigar-shops/mayfair_turmeaus_tobacconist_site.htm</t>
        </is>
      </c>
      <c r="E61" s="10" t="inlineStr">
        <is>
          <t>Official Website</t>
        </is>
      </c>
      <c r="F61" s="10" t="inlineStr">
        <is>
          <t>2026-09-17</t>
        </is>
      </c>
      <c r="G61" s="10" t="inlineStr">
        <is>
          <t>business name, address, postcode, phone</t>
        </is>
      </c>
      <c r="H61" s="10" t="inlineStr">
        <is>
          <t>Requires Verification</t>
        </is>
      </c>
    </row>
    <row r="62">
      <c r="A62" s="5" t="inlineStr">
        <is>
          <t>UK-000194</t>
        </is>
      </c>
      <c r="B62" s="5" t="inlineStr">
        <is>
          <t>CRAM Vape</t>
        </is>
      </c>
      <c r="C62" s="5" t="inlineStr">
        <is>
          <t>Scunthorpe</t>
        </is>
      </c>
      <c r="D62" s="5" t="inlineStr">
        <is>
          <t>https://www.cramvape.co.uk/pages/contact-us</t>
        </is>
      </c>
      <c r="E62" s="5" t="inlineStr">
        <is>
          <t>Official Website</t>
        </is>
      </c>
      <c r="F62" s="5" t="inlineStr">
        <is>
          <t>2026-09-16</t>
        </is>
      </c>
      <c r="G62" s="5" t="inlineStr">
        <is>
          <t>two-store footprint, contact page (via search results)</t>
        </is>
      </c>
      <c r="H62" s="5" t="inlineStr">
        <is>
          <t>Verified (website + Companies House)</t>
        </is>
      </c>
    </row>
    <row r="63">
      <c r="A63" s="10" t="inlineStr">
        <is>
          <t>UK-000194</t>
        </is>
      </c>
      <c r="B63" s="10" t="inlineStr">
        <is>
          <t>CRAM Vape</t>
        </is>
      </c>
      <c r="C63" s="10" t="inlineStr">
        <is>
          <t>Scunthorpe</t>
        </is>
      </c>
      <c r="D63" s="10" t="inlineStr">
        <is>
          <t>https://find-and-update.company-information.service.gov.uk/company/07343567</t>
        </is>
      </c>
      <c r="E63" s="10" t="inlineStr">
        <is>
          <t>Companies House</t>
        </is>
      </c>
      <c r="F63" s="10" t="inlineStr">
        <is>
          <t>2026-09-16</t>
        </is>
      </c>
      <c r="G63" s="10" t="inlineStr">
        <is>
          <t>company number, legal name</t>
        </is>
      </c>
      <c r="H63" s="10" t="inlineStr">
        <is>
          <t>Verified (website + Companies House)</t>
        </is>
      </c>
    </row>
    <row r="64">
      <c r="A64" s="5" t="inlineStr">
        <is>
          <t>UK-000194</t>
        </is>
      </c>
      <c r="B64" s="5" t="inlineStr">
        <is>
          <t>CRAM Vape</t>
        </is>
      </c>
      <c r="C64" s="5" t="inlineStr">
        <is>
          <t>Scunthorpe</t>
        </is>
      </c>
      <c r="D64" s="5" t="inlineStr">
        <is>
          <t>https://www.yelp.co.uk/biz/cram-vape-scunthorpe-2</t>
        </is>
      </c>
      <c r="E64" s="5" t="inlineStr">
        <is>
          <t>Directory</t>
        </is>
      </c>
      <c r="F64" s="5" t="inlineStr">
        <is>
          <t>2026-09-16</t>
        </is>
      </c>
      <c r="G64" s="5" t="inlineStr">
        <is>
          <t>190 Ashby Road address, phone (via search results)</t>
        </is>
      </c>
      <c r="H64" s="5" t="inlineStr">
        <is>
          <t>Verified (website + Companies House)</t>
        </is>
      </c>
    </row>
    <row r="65">
      <c r="A65" s="10" t="inlineStr">
        <is>
          <t>UK-000704</t>
        </is>
      </c>
      <c r="B65" s="10" t="inlineStr">
        <is>
          <t>Campbells Cash &amp; Carry</t>
        </is>
      </c>
      <c r="C65" s="10" t="inlineStr">
        <is>
          <t>Edinburgh</t>
        </is>
      </c>
      <c r="D65" s="10" t="inlineStr">
        <is>
          <t>https://edinburgh.cylex-uk.co.uk/company/campbells-cash---carry-17079450.html</t>
        </is>
      </c>
      <c r="E65" s="10" t="inlineStr">
        <is>
          <t>Directory</t>
        </is>
      </c>
      <c r="F65" s="10" t="inlineStr">
        <is>
          <t>2026-09-17</t>
        </is>
      </c>
      <c r="G65" s="10" t="inlineStr">
        <is>
          <t>name, phone, website (snippet)</t>
        </is>
      </c>
      <c r="H65" s="10" t="inlineStr">
        <is>
          <t>Requires Verification</t>
        </is>
      </c>
    </row>
    <row r="66">
      <c r="A66" s="5" t="inlineStr">
        <is>
          <t>UK-000704</t>
        </is>
      </c>
      <c r="B66" s="5" t="inlineStr">
        <is>
          <t>Campbells Cash &amp; Carry</t>
        </is>
      </c>
      <c r="C66" s="5" t="inlineStr">
        <is>
          <t>Edinburgh</t>
        </is>
      </c>
      <c r="D66" s="5" t="inlineStr">
        <is>
          <t>https://www.192.com/atoz/business/edinburgh-eh11/cash-and-carry-wholesalers/campbells-chinese-cash-carry-ltd/024767584027305db0b8ebcef0ef2a37f1a5f32c/ml/</t>
        </is>
      </c>
      <c r="E66" s="5" t="inlineStr">
        <is>
          <t>Directory</t>
        </is>
      </c>
      <c r="F66" s="5" t="inlineStr">
        <is>
          <t>2026-09-17</t>
        </is>
      </c>
      <c r="G66" s="5" t="inlineStr">
        <is>
          <t>postcode EH11 4BP</t>
        </is>
      </c>
      <c r="H66" s="5" t="inlineStr">
        <is>
          <t>Requires Verification</t>
        </is>
      </c>
    </row>
    <row r="67">
      <c r="A67" s="10" t="inlineStr">
        <is>
          <t>WY-0011</t>
        </is>
      </c>
      <c r="B67" s="10" t="inlineStr">
        <is>
          <t>Cheapasmokes</t>
        </is>
      </c>
      <c r="C67" s="10" t="inlineStr">
        <is>
          <t>Halifax</t>
        </is>
      </c>
      <c r="D67" s="10" t="inlineStr">
        <is>
          <t>https://www.cheapasmokes.com/pages/cheapasmokes-halifax</t>
        </is>
      </c>
      <c r="E67" s="10" t="inlineStr">
        <is>
          <t>Official Website</t>
        </is>
      </c>
      <c r="F67" s="10" t="inlineStr">
        <is>
          <t>2026-09-16</t>
        </is>
      </c>
      <c r="G67" s="10" t="inlineStr">
        <is>
          <t>store page, address, description (via search snippet; fetch blocked)</t>
        </is>
      </c>
      <c r="H67" s="10" t="inlineStr">
        <is>
          <t>Partially Verified</t>
        </is>
      </c>
    </row>
    <row r="68">
      <c r="A68" s="5" t="inlineStr">
        <is>
          <t>WY-0011</t>
        </is>
      </c>
      <c r="B68" s="5" t="inlineStr">
        <is>
          <t>Cheapasmokes</t>
        </is>
      </c>
      <c r="C68" s="5" t="inlineStr">
        <is>
          <t>Halifax</t>
        </is>
      </c>
      <c r="D68" s="5" t="inlineStr">
        <is>
          <t>https://cigars.co.uk/location/cheapasmokes-halifax/</t>
        </is>
      </c>
      <c r="E68" s="5" t="inlineStr">
        <is>
          <t>Directory</t>
        </is>
      </c>
      <c r="F68" s="5" t="inlineStr">
        <is>
          <t>2026-09-16</t>
        </is>
      </c>
      <c r="G68" s="5" t="inlineStr">
        <is>
          <t>stockist listing, phone</t>
        </is>
      </c>
      <c r="H68" s="5" t="inlineStr">
        <is>
          <t>Partially Verified</t>
        </is>
      </c>
    </row>
    <row r="69">
      <c r="A69" s="10" t="inlineStr">
        <is>
          <t>WY-0011</t>
        </is>
      </c>
      <c r="B69" s="10" t="inlineStr">
        <is>
          <t>Cheapasmokes</t>
        </is>
      </c>
      <c r="C69" s="10" t="inlineStr">
        <is>
          <t>Halifax</t>
        </is>
      </c>
      <c r="D69" s="10" t="inlineStr">
        <is>
          <t>https://www.yell.com/biz/cheapasmokes-halifax-3579320/</t>
        </is>
      </c>
      <c r="E69" s="10" t="inlineStr">
        <is>
          <t>Yell</t>
        </is>
      </c>
      <c r="F69" s="10" t="inlineStr">
        <is>
          <t>2026-09-16</t>
        </is>
      </c>
      <c r="G69" s="10" t="inlineStr">
        <is>
          <t>listing confirmation</t>
        </is>
      </c>
      <c r="H69" s="10" t="inlineStr">
        <is>
          <t>Partially Verified</t>
        </is>
      </c>
    </row>
    <row r="70">
      <c r="A70" s="5" t="inlineStr">
        <is>
          <t>WY-0011</t>
        </is>
      </c>
      <c r="B70" s="5" t="inlineStr">
        <is>
          <t>Cheapasmokes</t>
        </is>
      </c>
      <c r="C70" s="5" t="inlineStr">
        <is>
          <t>Halifax</t>
        </is>
      </c>
      <c r="D70" s="5" t="inlineStr">
        <is>
          <t>https://www.cheapasmokes.com/pages/contact-us</t>
        </is>
      </c>
      <c r="E70" s="5" t="inlineStr">
        <is>
          <t>Official Website</t>
        </is>
      </c>
      <c r="F70" s="5" t="inlineStr">
        <is>
          <t>2026-09-16</t>
        </is>
      </c>
      <c r="G70" s="5" t="inlineStr">
        <is>
          <t>email (sales)</t>
        </is>
      </c>
      <c r="H70" s="5" t="inlineStr">
        <is>
          <t>Partially Verified</t>
        </is>
      </c>
    </row>
    <row r="71">
      <c r="A71" s="10" t="inlineStr">
        <is>
          <t>UK-000551</t>
        </is>
      </c>
      <c r="B71" s="10" t="inlineStr">
        <is>
          <t>City of London Cigars - Victoria</t>
        </is>
      </c>
      <c r="C71" s="10" t="inlineStr">
        <is>
          <t>London</t>
        </is>
      </c>
      <c r="D71" s="10" t="inlineStr">
        <is>
          <t>https://www.yell.com/biz/city-of-london-cigars-victoria-london-10926701/</t>
        </is>
      </c>
      <c r="E71" s="10" t="inlineStr">
        <is>
          <t>Yell</t>
        </is>
      </c>
      <c r="F71" s="10" t="inlineStr">
        <is>
          <t>2026-09-17</t>
        </is>
      </c>
      <c r="G71" s="10" t="inlineStr">
        <is>
          <t>business name, address, postcode</t>
        </is>
      </c>
      <c r="H71" s="10" t="inlineStr">
        <is>
          <t>Requires Verification</t>
        </is>
      </c>
    </row>
    <row r="72">
      <c r="A72" s="5" t="inlineStr">
        <is>
          <t>UK-000551</t>
        </is>
      </c>
      <c r="B72" s="5" t="inlineStr">
        <is>
          <t>City of London Cigars - Victoria</t>
        </is>
      </c>
      <c r="C72" s="5" t="inlineStr">
        <is>
          <t>London</t>
        </is>
      </c>
      <c r="D72" s="5" t="inlineStr">
        <is>
          <t>https://find-and-update.company-information.service.gov.uk/company/15478996</t>
        </is>
      </c>
      <c r="E72" s="5" t="inlineStr">
        <is>
          <t>Companies House</t>
        </is>
      </c>
      <c r="F72" s="5" t="inlineStr">
        <is>
          <t>2026-09-17</t>
        </is>
      </c>
      <c r="G72" s="5" t="inlineStr">
        <is>
          <t>legal entity candidate</t>
        </is>
      </c>
      <c r="H72" s="5" t="inlineStr">
        <is>
          <t>Requires Verification</t>
        </is>
      </c>
    </row>
    <row r="73">
      <c r="A73" s="10" t="inlineStr">
        <is>
          <t>UK-000300</t>
        </is>
      </c>
      <c r="B73" s="10" t="inlineStr">
        <is>
          <t>Cloudstix Ashton-in-Makerfield</t>
        </is>
      </c>
      <c r="C73" s="10" t="inlineStr">
        <is>
          <t>Wigan</t>
        </is>
      </c>
      <c r="D73" s="10" t="inlineStr">
        <is>
          <t>https://www.cloudstix.com/pages/vape-shop-ashton-in-makerfield</t>
        </is>
      </c>
      <c r="E73" s="10" t="inlineStr">
        <is>
          <t>Official Website</t>
        </is>
      </c>
      <c r="F73" s="10" t="inlineStr">
        <is>
          <t>2026-09-17</t>
        </is>
      </c>
      <c r="G73" s="10" t="inlineStr">
        <is>
          <t>trading name, address, postcode, phone (via search results)</t>
        </is>
      </c>
      <c r="H73" s="10" t="inlineStr">
        <is>
          <t>Requires Verification</t>
        </is>
      </c>
    </row>
    <row r="74">
      <c r="A74" s="5" t="inlineStr">
        <is>
          <t>UK-000300</t>
        </is>
      </c>
      <c r="B74" s="5" t="inlineStr">
        <is>
          <t>Cloudstix Ashton-in-Makerfield</t>
        </is>
      </c>
      <c r="C74" s="5" t="inlineStr">
        <is>
          <t>Wigan</t>
        </is>
      </c>
      <c r="D74" s="5" t="inlineStr">
        <is>
          <t>https://ecigdirectory.co.uk/vape-shop/listing/cloudstix-ashton-in-makerfield</t>
        </is>
      </c>
      <c r="E74" s="5" t="inlineStr">
        <is>
          <t>Directory</t>
        </is>
      </c>
      <c r="F74" s="5" t="inlineStr">
        <is>
          <t>2026-09-17</t>
        </is>
      </c>
      <c r="G74" s="5" t="inlineStr">
        <is>
          <t>address, postcode (via search results)</t>
        </is>
      </c>
      <c r="H74" s="5" t="inlineStr">
        <is>
          <t>Requires Verification</t>
        </is>
      </c>
    </row>
    <row r="75">
      <c r="A75" s="10" t="inlineStr">
        <is>
          <t>UK-000195</t>
        </is>
      </c>
      <c r="B75" s="10" t="inlineStr">
        <is>
          <t>Costcutter Tadcaster</t>
        </is>
      </c>
      <c r="C75" s="10" t="inlineStr">
        <is>
          <t>Tadcaster</t>
        </is>
      </c>
      <c r="D75" s="10" t="inlineStr">
        <is>
          <t>https://www.yorkshire.com/tadcaster/shopping/corner-shops/costcutter-16</t>
        </is>
      </c>
      <c r="E75" s="10" t="inlineStr">
        <is>
          <t>Directory</t>
        </is>
      </c>
      <c r="F75" s="10" t="inlineStr">
        <is>
          <t>2026-09-16</t>
        </is>
      </c>
      <c r="G75" s="10" t="inlineStr">
        <is>
          <t>name, fascia, town</t>
        </is>
      </c>
      <c r="H75" s="10" t="inlineStr">
        <is>
          <t>Requires Verification</t>
        </is>
      </c>
    </row>
    <row r="76">
      <c r="A76" s="5" t="inlineStr">
        <is>
          <t>UK-000423</t>
        </is>
      </c>
      <c r="B76" s="5" t="inlineStr">
        <is>
          <t>Costcutter Yardley Wood</t>
        </is>
      </c>
      <c r="C76" s="5" t="inlineStr">
        <is>
          <t>Birmingham</t>
        </is>
      </c>
      <c r="D76" s="5" t="inlineStr">
        <is>
          <t>https://www.yelp.com/search?cflt=convenience&amp;find_loc=Yardley%2C+Birmingham%2C+West+Midlands</t>
        </is>
      </c>
      <c r="E76" s="5" t="inlineStr">
        <is>
          <t>Directory</t>
        </is>
      </c>
      <c r="F76" s="5" t="inlineStr">
        <is>
          <t>2026-09-17</t>
        </is>
      </c>
      <c r="G76" s="5" t="inlineStr">
        <is>
          <t>address, postcode, phone</t>
        </is>
      </c>
      <c r="H76" s="5" t="inlineStr">
        <is>
          <t>Requires Verification</t>
        </is>
      </c>
    </row>
    <row r="77">
      <c r="A77" s="10" t="inlineStr">
        <is>
          <t>UK-000301</t>
        </is>
      </c>
      <c r="B77" s="10" t="inlineStr">
        <is>
          <t>Costcutter Shevington</t>
        </is>
      </c>
      <c r="C77" s="10" t="inlineStr">
        <is>
          <t>Wigan</t>
        </is>
      </c>
      <c r="D77" s="10" t="inlineStr">
        <is>
          <t>https://www.bigreddirectory.com/costcutter-shevington-wigan</t>
        </is>
      </c>
      <c r="E77" s="10" t="inlineStr">
        <is>
          <t>Directory</t>
        </is>
      </c>
      <c r="F77" s="10" t="inlineStr">
        <is>
          <t>2026-09-17</t>
        </is>
      </c>
      <c r="G77" s="10" t="inlineStr">
        <is>
          <t>trading name, address, postcode (via search results)</t>
        </is>
      </c>
      <c r="H77" s="10" t="inlineStr">
        <is>
          <t>Requires Verification</t>
        </is>
      </c>
    </row>
    <row r="78">
      <c r="A78" s="5" t="inlineStr">
        <is>
          <t>UK-000302</t>
        </is>
      </c>
      <c r="B78" s="5" t="inlineStr">
        <is>
          <t>Costsaver Convenience Store Whitefield</t>
        </is>
      </c>
      <c r="C78" s="5" t="inlineStr">
        <is>
          <t>Whitefield</t>
        </is>
      </c>
      <c r="D78" s="5" t="inlineStr">
        <is>
          <t>https://licensing.bury.gov.uk/PAforLalpacLIVE/1/LicensingActPremises/Search/1614</t>
        </is>
      </c>
      <c r="E78" s="5" t="inlineStr">
        <is>
          <t>Other</t>
        </is>
      </c>
      <c r="F78" s="5" t="inlineStr">
        <is>
          <t>2026-09-17</t>
        </is>
      </c>
      <c r="G78" s="5" t="inlineStr">
        <is>
          <t>trading name, address, postcode (via search results)</t>
        </is>
      </c>
      <c r="H78" s="5" t="inlineStr">
        <is>
          <t>Requires Verification</t>
        </is>
      </c>
    </row>
    <row r="79">
      <c r="A79" s="10" t="inlineStr">
        <is>
          <t>UK-000552</t>
        </is>
      </c>
      <c r="B79" s="10" t="inlineStr">
        <is>
          <t>Dhamecha Cash &amp; Carry (Wembley)</t>
        </is>
      </c>
      <c r="C79" s="10" t="inlineStr">
        <is>
          <t>Wembley</t>
        </is>
      </c>
      <c r="D79" s="10" t="inlineStr">
        <is>
          <t>https://www.yell.com/biz/dhamecha-cash-and-carry-wembley-3748600/</t>
        </is>
      </c>
      <c r="E79" s="10" t="inlineStr">
        <is>
          <t>Yell</t>
        </is>
      </c>
      <c r="F79" s="10" t="inlineStr">
        <is>
          <t>2026-09-17</t>
        </is>
      </c>
      <c r="G79" s="10" t="inlineStr">
        <is>
          <t>business name, address</t>
        </is>
      </c>
      <c r="H79" s="10" t="inlineStr">
        <is>
          <t>Requires Verification</t>
        </is>
      </c>
    </row>
    <row r="80">
      <c r="A80" s="5" t="inlineStr">
        <is>
          <t>WY-0012</t>
        </is>
      </c>
      <c r="B80" s="5" t="inlineStr">
        <is>
          <t>C.Gars Leeds (Dominique London)</t>
        </is>
      </c>
      <c r="C80" s="5" t="inlineStr">
        <is>
          <t>Leeds</t>
        </is>
      </c>
      <c r="D80" s="5" t="inlineStr">
        <is>
          <t>https://www.cgarsltd.co.uk/new-cgars-ltd-store-leeds-a-521.html</t>
        </is>
      </c>
      <c r="E80" s="5" t="inlineStr">
        <is>
          <t>Official Website</t>
        </is>
      </c>
      <c r="F80" s="5" t="inlineStr">
        <is>
          <t>2026-09-16</t>
        </is>
      </c>
      <c r="G80" s="5" t="inlineStr">
        <is>
          <t>store address, description (via search results)</t>
        </is>
      </c>
      <c r="H80" s="5" t="inlineStr">
        <is>
          <t>Requires Verification</t>
        </is>
      </c>
    </row>
    <row r="81">
      <c r="A81" s="10" t="inlineStr">
        <is>
          <t>WY-0012</t>
        </is>
      </c>
      <c r="B81" s="10" t="inlineStr">
        <is>
          <t>C.Gars Leeds (Dominique London)</t>
        </is>
      </c>
      <c r="C81" s="10" t="inlineStr">
        <is>
          <t>Leeds</t>
        </is>
      </c>
      <c r="D81" s="10" t="inlineStr">
        <is>
          <t>https://cigars.co.uk/news/new-havana-cigar-specialist-opens-in-leeds/</t>
        </is>
      </c>
      <c r="E81" s="10" t="inlineStr">
        <is>
          <t>News / Trade Press</t>
        </is>
      </c>
      <c r="F81" s="10" t="inlineStr">
        <is>
          <t>2026-09-16</t>
        </is>
      </c>
      <c r="G81" s="10" t="inlineStr">
        <is>
          <t>opening announcement, Thornton's Arcade location (via search results)</t>
        </is>
      </c>
      <c r="H81" s="10" t="inlineStr">
        <is>
          <t>Requires Verification</t>
        </is>
      </c>
    </row>
    <row r="82">
      <c r="A82" s="5" t="inlineStr">
        <is>
          <t>WY-0012</t>
        </is>
      </c>
      <c r="B82" s="5" t="inlineStr">
        <is>
          <t>C.Gars Leeds (Dominique London)</t>
        </is>
      </c>
      <c r="C82" s="5" t="inlineStr">
        <is>
          <t>Leeds</t>
        </is>
      </c>
      <c r="D82" s="5" t="inlineStr">
        <is>
          <t>https://www.cgarsltd.co.uk/cigar-shops/CGars_Leeds_1.html</t>
        </is>
      </c>
      <c r="E82" s="5" t="inlineStr">
        <is>
          <t>Official Website</t>
        </is>
      </c>
      <c r="F82" s="5" t="inlineStr">
        <is>
          <t>2026-09-16</t>
        </is>
      </c>
      <c r="G82" s="5" t="inlineStr">
        <is>
          <t>phone</t>
        </is>
      </c>
      <c r="H82" s="5" t="inlineStr">
        <is>
          <t>Requires Verification</t>
        </is>
      </c>
    </row>
    <row r="83">
      <c r="A83" s="10" t="inlineStr">
        <is>
          <t>UK-000705</t>
        </is>
      </c>
      <c r="B83" s="10" t="inlineStr">
        <is>
          <t>Dr Vapor Edinburgh (Dalry)</t>
        </is>
      </c>
      <c r="C83" s="10" t="inlineStr">
        <is>
          <t>Edinburgh</t>
        </is>
      </c>
      <c r="D83" s="10" t="inlineStr">
        <is>
          <t>https://www.yell.com/s/vape+shops-edinburgh.html</t>
        </is>
      </c>
      <c r="E83" s="10" t="inlineStr">
        <is>
          <t>Yell</t>
        </is>
      </c>
      <c r="F83" s="10" t="inlineStr">
        <is>
          <t>2026-09-17</t>
        </is>
      </c>
      <c r="G83" s="10" t="inlineStr">
        <is>
          <t>address, phone (search snippet)</t>
        </is>
      </c>
      <c r="H83" s="10" t="inlineStr">
        <is>
          <t>Requires Verification</t>
        </is>
      </c>
    </row>
    <row r="84">
      <c r="A84" s="5" t="inlineStr">
        <is>
          <t>UK-000706</t>
        </is>
      </c>
      <c r="B84" s="5" t="inlineStr">
        <is>
          <t>Dr Vapor Edinburgh (Parsons Green)</t>
        </is>
      </c>
      <c r="C84" s="5" t="inlineStr">
        <is>
          <t>Edinburgh</t>
        </is>
      </c>
      <c r="D84" s="5" t="inlineStr">
        <is>
          <t>https://www.yell.com/s/vape+shops-edinburgh.html</t>
        </is>
      </c>
      <c r="E84" s="5" t="inlineStr">
        <is>
          <t>Yell</t>
        </is>
      </c>
      <c r="F84" s="5" t="inlineStr">
        <is>
          <t>2026-09-17</t>
        </is>
      </c>
      <c r="G84" s="5" t="inlineStr">
        <is>
          <t>address, phone (search snippet)</t>
        </is>
      </c>
      <c r="H84" s="5" t="inlineStr">
        <is>
          <t>Requires Verification</t>
        </is>
      </c>
    </row>
    <row r="85">
      <c r="A85" s="10" t="inlineStr">
        <is>
          <t>UK-000424</t>
        </is>
      </c>
      <c r="B85" s="10" t="inlineStr">
        <is>
          <t>East End Foods (West Bromwich)</t>
        </is>
      </c>
      <c r="C85" s="10" t="inlineStr">
        <is>
          <t>West Bromwich</t>
        </is>
      </c>
      <c r="D85" s="10" t="inlineStr">
        <is>
          <t>https://www.192.com/atoz/business/west-bromwich-b71/cash-and-carry-wholesalers/east-end-foods/0f373c9585cc38569ca90e77514ccba5124f5435/ml/</t>
        </is>
      </c>
      <c r="E85" s="10" t="inlineStr">
        <is>
          <t>Directory</t>
        </is>
      </c>
      <c r="F85" s="10" t="inlineStr">
        <is>
          <t>2026-09-17</t>
        </is>
      </c>
      <c r="G85" s="10" t="inlineStr">
        <is>
          <t>business name, West Bromwich B71 location (listing snippet)</t>
        </is>
      </c>
      <c r="H85" s="10" t="inlineStr">
        <is>
          <t>Requires Verification</t>
        </is>
      </c>
    </row>
    <row r="86">
      <c r="A86" s="5" t="inlineStr">
        <is>
          <t>WY-0013</t>
        </is>
      </c>
      <c r="B86" s="5" t="inlineStr">
        <is>
          <t>Ecig N Vape South Elmsall</t>
        </is>
      </c>
      <c r="C86" s="5" t="inlineStr">
        <is>
          <t>South Elmsall</t>
        </is>
      </c>
      <c r="D86" s="5" t="inlineStr">
        <is>
          <t>https://www.chamberofcommerce.uk/business-directory/england/south-elmsallsouth-kirkby/miscellaneous/2381504-ecig-n-vape-south-elmsall</t>
        </is>
      </c>
      <c r="E86" s="5" t="inlineStr">
        <is>
          <t>Directory</t>
        </is>
      </c>
      <c r="F86" s="5" t="inlineStr">
        <is>
          <t>2026-09-16</t>
        </is>
      </c>
      <c r="G86" s="5" t="inlineStr">
        <is>
          <t>address 13 Barnsley Rd WF9 2RJ, phone</t>
        </is>
      </c>
      <c r="H86" s="5" t="inlineStr">
        <is>
          <t>Requires Verification</t>
        </is>
      </c>
    </row>
    <row r="87">
      <c r="A87" s="10" t="inlineStr">
        <is>
          <t>WY-0013</t>
        </is>
      </c>
      <c r="B87" s="10" t="inlineStr">
        <is>
          <t>Ecig N Vape South Elmsall</t>
        </is>
      </c>
      <c r="C87" s="10" t="inlineStr">
        <is>
          <t>South Elmsall</t>
        </is>
      </c>
      <c r="D87" s="10" t="inlineStr">
        <is>
          <t>https://www.facebook.com/Ecignvapesouthelmsall/</t>
        </is>
      </c>
      <c r="E87" s="10" t="inlineStr">
        <is>
          <t>Facebook</t>
        </is>
      </c>
      <c r="F87" s="10" t="inlineStr">
        <is>
          <t>2026-09-16</t>
        </is>
      </c>
      <c r="G87" s="10" t="inlineStr">
        <is>
          <t>trading status, second shop announcement</t>
        </is>
      </c>
      <c r="H87" s="10" t="inlineStr">
        <is>
          <t>Requires Verification</t>
        </is>
      </c>
    </row>
    <row r="88">
      <c r="A88" s="5" t="inlineStr">
        <is>
          <t>WY-0013</t>
        </is>
      </c>
      <c r="B88" s="5" t="inlineStr">
        <is>
          <t>Ecig N Vape South Elmsall</t>
        </is>
      </c>
      <c r="C88" s="5" t="inlineStr">
        <is>
          <t>South Elmsall</t>
        </is>
      </c>
      <c r="D88" s="5" t="inlineStr">
        <is>
          <t>https://find-and-update.company-information.service.gov.uk/company/12772350</t>
        </is>
      </c>
      <c r="E88" s="5" t="inlineStr">
        <is>
          <t>Companies House</t>
        </is>
      </c>
      <c r="F88" s="5" t="inlineStr">
        <is>
          <t>2026-09-16</t>
        </is>
      </c>
      <c r="G88" s="5" t="inlineStr">
        <is>
          <t>company number (URL surfaced in search; page not fetched)</t>
        </is>
      </c>
      <c r="H88" s="5" t="inlineStr">
        <is>
          <t>Requires Verification</t>
        </is>
      </c>
    </row>
    <row r="89">
      <c r="A89" s="10" t="inlineStr">
        <is>
          <t>UK-000196</t>
        </is>
      </c>
      <c r="B89" s="10" t="inlineStr">
        <is>
          <t>Electric Vape Rotherham</t>
        </is>
      </c>
      <c r="C89" s="10" t="inlineStr">
        <is>
          <t>Rotherham</t>
        </is>
      </c>
      <c r="D89" s="10" t="inlineStr">
        <is>
          <t>https://www.electricvape.co.uk/rotherham-shop</t>
        </is>
      </c>
      <c r="E89" s="10" t="inlineStr">
        <is>
          <t>Official Website</t>
        </is>
      </c>
      <c r="F89" s="10" t="inlineStr">
        <is>
          <t>2026-09-16</t>
        </is>
      </c>
      <c r="G89" s="10" t="inlineStr">
        <is>
          <t>name, address, postcode, hours</t>
        </is>
      </c>
      <c r="H89" s="10" t="inlineStr">
        <is>
          <t>Requires Verification</t>
        </is>
      </c>
    </row>
    <row r="90">
      <c r="A90" s="5" t="inlineStr">
        <is>
          <t>UK-000197</t>
        </is>
      </c>
      <c r="B90" s="5" t="inlineStr">
        <is>
          <t>Electric Vaper Barnsley</t>
        </is>
      </c>
      <c r="C90" s="5" t="inlineStr">
        <is>
          <t>Barnsley</t>
        </is>
      </c>
      <c r="D90" s="5" t="inlineStr">
        <is>
          <t>https://ecigdirectory.co.uk/vape-shop/listing/electric-vaper-barnsley</t>
        </is>
      </c>
      <c r="E90" s="5" t="inlineStr">
        <is>
          <t>Directory</t>
        </is>
      </c>
      <c r="F90" s="5" t="inlineStr">
        <is>
          <t>2026-09-16</t>
        </is>
      </c>
      <c r="G90" s="5" t="inlineStr">
        <is>
          <t>name, address</t>
        </is>
      </c>
      <c r="H90" s="5" t="inlineStr">
        <is>
          <t>Requires Verification</t>
        </is>
      </c>
    </row>
    <row r="91">
      <c r="A91" s="10" t="inlineStr">
        <is>
          <t>UK-000425</t>
        </is>
      </c>
      <c r="B91" s="10" t="inlineStr">
        <is>
          <t>Electromist Halesowen</t>
        </is>
      </c>
      <c r="C91" s="10" t="inlineStr">
        <is>
          <t>Halesowen</t>
        </is>
      </c>
      <c r="D91" s="10" t="inlineStr">
        <is>
          <t>https://ecigdirectory.co.uk/vape-shop/listing/mistuk-halesowen</t>
        </is>
      </c>
      <c r="E91" s="10" t="inlineStr">
        <is>
          <t>Directory</t>
        </is>
      </c>
      <c r="F91" s="10" t="inlineStr">
        <is>
          <t>2026-09-17</t>
        </is>
      </c>
      <c r="G91" s="10" t="inlineStr">
        <is>
          <t>business name, address (directory snippet)</t>
        </is>
      </c>
      <c r="H91" s="10" t="inlineStr">
        <is>
          <t>Requires Verification</t>
        </is>
      </c>
    </row>
    <row r="92">
      <c r="A92" s="5" t="inlineStr">
        <is>
          <t>UK-000425</t>
        </is>
      </c>
      <c r="B92" s="5" t="inlineStr">
        <is>
          <t>Electromist Halesowen</t>
        </is>
      </c>
      <c r="C92" s="5" t="inlineStr">
        <is>
          <t>Halesowen</t>
        </is>
      </c>
      <c r="D92" s="5" t="inlineStr">
        <is>
          <t>https://electromist.co.uk/</t>
        </is>
      </c>
      <c r="E92" s="5" t="inlineStr">
        <is>
          <t>Official Website</t>
        </is>
      </c>
      <c r="F92" s="5" t="inlineStr">
        <is>
          <t>2026-09-17</t>
        </is>
      </c>
      <c r="G92" s="5" t="inlineStr">
        <is>
          <t>brand/website existence (search snippet)</t>
        </is>
      </c>
      <c r="H92" s="5" t="inlineStr">
        <is>
          <t>Requires Verification</t>
        </is>
      </c>
    </row>
    <row r="93">
      <c r="A93" s="10" t="inlineStr">
        <is>
          <t>UK-000426</t>
        </is>
      </c>
      <c r="B93" s="10" t="inlineStr">
        <is>
          <t>Electromist Merry Hill</t>
        </is>
      </c>
      <c r="C93" s="10" t="inlineStr">
        <is>
          <t>Brierley Hill</t>
        </is>
      </c>
      <c r="D93" s="10" t="inlineStr">
        <is>
          <t>https://electromist.co.uk/pages/merry-hill-store</t>
        </is>
      </c>
      <c r="E93" s="10" t="inlineStr">
        <is>
          <t>Official Website</t>
        </is>
      </c>
      <c r="F93" s="10" t="inlineStr">
        <is>
          <t>2026-09-17</t>
        </is>
      </c>
      <c r="G93" s="10" t="inlineStr">
        <is>
          <t>store address, phone (store page snippet)</t>
        </is>
      </c>
      <c r="H93" s="10" t="inlineStr">
        <is>
          <t>Requires Verification</t>
        </is>
      </c>
    </row>
    <row r="94">
      <c r="A94" s="5" t="inlineStr">
        <is>
          <t>UK-000553</t>
        </is>
      </c>
      <c r="B94" s="5" t="inlineStr">
        <is>
          <t>Evapo - Hammersmith Broadway</t>
        </is>
      </c>
      <c r="C94" s="5" t="inlineStr">
        <is>
          <t>London</t>
        </is>
      </c>
      <c r="D94" s="5" t="inlineStr">
        <is>
          <t>https://www.yell.com/biz/evapo-hammersmith-london-9576528/</t>
        </is>
      </c>
      <c r="E94" s="5" t="inlineStr">
        <is>
          <t>Yell</t>
        </is>
      </c>
      <c r="F94" s="5" t="inlineStr">
        <is>
          <t>2026-09-17</t>
        </is>
      </c>
      <c r="G94" s="5" t="inlineStr">
        <is>
          <t>business name, address, postcode</t>
        </is>
      </c>
      <c r="H94" s="5" t="inlineStr">
        <is>
          <t>Requires Verification</t>
        </is>
      </c>
    </row>
    <row r="95">
      <c r="A95" s="10" t="inlineStr">
        <is>
          <t>UK-000554</t>
        </is>
      </c>
      <c r="B95" s="10" t="inlineStr">
        <is>
          <t>Evapo - Soho (Denman Street)</t>
        </is>
      </c>
      <c r="C95" s="10" t="inlineStr">
        <is>
          <t>London</t>
        </is>
      </c>
      <c r="D95" s="10" t="inlineStr">
        <is>
          <t>https://www.yelp.co.uk/biz/evapo-vape-shop-denman-street-london-3</t>
        </is>
      </c>
      <c r="E95" s="10" t="inlineStr">
        <is>
          <t>Directory</t>
        </is>
      </c>
      <c r="F95" s="10" t="inlineStr">
        <is>
          <t>2026-09-17</t>
        </is>
      </c>
      <c r="G95" s="10" t="inlineStr">
        <is>
          <t>business name, address, postcode, phone</t>
        </is>
      </c>
      <c r="H95" s="10" t="inlineStr">
        <is>
          <t>Requires Verification</t>
        </is>
      </c>
    </row>
    <row r="96">
      <c r="A96" s="5" t="inlineStr">
        <is>
          <t>UK-000554</t>
        </is>
      </c>
      <c r="B96" s="5" t="inlineStr">
        <is>
          <t>Evapo - Soho (Denman Street)</t>
        </is>
      </c>
      <c r="C96" s="5" t="inlineStr">
        <is>
          <t>London</t>
        </is>
      </c>
      <c r="D96" s="5" t="inlineStr">
        <is>
          <t>https://evapo.co.uk/vape-shops/denman-st</t>
        </is>
      </c>
      <c r="E96" s="5" t="inlineStr">
        <is>
          <t>Official Website</t>
        </is>
      </c>
      <c r="F96" s="5" t="inlineStr">
        <is>
          <t>2026-09-17</t>
        </is>
      </c>
      <c r="G96" s="5" t="inlineStr">
        <is>
          <t>business name, branch, website</t>
        </is>
      </c>
      <c r="H96" s="5" t="inlineStr">
        <is>
          <t>Requires Verification</t>
        </is>
      </c>
    </row>
    <row r="97">
      <c r="A97" s="10" t="inlineStr">
        <is>
          <t>UK-000198</t>
        </is>
      </c>
      <c r="B97" s="10" t="inlineStr">
        <is>
          <t>Ezi Vape Skipton</t>
        </is>
      </c>
      <c r="C97" s="10" t="inlineStr">
        <is>
          <t>Skipton</t>
        </is>
      </c>
      <c r="D97" s="10" t="inlineStr">
        <is>
          <t>https://www.ezi-vape.co.uk/</t>
        </is>
      </c>
      <c r="E97" s="10" t="inlineStr">
        <is>
          <t>Official Website</t>
        </is>
      </c>
      <c r="F97" s="10" t="inlineStr">
        <is>
          <t>2026-09-16</t>
        </is>
      </c>
      <c r="G97" s="10" t="inlineStr">
        <is>
          <t>brand, multi-site (Skipton/Barnoldswick/Ilkley)</t>
        </is>
      </c>
      <c r="H97" s="10" t="inlineStr">
        <is>
          <t>Requires Verification</t>
        </is>
      </c>
    </row>
    <row r="98">
      <c r="A98" s="5" t="inlineStr">
        <is>
          <t>UK-000198</t>
        </is>
      </c>
      <c r="B98" s="5" t="inlineStr">
        <is>
          <t>Ezi Vape Skipton</t>
        </is>
      </c>
      <c r="C98" s="5" t="inlineStr">
        <is>
          <t>Skipton</t>
        </is>
      </c>
      <c r="D98" s="5" t="inlineStr">
        <is>
          <t>https://www.yell.com/s/vape+shops-skipton.html</t>
        </is>
      </c>
      <c r="E98" s="5" t="inlineStr">
        <is>
          <t>Yell</t>
        </is>
      </c>
      <c r="F98" s="5" t="inlineStr">
        <is>
          <t>2026-09-16</t>
        </is>
      </c>
      <c r="G98" s="5" t="inlineStr">
        <is>
          <t>address 25 High St, phone</t>
        </is>
      </c>
      <c r="H98" s="5" t="inlineStr">
        <is>
          <t>Requires Verification</t>
        </is>
      </c>
    </row>
    <row r="99">
      <c r="A99" s="10" t="inlineStr">
        <is>
          <t>UK-000427</t>
        </is>
      </c>
      <c r="B99" s="10" t="inlineStr">
        <is>
          <t>Flavour Vapour Birmingham</t>
        </is>
      </c>
      <c r="C99" s="10" t="inlineStr">
        <is>
          <t>Birmingham</t>
        </is>
      </c>
      <c r="D99" s="10" t="inlineStr">
        <is>
          <t>https://www.flavourvapour.co.uk/stores</t>
        </is>
      </c>
      <c r="E99" s="10" t="inlineStr">
        <is>
          <t>Official Website</t>
        </is>
      </c>
      <c r="F99" s="10" t="inlineStr">
        <is>
          <t>2026-09-17</t>
        </is>
      </c>
      <c r="G99" s="10" t="inlineStr">
        <is>
          <t>multi-site confirmation</t>
        </is>
      </c>
      <c r="H99" s="10" t="inlineStr">
        <is>
          <t>Requires Verification</t>
        </is>
      </c>
    </row>
    <row r="100">
      <c r="A100" s="5" t="inlineStr">
        <is>
          <t>UK-000427</t>
        </is>
      </c>
      <c r="B100" s="5" t="inlineStr">
        <is>
          <t>Flavour Vapour Birmingham</t>
        </is>
      </c>
      <c r="C100" s="5" t="inlineStr">
        <is>
          <t>Birmingham</t>
        </is>
      </c>
      <c r="D100" s="5" t="inlineStr">
        <is>
          <t>https://www.yelp.co.uk/biz/flavour-vapour-birmingham-birmingham</t>
        </is>
      </c>
      <c r="E100" s="5" t="inlineStr">
        <is>
          <t>Directory</t>
        </is>
      </c>
      <c r="F100" s="5" t="inlineStr">
        <is>
          <t>2026-09-17</t>
        </is>
      </c>
      <c r="G100" s="5" t="inlineStr">
        <is>
          <t>address, postcode, phone</t>
        </is>
      </c>
      <c r="H100" s="5" t="inlineStr">
        <is>
          <t>Requires Verification</t>
        </is>
      </c>
    </row>
    <row r="101">
      <c r="A101" s="10" t="inlineStr">
        <is>
          <t>UK-000707</t>
        </is>
      </c>
      <c r="B101" s="10" t="inlineStr">
        <is>
          <t>Food Plus (Polski Sklep Wawel)</t>
        </is>
      </c>
      <c r="C101" s="10" t="inlineStr">
        <is>
          <t>Birkenhead</t>
        </is>
      </c>
      <c r="D101" s="10" t="inlineStr">
        <is>
          <t>https://www.foodplus.eu/en/products/food-plus-polski-sklep-wawel-ch41-2qq-birkenhead</t>
        </is>
      </c>
      <c r="E101" s="10" t="inlineStr">
        <is>
          <t>Directory</t>
        </is>
      </c>
      <c r="F101" s="10" t="inlineStr">
        <is>
          <t>2026-09-17</t>
        </is>
      </c>
      <c r="G101" s="10" t="inlineStr">
        <is>
          <t>trading name, postcode, symbol group</t>
        </is>
      </c>
      <c r="H101" s="10" t="inlineStr">
        <is>
          <t>Requires Verification</t>
        </is>
      </c>
    </row>
    <row r="102">
      <c r="A102" s="5" t="inlineStr">
        <is>
          <t>UK-000707</t>
        </is>
      </c>
      <c r="B102" s="5" t="inlineStr">
        <is>
          <t>Food Plus (Polski Sklep Wawel)</t>
        </is>
      </c>
      <c r="C102" s="5" t="inlineStr">
        <is>
          <t>Birkenhead</t>
        </is>
      </c>
      <c r="D102" s="5" t="inlineStr">
        <is>
          <t>https://www.misterwhat.co.uk/company/2855833-international-food-store-birkenhead</t>
        </is>
      </c>
      <c r="E102" s="5" t="inlineStr">
        <is>
          <t>Directory</t>
        </is>
      </c>
      <c r="F102" s="5" t="inlineStr">
        <is>
          <t>2026-09-17</t>
        </is>
      </c>
      <c r="G102" s="5" t="inlineStr">
        <is>
          <t>alternate name, postcode</t>
        </is>
      </c>
      <c r="H102" s="5" t="inlineStr">
        <is>
          <t>Requires Verification</t>
        </is>
      </c>
    </row>
    <row r="103">
      <c r="A103" s="10" t="inlineStr">
        <is>
          <t>UK-000199</t>
        </is>
      </c>
      <c r="B103" s="10" t="inlineStr">
        <is>
          <t>Food Plus Hexthorpe (Polski Sklep)</t>
        </is>
      </c>
      <c r="C103" s="10" t="inlineStr">
        <is>
          <t>Doncaster</t>
        </is>
      </c>
      <c r="D103" s="10" t="inlineStr">
        <is>
          <t>https://www.foodplus.eu/en/map/food-plus-polski-sklep-hexthorpe-dn4-0bd-doncaster</t>
        </is>
      </c>
      <c r="E103" s="10" t="inlineStr">
        <is>
          <t>Official Website</t>
        </is>
      </c>
      <c r="F103" s="10" t="inlineStr">
        <is>
          <t>2026-09-16</t>
        </is>
      </c>
      <c r="G103" s="10" t="inlineStr">
        <is>
          <t>name, area, postcode</t>
        </is>
      </c>
      <c r="H103" s="10" t="inlineStr">
        <is>
          <t>Requires Verification</t>
        </is>
      </c>
    </row>
    <row r="104">
      <c r="A104" s="5" t="inlineStr">
        <is>
          <t>UK-000200</t>
        </is>
      </c>
      <c r="B104" s="5" t="inlineStr">
        <is>
          <t>Food Plus Rotherham (Polski Sklep)</t>
        </is>
      </c>
      <c r="C104" s="5" t="inlineStr">
        <is>
          <t>Rotherham</t>
        </is>
      </c>
      <c r="D104" s="5" t="inlineStr">
        <is>
          <t>https://www.yorkshire.com/rotherham/shopping/grocers</t>
        </is>
      </c>
      <c r="E104" s="5" t="inlineStr">
        <is>
          <t>Directory</t>
        </is>
      </c>
      <c r="F104" s="5" t="inlineStr">
        <is>
          <t>2026-09-16</t>
        </is>
      </c>
      <c r="G104" s="5" t="inlineStr">
        <is>
          <t>name, area, product range</t>
        </is>
      </c>
      <c r="H104" s="5" t="inlineStr">
        <is>
          <t>Requires Verification</t>
        </is>
      </c>
    </row>
    <row r="105">
      <c r="A105" s="10" t="inlineStr">
        <is>
          <t>UK-000303</t>
        </is>
      </c>
      <c r="B105" s="10" t="inlineStr">
        <is>
          <t>Freshmist Bury Road</t>
        </is>
      </c>
      <c r="C105" s="10" t="inlineStr">
        <is>
          <t>Bolton</t>
        </is>
      </c>
      <c r="D105" s="10" t="inlineStr">
        <is>
          <t>https://www.freshmist.co.uk/contact/</t>
        </is>
      </c>
      <c r="E105" s="10" t="inlineStr">
        <is>
          <t>Official Website</t>
        </is>
      </c>
      <c r="F105" s="10" t="inlineStr">
        <is>
          <t>2026-09-17</t>
        </is>
      </c>
      <c r="G105" s="10" t="inlineStr">
        <is>
          <t>head office address, postcode, phone, orders email (via search results)</t>
        </is>
      </c>
      <c r="H105" s="10" t="inlineStr">
        <is>
          <t>Requires Verification</t>
        </is>
      </c>
    </row>
    <row r="106">
      <c r="A106" s="5" t="inlineStr">
        <is>
          <t>UK-000303</t>
        </is>
      </c>
      <c r="B106" s="5" t="inlineStr">
        <is>
          <t>Freshmist Bury Road</t>
        </is>
      </c>
      <c r="C106" s="5" t="inlineStr">
        <is>
          <t>Bolton</t>
        </is>
      </c>
      <c r="D106" s="5" t="inlineStr">
        <is>
          <t>https://www.freshmist.co.uk/our-stores/</t>
        </is>
      </c>
      <c r="E106" s="5" t="inlineStr">
        <is>
          <t>Official Website</t>
        </is>
      </c>
      <c r="F106" s="5" t="inlineStr">
        <is>
          <t>2026-09-17</t>
        </is>
      </c>
      <c r="G106" s="5" t="inlineStr">
        <is>
          <t>store list (via search results)</t>
        </is>
      </c>
      <c r="H106" s="5" t="inlineStr">
        <is>
          <t>Requires Verification</t>
        </is>
      </c>
    </row>
    <row r="107">
      <c r="A107" s="10" t="inlineStr">
        <is>
          <t>UK-000303</t>
        </is>
      </c>
      <c r="B107" s="10" t="inlineStr">
        <is>
          <t>Freshmist Bury Road</t>
        </is>
      </c>
      <c r="C107" s="10" t="inlineStr">
        <is>
          <t>Bolton</t>
        </is>
      </c>
      <c r="D107" s="10" t="inlineStr">
        <is>
          <t>https://www.facebook.com/freshmist.buryrd/</t>
        </is>
      </c>
      <c r="E107" s="10" t="inlineStr">
        <is>
          <t>Facebook</t>
        </is>
      </c>
      <c r="F107" s="10" t="inlineStr">
        <is>
          <t>2026-09-17</t>
        </is>
      </c>
      <c r="G107" s="10" t="inlineStr">
        <is>
          <t>Bury Road store page</t>
        </is>
      </c>
      <c r="H107" s="10" t="inlineStr">
        <is>
          <t>Requires Verification</t>
        </is>
      </c>
    </row>
    <row r="108">
      <c r="A108" s="5" t="inlineStr">
        <is>
          <t>UK-000304</t>
        </is>
      </c>
      <c r="B108" s="5" t="inlineStr">
        <is>
          <t>Freshmist Chorley Old Road</t>
        </is>
      </c>
      <c r="C108" s="5" t="inlineStr">
        <is>
          <t>Bolton</t>
        </is>
      </c>
      <c r="D108" s="5" t="inlineStr">
        <is>
          <t>https://www.freshmist.co.uk/our-stores/</t>
        </is>
      </c>
      <c r="E108" s="5" t="inlineStr">
        <is>
          <t>Official Website</t>
        </is>
      </c>
      <c r="F108" s="5" t="inlineStr">
        <is>
          <t>2026-09-17</t>
        </is>
      </c>
      <c r="G108" s="5" t="inlineStr">
        <is>
          <t>store address, postcode (via search results)</t>
        </is>
      </c>
      <c r="H108" s="5" t="inlineStr">
        <is>
          <t>Requires Verification</t>
        </is>
      </c>
    </row>
    <row r="109">
      <c r="A109" s="10" t="inlineStr">
        <is>
          <t>UK-000304</t>
        </is>
      </c>
      <c r="B109" s="10" t="inlineStr">
        <is>
          <t>Freshmist Chorley Old Road</t>
        </is>
      </c>
      <c r="C109" s="10" t="inlineStr">
        <is>
          <t>Bolton</t>
        </is>
      </c>
      <c r="D109" s="10" t="inlineStr">
        <is>
          <t>https://www.facebook.com/freshmistvapestore/</t>
        </is>
      </c>
      <c r="E109" s="10" t="inlineStr">
        <is>
          <t>Facebook</t>
        </is>
      </c>
      <c r="F109" s="10" t="inlineStr">
        <is>
          <t>2026-09-17</t>
        </is>
      </c>
      <c r="G109" s="10" t="inlineStr">
        <is>
          <t>store page</t>
        </is>
      </c>
      <c r="H109" s="10" t="inlineStr">
        <is>
          <t>Requires Verification</t>
        </is>
      </c>
    </row>
    <row r="110">
      <c r="A110" s="5" t="inlineStr">
        <is>
          <t>UK-000305</t>
        </is>
      </c>
      <c r="B110" s="5" t="inlineStr">
        <is>
          <t>Freshmist Farnworth</t>
        </is>
      </c>
      <c r="C110" s="5" t="inlineStr">
        <is>
          <t>Bolton</t>
        </is>
      </c>
      <c r="D110" s="5" t="inlineStr">
        <is>
          <t>https://www.freshmist.co.uk/our-stores/</t>
        </is>
      </c>
      <c r="E110" s="5" t="inlineStr">
        <is>
          <t>Official Website</t>
        </is>
      </c>
      <c r="F110" s="5" t="inlineStr">
        <is>
          <t>2026-09-17</t>
        </is>
      </c>
      <c r="G110" s="5" t="inlineStr">
        <is>
          <t>store address, postcode (via search results)</t>
        </is>
      </c>
      <c r="H110" s="5" t="inlineStr">
        <is>
          <t>Requires Verification</t>
        </is>
      </c>
    </row>
    <row r="111">
      <c r="A111" s="10" t="inlineStr">
        <is>
          <t>UK-000306</t>
        </is>
      </c>
      <c r="B111" s="10" t="inlineStr">
        <is>
          <t>Freshmist Horwich</t>
        </is>
      </c>
      <c r="C111" s="10" t="inlineStr">
        <is>
          <t>Bolton</t>
        </is>
      </c>
      <c r="D111" s="10" t="inlineStr">
        <is>
          <t>https://horwich.cylex-uk.co.uk/company/freshmist-horwich-27903083.html</t>
        </is>
      </c>
      <c r="E111" s="10" t="inlineStr">
        <is>
          <t>Directory</t>
        </is>
      </c>
      <c r="F111" s="10" t="inlineStr">
        <is>
          <t>2026-09-17</t>
        </is>
      </c>
      <c r="G111" s="10" t="inlineStr">
        <is>
          <t>store address, postcode (via search results)</t>
        </is>
      </c>
      <c r="H111" s="10" t="inlineStr">
        <is>
          <t>Requires Verification</t>
        </is>
      </c>
    </row>
    <row r="112">
      <c r="A112" s="5" t="inlineStr">
        <is>
          <t>UK-000306</t>
        </is>
      </c>
      <c r="B112" s="5" t="inlineStr">
        <is>
          <t>Freshmist Horwich</t>
        </is>
      </c>
      <c r="C112" s="5" t="inlineStr">
        <is>
          <t>Bolton</t>
        </is>
      </c>
      <c r="D112" s="5" t="inlineStr">
        <is>
          <t>https://www.freshmist.co.uk/our-stores/</t>
        </is>
      </c>
      <c r="E112" s="5" t="inlineStr">
        <is>
          <t>Official Website</t>
        </is>
      </c>
      <c r="F112" s="5" t="inlineStr">
        <is>
          <t>2026-09-17</t>
        </is>
      </c>
      <c r="G112" s="5" t="inlineStr">
        <is>
          <t>store list (via search results)</t>
        </is>
      </c>
      <c r="H112" s="5" t="inlineStr">
        <is>
          <t>Requires Verification</t>
        </is>
      </c>
    </row>
    <row r="113">
      <c r="A113" s="10" t="inlineStr">
        <is>
          <t>WY-0014</t>
        </is>
      </c>
      <c r="B113" s="10" t="inlineStr">
        <is>
          <t>GT News (White Rose Shopping Centre)</t>
        </is>
      </c>
      <c r="C113" s="10" t="inlineStr">
        <is>
          <t>Leeds</t>
        </is>
      </c>
      <c r="D113" s="10" t="inlineStr">
        <is>
          <t>https://www.leedsonline.co.uk/info/17974/</t>
        </is>
      </c>
      <c r="E113" s="10" t="inlineStr">
        <is>
          <t>Directory</t>
        </is>
      </c>
      <c r="F113" s="10" t="inlineStr">
        <is>
          <t>2026-09-16</t>
        </is>
      </c>
      <c r="G113" s="10" t="inlineStr">
        <is>
          <t>name, unit addresses, phone, website (via search results)</t>
        </is>
      </c>
      <c r="H113" s="10" t="inlineStr">
        <is>
          <t>Requires Verification</t>
        </is>
      </c>
    </row>
    <row r="114">
      <c r="A114" s="5" t="inlineStr">
        <is>
          <t>WY-0014</t>
        </is>
      </c>
      <c r="B114" s="5" t="inlineStr">
        <is>
          <t>GT News (White Rose Shopping Centre)</t>
        </is>
      </c>
      <c r="C114" s="5" t="inlineStr">
        <is>
          <t>Leeds</t>
        </is>
      </c>
      <c r="D114" s="5" t="inlineStr">
        <is>
          <t>https://www.misterwhat.co.uk/company/2740902-gt-news-leeds</t>
        </is>
      </c>
      <c r="E114" s="5" t="inlineStr">
        <is>
          <t>Directory</t>
        </is>
      </c>
      <c r="F114" s="5" t="inlineStr">
        <is>
          <t>2026-09-16</t>
        </is>
      </c>
      <c r="G114" s="5" t="inlineStr">
        <is>
          <t>postcode</t>
        </is>
      </c>
      <c r="H114" s="5" t="inlineStr">
        <is>
          <t>Requires Verification</t>
        </is>
      </c>
    </row>
    <row r="115">
      <c r="A115" s="10" t="inlineStr">
        <is>
          <t>UK-000307</t>
        </is>
      </c>
      <c r="B115" s="10" t="inlineStr">
        <is>
          <t>Go Local - Hyde Convenience Store</t>
        </is>
      </c>
      <c r="C115" s="10" t="inlineStr">
        <is>
          <t>Hyde</t>
        </is>
      </c>
      <c r="D115" s="10" t="inlineStr">
        <is>
          <t>https://ratings.food.gov.uk/business/444647</t>
        </is>
      </c>
      <c r="E115" s="10" t="inlineStr">
        <is>
          <t>Directory</t>
        </is>
      </c>
      <c r="F115" s="10" t="inlineStr">
        <is>
          <t>2026-09-17</t>
        </is>
      </c>
      <c r="G115" s="10" t="inlineStr">
        <is>
          <t>address, postcode</t>
        </is>
      </c>
      <c r="H115" s="10" t="inlineStr">
        <is>
          <t>Requires Verification</t>
        </is>
      </c>
    </row>
    <row r="116">
      <c r="A116" s="5" t="inlineStr">
        <is>
          <t>UK-000308</t>
        </is>
      </c>
      <c r="B116" s="5" t="inlineStr">
        <is>
          <t>Go Local Extra (Hannah's Convenience)</t>
        </is>
      </c>
      <c r="C116" s="5" t="inlineStr">
        <is>
          <t>Middleton</t>
        </is>
      </c>
      <c r="D116" s="5" t="inlineStr">
        <is>
          <t>https://www.yelp.com/search?find_desc=Off+Licence&amp;find_loc=Middleton,+Greater+Manchester</t>
        </is>
      </c>
      <c r="E116" s="5" t="inlineStr">
        <is>
          <t>Directory</t>
        </is>
      </c>
      <c r="F116" s="5" t="inlineStr">
        <is>
          <t>2026-09-17</t>
        </is>
      </c>
      <c r="G116" s="5" t="inlineStr">
        <is>
          <t>address, postcode</t>
        </is>
      </c>
      <c r="H116" s="5" t="inlineStr">
        <is>
          <t>Requires Verification</t>
        </is>
      </c>
    </row>
    <row r="117">
      <c r="A117" s="10" t="inlineStr">
        <is>
          <t>UK-000428</t>
        </is>
      </c>
      <c r="B117" s="10" t="inlineStr">
        <is>
          <t>Go Local Tibbi Convenience Store</t>
        </is>
      </c>
      <c r="C117" s="10" t="inlineStr">
        <is>
          <t>Tipton</t>
        </is>
      </c>
      <c r="D117" s="10" t="inlineStr">
        <is>
          <t>https://tipton.cylex-uk.co.uk/company/go-local-tibbi-convenience-store-26088834.html</t>
        </is>
      </c>
      <c r="E117" s="10" t="inlineStr">
        <is>
          <t>Directory</t>
        </is>
      </c>
      <c r="F117" s="10" t="inlineStr">
        <is>
          <t>2026-09-17</t>
        </is>
      </c>
      <c r="G117" s="10" t="inlineStr">
        <is>
          <t>business name, Tipton location, symbol fascia (directory snippet)</t>
        </is>
      </c>
      <c r="H117" s="10" t="inlineStr">
        <is>
          <t>Requires Verification</t>
        </is>
      </c>
    </row>
    <row r="118">
      <c r="A118" s="5" t="inlineStr">
        <is>
          <t>UK-000429</t>
        </is>
      </c>
      <c r="B118" s="5" t="inlineStr">
        <is>
          <t>Grey Haze Vape &amp; Cafe Lounge - Kings Heath</t>
        </is>
      </c>
      <c r="C118" s="5" t="inlineStr">
        <is>
          <t>Birmingham</t>
        </is>
      </c>
      <c r="D118" s="5" t="inlineStr">
        <is>
          <t>https://greyhaze.co.uk/pages/shop-locator</t>
        </is>
      </c>
      <c r="E118" s="5" t="inlineStr">
        <is>
          <t>Official Website</t>
        </is>
      </c>
      <c r="F118" s="5" t="inlineStr">
        <is>
          <t>2026-09-17</t>
        </is>
      </c>
      <c r="G118" s="5" t="inlineStr">
        <is>
          <t>address, phone, multi-site confirmation</t>
        </is>
      </c>
      <c r="H118" s="5" t="inlineStr">
        <is>
          <t>Requires Verification</t>
        </is>
      </c>
    </row>
    <row r="119">
      <c r="A119" s="10" t="inlineStr">
        <is>
          <t>UK-000429</t>
        </is>
      </c>
      <c r="B119" s="10" t="inlineStr">
        <is>
          <t>Grey Haze Vape &amp; Cafe Lounge - Kings Heath</t>
        </is>
      </c>
      <c r="C119" s="10" t="inlineStr">
        <is>
          <t>Birmingham</t>
        </is>
      </c>
      <c r="D119" s="10" t="inlineStr">
        <is>
          <t>https://www.yelp.co.uk/biz/grey-haze-vape-and-cafe-lounge-birmingham</t>
        </is>
      </c>
      <c r="E119" s="10" t="inlineStr">
        <is>
          <t>Directory</t>
        </is>
      </c>
      <c r="F119" s="10" t="inlineStr">
        <is>
          <t>2026-09-17</t>
        </is>
      </c>
      <c r="G119" s="10" t="inlineStr">
        <is>
          <t>address confirmation</t>
        </is>
      </c>
      <c r="H119" s="10" t="inlineStr">
        <is>
          <t>Requires Verification</t>
        </is>
      </c>
    </row>
    <row r="120">
      <c r="A120" s="5" t="inlineStr">
        <is>
          <t>UK-000555</t>
        </is>
      </c>
      <c r="B120" s="5" t="inlineStr">
        <is>
          <t>House of Vapes London - Notting Hill</t>
        </is>
      </c>
      <c r="C120" s="5" t="inlineStr">
        <is>
          <t>London</t>
        </is>
      </c>
      <c r="D120" s="5" t="inlineStr">
        <is>
          <t>https://www.yelp.co.uk/biz/house-of-vapes-london-4</t>
        </is>
      </c>
      <c r="E120" s="5" t="inlineStr">
        <is>
          <t>Directory</t>
        </is>
      </c>
      <c r="F120" s="5" t="inlineStr">
        <is>
          <t>2026-09-17</t>
        </is>
      </c>
      <c r="G120" s="5" t="inlineStr">
        <is>
          <t>business name, address, postcode</t>
        </is>
      </c>
      <c r="H120" s="5" t="inlineStr">
        <is>
          <t>Requires Verification</t>
        </is>
      </c>
    </row>
    <row r="121">
      <c r="A121" s="10" t="inlineStr">
        <is>
          <t>UK-000555</t>
        </is>
      </c>
      <c r="B121" s="10" t="inlineStr">
        <is>
          <t>House of Vapes London - Notting Hill</t>
        </is>
      </c>
      <c r="C121" s="10" t="inlineStr">
        <is>
          <t>London</t>
        </is>
      </c>
      <c r="D121" s="10" t="inlineStr">
        <is>
          <t>https://find-and-update.company-information.service.gov.uk/company/14483837</t>
        </is>
      </c>
      <c r="E121" s="10" t="inlineStr">
        <is>
          <t>Companies House</t>
        </is>
      </c>
      <c r="F121" s="10" t="inlineStr">
        <is>
          <t>2026-09-17</t>
        </is>
      </c>
      <c r="G121" s="10" t="inlineStr">
        <is>
          <t>candidate legal entity</t>
        </is>
      </c>
      <c r="H121" s="10" t="inlineStr">
        <is>
          <t>Requires Verification</t>
        </is>
      </c>
    </row>
    <row r="122">
      <c r="A122" s="5" t="inlineStr">
        <is>
          <t>UK-000430</t>
        </is>
      </c>
      <c r="B122" s="5" t="inlineStr">
        <is>
          <t>Hyperama Wholesale West Bromwich</t>
        </is>
      </c>
      <c r="C122" s="5" t="inlineStr">
        <is>
          <t>West Bromwich</t>
        </is>
      </c>
      <c r="D122" s="5" t="inlineStr">
        <is>
          <t>https://www.yell.com/biz/hyperama-wholesale-west-bromwich-1694009/</t>
        </is>
      </c>
      <c r="E122" s="5" t="inlineStr">
        <is>
          <t>Yell</t>
        </is>
      </c>
      <c r="F122" s="5" t="inlineStr">
        <is>
          <t>2026-09-17</t>
        </is>
      </c>
      <c r="G122" s="5" t="inlineStr">
        <is>
          <t>business name, West Bromwich B70 location (listing snippet)</t>
        </is>
      </c>
      <c r="H122" s="5" t="inlineStr">
        <is>
          <t>Requires Verification</t>
        </is>
      </c>
    </row>
    <row r="123">
      <c r="A123" s="10" t="inlineStr">
        <is>
          <t>UK-000708</t>
        </is>
      </c>
      <c r="B123" s="10" t="inlineStr">
        <is>
          <t>J.W. Filshill Ltd</t>
        </is>
      </c>
      <c r="C123" s="10" t="inlineStr">
        <is>
          <t>Glasgow</t>
        </is>
      </c>
      <c r="D123" s="10" t="inlineStr">
        <is>
          <t>https://www.filshill.co.uk/about/</t>
        </is>
      </c>
      <c r="E123" s="10" t="inlineStr">
        <is>
          <t>Official Website</t>
        </is>
      </c>
      <c r="F123" s="10" t="inlineStr">
        <is>
          <t>2026-09-17</t>
        </is>
      </c>
      <c r="G123" s="10" t="inlineStr">
        <is>
          <t>company profile, KeyStore, website</t>
        </is>
      </c>
      <c r="H123" s="10" t="inlineStr">
        <is>
          <t>Requires Verification</t>
        </is>
      </c>
    </row>
    <row r="124">
      <c r="A124" s="5" t="inlineStr">
        <is>
          <t>UK-000708</t>
        </is>
      </c>
      <c r="B124" s="5" t="inlineStr">
        <is>
          <t>J.W. Filshill Ltd</t>
        </is>
      </c>
      <c r="C124" s="5" t="inlineStr">
        <is>
          <t>Glasgow</t>
        </is>
      </c>
      <c r="D124" s="5" t="inlineStr">
        <is>
          <t>https://vinsights.co.uk/Business/60401</t>
        </is>
      </c>
      <c r="E124" s="5" t="inlineStr">
        <is>
          <t>Directory</t>
        </is>
      </c>
      <c r="F124" s="5" t="inlineStr">
        <is>
          <t>2026-09-17</t>
        </is>
      </c>
      <c r="G124" s="5" t="inlineStr">
        <is>
          <t>Ainslie Avenue Hillington address, postcode</t>
        </is>
      </c>
      <c r="H124" s="5" t="inlineStr">
        <is>
          <t>Requires Verification</t>
        </is>
      </c>
    </row>
    <row r="125">
      <c r="A125" s="10" t="inlineStr">
        <is>
          <t>UK-000708</t>
        </is>
      </c>
      <c r="B125" s="10" t="inlineStr">
        <is>
          <t>J.W. Filshill Ltd</t>
        </is>
      </c>
      <c r="C125" s="10" t="inlineStr">
        <is>
          <t>Glasgow</t>
        </is>
      </c>
      <c r="D125" s="10" t="inlineStr">
        <is>
          <t>https://www.planforprofit.co.uk/map-jw-filshill.php</t>
        </is>
      </c>
      <c r="E125" s="10" t="inlineStr">
        <is>
          <t>Directory</t>
        </is>
      </c>
      <c r="F125" s="10" t="inlineStr">
        <is>
          <t>2026-09-17</t>
        </is>
      </c>
      <c r="G125" s="10" t="inlineStr">
        <is>
          <t>phone</t>
        </is>
      </c>
      <c r="H125" s="10" t="inlineStr">
        <is>
          <t>Requires Verification</t>
        </is>
      </c>
    </row>
    <row r="126">
      <c r="A126" s="5" t="inlineStr">
        <is>
          <t>UK-000556</t>
        </is>
      </c>
      <c r="B126" s="5" t="inlineStr">
        <is>
          <t>James J Fox - St James's</t>
        </is>
      </c>
      <c r="C126" s="5" t="inlineStr">
        <is>
          <t>London</t>
        </is>
      </c>
      <c r="D126" s="5" t="inlineStr">
        <is>
          <t>https://www.jjfox.co.uk/opening-hours</t>
        </is>
      </c>
      <c r="E126" s="5" t="inlineStr">
        <is>
          <t>Official Website</t>
        </is>
      </c>
      <c r="F126" s="5" t="inlineStr">
        <is>
          <t>2026-09-17</t>
        </is>
      </c>
      <c r="G126" s="5" t="inlineStr">
        <is>
          <t>business name, address, postcode, phone</t>
        </is>
      </c>
      <c r="H126" s="5" t="inlineStr">
        <is>
          <t>Requires Verification</t>
        </is>
      </c>
    </row>
    <row r="127">
      <c r="A127" s="10" t="inlineStr">
        <is>
          <t>UK-000556</t>
        </is>
      </c>
      <c r="B127" s="10" t="inlineStr">
        <is>
          <t>James J Fox - St James's</t>
        </is>
      </c>
      <c r="C127" s="10" t="inlineStr">
        <is>
          <t>London</t>
        </is>
      </c>
      <c r="D127" s="10" t="inlineStr">
        <is>
          <t>https://www.yell.com/biz/james-j-fox-ltd-london-488182/</t>
        </is>
      </c>
      <c r="E127" s="10" t="inlineStr">
        <is>
          <t>Yell</t>
        </is>
      </c>
      <c r="F127" s="10" t="inlineStr">
        <is>
          <t>2026-09-17</t>
        </is>
      </c>
      <c r="G127" s="10" t="inlineStr">
        <is>
          <t>business name, area</t>
        </is>
      </c>
      <c r="H127" s="10" t="inlineStr">
        <is>
          <t>Requires Verification</t>
        </is>
      </c>
    </row>
    <row r="128">
      <c r="A128" s="5" t="inlineStr">
        <is>
          <t>WY-0015</t>
        </is>
      </c>
      <c r="B128" s="5" t="inlineStr">
        <is>
          <t>KPM Vapes</t>
        </is>
      </c>
      <c r="C128" s="5" t="inlineStr">
        <is>
          <t>Huddersfield</t>
        </is>
      </c>
      <c r="D128" s="5" t="inlineStr">
        <is>
          <t>https://www.instagram.com/kpmvapes/</t>
        </is>
      </c>
      <c r="E128" s="5" t="inlineStr">
        <is>
          <t>Instagram</t>
        </is>
      </c>
      <c r="F128" s="5" t="inlineStr">
        <is>
          <t>2026-09-16</t>
        </is>
      </c>
      <c r="G128" s="5" t="inlineStr">
        <is>
          <t>address 87/89 Wakefield Road HD5 9AB (posted by business)</t>
        </is>
      </c>
      <c r="H128" s="5" t="inlineStr">
        <is>
          <t>Requires Verification</t>
        </is>
      </c>
    </row>
    <row r="129">
      <c r="A129" s="10" t="inlineStr">
        <is>
          <t>WY-0015</t>
        </is>
      </c>
      <c r="B129" s="10" t="inlineStr">
        <is>
          <t>KPM Vapes</t>
        </is>
      </c>
      <c r="C129" s="10" t="inlineStr">
        <is>
          <t>Huddersfield</t>
        </is>
      </c>
      <c r="D129" s="10" t="inlineStr">
        <is>
          <t>https://www.yellowtom.co.uk/1574732</t>
        </is>
      </c>
      <c r="E129" s="10" t="inlineStr">
        <is>
          <t>Directory</t>
        </is>
      </c>
      <c r="F129" s="10" t="inlineStr">
        <is>
          <t>2026-09-16</t>
        </is>
      </c>
      <c r="G129" s="10" t="inlineStr">
        <is>
          <t>phone, email, Bradford branch</t>
        </is>
      </c>
      <c r="H129" s="10" t="inlineStr">
        <is>
          <t>Requires Verification</t>
        </is>
      </c>
    </row>
    <row r="130">
      <c r="A130" s="5" t="inlineStr">
        <is>
          <t>WY-0015</t>
        </is>
      </c>
      <c r="B130" s="5" t="inlineStr">
        <is>
          <t>KPM Vapes</t>
        </is>
      </c>
      <c r="C130" s="5" t="inlineStr">
        <is>
          <t>Huddersfield</t>
        </is>
      </c>
      <c r="D130" s="5" t="inlineStr">
        <is>
          <t>https://www.facebook.com/people/KPM-Vapes/61556161391449/</t>
        </is>
      </c>
      <c r="E130" s="5" t="inlineStr">
        <is>
          <t>Facebook</t>
        </is>
      </c>
      <c r="F130" s="5" t="inlineStr">
        <is>
          <t>2026-09-16</t>
        </is>
      </c>
      <c r="G130" s="5" t="inlineStr">
        <is>
          <t>business Facebook page</t>
        </is>
      </c>
      <c r="H130" s="5" t="inlineStr">
        <is>
          <t>Requires Verification</t>
        </is>
      </c>
    </row>
    <row r="131">
      <c r="A131" s="10" t="inlineStr">
        <is>
          <t>WY-0016</t>
        </is>
      </c>
      <c r="B131" s="10" t="inlineStr">
        <is>
          <t>Chidswell Service Station (Karan Retail)</t>
        </is>
      </c>
      <c r="C131" s="10" t="inlineStr">
        <is>
          <t>Dewsbury</t>
        </is>
      </c>
      <c r="D131" s="10" t="inlineStr">
        <is>
          <t>https://www.asiantrader.biz/karan-retail-chidswell-service-station-acquisition</t>
        </is>
      </c>
      <c r="E131" s="10" t="inlineStr">
        <is>
          <t>News / Trade Press</t>
        </is>
      </c>
      <c r="F131" s="10" t="inlineStr">
        <is>
          <t>2026-09-16</t>
        </is>
      </c>
      <c r="G131" s="10" t="inlineStr">
        <is>
          <t>acquisition of Chidswell Service Station, location off A653</t>
        </is>
      </c>
      <c r="H131" s="10" t="inlineStr">
        <is>
          <t>Requires Verification</t>
        </is>
      </c>
    </row>
    <row r="132">
      <c r="A132" s="5" t="inlineStr">
        <is>
          <t>UK-000557</t>
        </is>
      </c>
      <c r="B132" s="5" t="inlineStr">
        <is>
          <t>Lea &amp; Sandeman - Fulham Road</t>
        </is>
      </c>
      <c r="C132" s="5" t="inlineStr">
        <is>
          <t>London</t>
        </is>
      </c>
      <c r="D132" s="5" t="inlineStr">
        <is>
          <t>https://www.yell.com/s/off+licences-fulham-london.html</t>
        </is>
      </c>
      <c r="E132" s="5" t="inlineStr">
        <is>
          <t>Yell</t>
        </is>
      </c>
      <c r="F132" s="5" t="inlineStr">
        <is>
          <t>2026-09-17</t>
        </is>
      </c>
      <c r="G132" s="5" t="inlineStr">
        <is>
          <t>business name, address, postcode, phone</t>
        </is>
      </c>
      <c r="H132" s="5" t="inlineStr">
        <is>
          <t>Requires Verification</t>
        </is>
      </c>
    </row>
    <row r="133">
      <c r="A133" s="10" t="inlineStr">
        <is>
          <t>UK-000709</t>
        </is>
      </c>
      <c r="B133" s="10" t="inlineStr">
        <is>
          <t>Locavore (Govanhill)</t>
        </is>
      </c>
      <c r="C133" s="10" t="inlineStr">
        <is>
          <t>Glasgow</t>
        </is>
      </c>
      <c r="D133" s="10" t="inlineStr">
        <is>
          <t>https://www.locavore.scot/farm-shop</t>
        </is>
      </c>
      <c r="E133" s="10" t="inlineStr">
        <is>
          <t>Official Website</t>
        </is>
      </c>
      <c r="F133" s="10" t="inlineStr">
        <is>
          <t>2026-09-17</t>
        </is>
      </c>
      <c r="G133" s="10" t="inlineStr">
        <is>
          <t>shops, trading name</t>
        </is>
      </c>
      <c r="H133" s="10" t="inlineStr">
        <is>
          <t>Requires Verification</t>
        </is>
      </c>
    </row>
    <row r="134">
      <c r="A134" s="5" t="inlineStr">
        <is>
          <t>UK-000709</t>
        </is>
      </c>
      <c r="B134" s="5" t="inlineStr">
        <is>
          <t>Locavore (Govanhill)</t>
        </is>
      </c>
      <c r="C134" s="5" t="inlineStr">
        <is>
          <t>Glasgow</t>
        </is>
      </c>
      <c r="D134" s="5" t="inlineStr">
        <is>
          <t>https://www.tripadvisor.com/Restaurant_Review-g186534-d14047413-Reviews-Locavore_Govanhill-Glasgow_Scotland.html</t>
        </is>
      </c>
      <c r="E134" s="5" t="inlineStr">
        <is>
          <t>Directory</t>
        </is>
      </c>
      <c r="F134" s="5" t="inlineStr">
        <is>
          <t>2026-09-17</t>
        </is>
      </c>
      <c r="G134" s="5" t="inlineStr">
        <is>
          <t>address, postcode, phone</t>
        </is>
      </c>
      <c r="H134" s="5" t="inlineStr">
        <is>
          <t>Requires Verification</t>
        </is>
      </c>
    </row>
    <row r="135">
      <c r="A135" s="10" t="inlineStr">
        <is>
          <t>UK-000558</t>
        </is>
      </c>
      <c r="B135" s="10" t="inlineStr">
        <is>
          <t>Londis (Fountayne Road)</t>
        </is>
      </c>
      <c r="C135" s="10" t="inlineStr">
        <is>
          <t>Stoke Newington</t>
        </is>
      </c>
      <c r="D135" s="10" t="inlineStr">
        <is>
          <t>https://www.192.com/atoz/business/london-n16/convenience-stores/londis/cee0a1a4ef9c5dd1c59cca7f4e3d954bfd7e922e/ugc/</t>
        </is>
      </c>
      <c r="E135" s="10" t="inlineStr">
        <is>
          <t>Directory</t>
        </is>
      </c>
      <c r="F135" s="10" t="inlineStr">
        <is>
          <t>2026-09-17</t>
        </is>
      </c>
      <c r="G135" s="10" t="inlineStr">
        <is>
          <t>name, address, postcode, phone</t>
        </is>
      </c>
      <c r="H135" s="10" t="inlineStr">
        <is>
          <t>Requires Verification</t>
        </is>
      </c>
    </row>
    <row r="136">
      <c r="A136" s="5" t="inlineStr">
        <is>
          <t>UK-000309</t>
        </is>
      </c>
      <c r="B136" s="5" t="inlineStr">
        <is>
          <t>Shell Bramhall Service Station</t>
        </is>
      </c>
      <c r="C136" s="5" t="inlineStr">
        <is>
          <t>Bramhall</t>
        </is>
      </c>
      <c r="D136" s="5" t="inlineStr">
        <is>
          <t>https://www.londis.co.uk/our-stores/shell-bramhall-service-station</t>
        </is>
      </c>
      <c r="E136" s="5" t="inlineStr">
        <is>
          <t>Official Website</t>
        </is>
      </c>
      <c r="F136" s="5" t="inlineStr">
        <is>
          <t>2026-09-17</t>
        </is>
      </c>
      <c r="G136" s="5" t="inlineStr">
        <is>
          <t>trading name, area, symbol group</t>
        </is>
      </c>
      <c r="H136" s="5" t="inlineStr">
        <is>
          <t>Requires Verification</t>
        </is>
      </c>
    </row>
    <row r="137">
      <c r="A137" s="10" t="inlineStr">
        <is>
          <t>UK-000431</t>
        </is>
      </c>
      <c r="B137" s="10" t="inlineStr">
        <is>
          <t>Londis Hall Green</t>
        </is>
      </c>
      <c r="C137" s="10" t="inlineStr">
        <is>
          <t>Birmingham</t>
        </is>
      </c>
      <c r="D137" s="10" t="inlineStr">
        <is>
          <t>https://www.londis.co.uk/our-stores/londis-hall-green</t>
        </is>
      </c>
      <c r="E137" s="10" t="inlineStr">
        <is>
          <t>Official Website</t>
        </is>
      </c>
      <c r="F137" s="10" t="inlineStr">
        <is>
          <t>2026-09-17</t>
        </is>
      </c>
      <c r="G137" s="10" t="inlineStr">
        <is>
          <t>trading name, area, symbol group</t>
        </is>
      </c>
      <c r="H137" s="10" t="inlineStr">
        <is>
          <t>Requires Verification</t>
        </is>
      </c>
    </row>
    <row r="138">
      <c r="A138" s="5" t="inlineStr">
        <is>
          <t>UK-000432</t>
        </is>
      </c>
      <c r="B138" s="5" t="inlineStr">
        <is>
          <t>Shell Yardley Wood Service Station</t>
        </is>
      </c>
      <c r="C138" s="5" t="inlineStr">
        <is>
          <t>Birmingham</t>
        </is>
      </c>
      <c r="D138" s="5" t="inlineStr">
        <is>
          <t>https://www.londis.co.uk/our-stores/shell-yardley-wood-service-station</t>
        </is>
      </c>
      <c r="E138" s="5" t="inlineStr">
        <is>
          <t>Official Website</t>
        </is>
      </c>
      <c r="F138" s="5" t="inlineStr">
        <is>
          <t>2026-09-17</t>
        </is>
      </c>
      <c r="G138" s="5" t="inlineStr">
        <is>
          <t>address, postcode, phone, symbol group</t>
        </is>
      </c>
      <c r="H138" s="5" t="inlineStr">
        <is>
          <t>Requires Verification</t>
        </is>
      </c>
    </row>
    <row r="139">
      <c r="A139" s="10" t="inlineStr">
        <is>
          <t>UK-000710</t>
        </is>
      </c>
      <c r="B139" s="10" t="inlineStr">
        <is>
          <t>BP Cliftonhill (Cliftonhill Service Station) / Londis</t>
        </is>
      </c>
      <c r="C139" s="10" t="inlineStr">
        <is>
          <t>Coatbridge</t>
        </is>
      </c>
      <c r="D139" s="10" t="inlineStr">
        <is>
          <t>https://map.bp.com/en-GB/GB/petrol-station/coatbridge/cliftonhill-service-station/17708</t>
        </is>
      </c>
      <c r="E139" s="10" t="inlineStr">
        <is>
          <t>Official Website</t>
        </is>
      </c>
      <c r="F139" s="10" t="inlineStr">
        <is>
          <t>2026-09-17</t>
        </is>
      </c>
      <c r="G139" s="10" t="inlineStr">
        <is>
          <t>station name, location</t>
        </is>
      </c>
      <c r="H139" s="10" t="inlineStr">
        <is>
          <t>Requires Verification</t>
        </is>
      </c>
    </row>
    <row r="140">
      <c r="A140" s="5" t="inlineStr">
        <is>
          <t>UK-000710</t>
        </is>
      </c>
      <c r="B140" s="5" t="inlineStr">
        <is>
          <t>BP Cliftonhill (Cliftonhill Service Station) / Londis</t>
        </is>
      </c>
      <c r="C140" s="5" t="inlineStr">
        <is>
          <t>Coatbridge</t>
        </is>
      </c>
      <c r="D140" s="5" t="inlineStr">
        <is>
          <t>https://www.petrolprices.com/locations/coatbridge/main-street/7806</t>
        </is>
      </c>
      <c r="E140" s="5" t="inlineStr">
        <is>
          <t>Directory</t>
        </is>
      </c>
      <c r="F140" s="5" t="inlineStr">
        <is>
          <t>2026-09-17</t>
        </is>
      </c>
      <c r="G140" s="5" t="inlineStr">
        <is>
          <t>address, postcode</t>
        </is>
      </c>
      <c r="H140" s="5" t="inlineStr">
        <is>
          <t>Requires Verification</t>
        </is>
      </c>
    </row>
    <row r="141">
      <c r="A141" s="10" t="inlineStr">
        <is>
          <t>UK-000710</t>
        </is>
      </c>
      <c r="B141" s="10" t="inlineStr">
        <is>
          <t>BP Cliftonhill (Cliftonhill Service Station) / Londis</t>
        </is>
      </c>
      <c r="C141" s="10" t="inlineStr">
        <is>
          <t>Coatbridge</t>
        </is>
      </c>
      <c r="D141" s="10" t="inlineStr">
        <is>
          <t>https://coatbridge.cylex-uk.co.uk/company/bp-27225042.html</t>
        </is>
      </c>
      <c r="E141" s="10" t="inlineStr">
        <is>
          <t>Directory</t>
        </is>
      </c>
      <c r="F141" s="10" t="inlineStr">
        <is>
          <t>2026-09-17</t>
        </is>
      </c>
      <c r="G141" s="10" t="inlineStr">
        <is>
          <t>phone</t>
        </is>
      </c>
      <c r="H141" s="10" t="inlineStr">
        <is>
          <t>Requires Verification</t>
        </is>
      </c>
    </row>
    <row r="142">
      <c r="A142" s="5" t="inlineStr">
        <is>
          <t>UK-000310</t>
        </is>
      </c>
      <c r="B142" s="5" t="inlineStr">
        <is>
          <t>Manchester Super Stores (Longsight)</t>
        </is>
      </c>
      <c r="C142" s="5" t="inlineStr">
        <is>
          <t>Manchester</t>
        </is>
      </c>
      <c r="D142" s="5" t="inlineStr">
        <is>
          <t>https://manchestersuperstores.co.uk/store-locations/manchester-super-stores-in-longsight/</t>
        </is>
      </c>
      <c r="E142" s="5" t="inlineStr">
        <is>
          <t>Official Website</t>
        </is>
      </c>
      <c r="F142" s="5" t="inlineStr">
        <is>
          <t>2026-09-17</t>
        </is>
      </c>
      <c r="G142" s="5" t="inlineStr">
        <is>
          <t>address, postcode, phone</t>
        </is>
      </c>
      <c r="H142" s="5" t="inlineStr">
        <is>
          <t>Requires Verification</t>
        </is>
      </c>
    </row>
    <row r="143">
      <c r="A143" s="10" t="inlineStr">
        <is>
          <t>UK-000311</t>
        </is>
      </c>
      <c r="B143" s="10" t="inlineStr">
        <is>
          <t>Manchester Super Stores (Rusholme)</t>
        </is>
      </c>
      <c r="C143" s="10" t="inlineStr">
        <is>
          <t>Manchester</t>
        </is>
      </c>
      <c r="D143" s="10" t="inlineStr">
        <is>
          <t>https://manchestersuperstores.co.uk/store-locations/manchester-super-stores-in-rusholme/</t>
        </is>
      </c>
      <c r="E143" s="10" t="inlineStr">
        <is>
          <t>Official Website</t>
        </is>
      </c>
      <c r="F143" s="10" t="inlineStr">
        <is>
          <t>2026-09-17</t>
        </is>
      </c>
      <c r="G143" s="10" t="inlineStr">
        <is>
          <t>address, postcode, phone, multi-site</t>
        </is>
      </c>
      <c r="H143" s="10" t="inlineStr">
        <is>
          <t>Requires Verification</t>
        </is>
      </c>
    </row>
    <row r="144">
      <c r="A144" s="5" t="inlineStr">
        <is>
          <t>UK-000311</t>
        </is>
      </c>
      <c r="B144" s="5" t="inlineStr">
        <is>
          <t>Manchester Super Stores (Rusholme)</t>
        </is>
      </c>
      <c r="C144" s="5" t="inlineStr">
        <is>
          <t>Manchester</t>
        </is>
      </c>
      <c r="D144" s="5" t="inlineStr">
        <is>
          <t>https://www.yelp.com/biz/manchester-superstore-manchester-5</t>
        </is>
      </c>
      <c r="E144" s="5" t="inlineStr">
        <is>
          <t>Directory</t>
        </is>
      </c>
      <c r="F144" s="5" t="inlineStr">
        <is>
          <t>2026-09-17</t>
        </is>
      </c>
      <c r="G144" s="5" t="inlineStr">
        <is>
          <t>address, phone cross-check</t>
        </is>
      </c>
      <c r="H144" s="5" t="inlineStr">
        <is>
          <t>Requires Verification</t>
        </is>
      </c>
    </row>
    <row r="145">
      <c r="A145" s="10" t="inlineStr">
        <is>
          <t>WY-0017</t>
        </is>
      </c>
      <c r="B145" s="10" t="inlineStr">
        <is>
          <t>Manchester Superstore (Wakefield)</t>
        </is>
      </c>
      <c r="C145" s="10" t="inlineStr">
        <is>
          <t>Wakefield</t>
        </is>
      </c>
      <c r="D145" s="10" t="inlineStr">
        <is>
          <t>https://manchestersuperstores.co.uk/store-locations/manchester-super-stores-in-wakefield/</t>
        </is>
      </c>
      <c r="E145" s="10" t="inlineStr">
        <is>
          <t>Official Website</t>
        </is>
      </c>
      <c r="F145" s="10" t="inlineStr">
        <is>
          <t>2026-09-16</t>
        </is>
      </c>
      <c r="G145" s="10" t="inlineStr">
        <is>
          <t>store existence, description (seen in search results; fetch blocked)</t>
        </is>
      </c>
      <c r="H145" s="10" t="inlineStr">
        <is>
          <t>Requires Verification</t>
        </is>
      </c>
    </row>
    <row r="146">
      <c r="A146" s="5" t="inlineStr">
        <is>
          <t>WY-0017</t>
        </is>
      </c>
      <c r="B146" s="5" t="inlineStr">
        <is>
          <t>Manchester Superstore (Wakefield)</t>
        </is>
      </c>
      <c r="C146" s="5" t="inlineStr">
        <is>
          <t>Wakefield</t>
        </is>
      </c>
      <c r="D146" s="5" t="inlineStr">
        <is>
          <t>http://ukplaces.com/Supermarkets/wakefield/manchester-superstore</t>
        </is>
      </c>
      <c r="E146" s="5" t="inlineStr">
        <is>
          <t>Directory</t>
        </is>
      </c>
      <c r="F146" s="5" t="inlineStr">
        <is>
          <t>2026-09-16</t>
        </is>
      </c>
      <c r="G146" s="5" t="inlineStr">
        <is>
          <t>address 38 Park Lodge Lane WF1 4NL, phone</t>
        </is>
      </c>
      <c r="H146" s="5" t="inlineStr">
        <is>
          <t>Requires Verification</t>
        </is>
      </c>
    </row>
    <row r="147">
      <c r="A147" s="10" t="inlineStr">
        <is>
          <t>WY-0017</t>
        </is>
      </c>
      <c r="B147" s="10" t="inlineStr">
        <is>
          <t>Manchester Superstore (Wakefield)</t>
        </is>
      </c>
      <c r="C147" s="10" t="inlineStr">
        <is>
          <t>Wakefield</t>
        </is>
      </c>
      <c r="D147" s="10" t="inlineStr">
        <is>
          <t>https://find-and-update.company-information.service.gov.uk/company/08447369</t>
        </is>
      </c>
      <c r="E147" s="10" t="inlineStr">
        <is>
          <t>Companies House</t>
        </is>
      </c>
      <c r="F147" s="10" t="inlineStr">
        <is>
          <t>2026-09-16</t>
        </is>
      </c>
      <c r="G147" s="10" t="inlineStr">
        <is>
          <t>company number and registered name (URL surfaced in search)</t>
        </is>
      </c>
      <c r="H147" s="10" t="inlineStr">
        <is>
          <t>Requires Verification</t>
        </is>
      </c>
    </row>
    <row r="148">
      <c r="A148" s="5" t="inlineStr">
        <is>
          <t>WY-0018</t>
        </is>
      </c>
      <c r="B148" s="5" t="inlineStr">
        <is>
          <t>Manchester Superstore Bradford</t>
        </is>
      </c>
      <c r="C148" s="5" t="inlineStr">
        <is>
          <t>Bradford</t>
        </is>
      </c>
      <c r="D148" s="5" t="inlineStr">
        <is>
          <t>https://manchestersuperstores.co.uk/store-locations/manchester-super-stores-in-bradford/</t>
        </is>
      </c>
      <c r="E148" s="5" t="inlineStr">
        <is>
          <t>Official Website</t>
        </is>
      </c>
      <c r="F148" s="5" t="inlineStr">
        <is>
          <t>2026-09-16</t>
        </is>
      </c>
      <c r="G148" s="5" t="inlineStr">
        <is>
          <t>Bradford store page exists (search result; fetch blocked)</t>
        </is>
      </c>
      <c r="H148" s="5" t="inlineStr">
        <is>
          <t>Partially Verified</t>
        </is>
      </c>
    </row>
    <row r="149">
      <c r="A149" s="10" t="inlineStr">
        <is>
          <t>WY-0018</t>
        </is>
      </c>
      <c r="B149" s="10" t="inlineStr">
        <is>
          <t>Manchester Superstore Bradford</t>
        </is>
      </c>
      <c r="C149" s="10" t="inlineStr">
        <is>
          <t>Bradford</t>
        </is>
      </c>
      <c r="D149" s="10" t="inlineStr">
        <is>
          <t>https://gb.near-place.com/manchester-superstore-florence-street-bradford</t>
        </is>
      </c>
      <c r="E149" s="10" t="inlineStr">
        <is>
          <t>Directory</t>
        </is>
      </c>
      <c r="F149" s="10" t="inlineStr">
        <is>
          <t>2026-09-16</t>
        </is>
      </c>
      <c r="G149" s="10" t="inlineStr">
        <is>
          <t>address Florence Street BD3 8EX, phone (search snippet)</t>
        </is>
      </c>
      <c r="H149" s="10" t="inlineStr">
        <is>
          <t>Partially Verified</t>
        </is>
      </c>
    </row>
    <row r="150">
      <c r="A150" s="5" t="inlineStr">
        <is>
          <t>WY-0018</t>
        </is>
      </c>
      <c r="B150" s="5" t="inlineStr">
        <is>
          <t>Manchester Superstore Bradford</t>
        </is>
      </c>
      <c r="C150" s="5" t="inlineStr">
        <is>
          <t>Bradford</t>
        </is>
      </c>
      <c r="D150" s="5" t="inlineStr">
        <is>
          <t>https://www.facebook.com/p/Manchester-SuperStore-Bradford-100066139307711/</t>
        </is>
      </c>
      <c r="E150" s="5" t="inlineStr">
        <is>
          <t>Facebook</t>
        </is>
      </c>
      <c r="F150" s="5" t="inlineStr">
        <is>
          <t>2026-09-16</t>
        </is>
      </c>
      <c r="G150" s="5" t="inlineStr">
        <is>
          <t>email</t>
        </is>
      </c>
      <c r="H150" s="5" t="inlineStr">
        <is>
          <t>Partially Verified</t>
        </is>
      </c>
    </row>
    <row r="151">
      <c r="A151" s="10" t="inlineStr">
        <is>
          <t>WY-0019</t>
        </is>
      </c>
      <c r="B151" s="10" t="inlineStr">
        <is>
          <t>Mullaco (Batley)</t>
        </is>
      </c>
      <c r="C151" s="10" t="inlineStr">
        <is>
          <t>Batley</t>
        </is>
      </c>
      <c r="D151" s="10" t="inlineStr">
        <is>
          <t>https://www.zoominfo.com/c/mullaco-ltd/370332224</t>
        </is>
      </c>
      <c r="E151" s="10" t="inlineStr">
        <is>
          <t>Directory</t>
        </is>
      </c>
      <c r="F151" s="10" t="inlineStr">
        <is>
          <t>2026-09-16</t>
        </is>
      </c>
      <c r="G151" s="10" t="inlineStr">
        <is>
          <t>Batley store address 35 Oxford Street WF17 7PJ, head office</t>
        </is>
      </c>
      <c r="H151" s="10" t="inlineStr">
        <is>
          <t>Requires Verification</t>
        </is>
      </c>
    </row>
    <row r="152">
      <c r="A152" s="5" t="inlineStr">
        <is>
          <t>WY-0019</t>
        </is>
      </c>
      <c r="B152" s="5" t="inlineStr">
        <is>
          <t>Mullaco (Batley)</t>
        </is>
      </c>
      <c r="C152" s="5" t="inlineStr">
        <is>
          <t>Batley</t>
        </is>
      </c>
      <c r="D152" s="5" t="inlineStr">
        <is>
          <t>https://mullaco.co.uk/contact-us/</t>
        </is>
      </c>
      <c r="E152" s="5" t="inlineStr">
        <is>
          <t>Official Website</t>
        </is>
      </c>
      <c r="F152" s="5" t="inlineStr">
        <is>
          <t>2026-09-16</t>
        </is>
      </c>
      <c r="G152" s="5" t="inlineStr">
        <is>
          <t>website URL seen in search results (fetch blocked)</t>
        </is>
      </c>
      <c r="H152" s="5" t="inlineStr">
        <is>
          <t>Requires Verification</t>
        </is>
      </c>
    </row>
    <row r="153">
      <c r="A153" s="10" t="inlineStr">
        <is>
          <t>WY-0019</t>
        </is>
      </c>
      <c r="B153" s="10" t="inlineStr">
        <is>
          <t>Mullaco (Batley)</t>
        </is>
      </c>
      <c r="C153" s="10" t="inlineStr">
        <is>
          <t>Batley</t>
        </is>
      </c>
      <c r="D153" s="10" t="inlineStr">
        <is>
          <t>https://m.yelp.com/biz/mullaco-foods-batley</t>
        </is>
      </c>
      <c r="E153" s="10" t="inlineStr">
        <is>
          <t>Directory</t>
        </is>
      </c>
      <c r="F153" s="10" t="inlineStr">
        <is>
          <t>2026-09-16</t>
        </is>
      </c>
      <c r="G153" s="10" t="inlineStr">
        <is>
          <t>phone</t>
        </is>
      </c>
      <c r="H153" s="10" t="inlineStr">
        <is>
          <t>Requires Verification</t>
        </is>
      </c>
    </row>
    <row r="154">
      <c r="A154" s="5" t="inlineStr">
        <is>
          <t>WY-0020</t>
        </is>
      </c>
      <c r="B154" s="5" t="inlineStr">
        <is>
          <t>Mullaco Minimarket (Dewsbury)</t>
        </is>
      </c>
      <c r="C154" s="5" t="inlineStr">
        <is>
          <t>Dewsbury</t>
        </is>
      </c>
      <c r="D154" s="5" t="inlineStr">
        <is>
          <t>https://www.zoominfo.com/c/mullaco-ltd/370332224</t>
        </is>
      </c>
      <c r="E154" s="5" t="inlineStr">
        <is>
          <t>Directory</t>
        </is>
      </c>
      <c r="F154" s="5" t="inlineStr">
        <is>
          <t>2026-09-16</t>
        </is>
      </c>
      <c r="G154" s="5" t="inlineStr">
        <is>
          <t>minimarket postcode WF12 9LX</t>
        </is>
      </c>
      <c r="H154" s="5" t="inlineStr">
        <is>
          <t>Requires Verification</t>
        </is>
      </c>
    </row>
    <row r="155">
      <c r="A155" s="10" t="inlineStr">
        <is>
          <t>WY-0020</t>
        </is>
      </c>
      <c r="B155" s="10" t="inlineStr">
        <is>
          <t>Mullaco Minimarket (Dewsbury)</t>
        </is>
      </c>
      <c r="C155" s="10" t="inlineStr">
        <is>
          <t>Dewsbury</t>
        </is>
      </c>
      <c r="D155" s="10" t="inlineStr">
        <is>
          <t>https://www.facebook.com/mullaco.supermarket/</t>
        </is>
      </c>
      <c r="E155" s="10" t="inlineStr">
        <is>
          <t>Facebook</t>
        </is>
      </c>
      <c r="F155" s="10" t="inlineStr">
        <is>
          <t>2026-09-16</t>
        </is>
      </c>
      <c r="G155" s="10" t="inlineStr">
        <is>
          <t>social (facebook)</t>
        </is>
      </c>
      <c r="H155" s="10" t="inlineStr">
        <is>
          <t>Requires Verification</t>
        </is>
      </c>
    </row>
    <row r="156">
      <c r="A156" s="5" t="inlineStr">
        <is>
          <t>WY-0021</t>
        </is>
      </c>
      <c r="B156" s="5" t="inlineStr">
        <is>
          <t>Mullaco Supermarket (Dewsbury)</t>
        </is>
      </c>
      <c r="C156" s="5" t="inlineStr">
        <is>
          <t>Dewsbury</t>
        </is>
      </c>
      <c r="D156" s="5" t="inlineStr">
        <is>
          <t>https://dewsbury.cylex-uk.co.uk/company/mullaco-online-23857309.html</t>
        </is>
      </c>
      <c r="E156" s="5" t="inlineStr">
        <is>
          <t>Directory</t>
        </is>
      </c>
      <c r="F156" s="5" t="inlineStr">
        <is>
          <t>2026-09-16</t>
        </is>
      </c>
      <c r="G156" s="5" t="inlineStr">
        <is>
          <t>address, phone</t>
        </is>
      </c>
      <c r="H156" s="5" t="inlineStr">
        <is>
          <t>Requires Verification</t>
        </is>
      </c>
    </row>
    <row r="157">
      <c r="A157" s="10" t="inlineStr">
        <is>
          <t>WY-0021</t>
        </is>
      </c>
      <c r="B157" s="10" t="inlineStr">
        <is>
          <t>Mullaco Supermarket (Dewsbury)</t>
        </is>
      </c>
      <c r="C157" s="10" t="inlineStr">
        <is>
          <t>Dewsbury</t>
        </is>
      </c>
      <c r="D157" s="10" t="inlineStr">
        <is>
          <t>https://www.yorkshire.com/dewsbury/shopping/supermarkets/mullaco-supermarket</t>
        </is>
      </c>
      <c r="E157" s="10" t="inlineStr">
        <is>
          <t>Directory</t>
        </is>
      </c>
      <c r="F157" s="10" t="inlineStr">
        <is>
          <t>2026-09-16</t>
        </is>
      </c>
      <c r="G157" s="10" t="inlineStr">
        <is>
          <t>store description</t>
        </is>
      </c>
      <c r="H157" s="10" t="inlineStr">
        <is>
          <t>Requires Verification</t>
        </is>
      </c>
    </row>
    <row r="158">
      <c r="A158" s="5" t="inlineStr">
        <is>
          <t>WY-0021</t>
        </is>
      </c>
      <c r="B158" s="5" t="inlineStr">
        <is>
          <t>Mullaco Supermarket (Dewsbury)</t>
        </is>
      </c>
      <c r="C158" s="5" t="inlineStr">
        <is>
          <t>Dewsbury</t>
        </is>
      </c>
      <c r="D158" s="5" t="inlineStr">
        <is>
          <t>https://find-and-update.company-information.service.gov.uk/company/06629345</t>
        </is>
      </c>
      <c r="E158" s="5" t="inlineStr">
        <is>
          <t>Companies House</t>
        </is>
      </c>
      <c r="F158" s="5" t="inlineStr">
        <is>
          <t>2026-09-16</t>
        </is>
      </c>
      <c r="G158" s="5" t="inlineStr">
        <is>
          <t>registered company name, company number</t>
        </is>
      </c>
      <c r="H158" s="5" t="inlineStr">
        <is>
          <t>Requires Verification</t>
        </is>
      </c>
    </row>
    <row r="159">
      <c r="A159" s="10" t="inlineStr">
        <is>
          <t>WY-0021</t>
        </is>
      </c>
      <c r="B159" s="10" t="inlineStr">
        <is>
          <t>Mullaco Supermarket (Dewsbury)</t>
        </is>
      </c>
      <c r="C159" s="10" t="inlineStr">
        <is>
          <t>Dewsbury</t>
        </is>
      </c>
      <c r="D159" s="10" t="inlineStr">
        <is>
          <t>https://mullaco.co.uk/contact-us/</t>
        </is>
      </c>
      <c r="E159" s="10" t="inlineStr">
        <is>
          <t>Official Website</t>
        </is>
      </c>
      <c r="F159" s="10" t="inlineStr">
        <is>
          <t>2026-09-16</t>
        </is>
      </c>
      <c r="G159" s="10" t="inlineStr">
        <is>
          <t>website URL seen in search results (fetch blocked)</t>
        </is>
      </c>
      <c r="H159" s="10" t="inlineStr">
        <is>
          <t>Requires Verification</t>
        </is>
      </c>
    </row>
    <row r="160">
      <c r="A160" s="5" t="inlineStr">
        <is>
          <t>UK-000433</t>
        </is>
      </c>
      <c r="B160" s="5" t="inlineStr">
        <is>
          <t>Mwanaka Fresh Farm Foods</t>
        </is>
      </c>
      <c r="C160" s="5" t="inlineStr">
        <is>
          <t>Walsall</t>
        </is>
      </c>
      <c r="D160" s="5" t="inlineStr">
        <is>
          <t>https://mwanakafreshfarmfoods.com/pages/contact</t>
        </is>
      </c>
      <c r="E160" s="5" t="inlineStr">
        <is>
          <t>Official Website</t>
        </is>
      </c>
      <c r="F160" s="5" t="inlineStr">
        <is>
          <t>2026-09-17</t>
        </is>
      </c>
      <c r="G160" s="5" t="inlineStr">
        <is>
          <t>email, phone</t>
        </is>
      </c>
      <c r="H160" s="5" t="inlineStr">
        <is>
          <t>Partially Verified</t>
        </is>
      </c>
    </row>
    <row r="161">
      <c r="A161" s="10" t="inlineStr">
        <is>
          <t>UK-000433</t>
        </is>
      </c>
      <c r="B161" s="10" t="inlineStr">
        <is>
          <t>Mwanaka Fresh Farm Foods</t>
        </is>
      </c>
      <c r="C161" s="10" t="inlineStr">
        <is>
          <t>Walsall</t>
        </is>
      </c>
      <c r="D161" s="10" t="inlineStr">
        <is>
          <t>https://find-open.co.uk/walsall/mwanaka-fresh-farm-foods-3812894</t>
        </is>
      </c>
      <c r="E161" s="10" t="inlineStr">
        <is>
          <t>Directory</t>
        </is>
      </c>
      <c r="F161" s="10" t="inlineStr">
        <is>
          <t>2026-09-17</t>
        </is>
      </c>
      <c r="G161" s="10" t="inlineStr">
        <is>
          <t>address, postcode</t>
        </is>
      </c>
      <c r="H161" s="10" t="inlineStr">
        <is>
          <t>Partially Verified</t>
        </is>
      </c>
    </row>
    <row r="162">
      <c r="A162" s="5" t="inlineStr">
        <is>
          <t>UK-000312</t>
        </is>
      </c>
      <c r="B162" s="5" t="inlineStr">
        <is>
          <t>NXT Gen Vapours Denton</t>
        </is>
      </c>
      <c r="C162" s="5" t="inlineStr">
        <is>
          <t>Denton</t>
        </is>
      </c>
      <c r="D162" s="5" t="inlineStr">
        <is>
          <t>https://denton-tameside.cylex-uk.co.uk/company/nxt-gen-vapours-denton-27261896.html</t>
        </is>
      </c>
      <c r="E162" s="5" t="inlineStr">
        <is>
          <t>Directory</t>
        </is>
      </c>
      <c r="F162" s="5" t="inlineStr">
        <is>
          <t>2026-09-17</t>
        </is>
      </c>
      <c r="G162" s="5" t="inlineStr">
        <is>
          <t>address, postcode, phone</t>
        </is>
      </c>
      <c r="H162" s="5" t="inlineStr">
        <is>
          <t>Requires Verification</t>
        </is>
      </c>
    </row>
    <row r="163">
      <c r="A163" s="10" t="inlineStr">
        <is>
          <t>UK-000711</t>
        </is>
      </c>
      <c r="B163" s="10" t="inlineStr">
        <is>
          <t>News Plus (Bruntsfield)</t>
        </is>
      </c>
      <c r="C163" s="10" t="inlineStr">
        <is>
          <t>Edinburgh</t>
        </is>
      </c>
      <c r="D163" s="10" t="inlineStr">
        <is>
          <t>https://www.192.com/atoz/business/edinburgh-eh10/newsagents/news-plus-group-ltd/7f50c23c5b193d3d8eef1800b3fcd551fb6d36e4/ml/</t>
        </is>
      </c>
      <c r="E163" s="10" t="inlineStr">
        <is>
          <t>Directory</t>
        </is>
      </c>
      <c r="F163" s="10" t="inlineStr">
        <is>
          <t>2026-09-17</t>
        </is>
      </c>
      <c r="G163" s="10" t="inlineStr">
        <is>
          <t>name, address, postcode (snippet)</t>
        </is>
      </c>
      <c r="H163" s="10" t="inlineStr">
        <is>
          <t>Requires Verification</t>
        </is>
      </c>
    </row>
    <row r="164">
      <c r="A164" s="5" t="inlineStr">
        <is>
          <t>UK-000711</t>
        </is>
      </c>
      <c r="B164" s="5" t="inlineStr">
        <is>
          <t>News Plus (Bruntsfield)</t>
        </is>
      </c>
      <c r="C164" s="5" t="inlineStr">
        <is>
          <t>Edinburgh</t>
        </is>
      </c>
      <c r="D164" s="5" t="inlineStr">
        <is>
          <t>https://edinburgh.cylex-uk.co.uk/company/news-plus-17104860.html</t>
        </is>
      </c>
      <c r="E164" s="5" t="inlineStr">
        <is>
          <t>Directory</t>
        </is>
      </c>
      <c r="F164" s="5" t="inlineStr">
        <is>
          <t>2026-09-17</t>
        </is>
      </c>
      <c r="G164" s="5" t="inlineStr">
        <is>
          <t>phone</t>
        </is>
      </c>
      <c r="H164" s="5" t="inlineStr">
        <is>
          <t>Requires Verification</t>
        </is>
      </c>
    </row>
    <row r="165">
      <c r="A165" s="10" t="inlineStr">
        <is>
          <t>UK-000313</t>
        </is>
      </c>
      <c r="B165" s="10" t="inlineStr">
        <is>
          <t>Multisaver Nisa Local Dukinfield</t>
        </is>
      </c>
      <c r="C165" s="10" t="inlineStr">
        <is>
          <t>Dukinfield</t>
        </is>
      </c>
      <c r="D165" s="10" t="inlineStr">
        <is>
          <t>https://ratings.food.gov.uk/business/200382/multisaver-nisa-local-dukinfield</t>
        </is>
      </c>
      <c r="E165" s="10" t="inlineStr">
        <is>
          <t>Directory</t>
        </is>
      </c>
      <c r="F165" s="10" t="inlineStr">
        <is>
          <t>2026-09-17</t>
        </is>
      </c>
      <c r="G165" s="10" t="inlineStr">
        <is>
          <t>address, postcode</t>
        </is>
      </c>
      <c r="H165" s="10" t="inlineStr">
        <is>
          <t>Requires Verification</t>
        </is>
      </c>
    </row>
    <row r="166">
      <c r="A166" s="5" t="inlineStr">
        <is>
          <t>UK-000201</t>
        </is>
      </c>
      <c r="B166" s="5" t="inlineStr">
        <is>
          <t>Nisa Express Grimsby (Victor Street)</t>
        </is>
      </c>
      <c r="C166" s="5" t="inlineStr">
        <is>
          <t>Grimsby</t>
        </is>
      </c>
      <c r="D166" s="5" t="inlineStr">
        <is>
          <t>https://www.nisalocally.co.uk/stores/north-east-lincs/grimsby/129-victor-st</t>
        </is>
      </c>
      <c r="E166" s="5" t="inlineStr">
        <is>
          <t>Directory</t>
        </is>
      </c>
      <c r="F166" s="5" t="inlineStr">
        <is>
          <t>2026-09-16</t>
        </is>
      </c>
      <c r="G166" s="5" t="inlineStr">
        <is>
          <t>name, 129 Victor Street address (via search results)</t>
        </is>
      </c>
      <c r="H166" s="5" t="inlineStr">
        <is>
          <t>Requires Verification</t>
        </is>
      </c>
    </row>
    <row r="167">
      <c r="A167" s="10" t="inlineStr">
        <is>
          <t>UK-000202</t>
        </is>
      </c>
      <c r="B167" s="10" t="inlineStr">
        <is>
          <t>Nisa Local Cleethorpes (Grimsby Road)</t>
        </is>
      </c>
      <c r="C167" s="10" t="inlineStr">
        <is>
          <t>Cleethorpes</t>
        </is>
      </c>
      <c r="D167" s="10" t="inlineStr">
        <is>
          <t>https://ratings.food.gov.uk/business/1631635/nisa-local-grimsby-local-store</t>
        </is>
      </c>
      <c r="E167" s="10" t="inlineStr">
        <is>
          <t>Directory</t>
        </is>
      </c>
      <c r="F167" s="10" t="inlineStr">
        <is>
          <t>2026-09-16</t>
        </is>
      </c>
      <c r="G167" s="10" t="inlineStr">
        <is>
          <t>name, Grimsby Road address (via search results)</t>
        </is>
      </c>
      <c r="H167" s="10" t="inlineStr">
        <is>
          <t>Requires Verification</t>
        </is>
      </c>
    </row>
    <row r="168">
      <c r="A168" s="5" t="inlineStr">
        <is>
          <t>UK-000434</t>
        </is>
      </c>
      <c r="B168" s="5" t="inlineStr">
        <is>
          <t>Nisa Local - 555 Bloxwich Road</t>
        </is>
      </c>
      <c r="C168" s="5" t="inlineStr">
        <is>
          <t>Walsall</t>
        </is>
      </c>
      <c r="D168" s="5" t="inlineStr">
        <is>
          <t>https://www.mylocalservices.co.uk/Nisa+Local-Walsall-3137056.html</t>
        </is>
      </c>
      <c r="E168" s="5" t="inlineStr">
        <is>
          <t>Directory</t>
        </is>
      </c>
      <c r="F168" s="5" t="inlineStr">
        <is>
          <t>2026-09-17</t>
        </is>
      </c>
      <c r="G168" s="5" t="inlineStr">
        <is>
          <t>address, postcode</t>
        </is>
      </c>
      <c r="H168" s="5" t="inlineStr">
        <is>
          <t>Requires Verification</t>
        </is>
      </c>
    </row>
    <row r="169">
      <c r="A169" s="10" t="inlineStr">
        <is>
          <t>UK-000435</t>
        </is>
      </c>
      <c r="B169" s="10" t="inlineStr">
        <is>
          <t>Nisa Local - Sneyd Hall Road</t>
        </is>
      </c>
      <c r="C169" s="10" t="inlineStr">
        <is>
          <t>Walsall</t>
        </is>
      </c>
      <c r="D169" s="10" t="inlineStr">
        <is>
          <t>https://citikey.uk/display/nisa-local-XXJDK</t>
        </is>
      </c>
      <c r="E169" s="10" t="inlineStr">
        <is>
          <t>Directory</t>
        </is>
      </c>
      <c r="F169" s="10" t="inlineStr">
        <is>
          <t>2026-09-17</t>
        </is>
      </c>
      <c r="G169" s="10" t="inlineStr">
        <is>
          <t>address, postcode</t>
        </is>
      </c>
      <c r="H169" s="10" t="inlineStr">
        <is>
          <t>Requires Verification</t>
        </is>
      </c>
    </row>
    <row r="170">
      <c r="A170" s="5" t="inlineStr">
        <is>
          <t>UK-000436</t>
        </is>
      </c>
      <c r="B170" s="5" t="inlineStr">
        <is>
          <t>Nisa Today's - 619 Bloxwich Road</t>
        </is>
      </c>
      <c r="C170" s="5" t="inlineStr">
        <is>
          <t>Walsall</t>
        </is>
      </c>
      <c r="D170" s="5" t="inlineStr">
        <is>
          <t>https://www.localstore.co.uk/store/353534/nisa-todays/walsall/</t>
        </is>
      </c>
      <c r="E170" s="5" t="inlineStr">
        <is>
          <t>Directory</t>
        </is>
      </c>
      <c r="F170" s="5" t="inlineStr">
        <is>
          <t>2026-09-17</t>
        </is>
      </c>
      <c r="G170" s="5" t="inlineStr">
        <is>
          <t>name, address</t>
        </is>
      </c>
      <c r="H170" s="5" t="inlineStr">
        <is>
          <t>Requires Verification</t>
        </is>
      </c>
    </row>
    <row r="171">
      <c r="A171" s="10" t="inlineStr">
        <is>
          <t>UK-000314</t>
        </is>
      </c>
      <c r="B171" s="10" t="inlineStr">
        <is>
          <t>Nisa Local Marsh Green</t>
        </is>
      </c>
      <c r="C171" s="10" t="inlineStr">
        <is>
          <t>Wigan</t>
        </is>
      </c>
      <c r="D171" s="10" t="inlineStr">
        <is>
          <t>https://www.nisalocally.co.uk/stores/greater-manchester/wigan</t>
        </is>
      </c>
      <c r="E171" s="10" t="inlineStr">
        <is>
          <t>Official Website</t>
        </is>
      </c>
      <c r="F171" s="10" t="inlineStr">
        <is>
          <t>2026-09-17</t>
        </is>
      </c>
      <c r="G171" s="10" t="inlineStr">
        <is>
          <t>trading name, address, postcode (via search results)</t>
        </is>
      </c>
      <c r="H171" s="10" t="inlineStr">
        <is>
          <t>Requires Verification</t>
        </is>
      </c>
    </row>
    <row r="172">
      <c r="A172" s="5" t="inlineStr">
        <is>
          <t>UK-000712</t>
        </is>
      </c>
      <c r="B172" s="5" t="inlineStr">
        <is>
          <t>Nisa Local / Premier Clydebank (Glasgow Road)</t>
        </is>
      </c>
      <c r="C172" s="5" t="inlineStr">
        <is>
          <t>Clydebank</t>
        </is>
      </c>
      <c r="D172" s="5" t="inlineStr">
        <is>
          <t>https://www.nisalocally.co.uk/stores/west-dunbart/clydebank/485b-glasgow-rd</t>
        </is>
      </c>
      <c r="E172" s="5" t="inlineStr">
        <is>
          <t>Official Website</t>
        </is>
      </c>
      <c r="F172" s="5" t="inlineStr">
        <is>
          <t>2026-09-17</t>
        </is>
      </c>
      <c r="G172" s="5" t="inlineStr">
        <is>
          <t>address, postcode</t>
        </is>
      </c>
      <c r="H172" s="5" t="inlineStr">
        <is>
          <t>Requires Verification</t>
        </is>
      </c>
    </row>
    <row r="173">
      <c r="A173" s="10" t="inlineStr">
        <is>
          <t>UK-000712</t>
        </is>
      </c>
      <c r="B173" s="10" t="inlineStr">
        <is>
          <t>Nisa Local / Premier Clydebank (Glasgow Road)</t>
        </is>
      </c>
      <c r="C173" s="10" t="inlineStr">
        <is>
          <t>Clydebank</t>
        </is>
      </c>
      <c r="D173" s="10" t="inlineStr">
        <is>
          <t>https://www.192.com/atoz/business/clydebank-g81/convenience-stores/premier---clydebank-store/becfc4baa10f91326bb14c9ee6745fd1d9a12297/ml/</t>
        </is>
      </c>
      <c r="E173" s="10" t="inlineStr">
        <is>
          <t>Directory</t>
        </is>
      </c>
      <c r="F173" s="10" t="inlineStr">
        <is>
          <t>2026-09-17</t>
        </is>
      </c>
      <c r="G173" s="10" t="inlineStr">
        <is>
          <t>phone, fascia note</t>
        </is>
      </c>
      <c r="H173" s="10" t="inlineStr">
        <is>
          <t>Requires Verification</t>
        </is>
      </c>
    </row>
    <row r="174">
      <c r="A174" s="5" t="inlineStr">
        <is>
          <t>UK-000315</t>
        </is>
      </c>
      <c r="B174" s="5" t="inlineStr">
        <is>
          <t>Nisa Local (Manor Avenue, Sale)</t>
        </is>
      </c>
      <c r="C174" s="5" t="inlineStr">
        <is>
          <t>Sale</t>
        </is>
      </c>
      <c r="D174" s="5" t="inlineStr">
        <is>
          <t>https://www.nisalocally.co.uk/stores/greater-manchester/sale/77-manor-ave-12779146</t>
        </is>
      </c>
      <c r="E174" s="5" t="inlineStr">
        <is>
          <t>Official Website</t>
        </is>
      </c>
      <c r="F174" s="5" t="inlineStr">
        <is>
          <t>2026-09-17</t>
        </is>
      </c>
      <c r="G174" s="5" t="inlineStr">
        <is>
          <t>business name, address, postcode</t>
        </is>
      </c>
      <c r="H174" s="5" t="inlineStr">
        <is>
          <t>Requires Verification</t>
        </is>
      </c>
    </row>
    <row r="175">
      <c r="A175" s="10" t="inlineStr">
        <is>
          <t>UK-000315</t>
        </is>
      </c>
      <c r="B175" s="10" t="inlineStr">
        <is>
          <t>Nisa Local (Manor Avenue, Sale)</t>
        </is>
      </c>
      <c r="C175" s="10" t="inlineStr">
        <is>
          <t>Sale</t>
        </is>
      </c>
      <c r="D175" s="10" t="inlineStr">
        <is>
          <t>https://sale.cylex-uk.co.uk/company/nisa-local-26930181.html</t>
        </is>
      </c>
      <c r="E175" s="10" t="inlineStr">
        <is>
          <t>Directory</t>
        </is>
      </c>
      <c r="F175" s="10" t="inlineStr">
        <is>
          <t>2026-09-17</t>
        </is>
      </c>
      <c r="G175" s="10" t="inlineStr">
        <is>
          <t>phone, postcode cross-check</t>
        </is>
      </c>
      <c r="H175" s="10" t="inlineStr">
        <is>
          <t>Requires Verification</t>
        </is>
      </c>
    </row>
    <row r="176">
      <c r="A176" s="5" t="inlineStr">
        <is>
          <t>UK-000713</t>
        </is>
      </c>
      <c r="B176" s="5" t="inlineStr">
        <is>
          <t>No-Match Southport (North West Ecigs)</t>
        </is>
      </c>
      <c r="C176" s="5" t="inlineStr">
        <is>
          <t>Southport</t>
        </is>
      </c>
      <c r="D176" s="5" t="inlineStr">
        <is>
          <t>https://www.northwestecigs.uk/</t>
        </is>
      </c>
      <c r="E176" s="5" t="inlineStr">
        <is>
          <t>Official Website</t>
        </is>
      </c>
      <c r="F176" s="5" t="inlineStr">
        <is>
          <t>2026-09-17</t>
        </is>
      </c>
      <c r="G176" s="5" t="inlineStr">
        <is>
          <t>North West Ecigs brand, Southport origin</t>
        </is>
      </c>
      <c r="H176" s="5" t="inlineStr">
        <is>
          <t>Requires Verification</t>
        </is>
      </c>
    </row>
    <row r="177">
      <c r="A177" s="10" t="inlineStr">
        <is>
          <t>UK-000713</t>
        </is>
      </c>
      <c r="B177" s="10" t="inlineStr">
        <is>
          <t>No-Match Southport (North West Ecigs)</t>
        </is>
      </c>
      <c r="C177" s="10" t="inlineStr">
        <is>
          <t>Southport</t>
        </is>
      </c>
      <c r="D177" s="10" t="inlineStr">
        <is>
          <t>https://firmania.co.uk/southport/no-match-southport-2648971</t>
        </is>
      </c>
      <c r="E177" s="10" t="inlineStr">
        <is>
          <t>Directory</t>
        </is>
      </c>
      <c r="F177" s="10" t="inlineStr">
        <is>
          <t>2026-09-17</t>
        </is>
      </c>
      <c r="G177" s="10" t="inlineStr">
        <is>
          <t>Chapel Street address, postcode, phone</t>
        </is>
      </c>
      <c r="H177" s="10" t="inlineStr">
        <is>
          <t>Requires Verification</t>
        </is>
      </c>
    </row>
    <row r="178">
      <c r="A178" s="5" t="inlineStr">
        <is>
          <t>UK-000713</t>
        </is>
      </c>
      <c r="B178" s="5" t="inlineStr">
        <is>
          <t>No-Match Southport (North West Ecigs)</t>
        </is>
      </c>
      <c r="C178" s="5" t="inlineStr">
        <is>
          <t>Southport</t>
        </is>
      </c>
      <c r="D178" s="5" t="inlineStr">
        <is>
          <t>https://www.yell.com/biz/no-match-southport-southport-8089812/</t>
        </is>
      </c>
      <c r="E178" s="5" t="inlineStr">
        <is>
          <t>Yell</t>
        </is>
      </c>
      <c r="F178" s="5" t="inlineStr">
        <is>
          <t>2026-09-17</t>
        </is>
      </c>
      <c r="G178" s="5" t="inlineStr">
        <is>
          <t>trading name, location</t>
        </is>
      </c>
      <c r="H178" s="5" t="inlineStr">
        <is>
          <t>Requires Verification</t>
        </is>
      </c>
    </row>
    <row r="179">
      <c r="A179" s="10" t="inlineStr">
        <is>
          <t>UK-000714</t>
        </is>
      </c>
      <c r="B179" s="10" t="inlineStr">
        <is>
          <t>One Stop Convenience Store - Glovers Brow</t>
        </is>
      </c>
      <c r="C179" s="10" t="inlineStr">
        <is>
          <t>Liverpool</t>
        </is>
      </c>
      <c r="D179" s="10" t="inlineStr">
        <is>
          <t>https://kirkby.cylex-uk.co.uk/company/one-stop-convenience-store-23659132.html</t>
        </is>
      </c>
      <c r="E179" s="10" t="inlineStr">
        <is>
          <t>Directory</t>
        </is>
      </c>
      <c r="F179" s="10" t="inlineStr">
        <is>
          <t>2026-09-17</t>
        </is>
      </c>
      <c r="G179" s="10" t="inlineStr">
        <is>
          <t>name, address, postcode, phone</t>
        </is>
      </c>
      <c r="H179" s="10" t="inlineStr">
        <is>
          <t>Requires Verification</t>
        </is>
      </c>
    </row>
    <row r="180">
      <c r="A180" s="5" t="inlineStr">
        <is>
          <t>UK-000203</t>
        </is>
      </c>
      <c r="B180" s="5" t="inlineStr">
        <is>
          <t>The Local (Marfleet Lane)</t>
        </is>
      </c>
      <c r="C180" s="5" t="inlineStr">
        <is>
          <t>Kingston upon Hull</t>
        </is>
      </c>
      <c r="D180" s="5" t="inlineStr">
        <is>
          <t>https://wholesalemanager.co.uk/new-the-local-store-opens-in-hull/</t>
        </is>
      </c>
      <c r="E180" s="5" t="inlineStr">
        <is>
          <t>News / Trade Press</t>
        </is>
      </c>
      <c r="F180" s="5" t="inlineStr">
        <is>
          <t>2026-09-16</t>
        </is>
      </c>
      <c r="G180" s="5" t="inlineStr">
        <is>
          <t>store, owner name, symbol group (via search results)</t>
        </is>
      </c>
      <c r="H180" s="5" t="inlineStr">
        <is>
          <t>Requires Verification</t>
        </is>
      </c>
    </row>
    <row r="181">
      <c r="A181" s="10" t="inlineStr">
        <is>
          <t>UK-000203</t>
        </is>
      </c>
      <c r="B181" s="10" t="inlineStr">
        <is>
          <t>The Local (Marfleet Lane)</t>
        </is>
      </c>
      <c r="C181" s="10" t="inlineStr">
        <is>
          <t>Kingston upon Hull</t>
        </is>
      </c>
      <c r="D181" s="10" t="inlineStr">
        <is>
          <t>https://www.talkingretail.com/stores/retailer-profiles/mini-profile-new-the-local-store-opens-in-hull-11-07-2024/</t>
        </is>
      </c>
      <c r="E181" s="10" t="inlineStr">
        <is>
          <t>News / Trade Press</t>
        </is>
      </c>
      <c r="F181" s="10" t="inlineStr">
        <is>
          <t>2026-09-16</t>
        </is>
      </c>
      <c r="G181" s="10" t="inlineStr">
        <is>
          <t>Marfleet Lane location, owner (via search results)</t>
        </is>
      </c>
      <c r="H181" s="10" t="inlineStr">
        <is>
          <t>Requires Verification</t>
        </is>
      </c>
    </row>
    <row r="182">
      <c r="A182" s="5" t="inlineStr">
        <is>
          <t>UK-000316</t>
        </is>
      </c>
      <c r="B182" s="5" t="inlineStr">
        <is>
          <t>Premier Store Leigh (Kirkhall Lane)</t>
        </is>
      </c>
      <c r="C182" s="5" t="inlineStr">
        <is>
          <t>Leigh</t>
        </is>
      </c>
      <c r="D182" s="5" t="inlineStr">
        <is>
          <t>https://leigh-wigan.cylex-uk.co.uk/company/premier-19271409.html</t>
        </is>
      </c>
      <c r="E182" s="5" t="inlineStr">
        <is>
          <t>Directory</t>
        </is>
      </c>
      <c r="F182" s="5" t="inlineStr">
        <is>
          <t>2026-09-17</t>
        </is>
      </c>
      <c r="G182" s="5" t="inlineStr">
        <is>
          <t>trading name, address, postcode (via search results)</t>
        </is>
      </c>
      <c r="H182" s="5" t="inlineStr">
        <is>
          <t>Requires Verification</t>
        </is>
      </c>
    </row>
    <row r="183">
      <c r="A183" s="10" t="inlineStr">
        <is>
          <t>UK-000316</t>
        </is>
      </c>
      <c r="B183" s="10" t="inlineStr">
        <is>
          <t>Premier Store Leigh (Kirkhall Lane)</t>
        </is>
      </c>
      <c r="C183" s="10" t="inlineStr">
        <is>
          <t>Leigh</t>
        </is>
      </c>
      <c r="D183" s="10" t="inlineStr">
        <is>
          <t>https://www.yell.com/biz/premier-leigh-4398851/</t>
        </is>
      </c>
      <c r="E183" s="10" t="inlineStr">
        <is>
          <t>Yell</t>
        </is>
      </c>
      <c r="F183" s="10" t="inlineStr">
        <is>
          <t>2026-09-17</t>
        </is>
      </c>
      <c r="G183" s="10" t="inlineStr">
        <is>
          <t>trading name, Leigh location (via search results)</t>
        </is>
      </c>
      <c r="H183" s="10" t="inlineStr">
        <is>
          <t>Requires Verification</t>
        </is>
      </c>
    </row>
    <row r="184">
      <c r="A184" s="5" t="inlineStr">
        <is>
          <t>UK-000317</t>
        </is>
      </c>
      <c r="B184" s="5" t="inlineStr">
        <is>
          <t>Premier Store Wigan (Ormskirk Road)</t>
        </is>
      </c>
      <c r="C184" s="5" t="inlineStr">
        <is>
          <t>Wigan</t>
        </is>
      </c>
      <c r="D184" s="5" t="inlineStr">
        <is>
          <t>https://wigan.cylex-uk.co.uk/company/premier-19271504.html</t>
        </is>
      </c>
      <c r="E184" s="5" t="inlineStr">
        <is>
          <t>Directory</t>
        </is>
      </c>
      <c r="F184" s="5" t="inlineStr">
        <is>
          <t>2026-09-17</t>
        </is>
      </c>
      <c r="G184" s="5" t="inlineStr">
        <is>
          <t>trading name, address, postcode (via search results)</t>
        </is>
      </c>
      <c r="H184" s="5" t="inlineStr">
        <is>
          <t>Requires Verification</t>
        </is>
      </c>
    </row>
    <row r="185">
      <c r="A185" s="10" t="inlineStr">
        <is>
          <t>UK-000204</t>
        </is>
      </c>
      <c r="B185" s="10" t="inlineStr">
        <is>
          <t>Premier Stores Ripon</t>
        </is>
      </c>
      <c r="C185" s="10" t="inlineStr">
        <is>
          <t>Ripon</t>
        </is>
      </c>
      <c r="D185" s="10" t="inlineStr">
        <is>
          <t>https://www.localstore.co.uk/store/394275/premier-stores/ripon/</t>
        </is>
      </c>
      <c r="E185" s="10" t="inlineStr">
        <is>
          <t>Directory</t>
        </is>
      </c>
      <c r="F185" s="10" t="inlineStr">
        <is>
          <t>2026-09-16</t>
        </is>
      </c>
      <c r="G185" s="10" t="inlineStr">
        <is>
          <t>name, fascia, address</t>
        </is>
      </c>
      <c r="H185" s="10" t="inlineStr">
        <is>
          <t>Requires Verification</t>
        </is>
      </c>
    </row>
    <row r="186">
      <c r="A186" s="5" t="inlineStr">
        <is>
          <t>UK-000437</t>
        </is>
      </c>
      <c r="B186" s="5" t="inlineStr">
        <is>
          <t>Dhillons Convenience Store</t>
        </is>
      </c>
      <c r="C186" s="5" t="inlineStr">
        <is>
          <t>Birmingham</t>
        </is>
      </c>
      <c r="D186" s="5" t="inlineStr">
        <is>
          <t>https://www.premier-stores.co.uk/our-stores/dhillons-convenience-store-0</t>
        </is>
      </c>
      <c r="E186" s="5" t="inlineStr">
        <is>
          <t>Official Website</t>
        </is>
      </c>
      <c r="F186" s="5" t="inlineStr">
        <is>
          <t>2026-09-17</t>
        </is>
      </c>
      <c r="G186" s="5" t="inlineStr">
        <is>
          <t>address, symbol group</t>
        </is>
      </c>
      <c r="H186" s="5" t="inlineStr">
        <is>
          <t>Requires Verification</t>
        </is>
      </c>
    </row>
    <row r="187">
      <c r="A187" s="10" t="inlineStr">
        <is>
          <t>UK-000437</t>
        </is>
      </c>
      <c r="B187" s="10" t="inlineStr">
        <is>
          <t>Dhillons Convenience Store</t>
        </is>
      </c>
      <c r="C187" s="10" t="inlineStr">
        <is>
          <t>Birmingham</t>
        </is>
      </c>
      <c r="D187" s="10" t="inlineStr">
        <is>
          <t>https://ratings.food.gov.uk/business/1157031/premier-dhillons-convenience-store-birmingham</t>
        </is>
      </c>
      <c r="E187" s="10" t="inlineStr">
        <is>
          <t>Directory</t>
        </is>
      </c>
      <c r="F187" s="10" t="inlineStr">
        <is>
          <t>2026-09-17</t>
        </is>
      </c>
      <c r="G187" s="10" t="inlineStr">
        <is>
          <t>address, postcode, phone</t>
        </is>
      </c>
      <c r="H187" s="10" t="inlineStr">
        <is>
          <t>Requires Verification</t>
        </is>
      </c>
    </row>
    <row r="188">
      <c r="A188" s="5" t="inlineStr">
        <is>
          <t>UK-000438</t>
        </is>
      </c>
      <c r="B188" s="5" t="inlineStr">
        <is>
          <t>Kwik Stop Convenience Store</t>
        </is>
      </c>
      <c r="C188" s="5" t="inlineStr">
        <is>
          <t>Birmingham</t>
        </is>
      </c>
      <c r="D188" s="5" t="inlineStr">
        <is>
          <t>https://www.premier-stores.co.uk/our-stores/kwik-stop-convenience-store</t>
        </is>
      </c>
      <c r="E188" s="5" t="inlineStr">
        <is>
          <t>Official Website</t>
        </is>
      </c>
      <c r="F188" s="5" t="inlineStr">
        <is>
          <t>2026-09-17</t>
        </is>
      </c>
      <c r="G188" s="5" t="inlineStr">
        <is>
          <t>address, symbol group</t>
        </is>
      </c>
      <c r="H188" s="5" t="inlineStr">
        <is>
          <t>Requires Verification</t>
        </is>
      </c>
    </row>
    <row r="189">
      <c r="A189" s="10" t="inlineStr">
        <is>
          <t>UK-000439</t>
        </is>
      </c>
      <c r="B189" s="10" t="inlineStr">
        <is>
          <t>Premier - 570 Bloxwich Road</t>
        </is>
      </c>
      <c r="C189" s="10" t="inlineStr">
        <is>
          <t>Walsall</t>
        </is>
      </c>
      <c r="D189" s="10" t="inlineStr">
        <is>
          <t>https://walsall.cylex-uk.co.uk/company/premier---bloxwich-road-convenience-store-23827914.html</t>
        </is>
      </c>
      <c r="E189" s="10" t="inlineStr">
        <is>
          <t>Directory</t>
        </is>
      </c>
      <c r="F189" s="10" t="inlineStr">
        <is>
          <t>2026-09-17</t>
        </is>
      </c>
      <c r="G189" s="10" t="inlineStr">
        <is>
          <t>address, postcode</t>
        </is>
      </c>
      <c r="H189" s="10" t="inlineStr">
        <is>
          <t>Requires Verification</t>
        </is>
      </c>
    </row>
    <row r="190">
      <c r="A190" s="5" t="inlineStr">
        <is>
          <t>UK-000440</t>
        </is>
      </c>
      <c r="B190" s="5" t="inlineStr">
        <is>
          <t>Premier - Bloxwich Road Convenience Store &amp; Post Office</t>
        </is>
      </c>
      <c r="C190" s="5" t="inlineStr">
        <is>
          <t>Walsall</t>
        </is>
      </c>
      <c r="D190" s="5" t="inlineStr">
        <is>
          <t>https://www.premier-stores.co.uk/our-stores/bloxwich-road-convenience-store</t>
        </is>
      </c>
      <c r="E190" s="5" t="inlineStr">
        <is>
          <t>Official Website</t>
        </is>
      </c>
      <c r="F190" s="5" t="inlineStr">
        <is>
          <t>2026-09-17</t>
        </is>
      </c>
      <c r="G190" s="5" t="inlineStr">
        <is>
          <t>name, address, postcode</t>
        </is>
      </c>
      <c r="H190" s="5" t="inlineStr">
        <is>
          <t>Partially Verified</t>
        </is>
      </c>
    </row>
    <row r="191">
      <c r="A191" s="10" t="inlineStr">
        <is>
          <t>UK-000715</t>
        </is>
      </c>
      <c r="B191" s="10" t="inlineStr">
        <is>
          <t>Dalry Premier Store</t>
        </is>
      </c>
      <c r="C191" s="10" t="inlineStr">
        <is>
          <t>Edinburgh</t>
        </is>
      </c>
      <c r="D191" s="10" t="inlineStr">
        <is>
          <t>https://edinburgh.cylex-uk.co.uk/convenience-stores/?dst=dalry</t>
        </is>
      </c>
      <c r="E191" s="10" t="inlineStr">
        <is>
          <t>Directory</t>
        </is>
      </c>
      <c r="F191" s="10" t="inlineStr">
        <is>
          <t>2026-09-17</t>
        </is>
      </c>
      <c r="G191" s="10" t="inlineStr">
        <is>
          <t>name, address, postcode (snippet)</t>
        </is>
      </c>
      <c r="H191" s="10" t="inlineStr">
        <is>
          <t>Requires Verification</t>
        </is>
      </c>
    </row>
    <row r="192">
      <c r="A192" s="5" t="inlineStr">
        <is>
          <t>UK-000205</t>
        </is>
      </c>
      <c r="B192" s="5" t="inlineStr">
        <is>
          <t>Firth Park Convenience Store</t>
        </is>
      </c>
      <c r="C192" s="5" t="inlineStr">
        <is>
          <t>Sheffield</t>
        </is>
      </c>
      <c r="D192" s="5" t="inlineStr">
        <is>
          <t>https://www.premier-stores.co.uk/our-stores/firth-park-convenience-store</t>
        </is>
      </c>
      <c r="E192" s="5" t="inlineStr">
        <is>
          <t>Official Website</t>
        </is>
      </c>
      <c r="F192" s="5" t="inlineStr">
        <is>
          <t>2026-09-16</t>
        </is>
      </c>
      <c r="G192" s="5" t="inlineStr">
        <is>
          <t>name, address, postcode</t>
        </is>
      </c>
      <c r="H192" s="5" t="inlineStr">
        <is>
          <t>Requires Verification</t>
        </is>
      </c>
    </row>
    <row r="193">
      <c r="A193" s="10" t="inlineStr">
        <is>
          <t>UK-000716</t>
        </is>
      </c>
      <c r="B193" s="10" t="inlineStr">
        <is>
          <t>Grange Road West Convenience Store</t>
        </is>
      </c>
      <c r="C193" s="10" t="inlineStr">
        <is>
          <t>Birkenhead</t>
        </is>
      </c>
      <c r="D193" s="10" t="inlineStr">
        <is>
          <t>https://www.premier-stores.co.uk/our-stores/grange-road-west-convenience-store</t>
        </is>
      </c>
      <c r="E193" s="10" t="inlineStr">
        <is>
          <t>Directory</t>
        </is>
      </c>
      <c r="F193" s="10" t="inlineStr">
        <is>
          <t>2026-09-17</t>
        </is>
      </c>
      <c r="G193" s="10" t="inlineStr">
        <is>
          <t>business name, address, postcode, symbol group</t>
        </is>
      </c>
      <c r="H193" s="10" t="inlineStr">
        <is>
          <t>Requires Verification</t>
        </is>
      </c>
    </row>
    <row r="194">
      <c r="A194" s="5" t="inlineStr">
        <is>
          <t>UK-000206</t>
        </is>
      </c>
      <c r="B194" s="5" t="inlineStr">
        <is>
          <t>Premier (Grimsby Road, Cleethorpes)</t>
        </is>
      </c>
      <c r="C194" s="5" t="inlineStr">
        <is>
          <t>Cleethorpes</t>
        </is>
      </c>
      <c r="D194" s="5" t="inlineStr">
        <is>
          <t>https://www.premier-stores.co.uk/our-stores/grimsby-road</t>
        </is>
      </c>
      <c r="E194" s="5" t="inlineStr">
        <is>
          <t>Directory</t>
        </is>
      </c>
      <c r="F194" s="5" t="inlineStr">
        <is>
          <t>2026-09-16</t>
        </is>
      </c>
      <c r="G194" s="5" t="inlineStr">
        <is>
          <t>name, 141-143 Grimsby Road address (via search results)</t>
        </is>
      </c>
      <c r="H194" s="5" t="inlineStr">
        <is>
          <t>Requires Verification</t>
        </is>
      </c>
    </row>
    <row r="195">
      <c r="A195" s="10" t="inlineStr">
        <is>
          <t>UK-000207</t>
        </is>
      </c>
      <c r="B195" s="10" t="inlineStr">
        <is>
          <t>Premier Mexborough Convenience Store</t>
        </is>
      </c>
      <c r="C195" s="10" t="inlineStr">
        <is>
          <t>Mexborough</t>
        </is>
      </c>
      <c r="D195" s="10" t="inlineStr">
        <is>
          <t>https://www.premier-stores.co.uk/our-stores/mexborough-convenience-store</t>
        </is>
      </c>
      <c r="E195" s="10" t="inlineStr">
        <is>
          <t>Official Website</t>
        </is>
      </c>
      <c r="F195" s="10" t="inlineStr">
        <is>
          <t>2026-09-16</t>
        </is>
      </c>
      <c r="G195" s="10" t="inlineStr">
        <is>
          <t>name, address, postcode, phone, services</t>
        </is>
      </c>
      <c r="H195" s="10" t="inlineStr">
        <is>
          <t>Requires Verification</t>
        </is>
      </c>
    </row>
    <row r="196">
      <c r="A196" s="5" t="inlineStr">
        <is>
          <t>UK-000207</t>
        </is>
      </c>
      <c r="B196" s="5" t="inlineStr">
        <is>
          <t>Premier Mexborough Convenience Store</t>
        </is>
      </c>
      <c r="C196" s="5" t="inlineStr">
        <is>
          <t>Mexborough</t>
        </is>
      </c>
      <c r="D196" s="5" t="inlineStr">
        <is>
          <t>https://ratings.food.gov.uk/business/763850</t>
        </is>
      </c>
      <c r="E196" s="5" t="inlineStr">
        <is>
          <t>Other</t>
        </is>
      </c>
      <c r="F196" s="5" t="inlineStr">
        <is>
          <t>2026-09-16</t>
        </is>
      </c>
      <c r="G196" s="5" t="inlineStr">
        <is>
          <t>name, address (food hygiene)</t>
        </is>
      </c>
      <c r="H196" s="5" t="inlineStr">
        <is>
          <t>Requires Verification</t>
        </is>
      </c>
    </row>
    <row r="197">
      <c r="A197" s="10" t="inlineStr">
        <is>
          <t>UK-000208</t>
        </is>
      </c>
      <c r="B197" s="10" t="inlineStr">
        <is>
          <t>Premier Super Convenience Store Barnsley</t>
        </is>
      </c>
      <c r="C197" s="10" t="inlineStr">
        <is>
          <t>Barnsley</t>
        </is>
      </c>
      <c r="D197" s="10" t="inlineStr">
        <is>
          <t>https://web.facebook.com/premier3840/</t>
        </is>
      </c>
      <c r="E197" s="10" t="inlineStr">
        <is>
          <t>Facebook</t>
        </is>
      </c>
      <c r="F197" s="10" t="inlineStr">
        <is>
          <t>2026-09-16</t>
        </is>
      </c>
      <c r="G197" s="10" t="inlineStr">
        <is>
          <t>name, address</t>
        </is>
      </c>
      <c r="H197" s="10" t="inlineStr">
        <is>
          <t>Requires Verification</t>
        </is>
      </c>
    </row>
    <row r="198">
      <c r="A198" s="5" t="inlineStr">
        <is>
          <t>UK-000209</t>
        </is>
      </c>
      <c r="B198" s="5" t="inlineStr">
        <is>
          <t>Premier Wombwell Convenience Store</t>
        </is>
      </c>
      <c r="C198" s="5" t="inlineStr">
        <is>
          <t>Barnsley</t>
        </is>
      </c>
      <c r="D198" s="5" t="inlineStr">
        <is>
          <t>https://www.premier-stores.co.uk/our-stores/wombwell-convenience-store</t>
        </is>
      </c>
      <c r="E198" s="5" t="inlineStr">
        <is>
          <t>Official Website</t>
        </is>
      </c>
      <c r="F198" s="5" t="inlineStr">
        <is>
          <t>2026-09-16</t>
        </is>
      </c>
      <c r="G198" s="5" t="inlineStr">
        <is>
          <t>name, address, postcode</t>
        </is>
      </c>
      <c r="H198" s="5" t="inlineStr">
        <is>
          <t>Requires Verification</t>
        </is>
      </c>
    </row>
    <row r="199">
      <c r="A199" s="10" t="inlineStr">
        <is>
          <t>UK-000210</t>
        </is>
      </c>
      <c r="B199" s="10" t="inlineStr">
        <is>
          <t>Sheffield Road Premier Convenience Store</t>
        </is>
      </c>
      <c r="C199" s="10" t="inlineStr">
        <is>
          <t>Barnsley</t>
        </is>
      </c>
      <c r="D199" s="10" t="inlineStr">
        <is>
          <t>https://www.barnsley.gov.uk/services/licences-and-permissions/premises-licences/pending-premises-licence-applications/sheffield-road-premier-convenience-store-application-for-a-new-premises-licence</t>
        </is>
      </c>
      <c r="E199" s="10" t="inlineStr">
        <is>
          <t>Other</t>
        </is>
      </c>
      <c r="F199" s="10" t="inlineStr">
        <is>
          <t>2026-09-16</t>
        </is>
      </c>
      <c r="G199" s="10" t="inlineStr">
        <is>
          <t>name, address, postcode</t>
        </is>
      </c>
      <c r="H199" s="10" t="inlineStr">
        <is>
          <t>Requires Verification</t>
        </is>
      </c>
    </row>
    <row r="200">
      <c r="A200" s="5" t="inlineStr">
        <is>
          <t>UK-000717</t>
        </is>
      </c>
      <c r="B200" s="5" t="inlineStr">
        <is>
          <t>Premier - Shawlands Convenience Store</t>
        </is>
      </c>
      <c r="C200" s="5" t="inlineStr">
        <is>
          <t>Glasgow</t>
        </is>
      </c>
      <c r="D200" s="5" t="inlineStr">
        <is>
          <t>https://firmania.co.uk/glasgow/premier-shawlands-convenience-store-1942723</t>
        </is>
      </c>
      <c r="E200" s="5" t="inlineStr">
        <is>
          <t>Directory</t>
        </is>
      </c>
      <c r="F200" s="5" t="inlineStr">
        <is>
          <t>2026-09-17</t>
        </is>
      </c>
      <c r="G200" s="5" t="inlineStr">
        <is>
          <t>address, postcode, phone</t>
        </is>
      </c>
      <c r="H200" s="5" t="inlineStr">
        <is>
          <t>Requires Verification</t>
        </is>
      </c>
    </row>
    <row r="201">
      <c r="A201" s="10" t="inlineStr">
        <is>
          <t>UK-000717</t>
        </is>
      </c>
      <c r="B201" s="10" t="inlineStr">
        <is>
          <t>Premier - Shawlands Convenience Store</t>
        </is>
      </c>
      <c r="C201" s="10" t="inlineStr">
        <is>
          <t>Glasgow</t>
        </is>
      </c>
      <c r="D201" s="10" t="inlineStr">
        <is>
          <t>https://www.yell.com/biz/premier-shawlands-convenience-store-glasgow-7541485/</t>
        </is>
      </c>
      <c r="E201" s="10" t="inlineStr">
        <is>
          <t>Yell</t>
        </is>
      </c>
      <c r="F201" s="10" t="inlineStr">
        <is>
          <t>2026-09-17</t>
        </is>
      </c>
      <c r="G201" s="10" t="inlineStr">
        <is>
          <t>trading name, category</t>
        </is>
      </c>
      <c r="H201" s="10" t="inlineStr">
        <is>
          <t>Requires Verification</t>
        </is>
      </c>
    </row>
    <row r="202">
      <c r="A202" s="5" t="inlineStr">
        <is>
          <t>UK-000718</t>
        </is>
      </c>
      <c r="B202" s="5" t="inlineStr">
        <is>
          <t>Prime Vapour East Kilbride</t>
        </is>
      </c>
      <c r="C202" s="5" t="inlineStr">
        <is>
          <t>East Kilbride</t>
        </is>
      </c>
      <c r="D202" s="5" t="inlineStr">
        <is>
          <t>https://ecigdirectory.co.uk/vape-shop/listing/prime-vapour</t>
        </is>
      </c>
      <c r="E202" s="5" t="inlineStr">
        <is>
          <t>Directory</t>
        </is>
      </c>
      <c r="F202" s="5" t="inlineStr">
        <is>
          <t>2026-09-17</t>
        </is>
      </c>
      <c r="G202" s="5" t="inlineStr">
        <is>
          <t>address, postcode, phone</t>
        </is>
      </c>
      <c r="H202" s="5" t="inlineStr">
        <is>
          <t>Requires Verification</t>
        </is>
      </c>
    </row>
    <row r="203">
      <c r="A203" s="10" t="inlineStr">
        <is>
          <t>UK-000719</t>
        </is>
      </c>
      <c r="B203" s="10" t="inlineStr">
        <is>
          <t>Prime Vapour Motherwell</t>
        </is>
      </c>
      <c r="C203" s="10" t="inlineStr">
        <is>
          <t>Motherwell</t>
        </is>
      </c>
      <c r="D203" s="10" t="inlineStr">
        <is>
          <t>https://m.yelp.com/c/motherwell-north-lanarkshire-gb/vapeshops</t>
        </is>
      </c>
      <c r="E203" s="10" t="inlineStr">
        <is>
          <t>Directory</t>
        </is>
      </c>
      <c r="F203" s="10" t="inlineStr">
        <is>
          <t>2026-09-17</t>
        </is>
      </c>
      <c r="G203" s="10" t="inlineStr">
        <is>
          <t>address, postcode, phone</t>
        </is>
      </c>
      <c r="H203" s="10" t="inlineStr">
        <is>
          <t>Requires Verification</t>
        </is>
      </c>
    </row>
    <row r="204">
      <c r="A204" s="5" t="inlineStr">
        <is>
          <t>UK-000720</t>
        </is>
      </c>
      <c r="B204" s="5" t="inlineStr">
        <is>
          <t>Pro Vapor Leith Walk</t>
        </is>
      </c>
      <c r="C204" s="5" t="inlineStr">
        <is>
          <t>Edinburgh</t>
        </is>
      </c>
      <c r="D204" s="5" t="inlineStr">
        <is>
          <t>https://edinburgh.cylex-uk.co.uk/company/pro--vapor-27369658.html</t>
        </is>
      </c>
      <c r="E204" s="5" t="inlineStr">
        <is>
          <t>Directory</t>
        </is>
      </c>
      <c r="F204" s="5" t="inlineStr">
        <is>
          <t>2026-09-17</t>
        </is>
      </c>
      <c r="G204" s="5" t="inlineStr">
        <is>
          <t>address, phone (search snippet)</t>
        </is>
      </c>
      <c r="H204" s="5" t="inlineStr">
        <is>
          <t>Requires Verification</t>
        </is>
      </c>
    </row>
    <row r="205">
      <c r="A205" s="10" t="inlineStr">
        <is>
          <t>UK-000559</t>
        </is>
      </c>
      <c r="B205" s="10" t="inlineStr">
        <is>
          <t>Quality Foods</t>
        </is>
      </c>
      <c r="C205" s="10" t="inlineStr">
        <is>
          <t>Southall</t>
        </is>
      </c>
      <c r="D205" s="10" t="inlineStr">
        <is>
          <t>https://www.qualityfoodsonline.com/pages/shops</t>
        </is>
      </c>
      <c r="E205" s="10" t="inlineStr">
        <is>
          <t>Official Website</t>
        </is>
      </c>
      <c r="F205" s="10" t="inlineStr">
        <is>
          <t>2026-09-17</t>
        </is>
      </c>
      <c r="G205" s="10" t="inlineStr">
        <is>
          <t>trading name, website, store locations</t>
        </is>
      </c>
      <c r="H205" s="10" t="inlineStr">
        <is>
          <t>Partially Verified</t>
        </is>
      </c>
    </row>
    <row r="206">
      <c r="A206" s="5" t="inlineStr">
        <is>
          <t>UK-000559</t>
        </is>
      </c>
      <c r="B206" s="5" t="inlineStr">
        <is>
          <t>Quality Foods</t>
        </is>
      </c>
      <c r="C206" s="5" t="inlineStr">
        <is>
          <t>Southall</t>
        </is>
      </c>
      <c r="D206" s="5" t="inlineStr">
        <is>
          <t>https://www.thomsonlocal.com/search/food-products-mnfrs/ealing/quality-foods/1124447/02085716966</t>
        </is>
      </c>
      <c r="E206" s="5" t="inlineStr">
        <is>
          <t>Directory</t>
        </is>
      </c>
      <c r="F206" s="5" t="inlineStr">
        <is>
          <t>2026-09-17</t>
        </is>
      </c>
      <c r="G206" s="5" t="inlineStr">
        <is>
          <t>address, phone</t>
        </is>
      </c>
      <c r="H206" s="5" t="inlineStr">
        <is>
          <t>Partially Verified</t>
        </is>
      </c>
    </row>
    <row r="207">
      <c r="A207" s="10" t="inlineStr">
        <is>
          <t>UK-000559</t>
        </is>
      </c>
      <c r="B207" s="10" t="inlineStr">
        <is>
          <t>Quality Foods</t>
        </is>
      </c>
      <c r="C207" s="10" t="inlineStr">
        <is>
          <t>Southall</t>
        </is>
      </c>
      <c r="D207" s="10" t="inlineStr">
        <is>
          <t>https://www.yelp.co.uk/biz/quality-foods-london-6</t>
        </is>
      </c>
      <c r="E207" s="10" t="inlineStr">
        <is>
          <t>Directory</t>
        </is>
      </c>
      <c r="F207" s="10" t="inlineStr">
        <is>
          <t>2026-09-17</t>
        </is>
      </c>
      <c r="G207" s="10" t="inlineStr">
        <is>
          <t>address</t>
        </is>
      </c>
      <c r="H207" s="10" t="inlineStr">
        <is>
          <t>Partially Verified</t>
        </is>
      </c>
    </row>
    <row r="208">
      <c r="A208" s="5" t="inlineStr">
        <is>
          <t>UK-000560</t>
        </is>
      </c>
      <c r="B208" s="5" t="inlineStr">
        <is>
          <t>Quality Foods (Ilford)</t>
        </is>
      </c>
      <c r="C208" s="5" t="inlineStr">
        <is>
          <t>Ilford</t>
        </is>
      </c>
      <c r="D208" s="5" t="inlineStr">
        <is>
          <t>https://www.yell.com/biz/quality-foods-ilford-364548/</t>
        </is>
      </c>
      <c r="E208" s="5" t="inlineStr">
        <is>
          <t>Yell</t>
        </is>
      </c>
      <c r="F208" s="5" t="inlineStr">
        <is>
          <t>2026-09-17</t>
        </is>
      </c>
      <c r="G208" s="5" t="inlineStr">
        <is>
          <t>name, address, postcode</t>
        </is>
      </c>
      <c r="H208" s="5" t="inlineStr">
        <is>
          <t>Requires Verification</t>
        </is>
      </c>
    </row>
    <row r="209">
      <c r="A209" s="10" t="inlineStr">
        <is>
          <t>UK-000560</t>
        </is>
      </c>
      <c r="B209" s="10" t="inlineStr">
        <is>
          <t>Quality Foods (Ilford)</t>
        </is>
      </c>
      <c r="C209" s="10" t="inlineStr">
        <is>
          <t>Ilford</t>
        </is>
      </c>
      <c r="D209" s="10" t="inlineStr">
        <is>
          <t>https://ilford.cylex-uk.co.uk/company/quality-foods---ilford-13183204.html</t>
        </is>
      </c>
      <c r="E209" s="10" t="inlineStr">
        <is>
          <t>Directory</t>
        </is>
      </c>
      <c r="F209" s="10" t="inlineStr">
        <is>
          <t>2026-09-17</t>
        </is>
      </c>
      <c r="G209" s="10" t="inlineStr">
        <is>
          <t>name, description</t>
        </is>
      </c>
      <c r="H209" s="10" t="inlineStr">
        <is>
          <t>Requires Verification</t>
        </is>
      </c>
    </row>
    <row r="210">
      <c r="A210" s="5" t="inlineStr">
        <is>
          <t>UK-000318</t>
        </is>
      </c>
      <c r="B210" s="5" t="inlineStr">
        <is>
          <t>Seedley Road Service Station (Costcutter, Salford)</t>
        </is>
      </c>
      <c r="C210" s="5" t="inlineStr">
        <is>
          <t>Salford</t>
        </is>
      </c>
      <c r="D210" s="5" t="inlineStr">
        <is>
          <t>https://www.24houralcohol.co.uk/salford-off-licences</t>
        </is>
      </c>
      <c r="E210" s="5" t="inlineStr">
        <is>
          <t>Directory</t>
        </is>
      </c>
      <c r="F210" s="5" t="inlineStr">
        <is>
          <t>2026-09-17</t>
        </is>
      </c>
      <c r="G210" s="5" t="inlineStr">
        <is>
          <t>business name, address, postcode, phone, 24hr</t>
        </is>
      </c>
      <c r="H210" s="5" t="inlineStr">
        <is>
          <t>Requires Verification</t>
        </is>
      </c>
    </row>
    <row r="211">
      <c r="A211" s="10" t="inlineStr">
        <is>
          <t>WY-0022</t>
        </is>
      </c>
      <c r="B211" s="10" t="inlineStr">
        <is>
          <t>SMKD</t>
        </is>
      </c>
      <c r="C211" s="10" t="inlineStr">
        <is>
          <t>Halifax</t>
        </is>
      </c>
      <c r="D211" s="10" t="inlineStr">
        <is>
          <t>https://www.ukmalls.co.uk/shopping-centres/england/yorkshire-and-the-humber/halifax/halifax-borough-market/smkd-e-cigarettes-and-vape-shop-halifax</t>
        </is>
      </c>
      <c r="E211" s="10" t="inlineStr">
        <is>
          <t>Directory</t>
        </is>
      </c>
      <c r="F211" s="10" t="inlineStr">
        <is>
          <t>2026-09-16</t>
        </is>
      </c>
      <c r="G211" s="10" t="inlineStr">
        <is>
          <t>address, postcode, opening hours, possible closure note</t>
        </is>
      </c>
      <c r="H211" s="10" t="inlineStr">
        <is>
          <t>Partially Verified</t>
        </is>
      </c>
    </row>
    <row r="212">
      <c r="A212" s="5" t="inlineStr">
        <is>
          <t>WY-0022</t>
        </is>
      </c>
      <c r="B212" s="5" t="inlineStr">
        <is>
          <t>SMKD</t>
        </is>
      </c>
      <c r="C212" s="5" t="inlineStr">
        <is>
          <t>Halifax</t>
        </is>
      </c>
      <c r="D212" s="5" t="inlineStr">
        <is>
          <t>https://smkd.com/vape-shop-locator/smkd-halifax-vape-shop-market-street/</t>
        </is>
      </c>
      <c r="E212" s="5" t="inlineStr">
        <is>
          <t>Official Website</t>
        </is>
      </c>
      <c r="F212" s="5" t="inlineStr">
        <is>
          <t>2026-09-16</t>
        </is>
      </c>
      <c r="G212" s="5" t="inlineStr">
        <is>
          <t>store locator page URL seen in search results (fetch blocked)</t>
        </is>
      </c>
      <c r="H212" s="5" t="inlineStr">
        <is>
          <t>Partially Verified</t>
        </is>
      </c>
    </row>
    <row r="213">
      <c r="A213" s="10" t="inlineStr">
        <is>
          <t>WY-0023</t>
        </is>
      </c>
      <c r="B213" s="10" t="inlineStr">
        <is>
          <t>SMKD</t>
        </is>
      </c>
      <c r="C213" s="10" t="inlineStr">
        <is>
          <t>Hebden Bridge</t>
        </is>
      </c>
      <c r="D213" s="10" t="inlineStr">
        <is>
          <t>https://smkd.com/vape-shop-locator/smkd-hebden-bridge-vape-shop-west-end/</t>
        </is>
      </c>
      <c r="E213" s="10" t="inlineStr">
        <is>
          <t>Official Website</t>
        </is>
      </c>
      <c r="F213" s="10" t="inlineStr">
        <is>
          <t>2026-09-16</t>
        </is>
      </c>
      <c r="G213" s="10" t="inlineStr">
        <is>
          <t>store location, delivery area, central phone and email (via search snippet; fetch blocked)</t>
        </is>
      </c>
      <c r="H213" s="10" t="inlineStr">
        <is>
          <t>Partially Verified</t>
        </is>
      </c>
    </row>
    <row r="214">
      <c r="A214" s="5" t="inlineStr">
        <is>
          <t>WY-0023</t>
        </is>
      </c>
      <c r="B214" s="5" t="inlineStr">
        <is>
          <t>SMKD</t>
        </is>
      </c>
      <c r="C214" s="5" t="inlineStr">
        <is>
          <t>Hebden Bridge</t>
        </is>
      </c>
      <c r="D214" s="5" t="inlineStr">
        <is>
          <t>https://find-and-update.company-information.service.gov.uk/company/16161027</t>
        </is>
      </c>
      <c r="E214" s="5" t="inlineStr">
        <is>
          <t>Companies House</t>
        </is>
      </c>
      <c r="F214" s="5" t="inlineStr">
        <is>
          <t>2026-09-16</t>
        </is>
      </c>
      <c r="G214" s="5" t="inlineStr">
        <is>
          <t>company number, status, incorporation date, registered office (via search snippet)</t>
        </is>
      </c>
      <c r="H214" s="5" t="inlineStr">
        <is>
          <t>Partially Verified</t>
        </is>
      </c>
    </row>
    <row r="215">
      <c r="A215" s="10" t="inlineStr">
        <is>
          <t>WY-0023</t>
        </is>
      </c>
      <c r="B215" s="10" t="inlineStr">
        <is>
          <t>SMKD</t>
        </is>
      </c>
      <c r="C215" s="10" t="inlineStr">
        <is>
          <t>Hebden Bridge</t>
        </is>
      </c>
      <c r="D215" s="10" t="inlineStr">
        <is>
          <t>https://www.facebook.com/SmkdVapeShop/</t>
        </is>
      </c>
      <c r="E215" s="10" t="inlineStr">
        <is>
          <t>Facebook</t>
        </is>
      </c>
      <c r="F215" s="10" t="inlineStr">
        <is>
          <t>2026-09-16</t>
        </is>
      </c>
      <c r="G215" s="10" t="inlineStr">
        <is>
          <t>social (brand facebook)</t>
        </is>
      </c>
      <c r="H215" s="10" t="inlineStr">
        <is>
          <t>Partially Verified</t>
        </is>
      </c>
    </row>
    <row r="216">
      <c r="A216" s="5" t="inlineStr">
        <is>
          <t>WY-0024</t>
        </is>
      </c>
      <c r="B216" s="5" t="inlineStr">
        <is>
          <t>SMKD - E Cigarettes and Vape Shop (Wakefield)</t>
        </is>
      </c>
      <c r="C216" s="5" t="inlineStr">
        <is>
          <t>Wakefield</t>
        </is>
      </c>
      <c r="D216" s="5" t="inlineStr">
        <is>
          <t>https://smkd.com/vape-shop-locator/wakefield-vape-shop-ridings-shopping-centre/</t>
        </is>
      </c>
      <c r="E216" s="5" t="inlineStr">
        <is>
          <t>Official Website</t>
        </is>
      </c>
      <c r="F216" s="5" t="inlineStr">
        <is>
          <t>2026-09-16</t>
        </is>
      </c>
      <c r="G216" s="5" t="inlineStr">
        <is>
          <t>store existence, location (seen in search results; fetch blocked)</t>
        </is>
      </c>
      <c r="H216" s="5" t="inlineStr">
        <is>
          <t>Partially Verified</t>
        </is>
      </c>
    </row>
    <row r="217">
      <c r="A217" s="10" t="inlineStr">
        <is>
          <t>WY-0024</t>
        </is>
      </c>
      <c r="B217" s="10" t="inlineStr">
        <is>
          <t>SMKD - E Cigarettes and Vape Shop (Wakefield)</t>
        </is>
      </c>
      <c r="C217" s="10" t="inlineStr">
        <is>
          <t>Wakefield</t>
        </is>
      </c>
      <c r="D217" s="10" t="inlineStr">
        <is>
          <t>https://www.chamberofcommerce.uk/business-directory/england/wakefield/miscellaneous/271525-smkd-e-cigarettes-and-vape-shop-wakefield</t>
        </is>
      </c>
      <c r="E217" s="10" t="inlineStr">
        <is>
          <t>Directory</t>
        </is>
      </c>
      <c r="F217" s="10" t="inlineStr">
        <is>
          <t>2026-09-16</t>
        </is>
      </c>
      <c r="G217" s="10" t="inlineStr">
        <is>
          <t>address WF1 1DS, phone</t>
        </is>
      </c>
      <c r="H217" s="10" t="inlineStr">
        <is>
          <t>Partially Verified</t>
        </is>
      </c>
    </row>
    <row r="218">
      <c r="A218" s="5" t="inlineStr">
        <is>
          <t>WY-0024</t>
        </is>
      </c>
      <c r="B218" s="5" t="inlineStr">
        <is>
          <t>SMKD - E Cigarettes and Vape Shop (Wakefield)</t>
        </is>
      </c>
      <c r="C218" s="5" t="inlineStr">
        <is>
          <t>Wakefield</t>
        </is>
      </c>
      <c r="D218" s="5" t="inlineStr">
        <is>
          <t>https://wakefield-eng.business-dir.co.uk/smkd-e-cigarettes-and-vape-shop-wakefield/</t>
        </is>
      </c>
      <c r="E218" s="5" t="inlineStr">
        <is>
          <t>Directory</t>
        </is>
      </c>
      <c r="F218" s="5" t="inlineStr">
        <is>
          <t>2026-09-16</t>
        </is>
      </c>
      <c r="G218" s="5" t="inlineStr">
        <is>
          <t>address cross-check</t>
        </is>
      </c>
      <c r="H218" s="5" t="inlineStr">
        <is>
          <t>Partially Verified</t>
        </is>
      </c>
    </row>
    <row r="219">
      <c r="A219" s="10" t="inlineStr">
        <is>
          <t>WY-0024</t>
        </is>
      </c>
      <c r="B219" s="10" t="inlineStr">
        <is>
          <t>SMKD - E Cigarettes and Vape Shop (Wakefield)</t>
        </is>
      </c>
      <c r="C219" s="10" t="inlineStr">
        <is>
          <t>Wakefield</t>
        </is>
      </c>
      <c r="D219" s="10" t="inlineStr">
        <is>
          <t>https://find-and-update.company-information.service.gov.uk/company/16161027</t>
        </is>
      </c>
      <c r="E219" s="10" t="inlineStr">
        <is>
          <t>Companies House</t>
        </is>
      </c>
      <c r="F219" s="10" t="inlineStr">
        <is>
          <t>2026-09-16</t>
        </is>
      </c>
      <c r="G219" s="10" t="inlineStr">
        <is>
          <t>company number, status, incorporation date, registered office (via search snippet)</t>
        </is>
      </c>
      <c r="H219" s="10" t="inlineStr">
        <is>
          <t>Partially Verified</t>
        </is>
      </c>
    </row>
    <row r="220">
      <c r="A220" s="5" t="inlineStr">
        <is>
          <t>WY-0024</t>
        </is>
      </c>
      <c r="B220" s="5" t="inlineStr">
        <is>
          <t>SMKD - E Cigarettes and Vape Shop (Wakefield)</t>
        </is>
      </c>
      <c r="C220" s="5" t="inlineStr">
        <is>
          <t>Wakefield</t>
        </is>
      </c>
      <c r="D220" s="5" t="inlineStr">
        <is>
          <t>https://www.facebook.com/SmkdVapeShop/</t>
        </is>
      </c>
      <c r="E220" s="5" t="inlineStr">
        <is>
          <t>Facebook</t>
        </is>
      </c>
      <c r="F220" s="5" t="inlineStr">
        <is>
          <t>2026-09-16</t>
        </is>
      </c>
      <c r="G220" s="5" t="inlineStr">
        <is>
          <t>social (brand facebook)</t>
        </is>
      </c>
      <c r="H220" s="5" t="inlineStr">
        <is>
          <t>Partially Verified</t>
        </is>
      </c>
    </row>
    <row r="221">
      <c r="A221" s="10" t="inlineStr">
        <is>
          <t>UK-000211</t>
        </is>
      </c>
      <c r="B221" s="10" t="inlineStr">
        <is>
          <t>SMKD Barnsley</t>
        </is>
      </c>
      <c r="C221" s="10" t="inlineStr">
        <is>
          <t>Barnsley</t>
        </is>
      </c>
      <c r="D221" s="10" t="inlineStr">
        <is>
          <t>https://smkd.com/vape-shop-locator/smkd-barnsley-vape-shop-new-street/</t>
        </is>
      </c>
      <c r="E221" s="10" t="inlineStr">
        <is>
          <t>Official Website</t>
        </is>
      </c>
      <c r="F221" s="10" t="inlineStr">
        <is>
          <t>2026-09-16</t>
        </is>
      </c>
      <c r="G221" s="10" t="inlineStr">
        <is>
          <t>name, street, store locator</t>
        </is>
      </c>
      <c r="H221" s="10" t="inlineStr">
        <is>
          <t>Requires Verification</t>
        </is>
      </c>
    </row>
    <row r="222">
      <c r="A222" s="5" t="inlineStr">
        <is>
          <t>UK-000212</t>
        </is>
      </c>
      <c r="B222" s="5" t="inlineStr">
        <is>
          <t>SMKD Rotherham</t>
        </is>
      </c>
      <c r="C222" s="5" t="inlineStr">
        <is>
          <t>Rotherham</t>
        </is>
      </c>
      <c r="D222" s="5" t="inlineStr">
        <is>
          <t>https://smkd.com/vape-shop-locator/smkd-rotherham-vape-shop-effingham-street/</t>
        </is>
      </c>
      <c r="E222" s="5" t="inlineStr">
        <is>
          <t>Official Website</t>
        </is>
      </c>
      <c r="F222" s="5" t="inlineStr">
        <is>
          <t>2026-09-16</t>
        </is>
      </c>
      <c r="G222" s="5" t="inlineStr">
        <is>
          <t>name, address, store locator</t>
        </is>
      </c>
      <c r="H222" s="5" t="inlineStr">
        <is>
          <t>Requires Verification</t>
        </is>
      </c>
    </row>
    <row r="223">
      <c r="A223" s="10" t="inlineStr">
        <is>
          <t>UK-000212</t>
        </is>
      </c>
      <c r="B223" s="10" t="inlineStr">
        <is>
          <t>SMKD Rotherham</t>
        </is>
      </c>
      <c r="C223" s="10" t="inlineStr">
        <is>
          <t>Rotherham</t>
        </is>
      </c>
      <c r="D223" s="10" t="inlineStr">
        <is>
          <t>https://www.chamberofcommerce.uk/business-directory/england/rotherham/miscellaneous/1035065-smkd-e-cigarettes-and-vape-shop-rotherham</t>
        </is>
      </c>
      <c r="E223" s="10" t="inlineStr">
        <is>
          <t>Directory</t>
        </is>
      </c>
      <c r="F223" s="10" t="inlineStr">
        <is>
          <t>2026-09-16</t>
        </is>
      </c>
      <c r="G223" s="10" t="inlineStr">
        <is>
          <t>postcode S65 1AL, phone</t>
        </is>
      </c>
      <c r="H223" s="10" t="inlineStr">
        <is>
          <t>Requires Verification</t>
        </is>
      </c>
    </row>
    <row r="224">
      <c r="A224" s="5" t="inlineStr">
        <is>
          <t>UK-000213</t>
        </is>
      </c>
      <c r="B224" s="5" t="inlineStr">
        <is>
          <t>SPAR Barnsley Road</t>
        </is>
      </c>
      <c r="C224" s="5" t="inlineStr">
        <is>
          <t>Barnsley</t>
        </is>
      </c>
      <c r="D224" s="5" t="inlineStr">
        <is>
          <t>https://www.spar.co.uk/store-locator/afb31700-spar-barnsley-road</t>
        </is>
      </c>
      <c r="E224" s="5" t="inlineStr">
        <is>
          <t>Official Website</t>
        </is>
      </c>
      <c r="F224" s="5" t="inlineStr">
        <is>
          <t>2026-09-16</t>
        </is>
      </c>
      <c r="G224" s="5" t="inlineStr">
        <is>
          <t>name, street, store locator</t>
        </is>
      </c>
      <c r="H224" s="5" t="inlineStr">
        <is>
          <t>Requires Verification</t>
        </is>
      </c>
    </row>
    <row r="225">
      <c r="A225" s="10" t="inlineStr">
        <is>
          <t>UK-000721</t>
        </is>
      </c>
      <c r="B225" s="10" t="inlineStr">
        <is>
          <t>SPAR Coopers Lane</t>
        </is>
      </c>
      <c r="C225" s="10" t="inlineStr">
        <is>
          <t>Kirkby</t>
        </is>
      </c>
      <c r="D225" s="10" t="inlineStr">
        <is>
          <t>https://kirkby.cylex-uk.co.uk/convenience-stores/</t>
        </is>
      </c>
      <c r="E225" s="10" t="inlineStr">
        <is>
          <t>Directory</t>
        </is>
      </c>
      <c r="F225" s="10" t="inlineStr">
        <is>
          <t>2026-09-17</t>
        </is>
      </c>
      <c r="G225" s="10" t="inlineStr">
        <is>
          <t>name, address, postcode, phone</t>
        </is>
      </c>
      <c r="H225" s="10" t="inlineStr">
        <is>
          <t>Requires Verification</t>
        </is>
      </c>
    </row>
    <row r="226">
      <c r="A226" s="5" t="inlineStr">
        <is>
          <t>UK-000722</t>
        </is>
      </c>
      <c r="B226" s="5" t="inlineStr">
        <is>
          <t>SPAR Harington Road</t>
        </is>
      </c>
      <c r="C226" s="5" t="inlineStr">
        <is>
          <t>Formby</t>
        </is>
      </c>
      <c r="D226" s="5" t="inlineStr">
        <is>
          <t>https://www.spar.co.uk/store-locator/hal27302-spar-harington-road</t>
        </is>
      </c>
      <c r="E226" s="5" t="inlineStr">
        <is>
          <t>Directory</t>
        </is>
      </c>
      <c r="F226" s="5" t="inlineStr">
        <is>
          <t>2026-09-17</t>
        </is>
      </c>
      <c r="G226" s="5" t="inlineStr">
        <is>
          <t>store name, Harington Road location, Spar symbol</t>
        </is>
      </c>
      <c r="H226" s="5" t="inlineStr">
        <is>
          <t>Requires Verification</t>
        </is>
      </c>
    </row>
    <row r="227">
      <c r="A227" s="10" t="inlineStr">
        <is>
          <t>UK-000319</t>
        </is>
      </c>
      <c r="B227" s="10" t="inlineStr">
        <is>
          <t>SPAR Radcliffe</t>
        </is>
      </c>
      <c r="C227" s="10" t="inlineStr">
        <is>
          <t>Radcliffe</t>
        </is>
      </c>
      <c r="D227" s="10" t="inlineStr">
        <is>
          <t>https://www.spar.co.uk/store-locator/hal36921-spar-radcliffe</t>
        </is>
      </c>
      <c r="E227" s="10" t="inlineStr">
        <is>
          <t>Official Website</t>
        </is>
      </c>
      <c r="F227" s="10" t="inlineStr">
        <is>
          <t>2026-09-17</t>
        </is>
      </c>
      <c r="G227" s="10" t="inlineStr">
        <is>
          <t>trading name, address, postcode (via search results)</t>
        </is>
      </c>
      <c r="H227" s="10" t="inlineStr">
        <is>
          <t>Requires Verification</t>
        </is>
      </c>
    </row>
    <row r="228">
      <c r="A228" s="5" t="inlineStr">
        <is>
          <t>UK-000723</t>
        </is>
      </c>
      <c r="B228" s="5" t="inlineStr">
        <is>
          <t>Hunt's Spar Freshfield</t>
        </is>
      </c>
      <c r="C228" s="5" t="inlineStr">
        <is>
          <t>Formby</t>
        </is>
      </c>
      <c r="D228" s="5" t="inlineStr">
        <is>
          <t>https://www.conveniencestore.co.uk/store-development/hunts-spar-freshfield-formby/564152.article</t>
        </is>
      </c>
      <c r="E228" s="5" t="inlineStr">
        <is>
          <t>News / Trade Press</t>
        </is>
      </c>
      <c r="F228" s="5" t="inlineStr">
        <is>
          <t>2026-09-17</t>
        </is>
      </c>
      <c r="G228" s="5" t="inlineStr">
        <is>
          <t>business name, Freshfield/Formby location, Spar symbol</t>
        </is>
      </c>
      <c r="H228" s="5" t="inlineStr">
        <is>
          <t>Requires Verification</t>
        </is>
      </c>
    </row>
    <row r="229">
      <c r="A229" s="10" t="inlineStr">
        <is>
          <t>UK-000724</t>
        </is>
      </c>
      <c r="B229" s="10" t="inlineStr">
        <is>
          <t>New Delhi Cash &amp; Carry</t>
        </is>
      </c>
      <c r="C229" s="10" t="inlineStr">
        <is>
          <t>Liverpool</t>
        </is>
      </c>
      <c r="D229" s="10" t="inlineStr">
        <is>
          <t>https://www.192.com/atoz/business/liverpool-l13/cash-and-carry-wholesalers/new-delhi-cash-carry/1c2d560701577e8fe3eee99aeb82e7b679bd7e39/ml/</t>
        </is>
      </c>
      <c r="E229" s="10" t="inlineStr">
        <is>
          <t>Directory</t>
        </is>
      </c>
      <c r="F229" s="10" t="inlineStr">
        <is>
          <t>2026-09-17</t>
        </is>
      </c>
      <c r="G229" s="10" t="inlineStr">
        <is>
          <t>name, address, postcode</t>
        </is>
      </c>
      <c r="H229" s="10" t="inlineStr">
        <is>
          <t>Requires Verification</t>
        </is>
      </c>
    </row>
    <row r="230">
      <c r="A230" s="5" t="inlineStr">
        <is>
          <t>UK-000724</t>
        </is>
      </c>
      <c r="B230" s="5" t="inlineStr">
        <is>
          <t>New Delhi Cash &amp; Carry</t>
        </is>
      </c>
      <c r="C230" s="5" t="inlineStr">
        <is>
          <t>Liverpool</t>
        </is>
      </c>
      <c r="D230" s="5" t="inlineStr">
        <is>
          <t>https://www.yell.com/biz/saka-new-delhi-cash-and-carry-liverpool-7373342/</t>
        </is>
      </c>
      <c r="E230" s="5" t="inlineStr">
        <is>
          <t>Yell</t>
        </is>
      </c>
      <c r="F230" s="5" t="inlineStr">
        <is>
          <t>2026-09-17</t>
        </is>
      </c>
      <c r="G230" s="5" t="inlineStr">
        <is>
          <t>trading name, category, history</t>
        </is>
      </c>
      <c r="H230" s="5" t="inlineStr">
        <is>
          <t>Requires Verification</t>
        </is>
      </c>
    </row>
    <row r="231">
      <c r="A231" s="10" t="inlineStr">
        <is>
          <t>WY-0025</t>
        </is>
      </c>
      <c r="B231" s="10" t="inlineStr">
        <is>
          <t>Dewsbury Service Station (Savile Petroleum)</t>
        </is>
      </c>
      <c r="C231" s="10" t="inlineStr">
        <is>
          <t>Dewsbury</t>
        </is>
      </c>
      <c r="D231" s="10" t="inlineStr">
        <is>
          <t>https://find-and-update.company-information.service.gov.uk/company/05197700</t>
        </is>
      </c>
      <c r="E231" s="10" t="inlineStr">
        <is>
          <t>Companies House</t>
        </is>
      </c>
      <c r="F231" s="10" t="inlineStr">
        <is>
          <t>2026-09-16</t>
        </is>
      </c>
      <c r="G231" s="10" t="inlineStr">
        <is>
          <t>company number, status, incorporation date, registered office</t>
        </is>
      </c>
      <c r="H231" s="10" t="inlineStr">
        <is>
          <t>Partially Verified</t>
        </is>
      </c>
    </row>
    <row r="232">
      <c r="A232" s="5" t="inlineStr">
        <is>
          <t>WY-0025</t>
        </is>
      </c>
      <c r="B232" s="5" t="inlineStr">
        <is>
          <t>Dewsbury Service Station (Savile Petroleum)</t>
        </is>
      </c>
      <c r="C232" s="5" t="inlineStr">
        <is>
          <t>Dewsbury</t>
        </is>
      </c>
      <c r="D232" s="5" t="inlineStr">
        <is>
          <t>https://www.petrolprices.com/locations/dewsbury/savile-road/8720</t>
        </is>
      </c>
      <c r="E232" s="5" t="inlineStr">
        <is>
          <t>Directory</t>
        </is>
      </c>
      <c r="F232" s="5" t="inlineStr">
        <is>
          <t>2026-09-16</t>
        </is>
      </c>
      <c r="G232" s="5" t="inlineStr">
        <is>
          <t>site address BP Savile Road WF12 9LR</t>
        </is>
      </c>
      <c r="H232" s="5" t="inlineStr">
        <is>
          <t>Partially Verified</t>
        </is>
      </c>
    </row>
    <row r="233">
      <c r="A233" s="10" t="inlineStr">
        <is>
          <t>WY-0025</t>
        </is>
      </c>
      <c r="B233" s="10" t="inlineStr">
        <is>
          <t>Dewsbury Service Station (Savile Petroleum)</t>
        </is>
      </c>
      <c r="C233" s="10" t="inlineStr">
        <is>
          <t>Dewsbury</t>
        </is>
      </c>
      <c r="D233" s="10" t="inlineStr">
        <is>
          <t>https://www.yorkshire.com/dewsbury/services/petrol-stations/savile-petroleum-limited</t>
        </is>
      </c>
      <c r="E233" s="10" t="inlineStr">
        <is>
          <t>Directory</t>
        </is>
      </c>
      <c r="F233" s="10" t="inlineStr">
        <is>
          <t>2026-09-16</t>
        </is>
      </c>
      <c r="G233" s="10" t="inlineStr">
        <is>
          <t>operator name at Dewsbury forecourt</t>
        </is>
      </c>
      <c r="H233" s="10" t="inlineStr">
        <is>
          <t>Partially Verified</t>
        </is>
      </c>
    </row>
    <row r="234">
      <c r="A234" s="5" t="inlineStr">
        <is>
          <t>WY-0025</t>
        </is>
      </c>
      <c r="B234" s="5" t="inlineStr">
        <is>
          <t>Dewsbury Service Station (Savile Petroleum)</t>
        </is>
      </c>
      <c r="C234" s="5" t="inlineStr">
        <is>
          <t>Dewsbury</t>
        </is>
      </c>
      <c r="D234" s="5" t="inlineStr">
        <is>
          <t>https://map.bp.com/en-GB/GB/petrol-station/dewsbury/dewsbury-s-stn/3824</t>
        </is>
      </c>
      <c r="E234" s="5" t="inlineStr">
        <is>
          <t>Directory</t>
        </is>
      </c>
      <c r="F234" s="5" t="inlineStr">
        <is>
          <t>2026-09-16</t>
        </is>
      </c>
      <c r="G234" s="5" t="inlineStr">
        <is>
          <t>facilities, 24/7 opening</t>
        </is>
      </c>
      <c r="H234" s="5" t="inlineStr">
        <is>
          <t>Partially Verified</t>
        </is>
      </c>
    </row>
    <row r="235">
      <c r="A235" s="10" t="inlineStr">
        <is>
          <t>UK-000725</t>
        </is>
      </c>
      <c r="B235" s="10" t="inlineStr">
        <is>
          <t>Scotvapes</t>
        </is>
      </c>
      <c r="C235" s="10" t="inlineStr">
        <is>
          <t>Glasgow</t>
        </is>
      </c>
      <c r="D235" s="10" t="inlineStr">
        <is>
          <t>https://glasgow.cylex-uk.co.uk/company/scotvapes-28028256.html</t>
        </is>
      </c>
      <c r="E235" s="10" t="inlineStr">
        <is>
          <t>Directory</t>
        </is>
      </c>
      <c r="F235" s="10" t="inlineStr">
        <is>
          <t>2026-09-17</t>
        </is>
      </c>
      <c r="G235" s="10" t="inlineStr">
        <is>
          <t>address, postcode, phone, store email</t>
        </is>
      </c>
      <c r="H235" s="10" t="inlineStr">
        <is>
          <t>Requires Verification</t>
        </is>
      </c>
    </row>
    <row r="236">
      <c r="A236" s="5" t="inlineStr">
        <is>
          <t>UK-000725</t>
        </is>
      </c>
      <c r="B236" s="5" t="inlineStr">
        <is>
          <t>Scotvapes</t>
        </is>
      </c>
      <c r="C236" s="5" t="inlineStr">
        <is>
          <t>Glasgow</t>
        </is>
      </c>
      <c r="D236" s="5" t="inlineStr">
        <is>
          <t>https://scotvapes.com/glasgow/</t>
        </is>
      </c>
      <c r="E236" s="5" t="inlineStr">
        <is>
          <t>Official Website</t>
        </is>
      </c>
      <c r="F236" s="5" t="inlineStr">
        <is>
          <t>2026-09-17</t>
        </is>
      </c>
      <c r="G236" s="5" t="inlineStr">
        <is>
          <t>store locations, trading name</t>
        </is>
      </c>
      <c r="H236" s="5" t="inlineStr">
        <is>
          <t>Requires Verification</t>
        </is>
      </c>
    </row>
    <row r="237">
      <c r="A237" s="10" t="inlineStr">
        <is>
          <t>UK-000726</t>
        </is>
      </c>
      <c r="B237" s="10" t="inlineStr">
        <is>
          <t>Scotvapes</t>
        </is>
      </c>
      <c r="C237" s="10" t="inlineStr">
        <is>
          <t>Glasgow</t>
        </is>
      </c>
      <c r="D237" s="10" t="inlineStr">
        <is>
          <t>https://scotvapes.com/contact-us/</t>
        </is>
      </c>
      <c r="E237" s="10" t="inlineStr">
        <is>
          <t>Official Website</t>
        </is>
      </c>
      <c r="F237" s="10" t="inlineStr">
        <is>
          <t>2026-09-17</t>
        </is>
      </c>
      <c r="G237" s="10" t="inlineStr">
        <is>
          <t>second store, phone, general email</t>
        </is>
      </c>
      <c r="H237" s="10" t="inlineStr">
        <is>
          <t>Requires Verification</t>
        </is>
      </c>
    </row>
    <row r="238">
      <c r="A238" s="5" t="inlineStr">
        <is>
          <t>UK-000726</t>
        </is>
      </c>
      <c r="B238" s="5" t="inlineStr">
        <is>
          <t>Scotvapes</t>
        </is>
      </c>
      <c r="C238" s="5" t="inlineStr">
        <is>
          <t>Glasgow</t>
        </is>
      </c>
      <c r="D238" s="5" t="inlineStr">
        <is>
          <t>https://scotvapes.com/glasgow/</t>
        </is>
      </c>
      <c r="E238" s="5" t="inlineStr">
        <is>
          <t>Official Website</t>
        </is>
      </c>
      <c r="F238" s="5" t="inlineStr">
        <is>
          <t>2026-09-17</t>
        </is>
      </c>
      <c r="G238" s="5" t="inlineStr">
        <is>
          <t>Woodlands Road location</t>
        </is>
      </c>
      <c r="H238" s="5" t="inlineStr">
        <is>
          <t>Requires Verification</t>
        </is>
      </c>
    </row>
    <row r="239">
      <c r="A239" s="10" t="inlineStr">
        <is>
          <t>UK-000320</t>
        </is>
      </c>
      <c r="B239" s="10" t="inlineStr">
        <is>
          <t>Simply ELiquid Failsworth</t>
        </is>
      </c>
      <c r="C239" s="10" t="inlineStr">
        <is>
          <t>Failsworth</t>
        </is>
      </c>
      <c r="D239" s="10" t="inlineStr">
        <is>
          <t>https://www.simplyeliquid.co.uk/pages/simply-eliquid-failsworth-shop</t>
        </is>
      </c>
      <c r="E239" s="10" t="inlineStr">
        <is>
          <t>Official Website</t>
        </is>
      </c>
      <c r="F239" s="10" t="inlineStr">
        <is>
          <t>2026-09-17</t>
        </is>
      </c>
      <c r="G239" s="10" t="inlineStr">
        <is>
          <t>address, postcode</t>
        </is>
      </c>
      <c r="H239" s="10" t="inlineStr">
        <is>
          <t>Requires Verification</t>
        </is>
      </c>
    </row>
    <row r="240">
      <c r="A240" s="5" t="inlineStr">
        <is>
          <t>UK-000321</t>
        </is>
      </c>
      <c r="B240" s="5" t="inlineStr">
        <is>
          <t>Simply ELiquid Stockport</t>
        </is>
      </c>
      <c r="C240" s="5" t="inlineStr">
        <is>
          <t>Stockport</t>
        </is>
      </c>
      <c r="D240" s="5" t="inlineStr">
        <is>
          <t>https://www.simplyeliquid.co.uk/pages/simply-eliquid-stockport-shop</t>
        </is>
      </c>
      <c r="E240" s="5" t="inlineStr">
        <is>
          <t>Official Website</t>
        </is>
      </c>
      <c r="F240" s="5" t="inlineStr">
        <is>
          <t>2026-09-17</t>
        </is>
      </c>
      <c r="G240" s="5" t="inlineStr">
        <is>
          <t>address, postcode, phone, email</t>
        </is>
      </c>
      <c r="H240" s="5" t="inlineStr">
        <is>
          <t>Requires Verification</t>
        </is>
      </c>
    </row>
    <row r="241">
      <c r="A241" s="10" t="inlineStr">
        <is>
          <t>WY-0026</t>
        </is>
      </c>
      <c r="B241" s="10" t="inlineStr">
        <is>
          <t>Sing Kee Foods (Sheepscar)</t>
        </is>
      </c>
      <c r="C241" s="10" t="inlineStr">
        <is>
          <t>Leeds</t>
        </is>
      </c>
      <c r="D241" s="10" t="inlineStr">
        <is>
          <t>https://ratings.food.gov.uk/business/1557203/sing-kee-foods-sheepscar</t>
        </is>
      </c>
      <c r="E241" s="10" t="inlineStr">
        <is>
          <t>Other</t>
        </is>
      </c>
      <c r="F241" s="10" t="inlineStr">
        <is>
          <t>2026-09-16</t>
        </is>
      </c>
      <c r="G241" s="10" t="inlineStr">
        <is>
          <t>Sheepscar site confirmation (via search results)</t>
        </is>
      </c>
      <c r="H241" s="10" t="inlineStr">
        <is>
          <t>Partially Verified</t>
        </is>
      </c>
    </row>
    <row r="242">
      <c r="A242" s="5" t="inlineStr">
        <is>
          <t>WY-0026</t>
        </is>
      </c>
      <c r="B242" s="5" t="inlineStr">
        <is>
          <t>Sing Kee Foods (Sheepscar)</t>
        </is>
      </c>
      <c r="C242" s="5" t="inlineStr">
        <is>
          <t>Leeds</t>
        </is>
      </c>
      <c r="D242" s="5" t="inlineStr">
        <is>
          <t>https://leeds.cylex-uk.co.uk/company/sing-kee-foods-ltd-leeds-23005733.html</t>
        </is>
      </c>
      <c r="E242" s="5" t="inlineStr">
        <is>
          <t>Directory</t>
        </is>
      </c>
      <c r="F242" s="5" t="inlineStr">
        <is>
          <t>2026-09-16</t>
        </is>
      </c>
      <c r="G242" s="5" t="inlineStr">
        <is>
          <t>address, phone (via search results)</t>
        </is>
      </c>
      <c r="H242" s="5" t="inlineStr">
        <is>
          <t>Partially Verified</t>
        </is>
      </c>
    </row>
    <row r="243">
      <c r="A243" s="10" t="inlineStr">
        <is>
          <t>WY-0026</t>
        </is>
      </c>
      <c r="B243" s="10" t="inlineStr">
        <is>
          <t>Sing Kee Foods (Sheepscar)</t>
        </is>
      </c>
      <c r="C243" s="10" t="inlineStr">
        <is>
          <t>Leeds</t>
        </is>
      </c>
      <c r="D243" s="10" t="inlineStr">
        <is>
          <t>https://find-and-update.company-information.service.gov.uk/company/04025779/persons-with-significant-control</t>
        </is>
      </c>
      <c r="E243" s="10" t="inlineStr">
        <is>
          <t>Companies House</t>
        </is>
      </c>
      <c r="F243" s="10" t="inlineStr">
        <is>
          <t>2026-09-16</t>
        </is>
      </c>
      <c r="G243" s="10" t="inlineStr">
        <is>
          <t>registered name and company number (via search results)</t>
        </is>
      </c>
      <c r="H243" s="10" t="inlineStr">
        <is>
          <t>Partially Verified</t>
        </is>
      </c>
    </row>
    <row r="244">
      <c r="A244" s="5" t="inlineStr">
        <is>
          <t>WY-0026</t>
        </is>
      </c>
      <c r="B244" s="5" t="inlineStr">
        <is>
          <t>Sing Kee Foods (Sheepscar)</t>
        </is>
      </c>
      <c r="C244" s="5" t="inlineStr">
        <is>
          <t>Leeds</t>
        </is>
      </c>
      <c r="D244" s="5" t="inlineStr">
        <is>
          <t>https://singkeefoods.com/gb/contact-us</t>
        </is>
      </c>
      <c r="E244" s="5" t="inlineStr">
        <is>
          <t>Official Website</t>
        </is>
      </c>
      <c r="F244" s="5" t="inlineStr">
        <is>
          <t>2026-09-16</t>
        </is>
      </c>
      <c r="G244" s="5" t="inlineStr">
        <is>
          <t>email (wholesale)</t>
        </is>
      </c>
      <c r="H244" s="5" t="inlineStr">
        <is>
          <t>Partially Verified</t>
        </is>
      </c>
    </row>
    <row r="245">
      <c r="A245" s="10" t="inlineStr">
        <is>
          <t>WY-0027</t>
        </is>
      </c>
      <c r="B245" s="10" t="inlineStr">
        <is>
          <t>Sing Kee Oriental Supermarket (Merrion Centre)</t>
        </is>
      </c>
      <c r="C245" s="10" t="inlineStr">
        <is>
          <t>Leeds</t>
        </is>
      </c>
      <c r="D245" s="10" t="inlineStr">
        <is>
          <t>https://www.merrioncentre.co.uk/units/sing-kee</t>
        </is>
      </c>
      <c r="E245" s="10" t="inlineStr">
        <is>
          <t>Directory</t>
        </is>
      </c>
      <c r="F245" s="10" t="inlineStr">
        <is>
          <t>2026-09-16</t>
        </is>
      </c>
      <c r="G245" s="10" t="inlineStr">
        <is>
          <t>unit location in Merrion Centre (via search results)</t>
        </is>
      </c>
      <c r="H245" s="10" t="inlineStr">
        <is>
          <t>Requires Verification</t>
        </is>
      </c>
    </row>
    <row r="246">
      <c r="A246" s="5" t="inlineStr">
        <is>
          <t>WY-0027</t>
        </is>
      </c>
      <c r="B246" s="5" t="inlineStr">
        <is>
          <t>Sing Kee Oriental Supermarket (Merrion Centre)</t>
        </is>
      </c>
      <c r="C246" s="5" t="inlineStr">
        <is>
          <t>Leeds</t>
        </is>
      </c>
      <c r="D246" s="5" t="inlineStr">
        <is>
          <t>https://foursquare.com/v/sing-kee-oriental-supermarket/55a8e8d0498e6e43c116af26</t>
        </is>
      </c>
      <c r="E246" s="5" t="inlineStr">
        <is>
          <t>Directory</t>
        </is>
      </c>
      <c r="F246" s="5" t="inlineStr">
        <is>
          <t>2026-09-16</t>
        </is>
      </c>
      <c r="G246" s="5" t="inlineStr">
        <is>
          <t>address, postcode (via search results)</t>
        </is>
      </c>
      <c r="H246" s="5" t="inlineStr">
        <is>
          <t>Requires Verification</t>
        </is>
      </c>
    </row>
    <row r="247">
      <c r="A247" s="10" t="inlineStr">
        <is>
          <t>WY-0027</t>
        </is>
      </c>
      <c r="B247" s="10" t="inlineStr">
        <is>
          <t>Sing Kee Oriental Supermarket (Merrion Centre)</t>
        </is>
      </c>
      <c r="C247" s="10" t="inlineStr">
        <is>
          <t>Leeds</t>
        </is>
      </c>
      <c r="D247" s="10" t="inlineStr">
        <is>
          <t>https://singkeefoods.co.uk/gb/stores</t>
        </is>
      </c>
      <c r="E247" s="10" t="inlineStr">
        <is>
          <t>Official Website</t>
        </is>
      </c>
      <c r="F247" s="10" t="inlineStr">
        <is>
          <t>2026-09-16</t>
        </is>
      </c>
      <c r="G247" s="10" t="inlineStr">
        <is>
          <t>store list page existence (via search results; direct fetch blocked by proxy)</t>
        </is>
      </c>
      <c r="H247" s="10" t="inlineStr">
        <is>
          <t>Requires Verification</t>
        </is>
      </c>
    </row>
    <row r="248">
      <c r="A248" s="5" t="inlineStr">
        <is>
          <t>UK-000214</t>
        </is>
      </c>
      <c r="B248" s="5" t="inlineStr">
        <is>
          <t>Spar (Trinity Road, Cleethorpes)</t>
        </is>
      </c>
      <c r="C248" s="5" t="inlineStr">
        <is>
          <t>Cleethorpes</t>
        </is>
      </c>
      <c r="D248" s="5" t="inlineStr">
        <is>
          <t>https://www.192.com/atoz/business/dn35/convenience--stores/</t>
        </is>
      </c>
      <c r="E248" s="5" t="inlineStr">
        <is>
          <t>Directory</t>
        </is>
      </c>
      <c r="F248" s="5" t="inlineStr">
        <is>
          <t>2026-09-16</t>
        </is>
      </c>
      <c r="G248" s="5" t="inlineStr">
        <is>
          <t>name, Trinity Road address (via search results)</t>
        </is>
      </c>
      <c r="H248" s="5" t="inlineStr">
        <is>
          <t>Requires Verification</t>
        </is>
      </c>
    </row>
    <row r="249">
      <c r="A249" s="10" t="inlineStr">
        <is>
          <t>WY-0028</t>
        </is>
      </c>
      <c r="B249" s="10" t="inlineStr">
        <is>
          <t>Glasshoughton Service Station</t>
        </is>
      </c>
      <c r="C249" s="10" t="inlineStr">
        <is>
          <t>Castleford</t>
        </is>
      </c>
      <c r="D249" s="10" t="inlineStr">
        <is>
          <t>https://www.nisalocally.co.uk/stores/west-yorkshire/castleford/bp-glasshoughton-ser-st</t>
        </is>
      </c>
      <c r="E249" s="10" t="inlineStr">
        <is>
          <t>Official Website</t>
        </is>
      </c>
      <c r="F249" s="10" t="inlineStr">
        <is>
          <t>2026-09-16</t>
        </is>
      </c>
      <c r="G249" s="10" t="inlineStr">
        <is>
          <t>store presence on Nisa Locally finder (seen in search results; fetch blocked)</t>
        </is>
      </c>
      <c r="H249" s="10" t="inlineStr">
        <is>
          <t>Requires Verification</t>
        </is>
      </c>
    </row>
    <row r="250">
      <c r="A250" s="5" t="inlineStr">
        <is>
          <t>WY-0028</t>
        </is>
      </c>
      <c r="B250" s="5" t="inlineStr">
        <is>
          <t>Glasshoughton Service Station</t>
        </is>
      </c>
      <c r="C250" s="5" t="inlineStr">
        <is>
          <t>Castleford</t>
        </is>
      </c>
      <c r="D250" s="5" t="inlineStr">
        <is>
          <t>https://map.bp.com/en-GB/GB/petrol-station/castleford/glasshoughton-service-station/17857</t>
        </is>
      </c>
      <c r="E250" s="5" t="inlineStr">
        <is>
          <t>Other</t>
        </is>
      </c>
      <c r="F250" s="5" t="inlineStr">
        <is>
          <t>2026-09-16</t>
        </is>
      </c>
      <c r="G250" s="5" t="inlineStr">
        <is>
          <t>BP site listing, Park Road location</t>
        </is>
      </c>
      <c r="H250" s="5" t="inlineStr">
        <is>
          <t>Requires Verification</t>
        </is>
      </c>
    </row>
    <row r="251">
      <c r="A251" s="10" t="inlineStr">
        <is>
          <t>WY-0028</t>
        </is>
      </c>
      <c r="B251" s="10" t="inlineStr">
        <is>
          <t>Glasshoughton Service Station</t>
        </is>
      </c>
      <c r="C251" s="10" t="inlineStr">
        <is>
          <t>Castleford</t>
        </is>
      </c>
      <c r="D251" s="10" t="inlineStr">
        <is>
          <t>https://ratings.food.gov.uk/business/1264691</t>
        </is>
      </c>
      <c r="E251" s="10" t="inlineStr">
        <is>
          <t>Other</t>
        </is>
      </c>
      <c r="F251" s="10" t="inlineStr">
        <is>
          <t>2026-09-16</t>
        </is>
      </c>
      <c r="G251" s="10" t="inlineStr">
        <is>
          <t>operator name 'Nisa Local @ Speed Petroleum'</t>
        </is>
      </c>
      <c r="H251" s="10" t="inlineStr">
        <is>
          <t>Requires Verification</t>
        </is>
      </c>
    </row>
    <row r="252">
      <c r="A252" s="5" t="inlineStr">
        <is>
          <t>WY-0028</t>
        </is>
      </c>
      <c r="B252" s="5" t="inlineStr">
        <is>
          <t>Glasshoughton Service Station</t>
        </is>
      </c>
      <c r="C252" s="5" t="inlineStr">
        <is>
          <t>Castleford</t>
        </is>
      </c>
      <c r="D252" s="5" t="inlineStr">
        <is>
          <t>https://www.justoffjunction.co.uk/fuel.php?ServiceID=4621</t>
        </is>
      </c>
      <c r="E252" s="5" t="inlineStr">
        <is>
          <t>Directory</t>
        </is>
      </c>
      <c r="F252" s="5" t="inlineStr">
        <is>
          <t>2026-09-16</t>
        </is>
      </c>
      <c r="G252" s="5" t="inlineStr">
        <is>
          <t>M62 J32 location, WF10 4RS</t>
        </is>
      </c>
      <c r="H252" s="5" t="inlineStr">
        <is>
          <t>Requires Verification</t>
        </is>
      </c>
    </row>
    <row r="253">
      <c r="A253" s="10" t="inlineStr">
        <is>
          <t>WY-0029</t>
        </is>
      </c>
      <c r="B253" s="10" t="inlineStr">
        <is>
          <t>TB Cash &amp; Carry (Bradford)</t>
        </is>
      </c>
      <c r="C253" s="10" t="inlineStr">
        <is>
          <t>Bradford</t>
        </is>
      </c>
      <c r="D253" s="10" t="inlineStr">
        <is>
          <t>https://www.yell.com/biz/t-b-cash-and-carry-bradford-949082/</t>
        </is>
      </c>
      <c r="E253" s="10" t="inlineStr">
        <is>
          <t>Yell</t>
        </is>
      </c>
      <c r="F253" s="10" t="inlineStr">
        <is>
          <t>2026-09-16</t>
        </is>
      </c>
      <c r="G253" s="10" t="inlineStr">
        <is>
          <t>address, phone</t>
        </is>
      </c>
      <c r="H253" s="10" t="inlineStr">
        <is>
          <t>Verified (website + Companies House)</t>
        </is>
      </c>
    </row>
    <row r="254">
      <c r="A254" s="5" t="inlineStr">
        <is>
          <t>WY-0029</t>
        </is>
      </c>
      <c r="B254" s="5" t="inlineStr">
        <is>
          <t>TB Cash &amp; Carry (Bradford)</t>
        </is>
      </c>
      <c r="C254" s="5" t="inlineStr">
        <is>
          <t>Bradford</t>
        </is>
      </c>
      <c r="D254" s="5" t="inlineStr">
        <is>
          <t>https://www.touchbradford.com/business/t-b-cash-and-carry/22060903</t>
        </is>
      </c>
      <c r="E254" s="5" t="inlineStr">
        <is>
          <t>Directory</t>
        </is>
      </c>
      <c r="F254" s="5" t="inlineStr">
        <is>
          <t>2026-09-16</t>
        </is>
      </c>
      <c r="G254" s="5" t="inlineStr">
        <is>
          <t>address, phone cross-check</t>
        </is>
      </c>
      <c r="H254" s="5" t="inlineStr">
        <is>
          <t>Verified (website + Companies House)</t>
        </is>
      </c>
    </row>
    <row r="255">
      <c r="A255" s="10" t="inlineStr">
        <is>
          <t>WY-0029</t>
        </is>
      </c>
      <c r="B255" s="10" t="inlineStr">
        <is>
          <t>TB Cash &amp; Carry (Bradford)</t>
        </is>
      </c>
      <c r="C255" s="10" t="inlineStr">
        <is>
          <t>Bradford</t>
        </is>
      </c>
      <c r="D255" s="10" t="inlineStr">
        <is>
          <t>https://tbcashandcarry.co.uk/</t>
        </is>
      </c>
      <c r="E255" s="10" t="inlineStr">
        <is>
          <t>Official Website</t>
        </is>
      </c>
      <c r="F255" s="10" t="inlineStr">
        <is>
          <t>2026-09-16</t>
        </is>
      </c>
      <c r="G255" s="10" t="inlineStr">
        <is>
          <t>confirmation of Bradford store (via search extraction)</t>
        </is>
      </c>
      <c r="H255" s="10" t="inlineStr">
        <is>
          <t>Verified (website + Companies House)</t>
        </is>
      </c>
    </row>
    <row r="256">
      <c r="A256" s="5" t="inlineStr">
        <is>
          <t>WY-0030</t>
        </is>
      </c>
      <c r="B256" s="5" t="inlineStr">
        <is>
          <t>TB Cash &amp; Carry (Leeds)</t>
        </is>
      </c>
      <c r="C256" s="5" t="inlineStr">
        <is>
          <t>Leeds</t>
        </is>
      </c>
      <c r="D256" s="5" t="inlineStr">
        <is>
          <t>https://tbcashandcarry.co.uk/</t>
        </is>
      </c>
      <c r="E256" s="5" t="inlineStr">
        <is>
          <t>Official Website</t>
        </is>
      </c>
      <c r="F256" s="5" t="inlineStr">
        <is>
          <t>2026-09-16</t>
        </is>
      </c>
      <c r="G256" s="5" t="inlineStr">
        <is>
          <t>business description, est. 1985, two stores Leeds &amp; Bradford (via search extraction)</t>
        </is>
      </c>
      <c r="H256" s="5" t="inlineStr">
        <is>
          <t>Verified (website + Companies House)</t>
        </is>
      </c>
    </row>
    <row r="257">
      <c r="A257" s="10" t="inlineStr">
        <is>
          <t>WY-0030</t>
        </is>
      </c>
      <c r="B257" s="10" t="inlineStr">
        <is>
          <t>TB Cash &amp; Carry (Leeds)</t>
        </is>
      </c>
      <c r="C257" s="10" t="inlineStr">
        <is>
          <t>Leeds</t>
        </is>
      </c>
      <c r="D257" s="10" t="inlineStr">
        <is>
          <t>https://www.thomsonlocal.com/search/cash-carry-wholesalers/leeds/t-b-cash-carry/1798109/01132451454</t>
        </is>
      </c>
      <c r="E257" s="10" t="inlineStr">
        <is>
          <t>Directory</t>
        </is>
      </c>
      <c r="F257" s="10" t="inlineStr">
        <is>
          <t>2026-09-16</t>
        </is>
      </c>
      <c r="G257" s="10" t="inlineStr">
        <is>
          <t>address, phone</t>
        </is>
      </c>
      <c r="H257" s="10" t="inlineStr">
        <is>
          <t>Verified (website + Companies House)</t>
        </is>
      </c>
    </row>
    <row r="258">
      <c r="A258" s="5" t="inlineStr">
        <is>
          <t>WY-0030</t>
        </is>
      </c>
      <c r="B258" s="5" t="inlineStr">
        <is>
          <t>TB Cash &amp; Carry (Leeds)</t>
        </is>
      </c>
      <c r="C258" s="5" t="inlineStr">
        <is>
          <t>Leeds</t>
        </is>
      </c>
      <c r="D258" s="5" t="inlineStr">
        <is>
          <t>https://www.dnb.com/business-directory/company-profiles.t_b_cash__carry.91d763aacce69e3c09820f370a739003.html</t>
        </is>
      </c>
      <c r="E258" s="5" t="inlineStr">
        <is>
          <t>Directory</t>
        </is>
      </c>
      <c r="F258" s="5" t="inlineStr">
        <is>
          <t>2026-09-16</t>
        </is>
      </c>
      <c r="G258" s="5" t="inlineStr">
        <is>
          <t>address, phone, email, business classification</t>
        </is>
      </c>
      <c r="H258" s="5" t="inlineStr">
        <is>
          <t>Verified (website + Companies House)</t>
        </is>
      </c>
    </row>
    <row r="259">
      <c r="A259" s="10" t="inlineStr">
        <is>
          <t>UK-000322</t>
        </is>
      </c>
      <c r="B259" s="10" t="inlineStr">
        <is>
          <t>Texaco Horwich Service Station</t>
        </is>
      </c>
      <c r="C259" s="10" t="inlineStr">
        <is>
          <t>Bolton</t>
        </is>
      </c>
      <c r="D259" s="10" t="inlineStr">
        <is>
          <t>https://petrolmap.co.uk/petrol-stations/lancashire/lancashire/horwich-sstn/6836</t>
        </is>
      </c>
      <c r="E259" s="10" t="inlineStr">
        <is>
          <t>Directory</t>
        </is>
      </c>
      <c r="F259" s="10" t="inlineStr">
        <is>
          <t>2026-09-17</t>
        </is>
      </c>
      <c r="G259" s="10" t="inlineStr">
        <is>
          <t>site name, address, postcode, phone (via search results)</t>
        </is>
      </c>
      <c r="H259" s="10" t="inlineStr">
        <is>
          <t>Requires Verification</t>
        </is>
      </c>
    </row>
    <row r="260">
      <c r="A260" s="5" t="inlineStr">
        <is>
          <t>UK-000441</t>
        </is>
      </c>
      <c r="B260" s="5" t="inlineStr">
        <is>
          <t>The Ace Of Vapez - Bentley</t>
        </is>
      </c>
      <c r="C260" s="5" t="inlineStr">
        <is>
          <t>Walsall</t>
        </is>
      </c>
      <c r="D260" s="5" t="inlineStr">
        <is>
          <t>https://the-ace-of-vapez-bentley.wheree.com/</t>
        </is>
      </c>
      <c r="E260" s="5" t="inlineStr">
        <is>
          <t>Directory</t>
        </is>
      </c>
      <c r="F260" s="5" t="inlineStr">
        <is>
          <t>2026-09-17</t>
        </is>
      </c>
      <c r="G260" s="5" t="inlineStr">
        <is>
          <t>address, postcode</t>
        </is>
      </c>
      <c r="H260" s="5" t="inlineStr">
        <is>
          <t>Partially Verified</t>
        </is>
      </c>
    </row>
    <row r="261">
      <c r="A261" s="10" t="inlineStr">
        <is>
          <t>UK-000441</t>
        </is>
      </c>
      <c r="B261" s="10" t="inlineStr">
        <is>
          <t>The Ace Of Vapez - Bentley</t>
        </is>
      </c>
      <c r="C261" s="10" t="inlineStr">
        <is>
          <t>Walsall</t>
        </is>
      </c>
      <c r="D261" s="10" t="inlineStr">
        <is>
          <t>https://www.facebook.com/TheaceofvapezBentley/</t>
        </is>
      </c>
      <c r="E261" s="10" t="inlineStr">
        <is>
          <t>Facebook</t>
        </is>
      </c>
      <c r="F261" s="10" t="inlineStr">
        <is>
          <t>2026-09-17</t>
        </is>
      </c>
      <c r="G261" s="10" t="inlineStr">
        <is>
          <t>location confirmation</t>
        </is>
      </c>
      <c r="H261" s="10" t="inlineStr">
        <is>
          <t>Partially Verified</t>
        </is>
      </c>
    </row>
    <row r="262">
      <c r="A262" s="5" t="inlineStr">
        <is>
          <t>UK-000442</t>
        </is>
      </c>
      <c r="B262" s="5" t="inlineStr">
        <is>
          <t>The Ace Of Vapez - Bilston</t>
        </is>
      </c>
      <c r="C262" s="5" t="inlineStr">
        <is>
          <t>Bilston</t>
        </is>
      </c>
      <c r="D262" s="5" t="inlineStr">
        <is>
          <t>https://www.theaceofvapez.com/pages/retail-locations</t>
        </is>
      </c>
      <c r="E262" s="5" t="inlineStr">
        <is>
          <t>Official Website</t>
        </is>
      </c>
      <c r="F262" s="5" t="inlineStr">
        <is>
          <t>2026-09-17</t>
        </is>
      </c>
      <c r="G262" s="5" t="inlineStr">
        <is>
          <t>address, postcode</t>
        </is>
      </c>
      <c r="H262" s="5" t="inlineStr">
        <is>
          <t>Partially Verified</t>
        </is>
      </c>
    </row>
    <row r="263">
      <c r="A263" s="10" t="inlineStr">
        <is>
          <t>UK-000443</t>
        </is>
      </c>
      <c r="B263" s="10" t="inlineStr">
        <is>
          <t>The Ace Of Vapez - Caldmore Green</t>
        </is>
      </c>
      <c r="C263" s="10" t="inlineStr">
        <is>
          <t>Walsall</t>
        </is>
      </c>
      <c r="D263" s="10" t="inlineStr">
        <is>
          <t>https://www.theaceofvapez.com/pages/retail-locations</t>
        </is>
      </c>
      <c r="E263" s="10" t="inlineStr">
        <is>
          <t>Official Website</t>
        </is>
      </c>
      <c r="F263" s="10" t="inlineStr">
        <is>
          <t>2026-09-17</t>
        </is>
      </c>
      <c r="G263" s="10" t="inlineStr">
        <is>
          <t>address, postcode</t>
        </is>
      </c>
      <c r="H263" s="10" t="inlineStr">
        <is>
          <t>Partially Verified</t>
        </is>
      </c>
    </row>
    <row r="264">
      <c r="A264" s="5" t="inlineStr">
        <is>
          <t>UK-000444</t>
        </is>
      </c>
      <c r="B264" s="5" t="inlineStr">
        <is>
          <t>The Ace Of Vapez - Codsall</t>
        </is>
      </c>
      <c r="C264" s="5" t="inlineStr">
        <is>
          <t>Wolverhampton</t>
        </is>
      </c>
      <c r="D264" s="5" t="inlineStr">
        <is>
          <t>https://www.theaceofvapez.com/pages/contact-us</t>
        </is>
      </c>
      <c r="E264" s="5" t="inlineStr">
        <is>
          <t>Official Website</t>
        </is>
      </c>
      <c r="F264" s="5" t="inlineStr">
        <is>
          <t>2026-09-17</t>
        </is>
      </c>
      <c r="G264" s="5" t="inlineStr">
        <is>
          <t>address, phone, store email</t>
        </is>
      </c>
      <c r="H264" s="5" t="inlineStr">
        <is>
          <t>Partially Verified</t>
        </is>
      </c>
    </row>
    <row r="265">
      <c r="A265" s="10" t="inlineStr">
        <is>
          <t>UK-000444</t>
        </is>
      </c>
      <c r="B265" s="10" t="inlineStr">
        <is>
          <t>The Ace Of Vapez - Codsall</t>
        </is>
      </c>
      <c r="C265" s="10" t="inlineStr">
        <is>
          <t>Wolverhampton</t>
        </is>
      </c>
      <c r="D265" s="10" t="inlineStr">
        <is>
          <t>https://www.theaceofvapez.com/pages/retail-locations</t>
        </is>
      </c>
      <c r="E265" s="10" t="inlineStr">
        <is>
          <t>Official Website</t>
        </is>
      </c>
      <c r="F265" s="10" t="inlineStr">
        <is>
          <t>2026-09-17</t>
        </is>
      </c>
      <c r="G265" s="10" t="inlineStr">
        <is>
          <t>store list</t>
        </is>
      </c>
      <c r="H265" s="10" t="inlineStr">
        <is>
          <t>Partially Verified</t>
        </is>
      </c>
    </row>
    <row r="266">
      <c r="A266" s="5" t="inlineStr">
        <is>
          <t>UK-000445</t>
        </is>
      </c>
      <c r="B266" s="5" t="inlineStr">
        <is>
          <t>The Ace Of Vapez - East Park</t>
        </is>
      </c>
      <c r="C266" s="5" t="inlineStr">
        <is>
          <t>Wolverhampton</t>
        </is>
      </c>
      <c r="D266" s="5" t="inlineStr">
        <is>
          <t>https://www.theaceofvapez.com/pages/retail-locations</t>
        </is>
      </c>
      <c r="E266" s="5" t="inlineStr">
        <is>
          <t>Official Website</t>
        </is>
      </c>
      <c r="F266" s="5" t="inlineStr">
        <is>
          <t>2026-09-17</t>
        </is>
      </c>
      <c r="G266" s="5" t="inlineStr">
        <is>
          <t>address, postcode, phone, store list</t>
        </is>
      </c>
      <c r="H266" s="5" t="inlineStr">
        <is>
          <t>Verified (website + Companies House)</t>
        </is>
      </c>
    </row>
    <row r="267">
      <c r="A267" s="10" t="inlineStr">
        <is>
          <t>UK-000445</t>
        </is>
      </c>
      <c r="B267" s="10" t="inlineStr">
        <is>
          <t>The Ace Of Vapez - East Park</t>
        </is>
      </c>
      <c r="C267" s="10" t="inlineStr">
        <is>
          <t>Wolverhampton</t>
        </is>
      </c>
      <c r="D267" s="10" t="inlineStr">
        <is>
          <t>https://find-and-update.company-information.service.gov.uk/company/08760274</t>
        </is>
      </c>
      <c r="E267" s="10" t="inlineStr">
        <is>
          <t>Companies House</t>
        </is>
      </c>
      <c r="F267" s="10" t="inlineStr">
        <is>
          <t>2026-09-17</t>
        </is>
      </c>
      <c r="G267" s="10" t="inlineStr">
        <is>
          <t>retail company number</t>
        </is>
      </c>
      <c r="H267" s="10" t="inlineStr">
        <is>
          <t>Verified (website + Companies House)</t>
        </is>
      </c>
    </row>
    <row r="268">
      <c r="A268" s="5" t="inlineStr">
        <is>
          <t>UK-000446</t>
        </is>
      </c>
      <c r="B268" s="5" t="inlineStr">
        <is>
          <t>The Ace Of Vapez - Scotlands</t>
        </is>
      </c>
      <c r="C268" s="5" t="inlineStr">
        <is>
          <t>Wolverhampton</t>
        </is>
      </c>
      <c r="D268" s="5" t="inlineStr">
        <is>
          <t>https://www.theaceofvapez.com/pages/retail-locations</t>
        </is>
      </c>
      <c r="E268" s="5" t="inlineStr">
        <is>
          <t>Official Website</t>
        </is>
      </c>
      <c r="F268" s="5" t="inlineStr">
        <is>
          <t>2026-09-17</t>
        </is>
      </c>
      <c r="G268" s="5" t="inlineStr">
        <is>
          <t>address, postcode, phone</t>
        </is>
      </c>
      <c r="H268" s="5" t="inlineStr">
        <is>
          <t>Partially Verified</t>
        </is>
      </c>
    </row>
    <row r="269">
      <c r="A269" s="10" t="inlineStr">
        <is>
          <t>UK-000446</t>
        </is>
      </c>
      <c r="B269" s="10" t="inlineStr">
        <is>
          <t>The Ace Of Vapez - Scotlands</t>
        </is>
      </c>
      <c r="C269" s="10" t="inlineStr">
        <is>
          <t>Wolverhampton</t>
        </is>
      </c>
      <c r="D269" s="10" t="inlineStr">
        <is>
          <t>https://the-ace-of-vapez-scotlands.wheree.com/</t>
        </is>
      </c>
      <c r="E269" s="10" t="inlineStr">
        <is>
          <t>Directory</t>
        </is>
      </c>
      <c r="F269" s="10" t="inlineStr">
        <is>
          <t>2026-09-17</t>
        </is>
      </c>
      <c r="G269" s="10" t="inlineStr">
        <is>
          <t>location confirmation</t>
        </is>
      </c>
      <c r="H269" s="10" t="inlineStr">
        <is>
          <t>Partially Verified</t>
        </is>
      </c>
    </row>
    <row r="270">
      <c r="A270" s="5" t="inlineStr">
        <is>
          <t>UK-000447</t>
        </is>
      </c>
      <c r="B270" s="5" t="inlineStr">
        <is>
          <t>The Ace Of Vapez - Willenhall (The Precinct)</t>
        </is>
      </c>
      <c r="C270" s="5" t="inlineStr">
        <is>
          <t>Willenhall</t>
        </is>
      </c>
      <c r="D270" s="5" t="inlineStr">
        <is>
          <t>https://www.theaceofvapez.com/pages/retail-locations</t>
        </is>
      </c>
      <c r="E270" s="5" t="inlineStr">
        <is>
          <t>Official Website</t>
        </is>
      </c>
      <c r="F270" s="5" t="inlineStr">
        <is>
          <t>2026-09-17</t>
        </is>
      </c>
      <c r="G270" s="5" t="inlineStr">
        <is>
          <t>address, postcode, phone</t>
        </is>
      </c>
      <c r="H270" s="5" t="inlineStr">
        <is>
          <t>Partially Verified</t>
        </is>
      </c>
    </row>
    <row r="271">
      <c r="A271" s="10" t="inlineStr">
        <is>
          <t>UK-000448</t>
        </is>
      </c>
      <c r="B271" s="10" t="inlineStr">
        <is>
          <t>The Ace of Vapez - Acocks Green</t>
        </is>
      </c>
      <c r="C271" s="10" t="inlineStr">
        <is>
          <t>Birmingham</t>
        </is>
      </c>
      <c r="D271" s="10" t="inlineStr">
        <is>
          <t>https://www.theaceofvapez.com/pages/acocks-green</t>
        </is>
      </c>
      <c r="E271" s="10" t="inlineStr">
        <is>
          <t>Official Website</t>
        </is>
      </c>
      <c r="F271" s="10" t="inlineStr">
        <is>
          <t>2026-09-17</t>
        </is>
      </c>
      <c r="G271" s="10" t="inlineStr">
        <is>
          <t>address, postcode, phone</t>
        </is>
      </c>
      <c r="H271" s="10" t="inlineStr">
        <is>
          <t>Requires Verification</t>
        </is>
      </c>
    </row>
    <row r="272">
      <c r="A272" s="5" t="inlineStr">
        <is>
          <t>UK-000448</t>
        </is>
      </c>
      <c r="B272" s="5" t="inlineStr">
        <is>
          <t>The Ace of Vapez - Acocks Green</t>
        </is>
      </c>
      <c r="C272" s="5" t="inlineStr">
        <is>
          <t>Birmingham</t>
        </is>
      </c>
      <c r="D272" s="5" t="inlineStr">
        <is>
          <t>https://www.theaceofvapez.com/pages/retail-locations</t>
        </is>
      </c>
      <c r="E272" s="5" t="inlineStr">
        <is>
          <t>Official Website</t>
        </is>
      </c>
      <c r="F272" s="5" t="inlineStr">
        <is>
          <t>2026-09-17</t>
        </is>
      </c>
      <c r="G272" s="5" t="inlineStr">
        <is>
          <t>multi-site confirmation</t>
        </is>
      </c>
      <c r="H272" s="5" t="inlineStr">
        <is>
          <t>Requires Verification</t>
        </is>
      </c>
    </row>
    <row r="273">
      <c r="A273" s="10" t="inlineStr">
        <is>
          <t>UK-000215</t>
        </is>
      </c>
      <c r="B273" s="10" t="inlineStr">
        <is>
          <t>The Dram Shop</t>
        </is>
      </c>
      <c r="C273" s="10" t="inlineStr">
        <is>
          <t>Sheffield</t>
        </is>
      </c>
      <c r="D273" s="10" t="inlineStr">
        <is>
          <t>https://www.yelp.co.uk/biz/dram-shop-sheffield</t>
        </is>
      </c>
      <c r="E273" s="10" t="inlineStr">
        <is>
          <t>Directory</t>
        </is>
      </c>
      <c r="F273" s="10" t="inlineStr">
        <is>
          <t>2026-09-16</t>
        </is>
      </c>
      <c r="G273" s="10" t="inlineStr">
        <is>
          <t>name, address, category</t>
        </is>
      </c>
      <c r="H273" s="10" t="inlineStr">
        <is>
          <t>Requires Verification</t>
        </is>
      </c>
    </row>
    <row r="274">
      <c r="A274" s="5" t="inlineStr">
        <is>
          <t>UK-000215</t>
        </is>
      </c>
      <c r="B274" s="5" t="inlineStr">
        <is>
          <t>The Dram Shop</t>
        </is>
      </c>
      <c r="C274" s="5" t="inlineStr">
        <is>
          <t>Sheffield</t>
        </is>
      </c>
      <c r="D274" s="5" t="inlineStr">
        <is>
          <t>https://find-open.co.uk/sheffield/the-dram-shop-1534489</t>
        </is>
      </c>
      <c r="E274" s="5" t="inlineStr">
        <is>
          <t>Directory</t>
        </is>
      </c>
      <c r="F274" s="5" t="inlineStr">
        <is>
          <t>2026-09-16</t>
        </is>
      </c>
      <c r="G274" s="5" t="inlineStr">
        <is>
          <t>postcode S10 1GA, phone</t>
        </is>
      </c>
      <c r="H274" s="5" t="inlineStr">
        <is>
          <t>Requires Verification</t>
        </is>
      </c>
    </row>
    <row r="275">
      <c r="A275" s="10" t="inlineStr">
        <is>
          <t>UK-000323</t>
        </is>
      </c>
      <c r="B275" s="10" t="inlineStr">
        <is>
          <t>The E-Cig Store (Timperley, Trafford)</t>
        </is>
      </c>
      <c r="C275" s="10" t="inlineStr">
        <is>
          <t>Altrincham</t>
        </is>
      </c>
      <c r="D275" s="10" t="inlineStr">
        <is>
          <t>https://theecig.co.uk/pages/the-e-cig-store-timperley</t>
        </is>
      </c>
      <c r="E275" s="10" t="inlineStr">
        <is>
          <t>Official Website</t>
        </is>
      </c>
      <c r="F275" s="10" t="inlineStr">
        <is>
          <t>2026-09-17</t>
        </is>
      </c>
      <c r="G275" s="10" t="inlineStr">
        <is>
          <t>store name, address, postcode</t>
        </is>
      </c>
      <c r="H275" s="10" t="inlineStr">
        <is>
          <t>Requires Verification</t>
        </is>
      </c>
    </row>
    <row r="276">
      <c r="A276" s="5" t="inlineStr">
        <is>
          <t>UK-000323</t>
        </is>
      </c>
      <c r="B276" s="5" t="inlineStr">
        <is>
          <t>The E-Cig Store (Timperley, Trafford)</t>
        </is>
      </c>
      <c r="C276" s="5" t="inlineStr">
        <is>
          <t>Altrincham</t>
        </is>
      </c>
      <c r="D276" s="5" t="inlineStr">
        <is>
          <t>https://theecig.co.uk/pages/store-locator</t>
        </is>
      </c>
      <c r="E276" s="5" t="inlineStr">
        <is>
          <t>Official Website</t>
        </is>
      </c>
      <c r="F276" s="5" t="inlineStr">
        <is>
          <t>2026-09-17</t>
        </is>
      </c>
      <c r="G276" s="5" t="inlineStr">
        <is>
          <t>chain size, store list</t>
        </is>
      </c>
      <c r="H276" s="5" t="inlineStr">
        <is>
          <t>Requires Verification</t>
        </is>
      </c>
    </row>
    <row r="277">
      <c r="A277" s="10" t="inlineStr">
        <is>
          <t>UK-000324</t>
        </is>
      </c>
      <c r="B277" s="10" t="inlineStr">
        <is>
          <t>The E-Cig Store (West Timperley, Trafford)</t>
        </is>
      </c>
      <c r="C277" s="10" t="inlineStr">
        <is>
          <t>Altrincham</t>
        </is>
      </c>
      <c r="D277" s="10" t="inlineStr">
        <is>
          <t>https://vapeshops.puffingbird.com/england/altrincham/the-e-cig-store-west-timperley</t>
        </is>
      </c>
      <c r="E277" s="10" t="inlineStr">
        <is>
          <t>Directory</t>
        </is>
      </c>
      <c r="F277" s="10" t="inlineStr">
        <is>
          <t>2026-09-17</t>
        </is>
      </c>
      <c r="G277" s="10" t="inlineStr">
        <is>
          <t>store name, address, postcode</t>
        </is>
      </c>
      <c r="H277" s="10" t="inlineStr">
        <is>
          <t>Requires Verification</t>
        </is>
      </c>
    </row>
    <row r="278">
      <c r="A278" s="5" t="inlineStr">
        <is>
          <t>UK-000324</t>
        </is>
      </c>
      <c r="B278" s="5" t="inlineStr">
        <is>
          <t>The E-Cig Store (West Timperley, Trafford)</t>
        </is>
      </c>
      <c r="C278" s="5" t="inlineStr">
        <is>
          <t>Altrincham</t>
        </is>
      </c>
      <c r="D278" s="5" t="inlineStr">
        <is>
          <t>https://theecig.co.uk/pages/store-locator</t>
        </is>
      </c>
      <c r="E278" s="5" t="inlineStr">
        <is>
          <t>Official Website</t>
        </is>
      </c>
      <c r="F278" s="5" t="inlineStr">
        <is>
          <t>2026-09-17</t>
        </is>
      </c>
      <c r="G278" s="5" t="inlineStr">
        <is>
          <t>chain membership</t>
        </is>
      </c>
      <c r="H278" s="5" t="inlineStr">
        <is>
          <t>Requires Verification</t>
        </is>
      </c>
    </row>
    <row r="279">
      <c r="A279" s="10" t="inlineStr">
        <is>
          <t>UK-000325</t>
        </is>
      </c>
      <c r="B279" s="10" t="inlineStr">
        <is>
          <t>The E-Cig Store Stockport</t>
        </is>
      </c>
      <c r="C279" s="10" t="inlineStr">
        <is>
          <t>Stockport</t>
        </is>
      </c>
      <c r="D279" s="10" t="inlineStr">
        <is>
          <t>https://theecig.co.uk/pages/the-e-cig-store-stockport</t>
        </is>
      </c>
      <c r="E279" s="10" t="inlineStr">
        <is>
          <t>Official Website</t>
        </is>
      </c>
      <c r="F279" s="10" t="inlineStr">
        <is>
          <t>2026-09-17</t>
        </is>
      </c>
      <c r="G279" s="10" t="inlineStr">
        <is>
          <t>trading name, area, website</t>
        </is>
      </c>
      <c r="H279" s="10" t="inlineStr">
        <is>
          <t>Requires Verification</t>
        </is>
      </c>
    </row>
    <row r="280">
      <c r="A280" s="5" t="inlineStr">
        <is>
          <t>WY-0031</t>
        </is>
      </c>
      <c r="B280" s="5" t="inlineStr">
        <is>
          <t>The Vape Centre (Wetherby)</t>
        </is>
      </c>
      <c r="C280" s="5" t="inlineStr">
        <is>
          <t>Wetherby</t>
        </is>
      </c>
      <c r="D280" s="5" t="inlineStr">
        <is>
          <t>https://wetherbytowncouncil.gov.uk/our-businesses/vape-centre/</t>
        </is>
      </c>
      <c r="E280" s="5" t="inlineStr">
        <is>
          <t>Directory</t>
        </is>
      </c>
      <c r="F280" s="5" t="inlineStr">
        <is>
          <t>2026-09-16</t>
        </is>
      </c>
      <c r="G280" s="5" t="inlineStr">
        <is>
          <t>name, address (via search results)</t>
        </is>
      </c>
      <c r="H280" s="5" t="inlineStr">
        <is>
          <t>Requires Verification</t>
        </is>
      </c>
    </row>
    <row r="281">
      <c r="A281" s="10" t="inlineStr">
        <is>
          <t>WY-0031</t>
        </is>
      </c>
      <c r="B281" s="10" t="inlineStr">
        <is>
          <t>The Vape Centre (Wetherby)</t>
        </is>
      </c>
      <c r="C281" s="10" t="inlineStr">
        <is>
          <t>Wetherby</t>
        </is>
      </c>
      <c r="D281" s="10" t="inlineStr">
        <is>
          <t>https://www.wegetyoufound.co.uk/listings/the-vape-centre/wetherby/vaporizer-store</t>
        </is>
      </c>
      <c r="E281" s="10" t="inlineStr">
        <is>
          <t>Directory</t>
        </is>
      </c>
      <c r="F281" s="10" t="inlineStr">
        <is>
          <t>2026-09-16</t>
        </is>
      </c>
      <c r="G281" s="10" t="inlineStr">
        <is>
          <t>address, phone (via search results)</t>
        </is>
      </c>
      <c r="H281" s="10" t="inlineStr">
        <is>
          <t>Requires Verification</t>
        </is>
      </c>
    </row>
    <row r="282">
      <c r="A282" s="5" t="inlineStr">
        <is>
          <t>WY-0031</t>
        </is>
      </c>
      <c r="B282" s="5" t="inlineStr">
        <is>
          <t>The Vape Centre (Wetherby)</t>
        </is>
      </c>
      <c r="C282" s="5" t="inlineStr">
        <is>
          <t>Wetherby</t>
        </is>
      </c>
      <c r="D282" s="5" t="inlineStr">
        <is>
          <t>https://wetherby.cylex-uk.co.uk/company/vape-centre-wetherby-ltd-26120974.html</t>
        </is>
      </c>
      <c r="E282" s="5" t="inlineStr">
        <is>
          <t>Directory</t>
        </is>
      </c>
      <c r="F282" s="5" t="inlineStr">
        <is>
          <t>2026-09-16</t>
        </is>
      </c>
      <c r="G282" s="5" t="inlineStr">
        <is>
          <t>legal company name (via search results)</t>
        </is>
      </c>
      <c r="H282" s="5" t="inlineStr">
        <is>
          <t>Requires Verification</t>
        </is>
      </c>
    </row>
    <row r="283">
      <c r="A283" s="10" t="inlineStr">
        <is>
          <t>WY-0032</t>
        </is>
      </c>
      <c r="B283" s="10" t="inlineStr">
        <is>
          <t>Totally Wicked</t>
        </is>
      </c>
      <c r="C283" s="10" t="inlineStr">
        <is>
          <t>Brighouse</t>
        </is>
      </c>
      <c r="D283" s="10" t="inlineStr">
        <is>
          <t>https://brighouse.cylex-uk.co.uk/vape-shops/</t>
        </is>
      </c>
      <c r="E283" s="10" t="inlineStr">
        <is>
          <t>Directory</t>
        </is>
      </c>
      <c r="F283" s="10" t="inlineStr">
        <is>
          <t>2026-09-16</t>
        </is>
      </c>
      <c r="G283" s="10" t="inlineStr">
        <is>
          <t>address, postcode, phone</t>
        </is>
      </c>
      <c r="H283" s="10" t="inlineStr">
        <is>
          <t>Requires Verification</t>
        </is>
      </c>
    </row>
    <row r="284">
      <c r="A284" s="5" t="inlineStr">
        <is>
          <t>WY-0033</t>
        </is>
      </c>
      <c r="B284" s="5" t="inlineStr">
        <is>
          <t>Totally Wicked</t>
        </is>
      </c>
      <c r="C284" s="5" t="inlineStr">
        <is>
          <t>Halifax</t>
        </is>
      </c>
      <c r="D284" s="5" t="inlineStr">
        <is>
          <t>https://www.totallywicked-eliquid.co.uk/stores/halifax-e-cigs-e-liquid-shop</t>
        </is>
      </c>
      <c r="E284" s="5" t="inlineStr">
        <is>
          <t>Official Website</t>
        </is>
      </c>
      <c r="F284" s="5" t="inlineStr">
        <is>
          <t>2026-09-16</t>
        </is>
      </c>
      <c r="G284" s="5" t="inlineStr">
        <is>
          <t>store existence, stocked brands (via search snippet; fetch blocked)</t>
        </is>
      </c>
      <c r="H284" s="5" t="inlineStr">
        <is>
          <t>Requires Verification</t>
        </is>
      </c>
    </row>
    <row r="285">
      <c r="A285" s="10" t="inlineStr">
        <is>
          <t>WY-0033</t>
        </is>
      </c>
      <c r="B285" s="10" t="inlineStr">
        <is>
          <t>Totally Wicked</t>
        </is>
      </c>
      <c r="C285" s="10" t="inlineStr">
        <is>
          <t>Halifax</t>
        </is>
      </c>
      <c r="D285" s="10" t="inlineStr">
        <is>
          <t>https://www.yell.com/s/tobacconists-halifax.html</t>
        </is>
      </c>
      <c r="E285" s="10" t="inlineStr">
        <is>
          <t>Yell</t>
        </is>
      </c>
      <c r="F285" s="10" t="inlineStr">
        <is>
          <t>2026-09-16</t>
        </is>
      </c>
      <c r="G285" s="10" t="inlineStr">
        <is>
          <t>address, postcode</t>
        </is>
      </c>
      <c r="H285" s="10" t="inlineStr">
        <is>
          <t>Requires Verification</t>
        </is>
      </c>
    </row>
    <row r="286">
      <c r="A286" s="5" t="inlineStr">
        <is>
          <t>WY-0033</t>
        </is>
      </c>
      <c r="B286" s="5" t="inlineStr">
        <is>
          <t>Totally Wicked</t>
        </is>
      </c>
      <c r="C286" s="5" t="inlineStr">
        <is>
          <t>Halifax</t>
        </is>
      </c>
      <c r="D286" s="5" t="inlineStr">
        <is>
          <t>https://directory.birminghampost.co.uk/company/9f1f3f6a595c8b843e37df17c5426f35</t>
        </is>
      </c>
      <c r="E286" s="5" t="inlineStr">
        <is>
          <t>Directory</t>
        </is>
      </c>
      <c r="F286" s="5" t="inlineStr">
        <is>
          <t>2026-09-16</t>
        </is>
      </c>
      <c r="G286" s="5" t="inlineStr">
        <is>
          <t>phone</t>
        </is>
      </c>
      <c r="H286" s="5" t="inlineStr">
        <is>
          <t>Requires Verification</t>
        </is>
      </c>
    </row>
    <row r="287">
      <c r="A287" s="10" t="inlineStr">
        <is>
          <t>UK-000561</t>
        </is>
      </c>
      <c r="B287" s="10" t="inlineStr">
        <is>
          <t>Turkish Food Centre (Edmonton)</t>
        </is>
      </c>
      <c r="C287" s="10" t="inlineStr">
        <is>
          <t>Edmonton</t>
        </is>
      </c>
      <c r="D287" s="10" t="inlineStr">
        <is>
          <t>https://www.yell.com/biz/turkish-food-centre-edmondton-london-487834/</t>
        </is>
      </c>
      <c r="E287" s="10" t="inlineStr">
        <is>
          <t>Yell</t>
        </is>
      </c>
      <c r="F287" s="10" t="inlineStr">
        <is>
          <t>2026-09-17</t>
        </is>
      </c>
      <c r="G287" s="10" t="inlineStr">
        <is>
          <t>name, district</t>
        </is>
      </c>
      <c r="H287" s="10" t="inlineStr">
        <is>
          <t>Requires Verification</t>
        </is>
      </c>
    </row>
    <row r="288">
      <c r="A288" s="5" t="inlineStr">
        <is>
          <t>UK-000562</t>
        </is>
      </c>
      <c r="B288" s="5" t="inlineStr">
        <is>
          <t>UK E-Cig Store (Camden High Street)</t>
        </is>
      </c>
      <c r="C288" s="5" t="inlineStr">
        <is>
          <t>London</t>
        </is>
      </c>
      <c r="D288" s="5" t="inlineStr">
        <is>
          <t>https://www.yell.com/s/vape+shops-camden+town-central+london.html</t>
        </is>
      </c>
      <c r="E288" s="5" t="inlineStr">
        <is>
          <t>Yell</t>
        </is>
      </c>
      <c r="F288" s="5" t="inlineStr">
        <is>
          <t>2026-09-17</t>
        </is>
      </c>
      <c r="G288" s="5" t="inlineStr">
        <is>
          <t>business name, address, postcode, phone</t>
        </is>
      </c>
      <c r="H288" s="5" t="inlineStr">
        <is>
          <t>Requires Verification</t>
        </is>
      </c>
    </row>
    <row r="289">
      <c r="A289" s="10" t="inlineStr">
        <is>
          <t>UK-000727</t>
        </is>
      </c>
      <c r="B289" s="10" t="inlineStr">
        <is>
          <t>United Wholesale (Scotland) Ltd - Maxwell Road</t>
        </is>
      </c>
      <c r="C289" s="10" t="inlineStr">
        <is>
          <t>Glasgow</t>
        </is>
      </c>
      <c r="D289" s="10" t="inlineStr">
        <is>
          <t>https://uniteduk.co.uk/about-united-cash-and-carry-wholesale-glasgow/</t>
        </is>
      </c>
      <c r="E289" s="10" t="inlineStr">
        <is>
          <t>Official Website</t>
        </is>
      </c>
      <c r="F289" s="10" t="inlineStr">
        <is>
          <t>2026-09-17</t>
        </is>
      </c>
      <c r="G289" s="10" t="inlineStr">
        <is>
          <t>depots, product ranges</t>
        </is>
      </c>
      <c r="H289" s="10" t="inlineStr">
        <is>
          <t>Requires Verification</t>
        </is>
      </c>
    </row>
    <row r="290">
      <c r="A290" s="5" t="inlineStr">
        <is>
          <t>UK-000727</t>
        </is>
      </c>
      <c r="B290" s="5" t="inlineStr">
        <is>
          <t>United Wholesale (Scotland) Ltd - Maxwell Road</t>
        </is>
      </c>
      <c r="C290" s="5" t="inlineStr">
        <is>
          <t>Glasgow</t>
        </is>
      </c>
      <c r="D290" s="5" t="inlineStr">
        <is>
          <t>https://www.misterwhat.co.uk/company/1314320-united-wholesale-scotland-ltd-glasgow</t>
        </is>
      </c>
      <c r="E290" s="5" t="inlineStr">
        <is>
          <t>Directory</t>
        </is>
      </c>
      <c r="F290" s="5" t="inlineStr">
        <is>
          <t>2026-09-17</t>
        </is>
      </c>
      <c r="G290" s="5" t="inlineStr">
        <is>
          <t>address, postcode, phone</t>
        </is>
      </c>
      <c r="H290" s="5" t="inlineStr">
        <is>
          <t>Requires Verification</t>
        </is>
      </c>
    </row>
    <row r="291">
      <c r="A291" s="10" t="inlineStr">
        <is>
          <t>UK-000728</t>
        </is>
      </c>
      <c r="B291" s="10" t="inlineStr">
        <is>
          <t>United Wholesale (Scotland) Ltd - Queenslie</t>
        </is>
      </c>
      <c r="C291" s="10" t="inlineStr">
        <is>
          <t>Glasgow</t>
        </is>
      </c>
      <c r="D291" s="10" t="inlineStr">
        <is>
          <t>https://unitedwholesalescotland.wordpress.com/our-depots/</t>
        </is>
      </c>
      <c r="E291" s="10" t="inlineStr">
        <is>
          <t>Official Website</t>
        </is>
      </c>
      <c r="F291" s="10" t="inlineStr">
        <is>
          <t>2026-09-17</t>
        </is>
      </c>
      <c r="G291" s="10" t="inlineStr">
        <is>
          <t>depot address, postcode</t>
        </is>
      </c>
      <c r="H291" s="10" t="inlineStr">
        <is>
          <t>Requires Verification</t>
        </is>
      </c>
    </row>
    <row r="292">
      <c r="A292" s="5" t="inlineStr">
        <is>
          <t>UK-000216</t>
        </is>
      </c>
      <c r="B292" s="5" t="inlineStr">
        <is>
          <t>VAPEx Doncaster</t>
        </is>
      </c>
      <c r="C292" s="5" t="inlineStr">
        <is>
          <t>Doncaster</t>
        </is>
      </c>
      <c r="D292" s="5" t="inlineStr">
        <is>
          <t>https://directory.gazettelive.co.uk/company/38099bbaff0399ea2ed5ae56d12efd2e</t>
        </is>
      </c>
      <c r="E292" s="5" t="inlineStr">
        <is>
          <t>Directory</t>
        </is>
      </c>
      <c r="F292" s="5" t="inlineStr">
        <is>
          <t>2026-09-16</t>
        </is>
      </c>
      <c r="G292" s="5" t="inlineStr">
        <is>
          <t>address, postcode DN1 2BY</t>
        </is>
      </c>
      <c r="H292" s="5" t="inlineStr">
        <is>
          <t>Requires Verification</t>
        </is>
      </c>
    </row>
    <row r="293">
      <c r="A293" s="10" t="inlineStr">
        <is>
          <t>UK-000216</t>
        </is>
      </c>
      <c r="B293" s="10" t="inlineStr">
        <is>
          <t>VAPEx Doncaster</t>
        </is>
      </c>
      <c r="C293" s="10" t="inlineStr">
        <is>
          <t>Doncaster</t>
        </is>
      </c>
      <c r="D293" s="10" t="inlineStr">
        <is>
          <t>https://www.thomsonlocal.com/search/smoking-cessation/doncaster/vapex/3267060/01302315051</t>
        </is>
      </c>
      <c r="E293" s="10" t="inlineStr">
        <is>
          <t>Directory</t>
        </is>
      </c>
      <c r="F293" s="10" t="inlineStr">
        <is>
          <t>2026-09-16</t>
        </is>
      </c>
      <c r="G293" s="10" t="inlineStr">
        <is>
          <t>phone 01302 315051</t>
        </is>
      </c>
      <c r="H293" s="10" t="inlineStr">
        <is>
          <t>Requires Verification</t>
        </is>
      </c>
    </row>
    <row r="294">
      <c r="A294" s="5" t="inlineStr">
        <is>
          <t>UK-000449</t>
        </is>
      </c>
      <c r="B294" s="5" t="inlineStr">
        <is>
          <t>VJ Vapours</t>
        </is>
      </c>
      <c r="C294" s="5" t="inlineStr">
        <is>
          <t>Walsall</t>
        </is>
      </c>
      <c r="D294" s="5" t="inlineStr">
        <is>
          <t>https://vapeshop-nearme.com/listing/vj-vapours-walsall/</t>
        </is>
      </c>
      <c r="E294" s="5" t="inlineStr">
        <is>
          <t>Directory</t>
        </is>
      </c>
      <c r="F294" s="5" t="inlineStr">
        <is>
          <t>2026-09-17</t>
        </is>
      </c>
      <c r="G294" s="5" t="inlineStr">
        <is>
          <t>address, postcode</t>
        </is>
      </c>
      <c r="H294" s="5" t="inlineStr">
        <is>
          <t>Partially Verified</t>
        </is>
      </c>
    </row>
    <row r="295">
      <c r="A295" s="10" t="inlineStr">
        <is>
          <t>UK-000449</t>
        </is>
      </c>
      <c r="B295" s="10" t="inlineStr">
        <is>
          <t>VJ Vapours</t>
        </is>
      </c>
      <c r="C295" s="10" t="inlineStr">
        <is>
          <t>Walsall</t>
        </is>
      </c>
      <c r="D295" s="10" t="inlineStr">
        <is>
          <t>https://vjvapours.com/</t>
        </is>
      </c>
      <c r="E295" s="10" t="inlineStr">
        <is>
          <t>Official Website</t>
        </is>
      </c>
      <c r="F295" s="10" t="inlineStr">
        <is>
          <t>2026-09-17</t>
        </is>
      </c>
      <c r="G295" s="10" t="inlineStr">
        <is>
          <t>website</t>
        </is>
      </c>
      <c r="H295" s="10" t="inlineStr">
        <is>
          <t>Partially Verified</t>
        </is>
      </c>
    </row>
    <row r="296">
      <c r="A296" s="5" t="inlineStr">
        <is>
          <t>UK-000729</t>
        </is>
      </c>
      <c r="B296" s="5" t="inlineStr">
        <is>
          <t>VPZ Bathgate</t>
        </is>
      </c>
      <c r="C296" s="5" t="inlineStr">
        <is>
          <t>Bathgate</t>
        </is>
      </c>
      <c r="D296" s="5" t="inlineStr">
        <is>
          <t>https://bathgate.cylex-uk.co.uk/company/vpz-26787205.html</t>
        </is>
      </c>
      <c r="E296" s="5" t="inlineStr">
        <is>
          <t>Directory</t>
        </is>
      </c>
      <c r="F296" s="5" t="inlineStr">
        <is>
          <t>2026-09-17</t>
        </is>
      </c>
      <c r="G296" s="5" t="inlineStr">
        <is>
          <t>name, street (snippet; phone truncated)</t>
        </is>
      </c>
      <c r="H296" s="5" t="inlineStr">
        <is>
          <t>Requires Verification</t>
        </is>
      </c>
    </row>
    <row r="297">
      <c r="A297" s="10" t="inlineStr">
        <is>
          <t>UK-000730</t>
        </is>
      </c>
      <c r="B297" s="10" t="inlineStr">
        <is>
          <t>VPZ Clydebank</t>
        </is>
      </c>
      <c r="C297" s="10" t="inlineStr">
        <is>
          <t>Clydebank</t>
        </is>
      </c>
      <c r="D297" s="10" t="inlineStr">
        <is>
          <t>https://www.vpz.co.uk/stores/l/clydebank/17-sylvania-way-south/6168779</t>
        </is>
      </c>
      <c r="E297" s="10" t="inlineStr">
        <is>
          <t>Official Website</t>
        </is>
      </c>
      <c r="F297" s="10" t="inlineStr">
        <is>
          <t>2026-09-17</t>
        </is>
      </c>
      <c r="G297" s="10" t="inlineStr">
        <is>
          <t>store location, address</t>
        </is>
      </c>
      <c r="H297" s="10" t="inlineStr">
        <is>
          <t>Requires Verification</t>
        </is>
      </c>
    </row>
    <row r="298">
      <c r="A298" s="5" t="inlineStr">
        <is>
          <t>UK-000730</t>
        </is>
      </c>
      <c r="B298" s="5" t="inlineStr">
        <is>
          <t>VPZ Clydebank</t>
        </is>
      </c>
      <c r="C298" s="5" t="inlineStr">
        <is>
          <t>Clydebank</t>
        </is>
      </c>
      <c r="D298" s="5" t="inlineStr">
        <is>
          <t>https://m.yelp.com/biz/vpz-clydebank-2</t>
        </is>
      </c>
      <c r="E298" s="5" t="inlineStr">
        <is>
          <t>Directory</t>
        </is>
      </c>
      <c r="F298" s="5" t="inlineStr">
        <is>
          <t>2026-09-17</t>
        </is>
      </c>
      <c r="G298" s="5" t="inlineStr">
        <is>
          <t>postcode, phone</t>
        </is>
      </c>
      <c r="H298" s="5" t="inlineStr">
        <is>
          <t>Requires Verification</t>
        </is>
      </c>
    </row>
    <row r="299">
      <c r="A299" s="10" t="inlineStr">
        <is>
          <t>UK-000731</t>
        </is>
      </c>
      <c r="B299" s="10" t="inlineStr">
        <is>
          <t>VPZ Dunfermline</t>
        </is>
      </c>
      <c r="C299" s="10" t="inlineStr">
        <is>
          <t>Dunfermline</t>
        </is>
      </c>
      <c r="D299" s="10" t="inlineStr">
        <is>
          <t>https://dunfermline.cylex-uk.co.uk/company/vpz-26787208.html</t>
        </is>
      </c>
      <c r="E299" s="10" t="inlineStr">
        <is>
          <t>Directory</t>
        </is>
      </c>
      <c r="F299" s="10" t="inlineStr">
        <is>
          <t>2026-09-17</t>
        </is>
      </c>
      <c r="G299" s="10" t="inlineStr">
        <is>
          <t>address, postcode, phone (snippet)</t>
        </is>
      </c>
      <c r="H299" s="10" t="inlineStr">
        <is>
          <t>Requires Verification</t>
        </is>
      </c>
    </row>
    <row r="300">
      <c r="A300" s="5" t="inlineStr">
        <is>
          <t>UK-000732</t>
        </is>
      </c>
      <c r="B300" s="5" t="inlineStr">
        <is>
          <t>VPZ East Kilbride</t>
        </is>
      </c>
      <c r="C300" s="5" t="inlineStr">
        <is>
          <t>East Kilbride</t>
        </is>
      </c>
      <c r="D300" s="5" t="inlineStr">
        <is>
          <t>https://www.vpz.co.uk/stores/l/east-kilbride/princes-mall/6168648</t>
        </is>
      </c>
      <c r="E300" s="5" t="inlineStr">
        <is>
          <t>Official Website</t>
        </is>
      </c>
      <c r="F300" s="5" t="inlineStr">
        <is>
          <t>2026-09-17</t>
        </is>
      </c>
      <c r="G300" s="5" t="inlineStr">
        <is>
          <t>store location</t>
        </is>
      </c>
      <c r="H300" s="5" t="inlineStr">
        <is>
          <t>Requires Verification</t>
        </is>
      </c>
    </row>
    <row r="301">
      <c r="A301" s="10" t="inlineStr">
        <is>
          <t>UK-000732</t>
        </is>
      </c>
      <c r="B301" s="10" t="inlineStr">
        <is>
          <t>VPZ East Kilbride</t>
        </is>
      </c>
      <c r="C301" s="10" t="inlineStr">
        <is>
          <t>East Kilbride</t>
        </is>
      </c>
      <c r="D301" s="10" t="inlineStr">
        <is>
          <t>https://www.ibegin.com/directory/uk/lanarkshire/glasgow/vpz-unit-27-princes-mall-east-kilbride-shopping-centre/</t>
        </is>
      </c>
      <c r="E301" s="10" t="inlineStr">
        <is>
          <t>Directory</t>
        </is>
      </c>
      <c r="F301" s="10" t="inlineStr">
        <is>
          <t>2026-09-17</t>
        </is>
      </c>
      <c r="G301" s="10" t="inlineStr">
        <is>
          <t>address, postcode, phone</t>
        </is>
      </c>
      <c r="H301" s="10" t="inlineStr">
        <is>
          <t>Requires Verification</t>
        </is>
      </c>
    </row>
    <row r="302">
      <c r="A302" s="5" t="inlineStr">
        <is>
          <t>UK-000733</t>
        </is>
      </c>
      <c r="B302" s="5" t="inlineStr">
        <is>
          <t>VPZ Grangemouth</t>
        </is>
      </c>
      <c r="C302" s="5" t="inlineStr">
        <is>
          <t>Grangemouth</t>
        </is>
      </c>
      <c r="D302" s="5" t="inlineStr">
        <is>
          <t>https://grangemouth.cylex-uk.co.uk/company/vpz-26862956.html</t>
        </is>
      </c>
      <c r="E302" s="5" t="inlineStr">
        <is>
          <t>Directory</t>
        </is>
      </c>
      <c r="F302" s="5" t="inlineStr">
        <is>
          <t>2026-09-17</t>
        </is>
      </c>
      <c r="G302" s="5" t="inlineStr">
        <is>
          <t>address, postcode, phone (snippet)</t>
        </is>
      </c>
      <c r="H302" s="5" t="inlineStr">
        <is>
          <t>Requires Verification</t>
        </is>
      </c>
    </row>
    <row r="303">
      <c r="A303" s="10" t="inlineStr">
        <is>
          <t>UK-000734</t>
        </is>
      </c>
      <c r="B303" s="10" t="inlineStr">
        <is>
          <t>VPZ Hamilton</t>
        </is>
      </c>
      <c r="C303" s="10" t="inlineStr">
        <is>
          <t>Hamilton</t>
        </is>
      </c>
      <c r="D303" s="10" t="inlineStr">
        <is>
          <t>https://firmania.co.uk/hamilton-south-lanarkshire/vpz-2713256</t>
        </is>
      </c>
      <c r="E303" s="10" t="inlineStr">
        <is>
          <t>Directory</t>
        </is>
      </c>
      <c r="F303" s="10" t="inlineStr">
        <is>
          <t>2026-09-17</t>
        </is>
      </c>
      <c r="G303" s="10" t="inlineStr">
        <is>
          <t>address, postcode</t>
        </is>
      </c>
      <c r="H303" s="10" t="inlineStr">
        <is>
          <t>Requires Verification</t>
        </is>
      </c>
    </row>
    <row r="304">
      <c r="A304" s="5" t="inlineStr">
        <is>
          <t>UK-000734</t>
        </is>
      </c>
      <c r="B304" s="5" t="inlineStr">
        <is>
          <t>VPZ Hamilton</t>
        </is>
      </c>
      <c r="C304" s="5" t="inlineStr">
        <is>
          <t>Hamilton</t>
        </is>
      </c>
      <c r="D304" s="5" t="inlineStr">
        <is>
          <t>https://www.ibegin.com/directory/uk/lanarkshire/hamilton/vpz-6264-quarry-street/</t>
        </is>
      </c>
      <c r="E304" s="5" t="inlineStr">
        <is>
          <t>Directory</t>
        </is>
      </c>
      <c r="F304" s="5" t="inlineStr">
        <is>
          <t>2026-09-17</t>
        </is>
      </c>
      <c r="G304" s="5" t="inlineStr">
        <is>
          <t>phone</t>
        </is>
      </c>
      <c r="H304" s="5" t="inlineStr">
        <is>
          <t>Requires Verification</t>
        </is>
      </c>
    </row>
    <row r="305">
      <c r="A305" s="10" t="inlineStr">
        <is>
          <t>UK-000735</t>
        </is>
      </c>
      <c r="B305" s="10" t="inlineStr">
        <is>
          <t>VPZ Kirkcaldy</t>
        </is>
      </c>
      <c r="C305" s="10" t="inlineStr">
        <is>
          <t>Kirkcaldy</t>
        </is>
      </c>
      <c r="D305" s="10" t="inlineStr">
        <is>
          <t>https://kirkcaldy.cylex-uk.co.uk/company/vpz-the-vaping-specialist-27217596.html</t>
        </is>
      </c>
      <c r="E305" s="10" t="inlineStr">
        <is>
          <t>Directory</t>
        </is>
      </c>
      <c r="F305" s="10" t="inlineStr">
        <is>
          <t>2026-09-17</t>
        </is>
      </c>
      <c r="G305" s="10" t="inlineStr">
        <is>
          <t>name, street (snippet; phone truncated)</t>
        </is>
      </c>
      <c r="H305" s="10" t="inlineStr">
        <is>
          <t>Requires Verification</t>
        </is>
      </c>
    </row>
    <row r="306">
      <c r="A306" s="5" t="inlineStr">
        <is>
          <t>UK-000736</t>
        </is>
      </c>
      <c r="B306" s="5" t="inlineStr">
        <is>
          <t>VPZ Leith Walk</t>
        </is>
      </c>
      <c r="C306" s="5" t="inlineStr">
        <is>
          <t>Edinburgh</t>
        </is>
      </c>
      <c r="D306" s="5" t="inlineStr">
        <is>
          <t>https://www.yell.com/s/vape+shops-leith.html</t>
        </is>
      </c>
      <c r="E306" s="5" t="inlineStr">
        <is>
          <t>Yell</t>
        </is>
      </c>
      <c r="F306" s="5" t="inlineStr">
        <is>
          <t>2026-09-17</t>
        </is>
      </c>
      <c r="G306" s="5" t="inlineStr">
        <is>
          <t>address, phone (search snippet)</t>
        </is>
      </c>
      <c r="H306" s="5" t="inlineStr">
        <is>
          <t>Requires Verification</t>
        </is>
      </c>
    </row>
    <row r="307">
      <c r="A307" s="10" t="inlineStr">
        <is>
          <t>UK-000737</t>
        </is>
      </c>
      <c r="B307" s="10" t="inlineStr">
        <is>
          <t>VPZ Livingston</t>
        </is>
      </c>
      <c r="C307" s="10" t="inlineStr">
        <is>
          <t>Livingston</t>
        </is>
      </c>
      <c r="D307" s="10" t="inlineStr">
        <is>
          <t>https://livingston.cylex-uk.co.uk/company/vpz-23906128.html</t>
        </is>
      </c>
      <c r="E307" s="10" t="inlineStr">
        <is>
          <t>Directory</t>
        </is>
      </c>
      <c r="F307" s="10" t="inlineStr">
        <is>
          <t>2026-09-17</t>
        </is>
      </c>
      <c r="G307" s="10" t="inlineStr">
        <is>
          <t>name, centre/area (snippet; phone truncated)</t>
        </is>
      </c>
      <c r="H307" s="10" t="inlineStr">
        <is>
          <t>Requires Verification</t>
        </is>
      </c>
    </row>
    <row r="308">
      <c r="A308" s="5" t="inlineStr">
        <is>
          <t>UK-000738</t>
        </is>
      </c>
      <c r="B308" s="5" t="inlineStr">
        <is>
          <t>VPZ Motherwell</t>
        </is>
      </c>
      <c r="C308" s="5" t="inlineStr">
        <is>
          <t>Motherwell</t>
        </is>
      </c>
      <c r="D308" s="5" t="inlineStr">
        <is>
          <t>https://m.yelp.com/c/motherwell-north-lanarkshire-gb/vapeshops</t>
        </is>
      </c>
      <c r="E308" s="5" t="inlineStr">
        <is>
          <t>Directory</t>
        </is>
      </c>
      <c r="F308" s="5" t="inlineStr">
        <is>
          <t>2026-09-17</t>
        </is>
      </c>
      <c r="G308" s="5" t="inlineStr">
        <is>
          <t>address, postcode, phone</t>
        </is>
      </c>
      <c r="H308" s="5" t="inlineStr">
        <is>
          <t>Requires Verification</t>
        </is>
      </c>
    </row>
    <row r="309">
      <c r="A309" s="10" t="inlineStr">
        <is>
          <t>UK-000739</t>
        </is>
      </c>
      <c r="B309" s="10" t="inlineStr">
        <is>
          <t>VPZ Paisley</t>
        </is>
      </c>
      <c r="C309" s="10" t="inlineStr">
        <is>
          <t>Paisley</t>
        </is>
      </c>
      <c r="D309" s="10" t="inlineStr">
        <is>
          <t>https://m.yelp.com/biz/vpz-paisley-2</t>
        </is>
      </c>
      <c r="E309" s="10" t="inlineStr">
        <is>
          <t>Directory</t>
        </is>
      </c>
      <c r="F309" s="10" t="inlineStr">
        <is>
          <t>2026-09-17</t>
        </is>
      </c>
      <c r="G309" s="10" t="inlineStr">
        <is>
          <t>address, phone</t>
        </is>
      </c>
      <c r="H309" s="10" t="inlineStr">
        <is>
          <t>Requires Verification</t>
        </is>
      </c>
    </row>
    <row r="310">
      <c r="A310" s="5" t="inlineStr">
        <is>
          <t>UK-000739</t>
        </is>
      </c>
      <c r="B310" s="5" t="inlineStr">
        <is>
          <t>VPZ Paisley</t>
        </is>
      </c>
      <c r="C310" s="5" t="inlineStr">
        <is>
          <t>Paisley</t>
        </is>
      </c>
      <c r="D310" s="5" t="inlineStr">
        <is>
          <t>https://foursquare.com/v/vpz-paisley/5e4ac7be7ed26b0008d9bc44</t>
        </is>
      </c>
      <c r="E310" s="5" t="inlineStr">
        <is>
          <t>Directory</t>
        </is>
      </c>
      <c r="F310" s="5" t="inlineStr">
        <is>
          <t>2026-09-17</t>
        </is>
      </c>
      <c r="G310" s="5" t="inlineStr">
        <is>
          <t>address</t>
        </is>
      </c>
      <c r="H310" s="5" t="inlineStr">
        <is>
          <t>Requires Verification</t>
        </is>
      </c>
    </row>
    <row r="311">
      <c r="A311" s="10" t="inlineStr">
        <is>
          <t>UK-000740</t>
        </is>
      </c>
      <c r="B311" s="10" t="inlineStr">
        <is>
          <t>VPZ Wishaw</t>
        </is>
      </c>
      <c r="C311" s="10" t="inlineStr">
        <is>
          <t>Wishaw</t>
        </is>
      </c>
      <c r="D311" s="10" t="inlineStr">
        <is>
          <t>https://wishaw-north-lanarkshire.cylex-uk.co.uk/vape-shops/</t>
        </is>
      </c>
      <c r="E311" s="10" t="inlineStr">
        <is>
          <t>Directory</t>
        </is>
      </c>
      <c r="F311" s="10" t="inlineStr">
        <is>
          <t>2026-09-17</t>
        </is>
      </c>
      <c r="G311" s="10" t="inlineStr">
        <is>
          <t>address, postcode, phone</t>
        </is>
      </c>
      <c r="H311" s="10" t="inlineStr">
        <is>
          <t>Requires Verification</t>
        </is>
      </c>
    </row>
    <row r="312">
      <c r="A312" s="5" t="inlineStr">
        <is>
          <t>UK-000217</t>
        </is>
      </c>
      <c r="B312" s="5" t="inlineStr">
        <is>
          <t>Valli Forecourts (Bawtry Road)</t>
        </is>
      </c>
      <c r="C312" s="5" t="inlineStr">
        <is>
          <t>Doncaster</t>
        </is>
      </c>
      <c r="D312" s="5" t="inlineStr">
        <is>
          <t>https://www.mylocalservices.co.uk/24+Hr+Petrol+Stations-Doncaster.html</t>
        </is>
      </c>
      <c r="E312" s="5" t="inlineStr">
        <is>
          <t>Directory</t>
        </is>
      </c>
      <c r="F312" s="5" t="inlineStr">
        <is>
          <t>2026-09-16</t>
        </is>
      </c>
      <c r="G312" s="5" t="inlineStr">
        <is>
          <t>name, street, category</t>
        </is>
      </c>
      <c r="H312" s="5" t="inlineStr">
        <is>
          <t>Requires Verification</t>
        </is>
      </c>
    </row>
    <row r="313">
      <c r="A313" s="10" t="inlineStr">
        <is>
          <t>WY-0034</t>
        </is>
      </c>
      <c r="B313" s="10" t="inlineStr">
        <is>
          <t>BP Gledhow Service Station (Valli Forecourts)</t>
        </is>
      </c>
      <c r="C313" s="10" t="inlineStr">
        <is>
          <t>Leeds</t>
        </is>
      </c>
      <c r="D313" s="10" t="inlineStr">
        <is>
          <t>https://www.petrolprices.com/locations/huddersfield</t>
        </is>
      </c>
      <c r="E313" s="10" t="inlineStr">
        <is>
          <t>Directory</t>
        </is>
      </c>
      <c r="F313" s="10" t="inlineStr">
        <is>
          <t>2026-09-16</t>
        </is>
      </c>
      <c r="G313" s="10" t="inlineStr">
        <is>
          <t>Valli site references in Yorkshire petrol-station listings</t>
        </is>
      </c>
      <c r="H313" s="10" t="inlineStr">
        <is>
          <t>Requires Verification</t>
        </is>
      </c>
    </row>
    <row r="314">
      <c r="A314" s="5" t="inlineStr">
        <is>
          <t>WY-0034</t>
        </is>
      </c>
      <c r="B314" s="5" t="inlineStr">
        <is>
          <t>BP Gledhow Service Station (Valli Forecourts)</t>
        </is>
      </c>
      <c r="C314" s="5" t="inlineStr">
        <is>
          <t>Leeds</t>
        </is>
      </c>
      <c r="D314" s="5" t="inlineStr">
        <is>
          <t>https://uk.linkedin.com/company/valli-forecourts-ltd</t>
        </is>
      </c>
      <c r="E314" s="5" t="inlineStr">
        <is>
          <t>Other</t>
        </is>
      </c>
      <c r="F314" s="5" t="inlineStr">
        <is>
          <t>2026-09-16</t>
        </is>
      </c>
      <c r="G314" s="5" t="inlineStr">
        <is>
          <t>group profile referencing Leeds BP Gledhow Service Station</t>
        </is>
      </c>
      <c r="H314" s="5" t="inlineStr">
        <is>
          <t>Requires Verification</t>
        </is>
      </c>
    </row>
    <row r="315">
      <c r="A315" s="10" t="inlineStr">
        <is>
          <t>WY-0034</t>
        </is>
      </c>
      <c r="B315" s="10" t="inlineStr">
        <is>
          <t>BP Gledhow Service Station (Valli Forecourts)</t>
        </is>
      </c>
      <c r="C315" s="10" t="inlineStr">
        <is>
          <t>Leeds</t>
        </is>
      </c>
      <c r="D315" s="10" t="inlineStr">
        <is>
          <t>https://www.192.com/atoz/business/leeds-ls8/petrol-service-stations/b-p-gledhow-service-station/b2cc5ed266e9de6ac0fa2b011faef822e624c3ac/ml/</t>
        </is>
      </c>
      <c r="E315" s="10" t="inlineStr">
        <is>
          <t>Directory</t>
        </is>
      </c>
      <c r="F315" s="10" t="inlineStr">
        <is>
          <t>2026-09-16</t>
        </is>
      </c>
      <c r="G315" s="10" t="inlineStr">
        <is>
          <t>postcode</t>
        </is>
      </c>
      <c r="H315" s="10" t="inlineStr">
        <is>
          <t>Requires Verification</t>
        </is>
      </c>
    </row>
    <row r="316">
      <c r="A316" s="5" t="inlineStr">
        <is>
          <t>WY-0035</t>
        </is>
      </c>
      <c r="B316" s="5" t="inlineStr">
        <is>
          <t>Valli Forecourts Ltd (Head Office)</t>
        </is>
      </c>
      <c r="C316" s="5" t="inlineStr">
        <is>
          <t>Leeds</t>
        </is>
      </c>
      <c r="D316" s="5" t="inlineStr">
        <is>
          <t>https://uk.linkedin.com/company/valli-forecourts-ltd</t>
        </is>
      </c>
      <c r="E316" s="5" t="inlineStr">
        <is>
          <t>Other</t>
        </is>
      </c>
      <c r="F316" s="5" t="inlineStr">
        <is>
          <t>2026-09-16</t>
        </is>
      </c>
      <c r="G316" s="5" t="inlineStr">
        <is>
          <t>company existence, forecourt operator profile</t>
        </is>
      </c>
      <c r="H316" s="5" t="inlineStr">
        <is>
          <t>Requires Verification</t>
        </is>
      </c>
    </row>
    <row r="317">
      <c r="A317" s="10" t="inlineStr">
        <is>
          <t>WY-0035</t>
        </is>
      </c>
      <c r="B317" s="10" t="inlineStr">
        <is>
          <t>Valli Forecourts Ltd (Head Office)</t>
        </is>
      </c>
      <c r="C317" s="10" t="inlineStr">
        <is>
          <t>Leeds</t>
        </is>
      </c>
      <c r="D317" s="10" t="inlineStr">
        <is>
          <t>https://sweetzone.co.uk/sectors/forecourts-petrol-stations/</t>
        </is>
      </c>
      <c r="E317" s="10" t="inlineStr">
        <is>
          <t>Other</t>
        </is>
      </c>
      <c r="F317" s="10" t="inlineStr">
        <is>
          <t>2026-09-16</t>
        </is>
      </c>
      <c r="G317" s="10" t="inlineStr">
        <is>
          <t>16 sites, Yorkshire-centred footprint</t>
        </is>
      </c>
      <c r="H317" s="10" t="inlineStr">
        <is>
          <t>Requires Verification</t>
        </is>
      </c>
    </row>
    <row r="318">
      <c r="A318" s="5" t="inlineStr">
        <is>
          <t>WY-0035</t>
        </is>
      </c>
      <c r="B318" s="5" t="inlineStr">
        <is>
          <t>Valli Forecourts Ltd (Head Office)</t>
        </is>
      </c>
      <c r="C318" s="5" t="inlineStr">
        <is>
          <t>Leeds</t>
        </is>
      </c>
      <c r="D318" s="5" t="inlineStr">
        <is>
          <t>https://www.yorkshire.com/moortown/transport/petrol-stations/valli-forecourts-ltd-head-office</t>
        </is>
      </c>
      <c r="E318" s="5" t="inlineStr">
        <is>
          <t>Directory</t>
        </is>
      </c>
      <c r="F318" s="5" t="inlineStr">
        <is>
          <t>2026-09-16</t>
        </is>
      </c>
      <c r="G318" s="5" t="inlineStr">
        <is>
          <t>head office location Moortown, Leeds</t>
        </is>
      </c>
      <c r="H318" s="5" t="inlineStr">
        <is>
          <t>Requires Verification</t>
        </is>
      </c>
    </row>
    <row r="319">
      <c r="A319" s="10" t="inlineStr">
        <is>
          <t>UK-000741</t>
        </is>
      </c>
      <c r="B319" s="10" t="inlineStr">
        <is>
          <t>Vapable Southport</t>
        </is>
      </c>
      <c r="C319" s="10" t="inlineStr">
        <is>
          <t>Southport</t>
        </is>
      </c>
      <c r="D319" s="10" t="inlineStr">
        <is>
          <t>https://vapable.com/southport-vape-shop/</t>
        </is>
      </c>
      <c r="E319" s="10" t="inlineStr">
        <is>
          <t>Official Website</t>
        </is>
      </c>
      <c r="F319" s="10" t="inlineStr">
        <is>
          <t>2026-09-17</t>
        </is>
      </c>
      <c r="G319" s="10" t="inlineStr">
        <is>
          <t>Southport shop, phone</t>
        </is>
      </c>
      <c r="H319" s="10" t="inlineStr">
        <is>
          <t>Requires Verification</t>
        </is>
      </c>
    </row>
    <row r="320">
      <c r="A320" s="5" t="inlineStr">
        <is>
          <t>WY-0036</t>
        </is>
      </c>
      <c r="B320" s="5" t="inlineStr">
        <is>
          <t>Vaparama (Featherstone)</t>
        </is>
      </c>
      <c r="C320" s="5" t="inlineStr">
        <is>
          <t>Featherstone</t>
        </is>
      </c>
      <c r="D320" s="5" t="inlineStr">
        <is>
          <t>https://pontefract.cylex-uk.co.uk/company/vaparama-26236284.html</t>
        </is>
      </c>
      <c r="E320" s="5" t="inlineStr">
        <is>
          <t>Directory</t>
        </is>
      </c>
      <c r="F320" s="5" t="inlineStr">
        <is>
          <t>2026-09-16</t>
        </is>
      </c>
      <c r="G320" s="5" t="inlineStr">
        <is>
          <t>Featherstone branch address 73-75 Station Lane WF7 5BJ (via search snippet)</t>
        </is>
      </c>
      <c r="H320" s="5" t="inlineStr">
        <is>
          <t>Partially Verified</t>
        </is>
      </c>
    </row>
    <row r="321">
      <c r="A321" s="10" t="inlineStr">
        <is>
          <t>WY-0036</t>
        </is>
      </c>
      <c r="B321" s="10" t="inlineStr">
        <is>
          <t>Vaparama (Featherstone)</t>
        </is>
      </c>
      <c r="C321" s="10" t="inlineStr">
        <is>
          <t>Featherstone</t>
        </is>
      </c>
      <c r="D321" s="10" t="inlineStr">
        <is>
          <t>https://find-and-update.company-information.service.gov.uk/company/09736212</t>
        </is>
      </c>
      <c r="E321" s="10" t="inlineStr">
        <is>
          <t>Companies House</t>
        </is>
      </c>
      <c r="F321" s="10" t="inlineStr">
        <is>
          <t>2026-09-16</t>
        </is>
      </c>
      <c r="G321" s="10" t="inlineStr">
        <is>
          <t>parent company details (via search snippet)</t>
        </is>
      </c>
      <c r="H321" s="10" t="inlineStr">
        <is>
          <t>Partially Verified</t>
        </is>
      </c>
    </row>
    <row r="322">
      <c r="A322" s="5" t="inlineStr">
        <is>
          <t>WY-0036</t>
        </is>
      </c>
      <c r="B322" s="5" t="inlineStr">
        <is>
          <t>Vaparama (Featherstone)</t>
        </is>
      </c>
      <c r="C322" s="5" t="inlineStr">
        <is>
          <t>Featherstone</t>
        </is>
      </c>
      <c r="D322" s="5" t="inlineStr">
        <is>
          <t>https://www.vaparama.co.uk/contact/</t>
        </is>
      </c>
      <c r="E322" s="5" t="inlineStr">
        <is>
          <t>Official Website</t>
        </is>
      </c>
      <c r="F322" s="5" t="inlineStr">
        <is>
          <t>2026-09-16</t>
        </is>
      </c>
      <c r="G322" s="5" t="inlineStr">
        <is>
          <t>email (brand), social (brand facebook)</t>
        </is>
      </c>
      <c r="H322" s="5" t="inlineStr">
        <is>
          <t>Partially Verified</t>
        </is>
      </c>
    </row>
    <row r="323">
      <c r="A323" s="10" t="inlineStr">
        <is>
          <t>WY-0037</t>
        </is>
      </c>
      <c r="B323" s="10" t="inlineStr">
        <is>
          <t>Vaparama (Pontefract)</t>
        </is>
      </c>
      <c r="C323" s="10" t="inlineStr">
        <is>
          <t>Pontefract</t>
        </is>
      </c>
      <c r="D323" s="10" t="inlineStr">
        <is>
          <t>https://pontefract.cylex-uk.co.uk/company/vaparama-26236284.html</t>
        </is>
      </c>
      <c r="E323" s="10" t="inlineStr">
        <is>
          <t>Directory</t>
        </is>
      </c>
      <c r="F323" s="10" t="inlineStr">
        <is>
          <t>2026-09-16</t>
        </is>
      </c>
      <c r="G323" s="10" t="inlineStr">
        <is>
          <t>address, phone, email (via search snippet)</t>
        </is>
      </c>
      <c r="H323" s="10" t="inlineStr">
        <is>
          <t>Partially Verified</t>
        </is>
      </c>
    </row>
    <row r="324">
      <c r="A324" s="5" t="inlineStr">
        <is>
          <t>WY-0037</t>
        </is>
      </c>
      <c r="B324" s="5" t="inlineStr">
        <is>
          <t>Vaparama (Pontefract)</t>
        </is>
      </c>
      <c r="C324" s="5" t="inlineStr">
        <is>
          <t>Pontefract</t>
        </is>
      </c>
      <c r="D324" s="5" t="inlineStr">
        <is>
          <t>https://find-open.co.uk/pontefract/vaparama-1317485</t>
        </is>
      </c>
      <c r="E324" s="5" t="inlineStr">
        <is>
          <t>Directory</t>
        </is>
      </c>
      <c r="F324" s="5" t="inlineStr">
        <is>
          <t>2026-09-16</t>
        </is>
      </c>
      <c r="G324" s="5" t="inlineStr">
        <is>
          <t>address 13 Market Place, postcode WF8 1AG</t>
        </is>
      </c>
      <c r="H324" s="5" t="inlineStr">
        <is>
          <t>Partially Verified</t>
        </is>
      </c>
    </row>
    <row r="325">
      <c r="A325" s="10" t="inlineStr">
        <is>
          <t>WY-0037</t>
        </is>
      </c>
      <c r="B325" s="10" t="inlineStr">
        <is>
          <t>Vaparama (Pontefract)</t>
        </is>
      </c>
      <c r="C325" s="10" t="inlineStr">
        <is>
          <t>Pontefract</t>
        </is>
      </c>
      <c r="D325" s="10" t="inlineStr">
        <is>
          <t>https://vapemaps.co/england/west-yorkshire/pontefract/vaparama-limited/10060</t>
        </is>
      </c>
      <c r="E325" s="10" t="inlineStr">
        <is>
          <t>Directory</t>
        </is>
      </c>
      <c r="F325" s="10" t="inlineStr">
        <is>
          <t>2026-09-16</t>
        </is>
      </c>
      <c r="G325" s="10" t="inlineStr">
        <is>
          <t>multi-store list (Wakefield, Leeds, Doncaster, Featherstone etc.)</t>
        </is>
      </c>
      <c r="H325" s="10" t="inlineStr">
        <is>
          <t>Partially Verified</t>
        </is>
      </c>
    </row>
    <row r="326">
      <c r="A326" s="5" t="inlineStr">
        <is>
          <t>WY-0037</t>
        </is>
      </c>
      <c r="B326" s="5" t="inlineStr">
        <is>
          <t>Vaparama (Pontefract)</t>
        </is>
      </c>
      <c r="C326" s="5" t="inlineStr">
        <is>
          <t>Pontefract</t>
        </is>
      </c>
      <c r="D326" s="5" t="inlineStr">
        <is>
          <t>https://find-and-update.company-information.service.gov.uk/company/09736212</t>
        </is>
      </c>
      <c r="E326" s="5" t="inlineStr">
        <is>
          <t>Companies House</t>
        </is>
      </c>
      <c r="F326" s="5" t="inlineStr">
        <is>
          <t>2026-09-16</t>
        </is>
      </c>
      <c r="G326" s="5" t="inlineStr">
        <is>
          <t>company number, status, incorporation date, registered office (via search snippet)</t>
        </is>
      </c>
      <c r="H326" s="5" t="inlineStr">
        <is>
          <t>Partially Verified</t>
        </is>
      </c>
    </row>
    <row r="327">
      <c r="A327" s="10" t="inlineStr">
        <is>
          <t>WY-0038</t>
        </is>
      </c>
      <c r="B327" s="10" t="inlineStr">
        <is>
          <t>Vaparama (Wakefield)</t>
        </is>
      </c>
      <c r="C327" s="10" t="inlineStr">
        <is>
          <t>Wakefield</t>
        </is>
      </c>
      <c r="D327" s="10" t="inlineStr">
        <is>
          <t>https://vapemaps.co/england/west-yorkshire/pontefract/vaparama-limited/10060</t>
        </is>
      </c>
      <c r="E327" s="10" t="inlineStr">
        <is>
          <t>Directory</t>
        </is>
      </c>
      <c r="F327" s="10" t="inlineStr">
        <is>
          <t>2026-09-16</t>
        </is>
      </c>
      <c r="G327" s="10" t="inlineStr">
        <is>
          <t>branch address Britannia House, 31 Warrengate, Wakefield</t>
        </is>
      </c>
      <c r="H327" s="10" t="inlineStr">
        <is>
          <t>Partially Verified</t>
        </is>
      </c>
    </row>
    <row r="328">
      <c r="A328" s="5" t="inlineStr">
        <is>
          <t>WY-0038</t>
        </is>
      </c>
      <c r="B328" s="5" t="inlineStr">
        <is>
          <t>Vaparama (Wakefield)</t>
        </is>
      </c>
      <c r="C328" s="5" t="inlineStr">
        <is>
          <t>Wakefield</t>
        </is>
      </c>
      <c r="D328" s="5" t="inlineStr">
        <is>
          <t>https://find-and-update.company-information.service.gov.uk/company/09736212</t>
        </is>
      </c>
      <c r="E328" s="5" t="inlineStr">
        <is>
          <t>Companies House</t>
        </is>
      </c>
      <c r="F328" s="5" t="inlineStr">
        <is>
          <t>2026-09-16</t>
        </is>
      </c>
      <c r="G328" s="5" t="inlineStr">
        <is>
          <t>parent company details (via search snippet)</t>
        </is>
      </c>
      <c r="H328" s="5" t="inlineStr">
        <is>
          <t>Partially Verified</t>
        </is>
      </c>
    </row>
    <row r="329">
      <c r="A329" s="10" t="inlineStr">
        <is>
          <t>WY-0038</t>
        </is>
      </c>
      <c r="B329" s="10" t="inlineStr">
        <is>
          <t>Vaparama (Wakefield)</t>
        </is>
      </c>
      <c r="C329" s="10" t="inlineStr">
        <is>
          <t>Wakefield</t>
        </is>
      </c>
      <c r="D329" s="10" t="inlineStr">
        <is>
          <t>https://www.vaparama.co.uk/contact/</t>
        </is>
      </c>
      <c r="E329" s="10" t="inlineStr">
        <is>
          <t>Official Website</t>
        </is>
      </c>
      <c r="F329" s="10" t="inlineStr">
        <is>
          <t>2026-09-16</t>
        </is>
      </c>
      <c r="G329" s="10" t="inlineStr">
        <is>
          <t>email (brand), social (brand facebook)</t>
        </is>
      </c>
      <c r="H329" s="10" t="inlineStr">
        <is>
          <t>Partially Verified</t>
        </is>
      </c>
    </row>
    <row r="330">
      <c r="A330" s="5" t="inlineStr">
        <is>
          <t>UK-000742</t>
        </is>
      </c>
      <c r="B330" s="5" t="inlineStr">
        <is>
          <t>Vape City</t>
        </is>
      </c>
      <c r="C330" s="5" t="inlineStr">
        <is>
          <t>Glasgow</t>
        </is>
      </c>
      <c r="D330" s="5" t="inlineStr">
        <is>
          <t>https://directory.stirlingnews.co.uk/company/708651038478336</t>
        </is>
      </c>
      <c r="E330" s="5" t="inlineStr">
        <is>
          <t>Directory</t>
        </is>
      </c>
      <c r="F330" s="5" t="inlineStr">
        <is>
          <t>2026-09-17</t>
        </is>
      </c>
      <c r="G330" s="5" t="inlineStr">
        <is>
          <t>address, postcode</t>
        </is>
      </c>
      <c r="H330" s="5" t="inlineStr">
        <is>
          <t>Requires Verification</t>
        </is>
      </c>
    </row>
    <row r="331">
      <c r="A331" s="10" t="inlineStr">
        <is>
          <t>UK-000742</t>
        </is>
      </c>
      <c r="B331" s="10" t="inlineStr">
        <is>
          <t>Vape City</t>
        </is>
      </c>
      <c r="C331" s="10" t="inlineStr">
        <is>
          <t>Glasgow</t>
        </is>
      </c>
      <c r="D331" s="10" t="inlineStr">
        <is>
          <t>https://glasgow.cylex-uk.co.uk/company/vape-city-27397425.html</t>
        </is>
      </c>
      <c r="E331" s="10" t="inlineStr">
        <is>
          <t>Directory</t>
        </is>
      </c>
      <c r="F331" s="10" t="inlineStr">
        <is>
          <t>2026-09-17</t>
        </is>
      </c>
      <c r="G331" s="10" t="inlineStr">
        <is>
          <t>address, phone</t>
        </is>
      </c>
      <c r="H331" s="10" t="inlineStr">
        <is>
          <t>Requires Verification</t>
        </is>
      </c>
    </row>
    <row r="332">
      <c r="A332" s="5" t="inlineStr">
        <is>
          <t>UK-000742</t>
        </is>
      </c>
      <c r="B332" s="5" t="inlineStr">
        <is>
          <t>Vape City</t>
        </is>
      </c>
      <c r="C332" s="5" t="inlineStr">
        <is>
          <t>Glasgow</t>
        </is>
      </c>
      <c r="D332" s="5" t="inlineStr">
        <is>
          <t>https://www.vape-city.co.uk/contact.php</t>
        </is>
      </c>
      <c r="E332" s="5" t="inlineStr">
        <is>
          <t>Official Website</t>
        </is>
      </c>
      <c r="F332" s="5" t="inlineStr">
        <is>
          <t>2026-09-17</t>
        </is>
      </c>
      <c r="G332" s="5" t="inlineStr">
        <is>
          <t>website, trade positioning</t>
        </is>
      </c>
      <c r="H332" s="5" t="inlineStr">
        <is>
          <t>Requires Verification</t>
        </is>
      </c>
    </row>
    <row r="333">
      <c r="A333" s="10" t="inlineStr">
        <is>
          <t>UK-000218</t>
        </is>
      </c>
      <c r="B333" s="10" t="inlineStr">
        <is>
          <t>Vape Safe Whitby</t>
        </is>
      </c>
      <c r="C333" s="10" t="inlineStr">
        <is>
          <t>Whitby</t>
        </is>
      </c>
      <c r="D333" s="10" t="inlineStr">
        <is>
          <t>https://vapeshop-nearme.com/listing/vape-safe-whitby/</t>
        </is>
      </c>
      <c r="E333" s="10" t="inlineStr">
        <is>
          <t>Directory</t>
        </is>
      </c>
      <c r="F333" s="10" t="inlineStr">
        <is>
          <t>2026-09-16</t>
        </is>
      </c>
      <c r="G333" s="10" t="inlineStr">
        <is>
          <t>address, postcode, phone</t>
        </is>
      </c>
      <c r="H333" s="10" t="inlineStr">
        <is>
          <t>Requires Verification</t>
        </is>
      </c>
    </row>
    <row r="334">
      <c r="A334" s="5" t="inlineStr">
        <is>
          <t>UK-000218</t>
        </is>
      </c>
      <c r="B334" s="5" t="inlineStr">
        <is>
          <t>Vape Safe Whitby</t>
        </is>
      </c>
      <c r="C334" s="5" t="inlineStr">
        <is>
          <t>Whitby</t>
        </is>
      </c>
      <c r="D334" s="5" t="inlineStr">
        <is>
          <t>https://www.vapesafe.net/</t>
        </is>
      </c>
      <c r="E334" s="5" t="inlineStr">
        <is>
          <t>Official Website</t>
        </is>
      </c>
      <c r="F334" s="5" t="inlineStr">
        <is>
          <t>2026-09-16</t>
        </is>
      </c>
      <c r="G334" s="5" t="inlineStr">
        <is>
          <t>brand, York + Whitby locations</t>
        </is>
      </c>
      <c r="H334" s="5" t="inlineStr">
        <is>
          <t>Requires Verification</t>
        </is>
      </c>
    </row>
    <row r="335">
      <c r="A335" s="10" t="inlineStr">
        <is>
          <t>UK-000219</t>
        </is>
      </c>
      <c r="B335" s="10" t="inlineStr">
        <is>
          <t>Vape Safe York</t>
        </is>
      </c>
      <c r="C335" s="10" t="inlineStr">
        <is>
          <t>York</t>
        </is>
      </c>
      <c r="D335" s="10" t="inlineStr">
        <is>
          <t>https://ecigdirectory.co.uk/vape-shop/listing/vape-safe-york</t>
        </is>
      </c>
      <c r="E335" s="10" t="inlineStr">
        <is>
          <t>Directory</t>
        </is>
      </c>
      <c r="F335" s="10" t="inlineStr">
        <is>
          <t>2026-09-16</t>
        </is>
      </c>
      <c r="G335" s="10" t="inlineStr">
        <is>
          <t>name, address, postcode, phone</t>
        </is>
      </c>
      <c r="H335" s="10" t="inlineStr">
        <is>
          <t>Requires Verification</t>
        </is>
      </c>
    </row>
    <row r="336">
      <c r="A336" s="5" t="inlineStr">
        <is>
          <t>UK-000219</t>
        </is>
      </c>
      <c r="B336" s="5" t="inlineStr">
        <is>
          <t>Vape Safe York</t>
        </is>
      </c>
      <c r="C336" s="5" t="inlineStr">
        <is>
          <t>York</t>
        </is>
      </c>
      <c r="D336" s="5" t="inlineStr">
        <is>
          <t>https://www.vapesafe.net/</t>
        </is>
      </c>
      <c r="E336" s="5" t="inlineStr">
        <is>
          <t>Official Website</t>
        </is>
      </c>
      <c r="F336" s="5" t="inlineStr">
        <is>
          <t>2026-09-16</t>
        </is>
      </c>
      <c r="G336" s="5" t="inlineStr">
        <is>
          <t>brand, multi-site</t>
        </is>
      </c>
      <c r="H336" s="5" t="inlineStr">
        <is>
          <t>Requires Verification</t>
        </is>
      </c>
    </row>
    <row r="337">
      <c r="A337" s="10" t="inlineStr">
        <is>
          <t>UK-000220</t>
        </is>
      </c>
      <c r="B337" s="10" t="inlineStr">
        <is>
          <t>The Vape Shack Beverley</t>
        </is>
      </c>
      <c r="C337" s="10" t="inlineStr">
        <is>
          <t>Beverley</t>
        </is>
      </c>
      <c r="D337" s="10" t="inlineStr">
        <is>
          <t>https://www.vape-shack.co.uk/</t>
        </is>
      </c>
      <c r="E337" s="10" t="inlineStr">
        <is>
          <t>Official Website</t>
        </is>
      </c>
      <c r="F337" s="10" t="inlineStr">
        <is>
          <t>2026-09-16</t>
        </is>
      </c>
      <c r="G337" s="10" t="inlineStr">
        <is>
          <t>brand, website, product range (via search results)</t>
        </is>
      </c>
      <c r="H337" s="10" t="inlineStr">
        <is>
          <t>Partially Verified</t>
        </is>
      </c>
    </row>
    <row r="338">
      <c r="A338" s="5" t="inlineStr">
        <is>
          <t>UK-000220</t>
        </is>
      </c>
      <c r="B338" s="5" t="inlineStr">
        <is>
          <t>The Vape Shack Beverley</t>
        </is>
      </c>
      <c r="C338" s="5" t="inlineStr">
        <is>
          <t>Beverley</t>
        </is>
      </c>
      <c r="D338" s="5" t="inlineStr">
        <is>
          <t>https://find-open.co.uk/beverley/the-vape-shack-beverley-3114235</t>
        </is>
      </c>
      <c r="E338" s="5" t="inlineStr">
        <is>
          <t>Directory</t>
        </is>
      </c>
      <c r="F338" s="5" t="inlineStr">
        <is>
          <t>2026-09-16</t>
        </is>
      </c>
      <c r="G338" s="5" t="inlineStr">
        <is>
          <t>7 Sow Hill Road address, postcode, phone (via search results)</t>
        </is>
      </c>
      <c r="H338" s="5" t="inlineStr">
        <is>
          <t>Partially Verified</t>
        </is>
      </c>
    </row>
    <row r="339">
      <c r="A339" s="10" t="inlineStr">
        <is>
          <t>UK-000221</t>
        </is>
      </c>
      <c r="B339" s="10" t="inlineStr">
        <is>
          <t>Vape Shack Immingham</t>
        </is>
      </c>
      <c r="C339" s="10" t="inlineStr">
        <is>
          <t>Immingham</t>
        </is>
      </c>
      <c r="D339" s="10" t="inlineStr">
        <is>
          <t>https://www.thomsonlocal.com/search/smoking-cessation/brigg-south-humberside/vape-shack-immingham/3239866/01469577493</t>
        </is>
      </c>
      <c r="E339" s="10" t="inlineStr">
        <is>
          <t>Directory</t>
        </is>
      </c>
      <c r="F339" s="10" t="inlineStr">
        <is>
          <t>2026-09-16</t>
        </is>
      </c>
      <c r="G339" s="10" t="inlineStr">
        <is>
          <t>name, 70 Pelham Road address, phone (via search results)</t>
        </is>
      </c>
      <c r="H339" s="10" t="inlineStr">
        <is>
          <t>Requires Verification</t>
        </is>
      </c>
    </row>
    <row r="340">
      <c r="A340" s="5" t="inlineStr">
        <is>
          <t>UK-000221</t>
        </is>
      </c>
      <c r="B340" s="5" t="inlineStr">
        <is>
          <t>Vape Shack Immingham</t>
        </is>
      </c>
      <c r="C340" s="5" t="inlineStr">
        <is>
          <t>Immingham</t>
        </is>
      </c>
      <c r="D340" s="5" t="inlineStr">
        <is>
          <t>https://www.facebook.com/vapeshackimmingham/</t>
        </is>
      </c>
      <c r="E340" s="5" t="inlineStr">
        <is>
          <t>Facebook</t>
        </is>
      </c>
      <c r="F340" s="5" t="inlineStr">
        <is>
          <t>2026-09-16</t>
        </is>
      </c>
      <c r="G340" s="5" t="inlineStr">
        <is>
          <t>name, product range</t>
        </is>
      </c>
      <c r="H340" s="5" t="inlineStr">
        <is>
          <t>Requires Verification</t>
        </is>
      </c>
    </row>
    <row r="341">
      <c r="A341" s="10" t="inlineStr">
        <is>
          <t>UK-000450</t>
        </is>
      </c>
      <c r="B341" s="10" t="inlineStr">
        <is>
          <t>Vape Shop Birmingham</t>
        </is>
      </c>
      <c r="C341" s="10" t="inlineStr">
        <is>
          <t>Birmingham</t>
        </is>
      </c>
      <c r="D341" s="10" t="inlineStr">
        <is>
          <t>https://vapeshopbirmingham.co.uk/pages/birmingham-city-centre</t>
        </is>
      </c>
      <c r="E341" s="10" t="inlineStr">
        <is>
          <t>Official Website</t>
        </is>
      </c>
      <c r="F341" s="10" t="inlineStr">
        <is>
          <t>2026-09-17</t>
        </is>
      </c>
      <c r="G341" s="10" t="inlineStr">
        <is>
          <t>address, postcode, multi-site confirmation</t>
        </is>
      </c>
      <c r="H341" s="10" t="inlineStr">
        <is>
          <t>Requires Verification</t>
        </is>
      </c>
    </row>
    <row r="342">
      <c r="A342" s="5" t="inlineStr">
        <is>
          <t>UK-000450</t>
        </is>
      </c>
      <c r="B342" s="5" t="inlineStr">
        <is>
          <t>Vape Shop Birmingham</t>
        </is>
      </c>
      <c r="C342" s="5" t="inlineStr">
        <is>
          <t>Birmingham</t>
        </is>
      </c>
      <c r="D342" s="5" t="inlineStr">
        <is>
          <t>https://vapeshopbirmingham.co.uk/pages/store-locator</t>
        </is>
      </c>
      <c r="E342" s="5" t="inlineStr">
        <is>
          <t>Official Website</t>
        </is>
      </c>
      <c r="F342" s="5" t="inlineStr">
        <is>
          <t>2026-09-17</t>
        </is>
      </c>
      <c r="G342" s="5" t="inlineStr">
        <is>
          <t>multi-site confirmation</t>
        </is>
      </c>
      <c r="H342" s="5" t="inlineStr">
        <is>
          <t>Requires Verification</t>
        </is>
      </c>
    </row>
    <row r="343">
      <c r="A343" s="10" t="inlineStr">
        <is>
          <t>UK-000222</t>
        </is>
      </c>
      <c r="B343" s="10" t="inlineStr">
        <is>
          <t>Vape Shop Guy Boroughbridge</t>
        </is>
      </c>
      <c r="C343" s="10" t="inlineStr">
        <is>
          <t>Boroughbridge</t>
        </is>
      </c>
      <c r="D343" s="10" t="inlineStr">
        <is>
          <t>https://vapeshopguy.co.uk/locations</t>
        </is>
      </c>
      <c r="E343" s="10" t="inlineStr">
        <is>
          <t>Official Website</t>
        </is>
      </c>
      <c r="F343" s="10" t="inlineStr">
        <is>
          <t>2026-09-16</t>
        </is>
      </c>
      <c r="G343" s="10" t="inlineStr">
        <is>
          <t>address, phone (search snippet)</t>
        </is>
      </c>
      <c r="H343" s="10" t="inlineStr">
        <is>
          <t>Requires Verification</t>
        </is>
      </c>
    </row>
    <row r="344">
      <c r="A344" s="5" t="inlineStr">
        <is>
          <t>UK-000223</t>
        </is>
      </c>
      <c r="B344" s="5" t="inlineStr">
        <is>
          <t>Vape Shop Guy Ripon</t>
        </is>
      </c>
      <c r="C344" s="5" t="inlineStr">
        <is>
          <t>Ripon</t>
        </is>
      </c>
      <c r="D344" s="5" t="inlineStr">
        <is>
          <t>https://vapeshopguy.co.uk/locations</t>
        </is>
      </c>
      <c r="E344" s="5" t="inlineStr">
        <is>
          <t>Official Website</t>
        </is>
      </c>
      <c r="F344" s="5" t="inlineStr">
        <is>
          <t>2026-09-16</t>
        </is>
      </c>
      <c r="G344" s="5" t="inlineStr">
        <is>
          <t>address (search snippet)</t>
        </is>
      </c>
      <c r="H344" s="5" t="inlineStr">
        <is>
          <t>Requires Verification</t>
        </is>
      </c>
    </row>
    <row r="345">
      <c r="A345" s="10" t="inlineStr">
        <is>
          <t>UK-000223</t>
        </is>
      </c>
      <c r="B345" s="10" t="inlineStr">
        <is>
          <t>Vape Shop Guy Ripon</t>
        </is>
      </c>
      <c r="C345" s="10" t="inlineStr">
        <is>
          <t>Ripon</t>
        </is>
      </c>
      <c r="D345" s="10" t="inlineStr">
        <is>
          <t>https://find-and-update.company-information.service.gov.uk/company/16398053</t>
        </is>
      </c>
      <c r="E345" s="10" t="inlineStr">
        <is>
          <t>Companies House</t>
        </is>
      </c>
      <c r="F345" s="10" t="inlineStr">
        <is>
          <t>2026-09-16</t>
        </is>
      </c>
      <c r="G345" s="10" t="inlineStr">
        <is>
          <t>registered company name, company number</t>
        </is>
      </c>
      <c r="H345" s="10" t="inlineStr">
        <is>
          <t>Requires Verification</t>
        </is>
      </c>
    </row>
    <row r="346">
      <c r="A346" s="5" t="inlineStr">
        <is>
          <t>UK-000224</t>
        </is>
      </c>
      <c r="B346" s="5" t="inlineStr">
        <is>
          <t>Vape Shop Guy Thirsk</t>
        </is>
      </c>
      <c r="C346" s="5" t="inlineStr">
        <is>
          <t>Thirsk</t>
        </is>
      </c>
      <c r="D346" s="5" t="inlineStr">
        <is>
          <t>https://vapeshopguy.co.uk/locations</t>
        </is>
      </c>
      <c r="E346" s="5" t="inlineStr">
        <is>
          <t>Official Website</t>
        </is>
      </c>
      <c r="F346" s="5" t="inlineStr">
        <is>
          <t>2026-09-16</t>
        </is>
      </c>
      <c r="G346" s="5" t="inlineStr">
        <is>
          <t>address (search snippet)</t>
        </is>
      </c>
      <c r="H346" s="5" t="inlineStr">
        <is>
          <t>Requires Verification</t>
        </is>
      </c>
    </row>
    <row r="347">
      <c r="A347" s="10" t="inlineStr">
        <is>
          <t>UK-000224</t>
        </is>
      </c>
      <c r="B347" s="10" t="inlineStr">
        <is>
          <t>Vape Shop Guy Thirsk</t>
        </is>
      </c>
      <c r="C347" s="10" t="inlineStr">
        <is>
          <t>Thirsk</t>
        </is>
      </c>
      <c r="D347" s="10" t="inlineStr">
        <is>
          <t>https://find-and-update.company-information.service.gov.uk/company/15869863</t>
        </is>
      </c>
      <c r="E347" s="10" t="inlineStr">
        <is>
          <t>Companies House</t>
        </is>
      </c>
      <c r="F347" s="10" t="inlineStr">
        <is>
          <t>2026-09-16</t>
        </is>
      </c>
      <c r="G347" s="10" t="inlineStr">
        <is>
          <t>registered company name, company number</t>
        </is>
      </c>
      <c r="H347" s="10" t="inlineStr">
        <is>
          <t>Requires Verification</t>
        </is>
      </c>
    </row>
    <row r="348">
      <c r="A348" s="5" t="inlineStr">
        <is>
          <t>UK-000225</t>
        </is>
      </c>
      <c r="B348" s="5" t="inlineStr">
        <is>
          <t>Vapour Worx Knaresborough</t>
        </is>
      </c>
      <c r="C348" s="5" t="inlineStr">
        <is>
          <t>Knaresborough</t>
        </is>
      </c>
      <c r="D348" s="5" t="inlineStr">
        <is>
          <t>https://directory.crewechronicle.co.uk/company/1223189121957890</t>
        </is>
      </c>
      <c r="E348" s="5" t="inlineStr">
        <is>
          <t>Directory</t>
        </is>
      </c>
      <c r="F348" s="5" t="inlineStr">
        <is>
          <t>2026-09-16</t>
        </is>
      </c>
      <c r="G348" s="5" t="inlineStr">
        <is>
          <t>address, postcode</t>
        </is>
      </c>
      <c r="H348" s="5" t="inlineStr">
        <is>
          <t>Requires Verification</t>
        </is>
      </c>
    </row>
    <row r="349">
      <c r="A349" s="10" t="inlineStr">
        <is>
          <t>UK-000225</t>
        </is>
      </c>
      <c r="B349" s="10" t="inlineStr">
        <is>
          <t>Vapour Worx Knaresborough</t>
        </is>
      </c>
      <c r="C349" s="10" t="inlineStr">
        <is>
          <t>Knaresborough</t>
        </is>
      </c>
      <c r="D349" s="10" t="inlineStr">
        <is>
          <t>https://vymaps.com/GB/Vapour-Worx-Knaresborough-318766375170972/</t>
        </is>
      </c>
      <c r="E349" s="10" t="inlineStr">
        <is>
          <t>Directory</t>
        </is>
      </c>
      <c r="F349" s="10" t="inlineStr">
        <is>
          <t>2026-09-16</t>
        </is>
      </c>
      <c r="G349" s="10" t="inlineStr">
        <is>
          <t>phone</t>
        </is>
      </c>
      <c r="H349" s="10" t="inlineStr">
        <is>
          <t>Requires Verification</t>
        </is>
      </c>
    </row>
    <row r="350">
      <c r="A350" s="5" t="inlineStr">
        <is>
          <t>UK-000225</t>
        </is>
      </c>
      <c r="B350" s="5" t="inlineStr">
        <is>
          <t>Vapour Worx Knaresborough</t>
        </is>
      </c>
      <c r="C350" s="5" t="inlineStr">
        <is>
          <t>Knaresborough</t>
        </is>
      </c>
      <c r="D350" s="5" t="inlineStr">
        <is>
          <t>https://totallylocallyknaresborough.org/vapour-worx-vape-shop-guy/</t>
        </is>
      </c>
      <c r="E350" s="5" t="inlineStr">
        <is>
          <t>Directory</t>
        </is>
      </c>
      <c r="F350" s="5" t="inlineStr">
        <is>
          <t>2026-09-16</t>
        </is>
      </c>
      <c r="G350" s="5" t="inlineStr">
        <is>
          <t>Vape Shop Guy group affiliation</t>
        </is>
      </c>
      <c r="H350" s="5" t="inlineStr">
        <is>
          <t>Requires Verification</t>
        </is>
      </c>
    </row>
    <row r="351">
      <c r="A351" s="10" t="inlineStr">
        <is>
          <t>UK-000743</t>
        </is>
      </c>
      <c r="B351" s="10" t="inlineStr">
        <is>
          <t>Vape Shop No 1 Wirral - Bebington</t>
        </is>
      </c>
      <c r="C351" s="10" t="inlineStr">
        <is>
          <t>Birkenhead</t>
        </is>
      </c>
      <c r="D351" s="10" t="inlineStr">
        <is>
          <t>https://vapeshopno1.co.uk/contact-us-enquire/</t>
        </is>
      </c>
      <c r="E351" s="10" t="inlineStr">
        <is>
          <t>Official Website</t>
        </is>
      </c>
      <c r="F351" s="10" t="inlineStr">
        <is>
          <t>2026-09-17</t>
        </is>
      </c>
      <c r="G351" s="10" t="inlineStr">
        <is>
          <t>orders email, store list, general enquiries number</t>
        </is>
      </c>
      <c r="H351" s="10" t="inlineStr">
        <is>
          <t>Requires Verification</t>
        </is>
      </c>
    </row>
    <row r="352">
      <c r="A352" s="5" t="inlineStr">
        <is>
          <t>UK-000743</t>
        </is>
      </c>
      <c r="B352" s="5" t="inlineStr">
        <is>
          <t>Vape Shop No 1 Wirral - Bebington</t>
        </is>
      </c>
      <c r="C352" s="5" t="inlineStr">
        <is>
          <t>Birkenhead</t>
        </is>
      </c>
      <c r="D352" s="5" t="inlineStr">
        <is>
          <t>https://www.yelp.com/biz/vape-shop-no-1-wirral-wirral</t>
        </is>
      </c>
      <c r="E352" s="5" t="inlineStr">
        <is>
          <t>Yell</t>
        </is>
      </c>
      <c r="F352" s="5" t="inlineStr">
        <is>
          <t>2026-09-17</t>
        </is>
      </c>
      <c r="G352" s="5" t="inlineStr">
        <is>
          <t>Bebington Road address, phone</t>
        </is>
      </c>
      <c r="H352" s="5" t="inlineStr">
        <is>
          <t>Requires Verification</t>
        </is>
      </c>
    </row>
    <row r="353">
      <c r="A353" s="10" t="inlineStr">
        <is>
          <t>UK-000743</t>
        </is>
      </c>
      <c r="B353" s="10" t="inlineStr">
        <is>
          <t>Vape Shop No 1 Wirral - Bebington</t>
        </is>
      </c>
      <c r="C353" s="10" t="inlineStr">
        <is>
          <t>Birkenhead</t>
        </is>
      </c>
      <c r="D353" s="10" t="inlineStr">
        <is>
          <t>https://birkenhead.cylex-uk.co.uk/company/vape-shop-no-1-wirral-26557932.html</t>
        </is>
      </c>
      <c r="E353" s="10" t="inlineStr">
        <is>
          <t>Directory</t>
        </is>
      </c>
      <c r="F353" s="10" t="inlineStr">
        <is>
          <t>2026-09-17</t>
        </is>
      </c>
      <c r="G353" s="10" t="inlineStr">
        <is>
          <t>address, phone, postcode</t>
        </is>
      </c>
      <c r="H353" s="10" t="inlineStr">
        <is>
          <t>Requires Verification</t>
        </is>
      </c>
    </row>
    <row r="354">
      <c r="A354" s="5" t="inlineStr">
        <is>
          <t>UK-000744</t>
        </is>
      </c>
      <c r="B354" s="5" t="inlineStr">
        <is>
          <t>Vape Shop No 1 Wirral - Greasby</t>
        </is>
      </c>
      <c r="C354" s="5" t="inlineStr">
        <is>
          <t>Wirral</t>
        </is>
      </c>
      <c r="D354" s="5" t="inlineStr">
        <is>
          <t>https://greasby.cylex-uk.co.uk/company/vape-shop-no-1-wirral-greasby-27687362.html</t>
        </is>
      </c>
      <c r="E354" s="5" t="inlineStr">
        <is>
          <t>Directory</t>
        </is>
      </c>
      <c r="F354" s="5" t="inlineStr">
        <is>
          <t>2026-09-17</t>
        </is>
      </c>
      <c r="G354" s="5" t="inlineStr">
        <is>
          <t>Greasby Road address, phone, postcode</t>
        </is>
      </c>
      <c r="H354" s="5" t="inlineStr">
        <is>
          <t>Requires Verification</t>
        </is>
      </c>
    </row>
    <row r="355">
      <c r="A355" s="10" t="inlineStr">
        <is>
          <t>UK-000744</t>
        </is>
      </c>
      <c r="B355" s="10" t="inlineStr">
        <is>
          <t>Vape Shop No 1 Wirral - Greasby</t>
        </is>
      </c>
      <c r="C355" s="10" t="inlineStr">
        <is>
          <t>Wirral</t>
        </is>
      </c>
      <c r="D355" s="10" t="inlineStr">
        <is>
          <t>https://vapeshopno1.co.uk/contact-us-enquire/</t>
        </is>
      </c>
      <c r="E355" s="10" t="inlineStr">
        <is>
          <t>Official Website</t>
        </is>
      </c>
      <c r="F355" s="10" t="inlineStr">
        <is>
          <t>2026-09-17</t>
        </is>
      </c>
      <c r="G355" s="10" t="inlineStr">
        <is>
          <t>store list, orders email</t>
        </is>
      </c>
      <c r="H355" s="10" t="inlineStr">
        <is>
          <t>Requires Verification</t>
        </is>
      </c>
    </row>
    <row r="356">
      <c r="A356" s="5" t="inlineStr">
        <is>
          <t>UK-000745</t>
        </is>
      </c>
      <c r="B356" s="5" t="inlineStr">
        <is>
          <t>Vape Shop No 1 Wirral - Prenton</t>
        </is>
      </c>
      <c r="C356" s="5" t="inlineStr">
        <is>
          <t>Birkenhead</t>
        </is>
      </c>
      <c r="D356" s="5" t="inlineStr">
        <is>
          <t>https://vapeshops.puffingbird.com/england/prenton/vape-shop-no-1-cbd-store-wirral-prenton</t>
        </is>
      </c>
      <c r="E356" s="5" t="inlineStr">
        <is>
          <t>Directory</t>
        </is>
      </c>
      <c r="F356" s="5" t="inlineStr">
        <is>
          <t>2026-09-17</t>
        </is>
      </c>
      <c r="G356" s="5" t="inlineStr">
        <is>
          <t>Townfield Close address, phone, postcode</t>
        </is>
      </c>
      <c r="H356" s="5" t="inlineStr">
        <is>
          <t>Requires Verification</t>
        </is>
      </c>
    </row>
    <row r="357">
      <c r="A357" s="10" t="inlineStr">
        <is>
          <t>UK-000745</t>
        </is>
      </c>
      <c r="B357" s="10" t="inlineStr">
        <is>
          <t>Vape Shop No 1 Wirral - Prenton</t>
        </is>
      </c>
      <c r="C357" s="10" t="inlineStr">
        <is>
          <t>Birkenhead</t>
        </is>
      </c>
      <c r="D357" s="10" t="inlineStr">
        <is>
          <t>https://vapeshopno1.co.uk/contact-us-enquire/</t>
        </is>
      </c>
      <c r="E357" s="10" t="inlineStr">
        <is>
          <t>Official Website</t>
        </is>
      </c>
      <c r="F357" s="10" t="inlineStr">
        <is>
          <t>2026-09-17</t>
        </is>
      </c>
      <c r="G357" s="10" t="inlineStr">
        <is>
          <t>store list, orders email</t>
        </is>
      </c>
      <c r="H357" s="10" t="inlineStr">
        <is>
          <t>Requires Verification</t>
        </is>
      </c>
    </row>
    <row r="358">
      <c r="A358" s="5" t="inlineStr">
        <is>
          <t>UK-000563</t>
        </is>
      </c>
      <c r="B358" s="5" t="inlineStr">
        <is>
          <t>Vape Superstore (Walthamstow)</t>
        </is>
      </c>
      <c r="C358" s="5" t="inlineStr">
        <is>
          <t>Walthamstow</t>
        </is>
      </c>
      <c r="D358" s="5" t="inlineStr">
        <is>
          <t>https://www.yell.com/biz/vape-superstore-walthamstow-london-9443123/</t>
        </is>
      </c>
      <c r="E358" s="5" t="inlineStr">
        <is>
          <t>Yell</t>
        </is>
      </c>
      <c r="F358" s="5" t="inlineStr">
        <is>
          <t>2026-09-17</t>
        </is>
      </c>
      <c r="G358" s="5" t="inlineStr">
        <is>
          <t>name, address, postcode, phone</t>
        </is>
      </c>
      <c r="H358" s="5" t="inlineStr">
        <is>
          <t>Requires Verification</t>
        </is>
      </c>
    </row>
    <row r="359">
      <c r="A359" s="10" t="inlineStr">
        <is>
          <t>UK-000563</t>
        </is>
      </c>
      <c r="B359" s="10" t="inlineStr">
        <is>
          <t>Vape Superstore (Walthamstow)</t>
        </is>
      </c>
      <c r="C359" s="10" t="inlineStr">
        <is>
          <t>Walthamstow</t>
        </is>
      </c>
      <c r="D359" s="10" t="inlineStr">
        <is>
          <t>https://www.yelp.co.uk/biz/vape-superstore-walthamstow-london</t>
        </is>
      </c>
      <c r="E359" s="10" t="inlineStr">
        <is>
          <t>Directory</t>
        </is>
      </c>
      <c r="F359" s="10" t="inlineStr">
        <is>
          <t>2026-09-17</t>
        </is>
      </c>
      <c r="G359" s="10" t="inlineStr">
        <is>
          <t>address, established date</t>
        </is>
      </c>
      <c r="H359" s="10" t="inlineStr">
        <is>
          <t>Requires Verification</t>
        </is>
      </c>
    </row>
    <row r="360">
      <c r="A360" s="5" t="inlineStr">
        <is>
          <t>UK-000564</t>
        </is>
      </c>
      <c r="B360" s="5" t="inlineStr">
        <is>
          <t>Vape Superstore Soho</t>
        </is>
      </c>
      <c r="C360" s="5" t="inlineStr">
        <is>
          <t>London</t>
        </is>
      </c>
      <c r="D360" s="5" t="inlineStr">
        <is>
          <t>https://www.yelp.co.uk/biz/vape-superstore-soho-london</t>
        </is>
      </c>
      <c r="E360" s="5" t="inlineStr">
        <is>
          <t>Directory</t>
        </is>
      </c>
      <c r="F360" s="5" t="inlineStr">
        <is>
          <t>2026-09-17</t>
        </is>
      </c>
      <c r="G360" s="5" t="inlineStr">
        <is>
          <t>business name, address, postcode, phone</t>
        </is>
      </c>
      <c r="H360" s="5" t="inlineStr">
        <is>
          <t>Requires Verification</t>
        </is>
      </c>
    </row>
    <row r="361">
      <c r="A361" s="10" t="inlineStr">
        <is>
          <t>UK-000564</t>
        </is>
      </c>
      <c r="B361" s="10" t="inlineStr">
        <is>
          <t>Vape Superstore Soho</t>
        </is>
      </c>
      <c r="C361" s="10" t="inlineStr">
        <is>
          <t>London</t>
        </is>
      </c>
      <c r="D361" s="10" t="inlineStr">
        <is>
          <t>https://www.yell.com/biz/vape-superstore-soho-london-8853461/</t>
        </is>
      </c>
      <c r="E361" s="10" t="inlineStr">
        <is>
          <t>Yell</t>
        </is>
      </c>
      <c r="F361" s="10" t="inlineStr">
        <is>
          <t>2026-09-17</t>
        </is>
      </c>
      <c r="G361" s="10" t="inlineStr">
        <is>
          <t>business name, area</t>
        </is>
      </c>
      <c r="H361" s="10" t="inlineStr">
        <is>
          <t>Requires Verification</t>
        </is>
      </c>
    </row>
    <row r="362">
      <c r="A362" s="5" t="inlineStr">
        <is>
          <t>UK-000326</t>
        </is>
      </c>
      <c r="B362" s="5" t="inlineStr">
        <is>
          <t>Vape and Watts Hyde</t>
        </is>
      </c>
      <c r="C362" s="5" t="inlineStr">
        <is>
          <t>Hyde</t>
        </is>
      </c>
      <c r="D362" s="5" t="inlineStr">
        <is>
          <t>https://www.yell.com/biz/vape-and-watts-hyde-8811054/</t>
        </is>
      </c>
      <c r="E362" s="5" t="inlineStr">
        <is>
          <t>Yell</t>
        </is>
      </c>
      <c r="F362" s="5" t="inlineStr">
        <is>
          <t>2026-09-17</t>
        </is>
      </c>
      <c r="G362" s="5" t="inlineStr">
        <is>
          <t>address, postcode</t>
        </is>
      </c>
      <c r="H362" s="5" t="inlineStr">
        <is>
          <t>Requires Verification</t>
        </is>
      </c>
    </row>
    <row r="363">
      <c r="A363" s="10" t="inlineStr">
        <is>
          <t>UK-000327</t>
        </is>
      </c>
      <c r="B363" s="10" t="inlineStr">
        <is>
          <t>Vape and Watts Royton</t>
        </is>
      </c>
      <c r="C363" s="10" t="inlineStr">
        <is>
          <t>Royton</t>
        </is>
      </c>
      <c r="D363" s="10" t="inlineStr">
        <is>
          <t>https://www.facebook.com/vapeandwatts/photos/available-at-royton-and-hyde-store/1539628500256452/</t>
        </is>
      </c>
      <c r="E363" s="10" t="inlineStr">
        <is>
          <t>Facebook</t>
        </is>
      </c>
      <c r="F363" s="10" t="inlineStr">
        <is>
          <t>2026-09-17</t>
        </is>
      </c>
      <c r="G363" s="10" t="inlineStr">
        <is>
          <t>address, postcode, multi-site</t>
        </is>
      </c>
      <c r="H363" s="10" t="inlineStr">
        <is>
          <t>Requires Verification</t>
        </is>
      </c>
    </row>
    <row r="364">
      <c r="A364" s="5" t="inlineStr">
        <is>
          <t>UK-000451</t>
        </is>
      </c>
      <c r="B364" s="5" t="inlineStr">
        <is>
          <t>Vaperz Corner - Acocks Green</t>
        </is>
      </c>
      <c r="C364" s="5" t="inlineStr">
        <is>
          <t>Birmingham</t>
        </is>
      </c>
      <c r="D364" s="5" t="inlineStr">
        <is>
          <t>https://vaperzcorner.com/locations/</t>
        </is>
      </c>
      <c r="E364" s="5" t="inlineStr">
        <is>
          <t>Official Website</t>
        </is>
      </c>
      <c r="F364" s="5" t="inlineStr">
        <is>
          <t>2026-09-17</t>
        </is>
      </c>
      <c r="G364" s="5" t="inlineStr">
        <is>
          <t>address, postcode, phone, multi-site confirmation</t>
        </is>
      </c>
      <c r="H364" s="5" t="inlineStr">
        <is>
          <t>Requires Verification</t>
        </is>
      </c>
    </row>
    <row r="365">
      <c r="A365" s="10" t="inlineStr">
        <is>
          <t>UK-000746</t>
        </is>
      </c>
      <c r="B365" s="10" t="inlineStr">
        <is>
          <t>Vapourz Alloa</t>
        </is>
      </c>
      <c r="C365" s="10" t="inlineStr">
        <is>
          <t>Alloa</t>
        </is>
      </c>
      <c r="D365" s="10" t="inlineStr">
        <is>
          <t>https://alloa.cylex-uk.co.uk/company/vapourz-26787237.html</t>
        </is>
      </c>
      <c r="E365" s="10" t="inlineStr">
        <is>
          <t>Directory</t>
        </is>
      </c>
      <c r="F365" s="10" t="inlineStr">
        <is>
          <t>2026-09-17</t>
        </is>
      </c>
      <c r="G365" s="10" t="inlineStr">
        <is>
          <t>name, street (snippet; phone truncated)</t>
        </is>
      </c>
      <c r="H365" s="10" t="inlineStr">
        <is>
          <t>Requires Verification</t>
        </is>
      </c>
    </row>
    <row r="366">
      <c r="A366" s="5" t="inlineStr">
        <is>
          <t>UK-000747</t>
        </is>
      </c>
      <c r="B366" s="5" t="inlineStr">
        <is>
          <t>Vapourz Falkirk</t>
        </is>
      </c>
      <c r="C366" s="5" t="inlineStr">
        <is>
          <t>Falkirk</t>
        </is>
      </c>
      <c r="D366" s="5" t="inlineStr">
        <is>
          <t>https://falkirk.cylex-uk.co.uk/company/vapourz-26787238.html</t>
        </is>
      </c>
      <c r="E366" s="5" t="inlineStr">
        <is>
          <t>Directory</t>
        </is>
      </c>
      <c r="F366" s="5" t="inlineStr">
        <is>
          <t>2026-09-17</t>
        </is>
      </c>
      <c r="G366" s="5" t="inlineStr">
        <is>
          <t>address, postcode, phone (snippet)</t>
        </is>
      </c>
      <c r="H366" s="5" t="inlineStr">
        <is>
          <t>Requires Verification</t>
        </is>
      </c>
    </row>
    <row r="367">
      <c r="A367" s="10" t="inlineStr">
        <is>
          <t>UK-000748</t>
        </is>
      </c>
      <c r="B367" s="10" t="inlineStr">
        <is>
          <t>Vapourz Kirkcaldy</t>
        </is>
      </c>
      <c r="C367" s="10" t="inlineStr">
        <is>
          <t>Kirkcaldy</t>
        </is>
      </c>
      <c r="D367" s="10" t="inlineStr">
        <is>
          <t>https://kirkcaldy.cylex-uk.co.uk/company/vapourz-26862998.html</t>
        </is>
      </c>
      <c r="E367" s="10" t="inlineStr">
        <is>
          <t>Directory</t>
        </is>
      </c>
      <c r="F367" s="10" t="inlineStr">
        <is>
          <t>2026-09-17</t>
        </is>
      </c>
      <c r="G367" s="10" t="inlineStr">
        <is>
          <t>name, street (snippet; phone truncated)</t>
        </is>
      </c>
      <c r="H367" s="10" t="inlineStr">
        <is>
          <t>Requires Verification</t>
        </is>
      </c>
    </row>
    <row r="368">
      <c r="A368" s="5" t="inlineStr">
        <is>
          <t>UK-000749</t>
        </is>
      </c>
      <c r="B368" s="5" t="inlineStr">
        <is>
          <t>Vapourz Stirling</t>
        </is>
      </c>
      <c r="C368" s="5" t="inlineStr">
        <is>
          <t>Stirling</t>
        </is>
      </c>
      <c r="D368" s="5" t="inlineStr">
        <is>
          <t>https://stirling.cylex-uk.co.uk/company/vapourz-26641954.html</t>
        </is>
      </c>
      <c r="E368" s="5" t="inlineStr">
        <is>
          <t>Directory</t>
        </is>
      </c>
      <c r="F368" s="5" t="inlineStr">
        <is>
          <t>2026-09-17</t>
        </is>
      </c>
      <c r="G368" s="5" t="inlineStr">
        <is>
          <t>name, street, area (snippet; phone truncated)</t>
        </is>
      </c>
      <c r="H368" s="5" t="inlineStr">
        <is>
          <t>Requires Verification</t>
        </is>
      </c>
    </row>
    <row r="369">
      <c r="A369" s="10" t="inlineStr">
        <is>
          <t>WY-0039</t>
        </is>
      </c>
      <c r="B369" s="10" t="inlineStr">
        <is>
          <t>WOW Vape (Castleford)</t>
        </is>
      </c>
      <c r="C369" s="10" t="inlineStr">
        <is>
          <t>Castleford</t>
        </is>
      </c>
      <c r="D369" s="10" t="inlineStr">
        <is>
          <t>https://www.yelp.com/biz/wow-vape-castleford</t>
        </is>
      </c>
      <c r="E369" s="10" t="inlineStr">
        <is>
          <t>Directory</t>
        </is>
      </c>
      <c r="F369" s="10" t="inlineStr">
        <is>
          <t>2026-09-16</t>
        </is>
      </c>
      <c r="G369" s="10" t="inlineStr">
        <is>
          <t>address 45 Carlton Street, phone, hours</t>
        </is>
      </c>
      <c r="H369" s="10" t="inlineStr">
        <is>
          <t>Requires Verification</t>
        </is>
      </c>
    </row>
    <row r="370">
      <c r="A370" s="5" t="inlineStr">
        <is>
          <t>WY-0039</t>
        </is>
      </c>
      <c r="B370" s="5" t="inlineStr">
        <is>
          <t>WOW Vape (Castleford)</t>
        </is>
      </c>
      <c r="C370" s="5" t="inlineStr">
        <is>
          <t>Castleford</t>
        </is>
      </c>
      <c r="D370" s="5" t="inlineStr">
        <is>
          <t>https://tobaccoshops.co.uk/04574728/WOW_Castleford_Vape_Shop</t>
        </is>
      </c>
      <c r="E370" s="5" t="inlineStr">
        <is>
          <t>Directory</t>
        </is>
      </c>
      <c r="F370" s="5" t="inlineStr">
        <is>
          <t>2026-09-16</t>
        </is>
      </c>
      <c r="G370" s="5" t="inlineStr">
        <is>
          <t>listing cross-check</t>
        </is>
      </c>
      <c r="H370" s="5" t="inlineStr">
        <is>
          <t>Requires Verification</t>
        </is>
      </c>
    </row>
    <row r="371">
      <c r="A371" s="10" t="inlineStr">
        <is>
          <t>WY-0039</t>
        </is>
      </c>
      <c r="B371" s="10" t="inlineStr">
        <is>
          <t>WOW Vape (Castleford)</t>
        </is>
      </c>
      <c r="C371" s="10" t="inlineStr">
        <is>
          <t>Castleford</t>
        </is>
      </c>
      <c r="D371" s="10" t="inlineStr">
        <is>
          <t>https://www.facebook.com/wowvapecas/</t>
        </is>
      </c>
      <c r="E371" s="10" t="inlineStr">
        <is>
          <t>Facebook</t>
        </is>
      </c>
      <c r="F371" s="10" t="inlineStr">
        <is>
          <t>2026-09-16</t>
        </is>
      </c>
      <c r="G371" s="10" t="inlineStr">
        <is>
          <t>trading status, opening hours</t>
        </is>
      </c>
      <c r="H371" s="10" t="inlineStr">
        <is>
          <t>Requires Verification</t>
        </is>
      </c>
    </row>
    <row r="372">
      <c r="A372" s="5" t="inlineStr">
        <is>
          <t>WY-0040</t>
        </is>
      </c>
      <c r="B372" s="5" t="inlineStr">
        <is>
          <t>WOW Vape (Wakefield)</t>
        </is>
      </c>
      <c r="C372" s="5" t="inlineStr">
        <is>
          <t>Wakefield</t>
        </is>
      </c>
      <c r="D372" s="5" t="inlineStr">
        <is>
          <t>https://www.instagram.com/wowvapewakefield/</t>
        </is>
      </c>
      <c r="E372" s="5" t="inlineStr">
        <is>
          <t>Instagram</t>
        </is>
      </c>
      <c r="F372" s="5" t="inlineStr">
        <is>
          <t>2026-09-16</t>
        </is>
      </c>
      <c r="G372" s="5" t="inlineStr">
        <is>
          <t>existence, branding</t>
        </is>
      </c>
      <c r="H372" s="5" t="inlineStr">
        <is>
          <t>Requires Verification</t>
        </is>
      </c>
    </row>
    <row r="373">
      <c r="A373" s="10" t="inlineStr">
        <is>
          <t>WY-0040</t>
        </is>
      </c>
      <c r="B373" s="10" t="inlineStr">
        <is>
          <t>WOW Vape (Wakefield)</t>
        </is>
      </c>
      <c r="C373" s="10" t="inlineStr">
        <is>
          <t>Wakefield</t>
        </is>
      </c>
      <c r="D373" s="10" t="inlineStr">
        <is>
          <t>https://vapeshops.puffingbird.com/yorkshire-and-the-humber/wakefield/wow-vape-wakefield</t>
        </is>
      </c>
      <c r="E373" s="10" t="inlineStr">
        <is>
          <t>Directory</t>
        </is>
      </c>
      <c r="F373" s="10" t="inlineStr">
        <is>
          <t>2026-09-16</t>
        </is>
      </c>
      <c r="G373" s="10" t="inlineStr">
        <is>
          <t>listing as Wakefield vape shop</t>
        </is>
      </c>
      <c r="H373" s="10" t="inlineStr">
        <is>
          <t>Requires Verification</t>
        </is>
      </c>
    </row>
    <row r="374">
      <c r="A374" s="5" t="inlineStr">
        <is>
          <t>WY-0041</t>
        </is>
      </c>
      <c r="B374" s="5" t="inlineStr">
        <is>
          <t>We Are Vapes</t>
        </is>
      </c>
      <c r="C374" s="5" t="inlineStr">
        <is>
          <t>Bradford</t>
        </is>
      </c>
      <c r="D374" s="5" t="inlineStr">
        <is>
          <t>https://www.yelp.co.uk/biz/we-are-vapes-bradford-3</t>
        </is>
      </c>
      <c r="E374" s="5" t="inlineStr">
        <is>
          <t>Directory</t>
        </is>
      </c>
      <c r="F374" s="5" t="inlineStr">
        <is>
          <t>2026-09-16</t>
        </is>
      </c>
      <c r="G374" s="5" t="inlineStr">
        <is>
          <t>branch address 287 Tong Street, Bradford (search snippet)</t>
        </is>
      </c>
      <c r="H374" s="5" t="inlineStr">
        <is>
          <t>Requires Verification</t>
        </is>
      </c>
    </row>
    <row r="375">
      <c r="A375" s="10" t="inlineStr">
        <is>
          <t>WY-0041</t>
        </is>
      </c>
      <c r="B375" s="10" t="inlineStr">
        <is>
          <t>We Are Vapes</t>
        </is>
      </c>
      <c r="C375" s="10" t="inlineStr">
        <is>
          <t>Bradford</t>
        </is>
      </c>
      <c r="D375" s="10" t="inlineStr">
        <is>
          <t>https://www.wearevapes.com/</t>
        </is>
      </c>
      <c r="E375" s="10" t="inlineStr">
        <is>
          <t>Official Website</t>
        </is>
      </c>
      <c r="F375" s="10" t="inlineStr">
        <is>
          <t>2026-09-16</t>
        </is>
      </c>
      <c r="G375" s="10" t="inlineStr">
        <is>
          <t>brand/website existence confirmed via search results (fetch blocked)</t>
        </is>
      </c>
      <c r="H375" s="10" t="inlineStr">
        <is>
          <t>Requires Verification</t>
        </is>
      </c>
    </row>
    <row r="376">
      <c r="A376" s="5" t="inlineStr">
        <is>
          <t>WY-0042</t>
        </is>
      </c>
      <c r="B376" s="5" t="inlineStr">
        <is>
          <t>We Are Vapes</t>
        </is>
      </c>
      <c r="C376" s="5" t="inlineStr">
        <is>
          <t>Bradford</t>
        </is>
      </c>
      <c r="D376" s="5" t="inlineStr">
        <is>
          <t>https://www.yelp.com/biz/we-are-vapes-bradford-2</t>
        </is>
      </c>
      <c r="E376" s="5" t="inlineStr">
        <is>
          <t>Directory</t>
        </is>
      </c>
      <c r="F376" s="5" t="inlineStr">
        <is>
          <t>2026-09-16</t>
        </is>
      </c>
      <c r="G376" s="5" t="inlineStr">
        <is>
          <t>branch address 220 High Street, Wibsey; phone (search snippet)</t>
        </is>
      </c>
      <c r="H376" s="5" t="inlineStr">
        <is>
          <t>Requires Verification</t>
        </is>
      </c>
    </row>
    <row r="377">
      <c r="A377" s="10" t="inlineStr">
        <is>
          <t>WY-0042</t>
        </is>
      </c>
      <c r="B377" s="10" t="inlineStr">
        <is>
          <t>We Are Vapes</t>
        </is>
      </c>
      <c r="C377" s="10" t="inlineStr">
        <is>
          <t>Bradford</t>
        </is>
      </c>
      <c r="D377" s="10" t="inlineStr">
        <is>
          <t>https://www.wearevapes.com/</t>
        </is>
      </c>
      <c r="E377" s="10" t="inlineStr">
        <is>
          <t>Official Website</t>
        </is>
      </c>
      <c r="F377" s="10" t="inlineStr">
        <is>
          <t>2026-09-16</t>
        </is>
      </c>
      <c r="G377" s="10" t="inlineStr">
        <is>
          <t>brand/website existence confirmed via search results (fetch blocked)</t>
        </is>
      </c>
      <c r="H377" s="10" t="inlineStr">
        <is>
          <t>Requires Verification</t>
        </is>
      </c>
    </row>
    <row r="378">
      <c r="A378" s="5" t="inlineStr">
        <is>
          <t>WY-0043</t>
        </is>
      </c>
      <c r="B378" s="5" t="inlineStr">
        <is>
          <t>We Are Vapes</t>
        </is>
      </c>
      <c r="C378" s="5" t="inlineStr">
        <is>
          <t>Bradford</t>
        </is>
      </c>
      <c r="D378" s="5" t="inlineStr">
        <is>
          <t>https://www.yelp.com/biz/we-are-vapes-bradford</t>
        </is>
      </c>
      <c r="E378" s="5" t="inlineStr">
        <is>
          <t>Directory</t>
        </is>
      </c>
      <c r="F378" s="5" t="inlineStr">
        <is>
          <t>2026-09-16</t>
        </is>
      </c>
      <c r="G378" s="5" t="inlineStr">
        <is>
          <t>branch address 446 Killinghall Road, Bradford (search snippet)</t>
        </is>
      </c>
      <c r="H378" s="5" t="inlineStr">
        <is>
          <t>Requires Verification</t>
        </is>
      </c>
    </row>
    <row r="379">
      <c r="A379" s="10" t="inlineStr">
        <is>
          <t>WY-0043</t>
        </is>
      </c>
      <c r="B379" s="10" t="inlineStr">
        <is>
          <t>We Are Vapes</t>
        </is>
      </c>
      <c r="C379" s="10" t="inlineStr">
        <is>
          <t>Bradford</t>
        </is>
      </c>
      <c r="D379" s="10" t="inlineStr">
        <is>
          <t>https://www.wearevapes.com/</t>
        </is>
      </c>
      <c r="E379" s="10" t="inlineStr">
        <is>
          <t>Official Website</t>
        </is>
      </c>
      <c r="F379" s="10" t="inlineStr">
        <is>
          <t>2026-09-16</t>
        </is>
      </c>
      <c r="G379" s="10" t="inlineStr">
        <is>
          <t>brand/website existence confirmed via search results (fetch blocked)</t>
        </is>
      </c>
      <c r="H379" s="10" t="inlineStr">
        <is>
          <t>Requires Verification</t>
        </is>
      </c>
    </row>
    <row r="380">
      <c r="A380" s="5" t="inlineStr">
        <is>
          <t>UK-000750</t>
        </is>
      </c>
      <c r="B380" s="5" t="inlineStr">
        <is>
          <t>WoodWinters Wines &amp; Whiskies</t>
        </is>
      </c>
      <c r="C380" s="5" t="inlineStr">
        <is>
          <t>Stirling</t>
        </is>
      </c>
      <c r="D380" s="5" t="inlineStr">
        <is>
          <t>https://falkirk.cylex-uk.co.uk/off-licence.html</t>
        </is>
      </c>
      <c r="E380" s="5" t="inlineStr">
        <is>
          <t>Directory</t>
        </is>
      </c>
      <c r="F380" s="5" t="inlineStr">
        <is>
          <t>2026-09-17</t>
        </is>
      </c>
      <c r="G380" s="5" t="inlineStr">
        <is>
          <t>name, address, postcode, phone (snippet)</t>
        </is>
      </c>
      <c r="H380" s="5" t="inlineStr">
        <is>
          <t>Requires Verification</t>
        </is>
      </c>
    </row>
    <row r="381">
      <c r="A381" s="10" t="inlineStr">
        <is>
          <t>UK-000328</t>
        </is>
      </c>
      <c r="B381" s="10" t="inlineStr">
        <is>
          <t>Worldwide Foods (Cheetham Hill)</t>
        </is>
      </c>
      <c r="C381" s="10" t="inlineStr">
        <is>
          <t>Manchester</t>
        </is>
      </c>
      <c r="D381" s="10" t="inlineStr">
        <is>
          <t>https://find-open.co.uk/manchester/worldwide-foods-cheetham-hill-ltd-1759022</t>
        </is>
      </c>
      <c r="E381" s="10" t="inlineStr">
        <is>
          <t>Directory</t>
        </is>
      </c>
      <c r="F381" s="10" t="inlineStr">
        <is>
          <t>2026-09-17</t>
        </is>
      </c>
      <c r="G381" s="10" t="inlineStr">
        <is>
          <t>business name, address, postcode, phone</t>
        </is>
      </c>
      <c r="H381" s="10" t="inlineStr">
        <is>
          <t>Requires Verification</t>
        </is>
      </c>
    </row>
    <row r="382">
      <c r="A382" s="5" t="inlineStr">
        <is>
          <t>UK-000328</t>
        </is>
      </c>
      <c r="B382" s="5" t="inlineStr">
        <is>
          <t>Worldwide Foods (Cheetham Hill)</t>
        </is>
      </c>
      <c r="C382" s="5" t="inlineStr">
        <is>
          <t>Manchester</t>
        </is>
      </c>
      <c r="D382" s="5" t="inlineStr">
        <is>
          <t>https://worldwidefoods.co.uk/locations/</t>
        </is>
      </c>
      <c r="E382" s="5" t="inlineStr">
        <is>
          <t>Official Website</t>
        </is>
      </c>
      <c r="F382" s="5" t="inlineStr">
        <is>
          <t>2026-09-17</t>
        </is>
      </c>
      <c r="G382" s="5" t="inlineStr">
        <is>
          <t>multi-site group, website</t>
        </is>
      </c>
      <c r="H382" s="5" t="inlineStr">
        <is>
          <t>Requires Verification</t>
        </is>
      </c>
    </row>
    <row r="383">
      <c r="A383" s="10" t="inlineStr">
        <is>
          <t>UK-000329</t>
        </is>
      </c>
      <c r="B383" s="10" t="inlineStr">
        <is>
          <t>Worldwide Foods (Longsight)</t>
        </is>
      </c>
      <c r="C383" s="10" t="inlineStr">
        <is>
          <t>Manchester</t>
        </is>
      </c>
      <c r="D383" s="10" t="inlineStr">
        <is>
          <t>https://www.bigreddirectory.com/worldwide-foods-manchester-longsight</t>
        </is>
      </c>
      <c r="E383" s="10" t="inlineStr">
        <is>
          <t>Directory</t>
        </is>
      </c>
      <c r="F383" s="10" t="inlineStr">
        <is>
          <t>2026-09-17</t>
        </is>
      </c>
      <c r="G383" s="10" t="inlineStr">
        <is>
          <t>address, postcode</t>
        </is>
      </c>
      <c r="H383" s="10" t="inlineStr">
        <is>
          <t>Requires Verification</t>
        </is>
      </c>
    </row>
    <row r="384">
      <c r="A384" s="5" t="inlineStr">
        <is>
          <t>UK-000329</t>
        </is>
      </c>
      <c r="B384" s="5" t="inlineStr">
        <is>
          <t>Worldwide Foods (Longsight)</t>
        </is>
      </c>
      <c r="C384" s="5" t="inlineStr">
        <is>
          <t>Manchester</t>
        </is>
      </c>
      <c r="D384" s="5" t="inlineStr">
        <is>
          <t>https://m.yelp.com/biz/worldwide-foods-manchester</t>
        </is>
      </c>
      <c r="E384" s="5" t="inlineStr">
        <is>
          <t>Directory</t>
        </is>
      </c>
      <c r="F384" s="5" t="inlineStr">
        <is>
          <t>2026-09-17</t>
        </is>
      </c>
      <c r="G384" s="5" t="inlineStr">
        <is>
          <t>phone, address cross-check</t>
        </is>
      </c>
      <c r="H384" s="5" t="inlineStr">
        <is>
          <t>Requires Verification</t>
        </is>
      </c>
    </row>
    <row r="385">
      <c r="A385" s="10" t="inlineStr">
        <is>
          <t>UK-000330</t>
        </is>
      </c>
      <c r="B385" s="10" t="inlineStr">
        <is>
          <t>Worldwide Foods (Old Trafford)</t>
        </is>
      </c>
      <c r="C385" s="10" t="inlineStr">
        <is>
          <t>Manchester</t>
        </is>
      </c>
      <c r="D385" s="10" t="inlineStr">
        <is>
          <t>https://worldwidefoods.co.uk/locations/</t>
        </is>
      </c>
      <c r="E385" s="10" t="inlineStr">
        <is>
          <t>Official Website</t>
        </is>
      </c>
      <c r="F385" s="10" t="inlineStr">
        <is>
          <t>2026-09-17</t>
        </is>
      </c>
      <c r="G385" s="10" t="inlineStr">
        <is>
          <t>branch listing, address</t>
        </is>
      </c>
      <c r="H385" s="10" t="inlineStr">
        <is>
          <t>Requires Verification</t>
        </is>
      </c>
    </row>
    <row r="386">
      <c r="A386" s="5" t="inlineStr">
        <is>
          <t>UK-000331</t>
        </is>
      </c>
      <c r="B386" s="5" t="inlineStr">
        <is>
          <t>Worldwide Foods (Rusholme)</t>
        </is>
      </c>
      <c r="C386" s="5" t="inlineStr">
        <is>
          <t>Manchester</t>
        </is>
      </c>
      <c r="D386" s="5" t="inlineStr">
        <is>
          <t>https://worldwidefoods.co.uk/worldwide-manchester-rusholme/</t>
        </is>
      </c>
      <c r="E386" s="5" t="inlineStr">
        <is>
          <t>Official Website</t>
        </is>
      </c>
      <c r="F386" s="5" t="inlineStr">
        <is>
          <t>2026-09-17</t>
        </is>
      </c>
      <c r="G386" s="5" t="inlineStr">
        <is>
          <t>address, postcode</t>
        </is>
      </c>
      <c r="H386" s="5" t="inlineStr">
        <is>
          <t>Requires Verification</t>
        </is>
      </c>
    </row>
    <row r="387">
      <c r="A387" s="10" t="inlineStr">
        <is>
          <t>UK-000331</t>
        </is>
      </c>
      <c r="B387" s="10" t="inlineStr">
        <is>
          <t>Worldwide Foods (Rusholme)</t>
        </is>
      </c>
      <c r="C387" s="10" t="inlineStr">
        <is>
          <t>Manchester</t>
        </is>
      </c>
      <c r="D387" s="10" t="inlineStr">
        <is>
          <t>https://www.yelp.co.uk/biz/worldwide-foods-manchester-2</t>
        </is>
      </c>
      <c r="E387" s="10" t="inlineStr">
        <is>
          <t>Directory</t>
        </is>
      </c>
      <c r="F387" s="10" t="inlineStr">
        <is>
          <t>2026-09-17</t>
        </is>
      </c>
      <c r="G387" s="10" t="inlineStr">
        <is>
          <t>phone, address cross-check</t>
        </is>
      </c>
      <c r="H387" s="10" t="inlineStr">
        <is>
          <t>Requires Verification</t>
        </is>
      </c>
    </row>
    <row r="388">
      <c r="A388" s="5" t="inlineStr">
        <is>
          <t>WY-0044</t>
        </is>
      </c>
      <c r="B388" s="5" t="inlineStr">
        <is>
          <t>Worldwide Foods Bradford (Great Horton Road)</t>
        </is>
      </c>
      <c r="C388" s="5" t="inlineStr">
        <is>
          <t>Bradford</t>
        </is>
      </c>
      <c r="D388" s="5" t="inlineStr">
        <is>
          <t>https://worldwidefoods.co.uk/worldwide-bradford-great-horton-road/</t>
        </is>
      </c>
      <c r="E388" s="5" t="inlineStr">
        <is>
          <t>Official Website</t>
        </is>
      </c>
      <c r="F388" s="5" t="inlineStr">
        <is>
          <t>2026-09-16</t>
        </is>
      </c>
      <c r="G388" s="5" t="inlineStr">
        <is>
          <t>store page exists for Great Horton Road (search result; fetch blocked)</t>
        </is>
      </c>
      <c r="H388" s="5" t="inlineStr">
        <is>
          <t>Partially Verified</t>
        </is>
      </c>
    </row>
    <row r="389">
      <c r="A389" s="10" t="inlineStr">
        <is>
          <t>WY-0044</t>
        </is>
      </c>
      <c r="B389" s="10" t="inlineStr">
        <is>
          <t>Worldwide Foods Bradford (Great Horton Road)</t>
        </is>
      </c>
      <c r="C389" s="10" t="inlineStr">
        <is>
          <t>Bradford</t>
        </is>
      </c>
      <c r="D389" s="10" t="inlineStr">
        <is>
          <t>https://www.misterwhat.co.uk/company/2255875-worldwide-foods-bradford-bradford</t>
        </is>
      </c>
      <c r="E389" s="10" t="inlineStr">
        <is>
          <t>Directory</t>
        </is>
      </c>
      <c r="F389" s="10" t="inlineStr">
        <is>
          <t>2026-09-16</t>
        </is>
      </c>
      <c r="G389" s="10" t="inlineStr">
        <is>
          <t>address 607 Great Horton Road BD7 4ED, phone (search snippet)</t>
        </is>
      </c>
      <c r="H389" s="10" t="inlineStr">
        <is>
          <t>Partially Verified</t>
        </is>
      </c>
    </row>
    <row r="390">
      <c r="A390" s="5" t="inlineStr">
        <is>
          <t>WY-0044</t>
        </is>
      </c>
      <c r="B390" s="5" t="inlineStr">
        <is>
          <t>Worldwide Foods Bradford (Great Horton Road)</t>
        </is>
      </c>
      <c r="C390" s="5" t="inlineStr">
        <is>
          <t>Bradford</t>
        </is>
      </c>
      <c r="D390" s="5" t="inlineStr">
        <is>
          <t>https://worldwidefoods.co.uk/contact-us/</t>
        </is>
      </c>
      <c r="E390" s="5" t="inlineStr">
        <is>
          <t>Official Website</t>
        </is>
      </c>
      <c r="F390" s="5" t="inlineStr">
        <is>
          <t>2026-09-16</t>
        </is>
      </c>
      <c r="G390" s="5" t="inlineStr">
        <is>
          <t>email</t>
        </is>
      </c>
      <c r="H390" s="5" t="inlineStr">
        <is>
          <t>Partially Verified</t>
        </is>
      </c>
    </row>
    <row r="391">
      <c r="A391" s="10" t="inlineStr">
        <is>
          <t>WY-0045</t>
        </is>
      </c>
      <c r="B391" s="10" t="inlineStr">
        <is>
          <t>Worldwide Foods Bradford (Leeds Road)</t>
        </is>
      </c>
      <c r="C391" s="10" t="inlineStr">
        <is>
          <t>Bradford</t>
        </is>
      </c>
      <c r="D391" s="10" t="inlineStr">
        <is>
          <t>https://worldwidefoods.co.uk/worldwide-bradford-leeds-road/</t>
        </is>
      </c>
      <c r="E391" s="10" t="inlineStr">
        <is>
          <t>Official Website</t>
        </is>
      </c>
      <c r="F391" s="10" t="inlineStr">
        <is>
          <t>2026-09-16</t>
        </is>
      </c>
      <c r="G391" s="10" t="inlineStr">
        <is>
          <t>store page exists for Leeds Road Bradford (search result; fetch blocked)</t>
        </is>
      </c>
      <c r="H391" s="10" t="inlineStr">
        <is>
          <t>Partially Verified</t>
        </is>
      </c>
    </row>
    <row r="392">
      <c r="A392" s="5" t="inlineStr">
        <is>
          <t>WY-0045</t>
        </is>
      </c>
      <c r="B392" s="5" t="inlineStr">
        <is>
          <t>Worldwide Foods Bradford (Leeds Road)</t>
        </is>
      </c>
      <c r="C392" s="5" t="inlineStr">
        <is>
          <t>Bradford</t>
        </is>
      </c>
      <c r="D392" s="5" t="inlineStr">
        <is>
          <t>https://b99.co.uk/convenience-store/bradford/worldwide-foods/</t>
        </is>
      </c>
      <c r="E392" s="5" t="inlineStr">
        <is>
          <t>Directory</t>
        </is>
      </c>
      <c r="F392" s="5" t="inlineStr">
        <is>
          <t>2026-09-16</t>
        </is>
      </c>
      <c r="G392" s="5" t="inlineStr">
        <is>
          <t>address 1001 Leeds Road BD3 7NH, phone, 24h opening (search snippet)</t>
        </is>
      </c>
      <c r="H392" s="5" t="inlineStr">
        <is>
          <t>Partially Verified</t>
        </is>
      </c>
    </row>
    <row r="393">
      <c r="A393" s="10" t="inlineStr">
        <is>
          <t>WY-0045</t>
        </is>
      </c>
      <c r="B393" s="10" t="inlineStr">
        <is>
          <t>Worldwide Foods Bradford (Leeds Road)</t>
        </is>
      </c>
      <c r="C393" s="10" t="inlineStr">
        <is>
          <t>Bradford</t>
        </is>
      </c>
      <c r="D393" s="10" t="inlineStr">
        <is>
          <t>https://find-and-update.company-information.service.gov.uk/company/04179487</t>
        </is>
      </c>
      <c r="E393" s="10" t="inlineStr">
        <is>
          <t>Companies House</t>
        </is>
      </c>
      <c r="F393" s="10" t="inlineStr">
        <is>
          <t>2026-09-16</t>
        </is>
      </c>
      <c r="G393" s="10" t="inlineStr">
        <is>
          <t>company Worldwide Foods (Bradford) Limited 04179487 (search result; direct fetch blocked)</t>
        </is>
      </c>
      <c r="H393" s="10" t="inlineStr">
        <is>
          <t>Partially Verified</t>
        </is>
      </c>
    </row>
    <row r="394">
      <c r="A394" s="5" t="inlineStr">
        <is>
          <t>WY-0046</t>
        </is>
      </c>
      <c r="B394" s="5" t="inlineStr">
        <is>
          <t>Worldwide Foods Bradford (Woodhead Road)</t>
        </is>
      </c>
      <c r="C394" s="5" t="inlineStr">
        <is>
          <t>Bradford</t>
        </is>
      </c>
      <c r="D394" s="5" t="inlineStr">
        <is>
          <t>https://worldwidefoods.co.uk/locations/</t>
        </is>
      </c>
      <c r="E394" s="5" t="inlineStr">
        <is>
          <t>Official Website</t>
        </is>
      </c>
      <c r="F394" s="5" t="inlineStr">
        <is>
          <t>2026-09-16</t>
        </is>
      </c>
      <c r="G394" s="5" t="inlineStr">
        <is>
          <t>Woodhead Road listed among Bradford stores (search snippet; fetch blocked)</t>
        </is>
      </c>
      <c r="H394" s="5" t="inlineStr">
        <is>
          <t>Partially Verified</t>
        </is>
      </c>
    </row>
    <row r="395">
      <c r="A395" s="10" t="inlineStr">
        <is>
          <t>WY-0046</t>
        </is>
      </c>
      <c r="B395" s="10" t="inlineStr">
        <is>
          <t>Worldwide Foods Bradford (Woodhead Road)</t>
        </is>
      </c>
      <c r="C395" s="10" t="inlineStr">
        <is>
          <t>Bradford</t>
        </is>
      </c>
      <c r="D395" s="10" t="inlineStr">
        <is>
          <t>https://www.yelp.co.uk/biz/al-halal-supermarket-bradford</t>
        </is>
      </c>
      <c r="E395" s="10" t="inlineStr">
        <is>
          <t>Directory</t>
        </is>
      </c>
      <c r="F395" s="10" t="inlineStr">
        <is>
          <t>2026-09-16</t>
        </is>
      </c>
      <c r="G395" s="10" t="inlineStr">
        <is>
          <t>Al Halal Supermarket, Woodhead Road, Bradford (search result)</t>
        </is>
      </c>
      <c r="H395" s="10" t="inlineStr">
        <is>
          <t>Partially Verified</t>
        </is>
      </c>
    </row>
    <row r="396">
      <c r="A396" s="5" t="inlineStr">
        <is>
          <t>UK-000332</t>
        </is>
      </c>
      <c r="B396" s="5" t="inlineStr">
        <is>
          <t>Worldwide Foods Rochdale</t>
        </is>
      </c>
      <c r="C396" s="5" t="inlineStr">
        <is>
          <t>Rochdale</t>
        </is>
      </c>
      <c r="D396" s="5" t="inlineStr">
        <is>
          <t>https://worldwidefoods.co.uk/worldwide-rochdale/</t>
        </is>
      </c>
      <c r="E396" s="5" t="inlineStr">
        <is>
          <t>Official Website</t>
        </is>
      </c>
      <c r="F396" s="5" t="inlineStr">
        <is>
          <t>2026-09-17</t>
        </is>
      </c>
      <c r="G396" s="5" t="inlineStr">
        <is>
          <t>address, postcode</t>
        </is>
      </c>
      <c r="H396" s="5" t="inlineStr">
        <is>
          <t>Partially Verified</t>
        </is>
      </c>
    </row>
    <row r="397">
      <c r="A397" s="10" t="inlineStr">
        <is>
          <t>UK-000332</t>
        </is>
      </c>
      <c r="B397" s="10" t="inlineStr">
        <is>
          <t>Worldwide Foods Rochdale</t>
        </is>
      </c>
      <c r="C397" s="10" t="inlineStr">
        <is>
          <t>Rochdale</t>
        </is>
      </c>
      <c r="D397" s="10" t="inlineStr">
        <is>
          <t>https://find-and-update.company-information.service.gov.uk/company/04065792</t>
        </is>
      </c>
      <c r="E397" s="10" t="inlineStr">
        <is>
          <t>Companies House</t>
        </is>
      </c>
      <c r="F397" s="10" t="inlineStr">
        <is>
          <t>2026-09-17</t>
        </is>
      </c>
      <c r="G397" s="10" t="inlineStr">
        <is>
          <t>legal name, company number</t>
        </is>
      </c>
      <c r="H397" s="10" t="inlineStr">
        <is>
          <t>Partially Verified</t>
        </is>
      </c>
    </row>
    <row r="398">
      <c r="A398" s="5" t="inlineStr">
        <is>
          <t>UK-000226</t>
        </is>
      </c>
      <c r="B398" s="5" t="inlineStr">
        <is>
          <t>Fodder</t>
        </is>
      </c>
      <c r="C398" s="5" t="inlineStr">
        <is>
          <t>Harrogate</t>
        </is>
      </c>
      <c r="D398" s="5" t="inlineStr">
        <is>
          <t>https://fodder.co.uk/</t>
        </is>
      </c>
      <c r="E398" s="5" t="inlineStr">
        <is>
          <t>Official Website</t>
        </is>
      </c>
      <c r="F398" s="5" t="inlineStr">
        <is>
          <t>2026-09-16</t>
        </is>
      </c>
      <c r="G398" s="5" t="inlineStr">
        <is>
          <t>brand, product range, email (search snippet)</t>
        </is>
      </c>
      <c r="H398" s="5" t="inlineStr">
        <is>
          <t>Requires Verification</t>
        </is>
      </c>
    </row>
    <row r="399">
      <c r="A399" s="10" t="inlineStr">
        <is>
          <t>UK-000226</t>
        </is>
      </c>
      <c r="B399" s="10" t="inlineStr">
        <is>
          <t>Fodder</t>
        </is>
      </c>
      <c r="C399" s="10" t="inlineStr">
        <is>
          <t>Harrogate</t>
        </is>
      </c>
      <c r="D399" s="10" t="inlineStr">
        <is>
          <t>https://visitharrogate.co.uk/business-directory/fodder-farm-shop-and-cafe</t>
        </is>
      </c>
      <c r="E399" s="10" t="inlineStr">
        <is>
          <t>Directory</t>
        </is>
      </c>
      <c r="F399" s="10" t="inlineStr">
        <is>
          <t>2026-09-16</t>
        </is>
      </c>
      <c r="G399" s="10" t="inlineStr">
        <is>
          <t>address, phone</t>
        </is>
      </c>
      <c r="H399" s="10" t="inlineStr">
        <is>
          <t>Requires Verification</t>
        </is>
      </c>
    </row>
    <row r="400">
      <c r="A400" s="5" t="inlineStr">
        <is>
          <t>UK-000226</t>
        </is>
      </c>
      <c r="B400" s="5" t="inlineStr">
        <is>
          <t>Fodder</t>
        </is>
      </c>
      <c r="C400" s="5" t="inlineStr">
        <is>
          <t>Harrogate</t>
        </is>
      </c>
      <c r="D400" s="5" t="inlineStr">
        <is>
          <t>https://www.192.com/atoz/business/harrogate-hg2/farm-shops/fodder/3b2a3d5a1e50e64f1b0a2cae388eb2f17de893f2/ml/</t>
        </is>
      </c>
      <c r="E400" s="5" t="inlineStr">
        <is>
          <t>Directory</t>
        </is>
      </c>
      <c r="F400" s="5" t="inlineStr">
        <is>
          <t>2026-09-16</t>
        </is>
      </c>
      <c r="G400" s="5" t="inlineStr">
        <is>
          <t>postcode HG2 8NZ</t>
        </is>
      </c>
      <c r="H400" s="5" t="inlineStr">
        <is>
          <t>Requires Verification</t>
        </is>
      </c>
    </row>
    <row r="401">
      <c r="A401" s="10" t="inlineStr">
        <is>
          <t>UK-000751</t>
        </is>
      </c>
      <c r="B401" s="10" t="inlineStr">
        <is>
          <t>e.cig.a.rus Hamilton</t>
        </is>
      </c>
      <c r="C401" s="10" t="inlineStr">
        <is>
          <t>Hamilton</t>
        </is>
      </c>
      <c r="D401" s="10" t="inlineStr">
        <is>
          <t>https://ecigdirectory.co.uk/vape-shop/listing/e-cig-a-rus-hamilton</t>
        </is>
      </c>
      <c r="E401" s="10" t="inlineStr">
        <is>
          <t>Directory</t>
        </is>
      </c>
      <c r="F401" s="10" t="inlineStr">
        <is>
          <t>2026-09-17</t>
        </is>
      </c>
      <c r="G401" s="10" t="inlineStr">
        <is>
          <t>address, postcode, phone</t>
        </is>
      </c>
      <c r="H401" s="10" t="inlineStr">
        <is>
          <t>Requires Verification</t>
        </is>
      </c>
    </row>
    <row r="402">
      <c r="A402" s="5" t="inlineStr">
        <is>
          <t>UK-000752</t>
        </is>
      </c>
      <c r="B402" s="5" t="inlineStr">
        <is>
          <t>e.cig.a.rus Wishaw</t>
        </is>
      </c>
      <c r="C402" s="5" t="inlineStr">
        <is>
          <t>Wishaw</t>
        </is>
      </c>
      <c r="D402" s="5" t="inlineStr">
        <is>
          <t>https://ecigdirectory.co.uk/vape-shop/listing/e-cig-a-rus-wishaw</t>
        </is>
      </c>
      <c r="E402" s="5" t="inlineStr">
        <is>
          <t>Directory</t>
        </is>
      </c>
      <c r="F402" s="5" t="inlineStr">
        <is>
          <t>2026-09-17</t>
        </is>
      </c>
      <c r="G402" s="5" t="inlineStr">
        <is>
          <t>address, postcode, phone</t>
        </is>
      </c>
      <c r="H402" s="5" t="inlineStr">
        <is>
          <t>Requires Verification</t>
        </is>
      </c>
    </row>
    <row r="403">
      <c r="A403" s="10" t="inlineStr">
        <is>
          <t>UK-000227</t>
        </is>
      </c>
      <c r="B403" s="10" t="inlineStr">
        <is>
          <t>eCigarette Outlet</t>
        </is>
      </c>
      <c r="C403" s="10" t="inlineStr">
        <is>
          <t>Kingston upon Hull</t>
        </is>
      </c>
      <c r="D403" s="10" t="inlineStr">
        <is>
          <t>https://www.facebook.com/EcigaretteoutletHull/</t>
        </is>
      </c>
      <c r="E403" s="10" t="inlineStr">
        <is>
          <t>Facebook</t>
        </is>
      </c>
      <c r="F403" s="10" t="inlineStr">
        <is>
          <t>2026-09-16</t>
        </is>
      </c>
      <c r="G403" s="10" t="inlineStr">
        <is>
          <t>name, 53 Jameson Street address</t>
        </is>
      </c>
      <c r="H403" s="10" t="inlineStr">
        <is>
          <t>Partially Verified</t>
        </is>
      </c>
    </row>
    <row r="404">
      <c r="A404" s="5" t="inlineStr">
        <is>
          <t>UK-000227</t>
        </is>
      </c>
      <c r="B404" s="5" t="inlineStr">
        <is>
          <t>eCigarette Outlet</t>
        </is>
      </c>
      <c r="C404" s="5" t="inlineStr">
        <is>
          <t>Kingston upon Hull</t>
        </is>
      </c>
      <c r="D404" s="5" t="inlineStr">
        <is>
          <t>https://ecigdirectory.co.uk/vape-shop-hull-listings/</t>
        </is>
      </c>
      <c r="E404" s="5" t="inlineStr">
        <is>
          <t>Directory</t>
        </is>
      </c>
      <c r="F404" s="5" t="inlineStr">
        <is>
          <t>2026-09-16</t>
        </is>
      </c>
      <c r="G404" s="5" t="inlineStr">
        <is>
          <t>Hull branch addresses, email, website (via search results)</t>
        </is>
      </c>
      <c r="H404" s="5" t="inlineStr">
        <is>
          <t>Partially Verified</t>
        </is>
      </c>
    </row>
    <row r="405">
      <c r="A405" s="10" t="inlineStr">
        <is>
          <t>UK-000228</t>
        </is>
      </c>
      <c r="B405" s="10" t="inlineStr">
        <is>
          <t>eCigarette Outlet Cleethorpes</t>
        </is>
      </c>
      <c r="C405" s="10" t="inlineStr">
        <is>
          <t>Cleethorpes</t>
        </is>
      </c>
      <c r="D405" s="10" t="inlineStr">
        <is>
          <t>https://vapeshop-nearme.com/listing/ecigarette-outlet-cleethorpes/</t>
        </is>
      </c>
      <c r="E405" s="10" t="inlineStr">
        <is>
          <t>Directory</t>
        </is>
      </c>
      <c r="F405" s="10" t="inlineStr">
        <is>
          <t>2026-09-16</t>
        </is>
      </c>
      <c r="G405" s="10" t="inlineStr">
        <is>
          <t>3 St Peter's Ave address, phone (via search results)</t>
        </is>
      </c>
      <c r="H405" s="10" t="inlineStr">
        <is>
          <t>Partially Verified</t>
        </is>
      </c>
    </row>
    <row r="406">
      <c r="A406" s="5" t="inlineStr">
        <is>
          <t>UK-000229</t>
        </is>
      </c>
      <c r="B406" s="5" t="inlineStr">
        <is>
          <t>eCigarette Outlet Scunthorpe</t>
        </is>
      </c>
      <c r="C406" s="5" t="inlineStr">
        <is>
          <t>Scunthorpe</t>
        </is>
      </c>
      <c r="D406" s="5" t="inlineStr">
        <is>
          <t>https://www.facebook.com/Ecigaretteoutlet/</t>
        </is>
      </c>
      <c r="E406" s="5" t="inlineStr">
        <is>
          <t>Facebook</t>
        </is>
      </c>
      <c r="F406" s="5" t="inlineStr">
        <is>
          <t>2026-09-16</t>
        </is>
      </c>
      <c r="G406" s="5" t="inlineStr">
        <is>
          <t>name, Scunthorpe High Street presence</t>
        </is>
      </c>
      <c r="H406" s="5" t="inlineStr">
        <is>
          <t>Partially Verified</t>
        </is>
      </c>
    </row>
    <row r="407">
      <c r="A407" s="10" t="inlineStr">
        <is>
          <t>UK-000229</t>
        </is>
      </c>
      <c r="B407" s="10" t="inlineStr">
        <is>
          <t>eCigarette Outlet Scunthorpe</t>
        </is>
      </c>
      <c r="C407" s="10" t="inlineStr">
        <is>
          <t>Scunthorpe</t>
        </is>
      </c>
      <c r="D407" s="10" t="inlineStr">
        <is>
          <t>https://vapeshop-nearme.com/listing/ecigarette-outlet-scunthorpe/</t>
        </is>
      </c>
      <c r="E407" s="10" t="inlineStr">
        <is>
          <t>Directory</t>
        </is>
      </c>
      <c r="F407" s="10" t="inlineStr">
        <is>
          <t>2026-09-16</t>
        </is>
      </c>
      <c r="G407" s="10" t="inlineStr">
        <is>
          <t>14 Laneham Street address (via search results)</t>
        </is>
      </c>
      <c r="H407" s="10" t="inlineStr">
        <is>
          <t>Partially Verified</t>
        </is>
      </c>
    </row>
    <row r="408">
      <c r="A408" s="5" t="inlineStr">
        <is>
          <t>UK-000230</t>
        </is>
      </c>
      <c r="B408" s="5" t="inlineStr">
        <is>
          <t>iVape Harrogate</t>
        </is>
      </c>
      <c r="C408" s="5" t="inlineStr">
        <is>
          <t>Harrogate</t>
        </is>
      </c>
      <c r="D408" s="5" t="inlineStr">
        <is>
          <t>https://ivapestore.co.uk/stores/ivape-harrogate</t>
        </is>
      </c>
      <c r="E408" s="5" t="inlineStr">
        <is>
          <t>Official Website</t>
        </is>
      </c>
      <c r="F408" s="5" t="inlineStr">
        <is>
          <t>2026-09-16</t>
        </is>
      </c>
      <c r="G408" s="5" t="inlineStr">
        <is>
          <t>store page, address (search snippet)</t>
        </is>
      </c>
      <c r="H408" s="5" t="inlineStr">
        <is>
          <t>Requires Verification</t>
        </is>
      </c>
    </row>
    <row r="409">
      <c r="A409" s="10" t="inlineStr">
        <is>
          <t>UK-000230</t>
        </is>
      </c>
      <c r="B409" s="10" t="inlineStr">
        <is>
          <t>iVape Harrogate</t>
        </is>
      </c>
      <c r="C409" s="10" t="inlineStr">
        <is>
          <t>Harrogate</t>
        </is>
      </c>
      <c r="D409" s="10" t="inlineStr">
        <is>
          <t>https://harrogate.cylex-uk.co.uk/vape-shops/</t>
        </is>
      </c>
      <c r="E409" s="10" t="inlineStr">
        <is>
          <t>Directory</t>
        </is>
      </c>
      <c r="F409" s="10" t="inlineStr">
        <is>
          <t>2026-09-16</t>
        </is>
      </c>
      <c r="G409" s="10" t="inlineStr">
        <is>
          <t>address, postcode, phone</t>
        </is>
      </c>
      <c r="H409" s="10" t="inlineStr">
        <is>
          <t>Requires Verification</t>
        </is>
      </c>
    </row>
    <row r="410">
      <c r="A410" s="5" t="inlineStr">
        <is>
          <t>UK-000565</t>
        </is>
      </c>
      <c r="B410" s="5" t="inlineStr">
        <is>
          <t>myCigara - Hammersmith (King Street)</t>
        </is>
      </c>
      <c r="C410" s="5" t="inlineStr">
        <is>
          <t>London</t>
        </is>
      </c>
      <c r="D410" s="5" t="inlineStr">
        <is>
          <t>https://www.yell.com/biz/cigara-hammersmith-and-fulham-london-8957652/</t>
        </is>
      </c>
      <c r="E410" s="5" t="inlineStr">
        <is>
          <t>Yell</t>
        </is>
      </c>
      <c r="F410" s="5" t="inlineStr">
        <is>
          <t>2026-09-17</t>
        </is>
      </c>
      <c r="G410" s="5" t="inlineStr">
        <is>
          <t>business name, address, postcode</t>
        </is>
      </c>
      <c r="H410" s="5" t="inlineStr">
        <is>
          <t>Requires Verification</t>
        </is>
      </c>
    </row>
    <row r="411">
      <c r="A411" s="10" t="inlineStr">
        <is>
          <t>UK-000566</t>
        </is>
      </c>
      <c r="B411" s="10" t="inlineStr">
        <is>
          <t>myCigara - Holborn (Theobald's Road)</t>
        </is>
      </c>
      <c r="C411" s="10" t="inlineStr">
        <is>
          <t>London</t>
        </is>
      </c>
      <c r="D411" s="10" t="inlineStr">
        <is>
          <t>https://www.allinlondon.co.uk/directory/tobacconists/253177-my-cigara-vape-store</t>
        </is>
      </c>
      <c r="E411" s="10" t="inlineStr">
        <is>
          <t>Directory</t>
        </is>
      </c>
      <c r="F411" s="10" t="inlineStr">
        <is>
          <t>2026-09-17</t>
        </is>
      </c>
      <c r="G411" s="10" t="inlineStr">
        <is>
          <t>business name, address, postcode, phone</t>
        </is>
      </c>
      <c r="H411" s="10" t="inlineStr">
        <is>
          <t>Requires Verification</t>
        </is>
      </c>
    </row>
    <row r="412">
      <c r="A412" s="5" t="inlineStr">
        <is>
          <t>UK-000566</t>
        </is>
      </c>
      <c r="B412" s="5" t="inlineStr">
        <is>
          <t>myCigara - Holborn (Theobald's Road)</t>
        </is>
      </c>
      <c r="C412" s="5" t="inlineStr">
        <is>
          <t>London</t>
        </is>
      </c>
      <c r="D412" s="5" t="inlineStr">
        <is>
          <t>https://www.mycigara.com/pages/mycigara-vape-shop-store-locator</t>
        </is>
      </c>
      <c r="E412" s="5" t="inlineStr">
        <is>
          <t>Official Website</t>
        </is>
      </c>
      <c r="F412" s="5" t="inlineStr">
        <is>
          <t>2026-09-17</t>
        </is>
      </c>
      <c r="G412" s="5" t="inlineStr">
        <is>
          <t>chain, store network</t>
        </is>
      </c>
      <c r="H412" s="5" t="inlineStr">
        <is>
          <t>Requires Verification</t>
        </is>
      </c>
    </row>
    <row r="413">
      <c r="A413" s="10" t="inlineStr">
        <is>
          <t>WY-0047</t>
        </is>
      </c>
      <c r="B413" s="10" t="inlineStr">
        <is>
          <t>A &amp; B Stores</t>
        </is>
      </c>
      <c r="C413" s="10" t="inlineStr">
        <is>
          <t>Bingley</t>
        </is>
      </c>
      <c r="D413" s="10" t="inlineStr">
        <is>
          <t>https://www.yorkshire.com/bingley/shopping/off-license/a-b-stores</t>
        </is>
      </c>
      <c r="E413" s="10" t="inlineStr">
        <is>
          <t>Directory</t>
        </is>
      </c>
      <c r="F413" s="10" t="inlineStr">
        <is>
          <t>2026-09-16</t>
        </is>
      </c>
      <c r="G413" s="10" t="inlineStr">
        <is>
          <t>name and Bingley location (search result)</t>
        </is>
      </c>
      <c r="H413" s="10" t="inlineStr">
        <is>
          <t>Requires Verification</t>
        </is>
      </c>
    </row>
    <row r="414">
      <c r="A414" s="5" t="inlineStr">
        <is>
          <t>UK-000567</t>
        </is>
      </c>
      <c r="B414" s="5" t="inlineStr">
        <is>
          <t>A &amp; J Minimarket</t>
        </is>
      </c>
      <c r="C414" s="5" t="inlineStr">
        <is>
          <t>Mitcham</t>
        </is>
      </c>
      <c r="D414" s="5" t="inlineStr">
        <is>
          <t>https://www.yell.com/biz/a-and-j-minimarket-mitcham-6620726/</t>
        </is>
      </c>
      <c r="E414" s="5" t="inlineStr">
        <is>
          <t>Yell</t>
        </is>
      </c>
      <c r="F414" s="5" t="inlineStr">
        <is>
          <t>2026-09-17</t>
        </is>
      </c>
      <c r="G414" s="5" t="inlineStr">
        <is>
          <t>business name, address</t>
        </is>
      </c>
      <c r="H414" s="5" t="inlineStr">
        <is>
          <t>Requires Verification</t>
        </is>
      </c>
    </row>
    <row r="415">
      <c r="A415" s="10" t="inlineStr">
        <is>
          <t>UK-000568</t>
        </is>
      </c>
      <c r="B415" s="10" t="inlineStr">
        <is>
          <t>A Cash &amp; Carry</t>
        </is>
      </c>
      <c r="C415" s="10" t="inlineStr">
        <is>
          <t>Upton Park</t>
        </is>
      </c>
      <c r="D415" s="10" t="inlineStr">
        <is>
          <t>https://www.yell.com/s/cash+and+carry-london+borough+of+newham.html</t>
        </is>
      </c>
      <c r="E415" s="10" t="inlineStr">
        <is>
          <t>Yell</t>
        </is>
      </c>
      <c r="F415" s="10" t="inlineStr">
        <is>
          <t>2026-09-17</t>
        </is>
      </c>
      <c r="G415" s="10" t="inlineStr">
        <is>
          <t>name, address, postcode, phone</t>
        </is>
      </c>
      <c r="H415" s="10" t="inlineStr">
        <is>
          <t>Requires Verification</t>
        </is>
      </c>
    </row>
    <row r="416">
      <c r="A416" s="5" t="inlineStr">
        <is>
          <t>UK-000569</t>
        </is>
      </c>
      <c r="B416" s="5" t="inlineStr">
        <is>
          <t>A K S U Food Centre</t>
        </is>
      </c>
      <c r="C416" s="5" t="inlineStr">
        <is>
          <t>Palmers Green</t>
        </is>
      </c>
      <c r="D416" s="5" t="inlineStr">
        <is>
          <t>https://www.192.com/atoz/business/london-n13/supermarkets/a-k-s-u-food-centre/650ad9767a1cc003a2d7c86973b2b2e67b5e7976/ml/</t>
        </is>
      </c>
      <c r="E416" s="5" t="inlineStr">
        <is>
          <t>Directory</t>
        </is>
      </c>
      <c r="F416" s="5" t="inlineStr">
        <is>
          <t>2026-09-17</t>
        </is>
      </c>
      <c r="G416" s="5" t="inlineStr">
        <is>
          <t>name, district, postcode</t>
        </is>
      </c>
      <c r="H416" s="5" t="inlineStr">
        <is>
          <t>Requires Verification</t>
        </is>
      </c>
    </row>
    <row r="417">
      <c r="A417" s="10" t="inlineStr">
        <is>
          <t>UK-000333</t>
        </is>
      </c>
      <c r="B417" s="10" t="inlineStr">
        <is>
          <t>A S M Cash &amp; Carry</t>
        </is>
      </c>
      <c r="C417" s="10" t="inlineStr">
        <is>
          <t>Ashton-under-Lyne</t>
        </is>
      </c>
      <c r="D417" s="10" t="inlineStr">
        <is>
          <t>https://www.thomsonlocal.com/search/supermarkets/tameside/a-s-m-cash-carry/1150471/01613394744</t>
        </is>
      </c>
      <c r="E417" s="10" t="inlineStr">
        <is>
          <t>Directory</t>
        </is>
      </c>
      <c r="F417" s="10" t="inlineStr">
        <is>
          <t>2026-09-17</t>
        </is>
      </c>
      <c r="G417" s="10" t="inlineStr">
        <is>
          <t>address, postcode, phone</t>
        </is>
      </c>
      <c r="H417" s="10" t="inlineStr">
        <is>
          <t>Requires Verification</t>
        </is>
      </c>
    </row>
    <row r="418">
      <c r="A418" s="5" t="inlineStr">
        <is>
          <t>UK-000231</t>
        </is>
      </c>
      <c r="B418" s="5" t="inlineStr">
        <is>
          <t>A Touch of Glass</t>
        </is>
      </c>
      <c r="C418" s="5" t="inlineStr">
        <is>
          <t>Bridlington</t>
        </is>
      </c>
      <c r="D418" s="5" t="inlineStr">
        <is>
          <t>https://ecigdirectory.co.uk/vape-shop/listing/a-touch-of-class-bridlington</t>
        </is>
      </c>
      <c r="E418" s="5" t="inlineStr">
        <is>
          <t>Directory</t>
        </is>
      </c>
      <c r="F418" s="5" t="inlineStr">
        <is>
          <t>2026-09-16</t>
        </is>
      </c>
      <c r="G418" s="5" t="inlineStr">
        <is>
          <t>name, address, phone (via search results)</t>
        </is>
      </c>
      <c r="H418" s="5" t="inlineStr">
        <is>
          <t>Requires Verification</t>
        </is>
      </c>
    </row>
    <row r="419">
      <c r="A419" s="10" t="inlineStr">
        <is>
          <t>UK-000231</t>
        </is>
      </c>
      <c r="B419" s="10" t="inlineStr">
        <is>
          <t>A Touch of Glass</t>
        </is>
      </c>
      <c r="C419" s="10" t="inlineStr">
        <is>
          <t>Bridlington</t>
        </is>
      </c>
      <c r="D419" s="10" t="inlineStr">
        <is>
          <t>https://www.totallywicked-eliquid.co.uk/stores/bridlington-e-cigs-e-liquid-touch-of-glass</t>
        </is>
      </c>
      <c r="E419" s="10" t="inlineStr">
        <is>
          <t>Directory</t>
        </is>
      </c>
      <c r="F419" s="10" t="inlineStr">
        <is>
          <t>2026-09-16</t>
        </is>
      </c>
      <c r="G419" s="10" t="inlineStr">
        <is>
          <t>Totally Wicked stockist listing (via search results)</t>
        </is>
      </c>
      <c r="H419" s="10" t="inlineStr">
        <is>
          <t>Requires Verification</t>
        </is>
      </c>
    </row>
    <row r="420">
      <c r="A420" s="5" t="inlineStr">
        <is>
          <t>UK-000232</t>
        </is>
      </c>
      <c r="B420" s="5" t="inlineStr">
        <is>
          <t>AA Off Licence</t>
        </is>
      </c>
      <c r="C420" s="5" t="inlineStr">
        <is>
          <t>Kingston upon Hull</t>
        </is>
      </c>
      <c r="D420" s="5" t="inlineStr">
        <is>
          <t>https://www.yorkshire.com/hull/shopping/off-license/aa-off-licence</t>
        </is>
      </c>
      <c r="E420" s="5" t="inlineStr">
        <is>
          <t>Directory</t>
        </is>
      </c>
      <c r="F420" s="5" t="inlineStr">
        <is>
          <t>2026-09-16</t>
        </is>
      </c>
      <c r="G420" s="5" t="inlineStr">
        <is>
          <t>name, Hessle Road location, hours (via search results)</t>
        </is>
      </c>
      <c r="H420" s="5" t="inlineStr">
        <is>
          <t>Requires Verification</t>
        </is>
      </c>
    </row>
    <row r="421">
      <c r="A421" s="10" t="inlineStr">
        <is>
          <t>UK-000334</t>
        </is>
      </c>
      <c r="B421" s="10" t="inlineStr">
        <is>
          <t>ADZ Food Distribution Ltd</t>
        </is>
      </c>
      <c r="C421" s="10" t="inlineStr">
        <is>
          <t>Bolton</t>
        </is>
      </c>
      <c r="D421" s="10" t="inlineStr">
        <is>
          <t>https://adz-food-distribution-ltd.wheree.com/</t>
        </is>
      </c>
      <c r="E421" s="10" t="inlineStr">
        <is>
          <t>Directory</t>
        </is>
      </c>
      <c r="F421" s="10" t="inlineStr">
        <is>
          <t>2026-09-17</t>
        </is>
      </c>
      <c r="G421" s="10" t="inlineStr">
        <is>
          <t>trading name, address, postcode, phone (via search results)</t>
        </is>
      </c>
      <c r="H421" s="10" t="inlineStr">
        <is>
          <t>Requires Verification</t>
        </is>
      </c>
    </row>
    <row r="422">
      <c r="A422" s="5" t="inlineStr">
        <is>
          <t>UK-000570</t>
        </is>
      </c>
      <c r="B422" s="5" t="inlineStr">
        <is>
          <t>AJ Bros Express</t>
        </is>
      </c>
      <c r="C422" s="5" t="inlineStr">
        <is>
          <t>London</t>
        </is>
      </c>
      <c r="D422" s="5" t="inlineStr">
        <is>
          <t>https://www.yell.com/s/off+licences-tooting-south+west+london.html</t>
        </is>
      </c>
      <c r="E422" s="5" t="inlineStr">
        <is>
          <t>Yell</t>
        </is>
      </c>
      <c r="F422" s="5" t="inlineStr">
        <is>
          <t>2026-09-17</t>
        </is>
      </c>
      <c r="G422" s="5" t="inlineStr">
        <is>
          <t>business name, address, phone</t>
        </is>
      </c>
      <c r="H422" s="5" t="inlineStr">
        <is>
          <t>Requires Verification</t>
        </is>
      </c>
    </row>
    <row r="423">
      <c r="A423" s="10" t="inlineStr">
        <is>
          <t>UK-000335</t>
        </is>
      </c>
      <c r="B423" s="10" t="inlineStr">
        <is>
          <t>AJ Food &amp; Wine</t>
        </is>
      </c>
      <c r="C423" s="10" t="inlineStr">
        <is>
          <t>Stockport</t>
        </is>
      </c>
      <c r="D423" s="10" t="inlineStr">
        <is>
          <t>https://www.24houralcohol.co.uk/stockport-off-licences</t>
        </is>
      </c>
      <c r="E423" s="10" t="inlineStr">
        <is>
          <t>Directory</t>
        </is>
      </c>
      <c r="F423" s="10" t="inlineStr">
        <is>
          <t>2026-09-17</t>
        </is>
      </c>
      <c r="G423" s="10" t="inlineStr">
        <is>
          <t>address, postcode, phone</t>
        </is>
      </c>
      <c r="H423" s="10" t="inlineStr">
        <is>
          <t>Requires Verification</t>
        </is>
      </c>
    </row>
    <row r="424">
      <c r="A424" s="5" t="inlineStr">
        <is>
          <t>UK-000452</t>
        </is>
      </c>
      <c r="B424" s="5" t="inlineStr">
        <is>
          <t>AT Wholesale Ltd</t>
        </is>
      </c>
      <c r="C424" s="5" t="inlineStr">
        <is>
          <t>Wolverhampton</t>
        </is>
      </c>
      <c r="D424" s="5" t="inlineStr">
        <is>
          <t>https://www.yell.com/biz/at-wholesale-ltd-wolverhampton-10672948/</t>
        </is>
      </c>
      <c r="E424" s="5" t="inlineStr">
        <is>
          <t>Yell</t>
        </is>
      </c>
      <c r="F424" s="5" t="inlineStr">
        <is>
          <t>2026-09-17</t>
        </is>
      </c>
      <c r="G424" s="5" t="inlineStr">
        <is>
          <t>address, phone, email</t>
        </is>
      </c>
      <c r="H424" s="5" t="inlineStr">
        <is>
          <t>Requires Verification</t>
        </is>
      </c>
    </row>
    <row r="425">
      <c r="A425" s="10" t="inlineStr">
        <is>
          <t>WY-0048</t>
        </is>
      </c>
      <c r="B425" s="10" t="inlineStr">
        <is>
          <t>AV &amp; JI Stores</t>
        </is>
      </c>
      <c r="C425" s="10" t="inlineStr">
        <is>
          <t>Sowerby Bridge</t>
        </is>
      </c>
      <c r="D425" s="10" t="inlineStr">
        <is>
          <t>https://www.facebook.com/people/Premier-AV-JI-Stores/61567311514140/</t>
        </is>
      </c>
      <c r="E425" s="10" t="inlineStr">
        <is>
          <t>Facebook</t>
        </is>
      </c>
      <c r="F425" s="10" t="inlineStr">
        <is>
          <t>2026-09-16</t>
        </is>
      </c>
      <c r="G425" s="10" t="inlineStr">
        <is>
          <t>name, address, Premier fascia</t>
        </is>
      </c>
      <c r="H425" s="10" t="inlineStr">
        <is>
          <t>Requires Verification</t>
        </is>
      </c>
    </row>
    <row r="426">
      <c r="A426" s="5" t="inlineStr">
        <is>
          <t>WY-0048</t>
        </is>
      </c>
      <c r="B426" s="5" t="inlineStr">
        <is>
          <t>AV &amp; JI Stores</t>
        </is>
      </c>
      <c r="C426" s="5" t="inlineStr">
        <is>
          <t>Sowerby Bridge</t>
        </is>
      </c>
      <c r="D426" s="5" t="inlineStr">
        <is>
          <t>https://www.yorkshire.com/sowerby-bridge/shopping/corner-shops/av-ji-stores-premier-sowerby-off-licence-</t>
        </is>
      </c>
      <c r="E426" s="5" t="inlineStr">
        <is>
          <t>Directory</t>
        </is>
      </c>
      <c r="F426" s="5" t="inlineStr">
        <is>
          <t>2026-09-16</t>
        </is>
      </c>
      <c r="G426" s="5" t="inlineStr">
        <is>
          <t>listing confirmation</t>
        </is>
      </c>
      <c r="H426" s="5" t="inlineStr">
        <is>
          <t>Requires Verification</t>
        </is>
      </c>
    </row>
    <row r="427">
      <c r="A427" s="10" t="inlineStr">
        <is>
          <t>WY-0048</t>
        </is>
      </c>
      <c r="B427" s="10" t="inlineStr">
        <is>
          <t>AV &amp; JI Stores</t>
        </is>
      </c>
      <c r="C427" s="10" t="inlineStr">
        <is>
          <t>Sowerby Bridge</t>
        </is>
      </c>
      <c r="D427" s="10" t="inlineStr">
        <is>
          <t>https://sowerby-bridge.cylex-uk.co.uk/company/av---ji-stores-premier---sowerby-off-licence---28777382.html</t>
        </is>
      </c>
      <c r="E427" s="10" t="inlineStr">
        <is>
          <t>Directory</t>
        </is>
      </c>
      <c r="F427" s="10" t="inlineStr">
        <is>
          <t>2026-09-16</t>
        </is>
      </c>
      <c r="G427" s="10" t="inlineStr">
        <is>
          <t>address, postcode</t>
        </is>
      </c>
      <c r="H427" s="10" t="inlineStr">
        <is>
          <t>Requires Verification</t>
        </is>
      </c>
    </row>
    <row r="428">
      <c r="A428" s="5" t="inlineStr">
        <is>
          <t>UK-000753</t>
        </is>
      </c>
      <c r="B428" s="5" t="inlineStr">
        <is>
          <t>Ace of Vapes Wirral</t>
        </is>
      </c>
      <c r="C428" s="5" t="inlineStr">
        <is>
          <t>Wallasey</t>
        </is>
      </c>
      <c r="D428" s="5" t="inlineStr">
        <is>
          <t>https://www.aceofvapeswirral.co.uk/contact/</t>
        </is>
      </c>
      <c r="E428" s="5" t="inlineStr">
        <is>
          <t>Official Website</t>
        </is>
      </c>
      <c r="F428" s="5" t="inlineStr">
        <is>
          <t>2026-09-17</t>
        </is>
      </c>
      <c r="G428" s="5" t="inlineStr">
        <is>
          <t>trading name, gmail contact</t>
        </is>
      </c>
      <c r="H428" s="5" t="inlineStr">
        <is>
          <t>Requires Verification</t>
        </is>
      </c>
    </row>
    <row r="429">
      <c r="A429" s="10" t="inlineStr">
        <is>
          <t>UK-000753</t>
        </is>
      </c>
      <c r="B429" s="10" t="inlineStr">
        <is>
          <t>Ace of Vapes Wirral</t>
        </is>
      </c>
      <c r="C429" s="10" t="inlineStr">
        <is>
          <t>Wallasey</t>
        </is>
      </c>
      <c r="D429" s="10" t="inlineStr">
        <is>
          <t>https://www.thomsonlocal.com/search/smoking-cessation/wirral/ace-of-vapes-wirral/3026300/01516385076</t>
        </is>
      </c>
      <c r="E429" s="10" t="inlineStr">
        <is>
          <t>Directory</t>
        </is>
      </c>
      <c r="F429" s="10" t="inlineStr">
        <is>
          <t>2026-09-17</t>
        </is>
      </c>
      <c r="G429" s="10" t="inlineStr">
        <is>
          <t>phone</t>
        </is>
      </c>
      <c r="H429" s="10" t="inlineStr">
        <is>
          <t>Requires Verification</t>
        </is>
      </c>
    </row>
    <row r="430">
      <c r="A430" s="5" t="inlineStr">
        <is>
          <t>UK-000753</t>
        </is>
      </c>
      <c r="B430" s="5" t="inlineStr">
        <is>
          <t>Ace of Vapes Wirral</t>
        </is>
      </c>
      <c r="C430" s="5" t="inlineStr">
        <is>
          <t>Wallasey</t>
        </is>
      </c>
      <c r="D430" s="5" t="inlineStr">
        <is>
          <t>https://directory.birminghampost.co.uk/company/307d5b7fd12d3dbaf56d8ae7db85022d</t>
        </is>
      </c>
      <c r="E430" s="5" t="inlineStr">
        <is>
          <t>Directory</t>
        </is>
      </c>
      <c r="F430" s="5" t="inlineStr">
        <is>
          <t>2026-09-17</t>
        </is>
      </c>
      <c r="G430" s="5" t="inlineStr">
        <is>
          <t>Seaview Road address, postcode</t>
        </is>
      </c>
      <c r="H430" s="5" t="inlineStr">
        <is>
          <t>Requires Verification</t>
        </is>
      </c>
    </row>
    <row r="431">
      <c r="A431" s="10" t="inlineStr">
        <is>
          <t>UK-000571</t>
        </is>
      </c>
      <c r="B431" s="10" t="inlineStr">
        <is>
          <t>Adil Cash &amp; Carry</t>
        </is>
      </c>
      <c r="C431" s="10" t="inlineStr">
        <is>
          <t>Leyton</t>
        </is>
      </c>
      <c r="D431" s="10" t="inlineStr">
        <is>
          <t>https://www.yell.com/s/grocers+and+convenience+stores-edmonton-north+london.html</t>
        </is>
      </c>
      <c r="E431" s="10" t="inlineStr">
        <is>
          <t>Yell</t>
        </is>
      </c>
      <c r="F431" s="10" t="inlineStr">
        <is>
          <t>2026-09-17</t>
        </is>
      </c>
      <c r="G431" s="10" t="inlineStr">
        <is>
          <t>name, address, postcode</t>
        </is>
      </c>
      <c r="H431" s="10" t="inlineStr">
        <is>
          <t>Requires Verification</t>
        </is>
      </c>
    </row>
    <row r="432">
      <c r="A432" s="5" t="inlineStr">
        <is>
          <t>UK-000233</t>
        </is>
      </c>
      <c r="B432" s="5" t="inlineStr">
        <is>
          <t>Agha Lounge</t>
        </is>
      </c>
      <c r="C432" s="5" t="inlineStr">
        <is>
          <t>Sheffield</t>
        </is>
      </c>
      <c r="D432" s="5" t="inlineStr">
        <is>
          <t>https://aghalounge.com/about-us/</t>
        </is>
      </c>
      <c r="E432" s="5" t="inlineStr">
        <is>
          <t>Official Website</t>
        </is>
      </c>
      <c r="F432" s="5" t="inlineStr">
        <is>
          <t>2026-09-16</t>
        </is>
      </c>
      <c r="G432" s="5" t="inlineStr">
        <is>
          <t>name, address, description</t>
        </is>
      </c>
      <c r="H432" s="5" t="inlineStr">
        <is>
          <t>Requires Verification</t>
        </is>
      </c>
    </row>
    <row r="433">
      <c r="A433" s="10" t="inlineStr">
        <is>
          <t>UK-000336</t>
        </is>
      </c>
      <c r="B433" s="10" t="inlineStr">
        <is>
          <t>Ahmed Bros Oldham</t>
        </is>
      </c>
      <c r="C433" s="10" t="inlineStr">
        <is>
          <t>Chadderton</t>
        </is>
      </c>
      <c r="D433" s="10" t="inlineStr">
        <is>
          <t>https://abfood.co.uk/</t>
        </is>
      </c>
      <c r="E433" s="10" t="inlineStr">
        <is>
          <t>Official Website</t>
        </is>
      </c>
      <c r="F433" s="10" t="inlineStr">
        <is>
          <t>2026-09-17</t>
        </is>
      </c>
      <c r="G433" s="10" t="inlineStr">
        <is>
          <t>trading name, area, website</t>
        </is>
      </c>
      <c r="H433" s="10" t="inlineStr">
        <is>
          <t>Requires Verification</t>
        </is>
      </c>
    </row>
    <row r="434">
      <c r="A434" s="5" t="inlineStr">
        <is>
          <t>UK-000234</t>
        </is>
      </c>
      <c r="B434" s="5" t="inlineStr">
        <is>
          <t>Ainsty Farm Shop</t>
        </is>
      </c>
      <c r="C434" s="5" t="inlineStr">
        <is>
          <t>York</t>
        </is>
      </c>
      <c r="D434" s="5" t="inlineStr">
        <is>
          <t>https://www.ainstyfarmshop.co.uk/home.html</t>
        </is>
      </c>
      <c r="E434" s="5" t="inlineStr">
        <is>
          <t>Official Website</t>
        </is>
      </c>
      <c r="F434" s="5" t="inlineStr">
        <is>
          <t>2026-09-16</t>
        </is>
      </c>
      <c r="G434" s="5" t="inlineStr">
        <is>
          <t>brand, product range</t>
        </is>
      </c>
      <c r="H434" s="5" t="inlineStr">
        <is>
          <t>Requires Verification</t>
        </is>
      </c>
    </row>
    <row r="435">
      <c r="A435" s="10" t="inlineStr">
        <is>
          <t>UK-000234</t>
        </is>
      </c>
      <c r="B435" s="10" t="inlineStr">
        <is>
          <t>Ainsty Farm Shop</t>
        </is>
      </c>
      <c r="C435" s="10" t="inlineStr">
        <is>
          <t>York</t>
        </is>
      </c>
      <c r="D435" s="10" t="inlineStr">
        <is>
          <t>https://www.farminguk.com/agricultural-directory/ainsty-farm-shop_56319.html</t>
        </is>
      </c>
      <c r="E435" s="10" t="inlineStr">
        <is>
          <t>Directory</t>
        </is>
      </c>
      <c r="F435" s="10" t="inlineStr">
        <is>
          <t>2026-09-16</t>
        </is>
      </c>
      <c r="G435" s="10" t="inlineStr">
        <is>
          <t>address, phone</t>
        </is>
      </c>
      <c r="H435" s="10" t="inlineStr">
        <is>
          <t>Requires Verification</t>
        </is>
      </c>
    </row>
    <row r="436">
      <c r="A436" s="5" t="inlineStr">
        <is>
          <t>UK-000234</t>
        </is>
      </c>
      <c r="B436" s="5" t="inlineStr">
        <is>
          <t>Ainsty Farm Shop</t>
        </is>
      </c>
      <c r="C436" s="5" t="inlineStr">
        <is>
          <t>York</t>
        </is>
      </c>
      <c r="D436" s="5" t="inlineStr">
        <is>
          <t>https://yellowsitesuk.com/detail/2439682/ainsty-farm-shop-york</t>
        </is>
      </c>
      <c r="E436" s="5" t="inlineStr">
        <is>
          <t>Directory</t>
        </is>
      </c>
      <c r="F436" s="5" t="inlineStr">
        <is>
          <t>2026-09-16</t>
        </is>
      </c>
      <c r="G436" s="5" t="inlineStr">
        <is>
          <t>postcode YO26 8EQ, phone</t>
        </is>
      </c>
      <c r="H436" s="5" t="inlineStr">
        <is>
          <t>Requires Verification</t>
        </is>
      </c>
    </row>
    <row r="437">
      <c r="A437" s="10" t="inlineStr">
        <is>
          <t>UK-000572</t>
        </is>
      </c>
      <c r="B437" s="10" t="inlineStr">
        <is>
          <t>Al Shishawi</t>
        </is>
      </c>
      <c r="C437" s="10" t="inlineStr">
        <is>
          <t>London</t>
        </is>
      </c>
      <c r="D437" s="10" t="inlineStr">
        <is>
          <t>https://london.cylex-uk.co.uk/company/vape-bar-28775714.html</t>
        </is>
      </c>
      <c r="E437" s="10" t="inlineStr">
        <is>
          <t>Directory</t>
        </is>
      </c>
      <c r="F437" s="10" t="inlineStr">
        <is>
          <t>2026-09-17</t>
        </is>
      </c>
      <c r="G437" s="10" t="inlineStr">
        <is>
          <t>business name, address, postcode, phone</t>
        </is>
      </c>
      <c r="H437" s="10" t="inlineStr">
        <is>
          <t>Requires Verification</t>
        </is>
      </c>
    </row>
    <row r="438">
      <c r="A438" s="5" t="inlineStr">
        <is>
          <t>WY-0049</t>
        </is>
      </c>
      <c r="B438" s="5" t="inlineStr">
        <is>
          <t>Al-Falah Supermarket</t>
        </is>
      </c>
      <c r="C438" s="5" t="inlineStr">
        <is>
          <t>Bradford</t>
        </is>
      </c>
      <c r="D438" s="5" t="inlineStr">
        <is>
          <t>https://www.facebook.com/alfalahbradford/</t>
        </is>
      </c>
      <c r="E438" s="5" t="inlineStr">
        <is>
          <t>Facebook</t>
        </is>
      </c>
      <c r="F438" s="5" t="inlineStr">
        <is>
          <t>2026-09-16</t>
        </is>
      </c>
      <c r="G438" s="5" t="inlineStr">
        <is>
          <t>business description, 20+ years trading (search snippet)</t>
        </is>
      </c>
      <c r="H438" s="5" t="inlineStr">
        <is>
          <t>Requires Verification</t>
        </is>
      </c>
    </row>
    <row r="439">
      <c r="A439" s="10" t="inlineStr">
        <is>
          <t>WY-0049</t>
        </is>
      </c>
      <c r="B439" s="10" t="inlineStr">
        <is>
          <t>Al-Falah Supermarket</t>
        </is>
      </c>
      <c r="C439" s="10" t="inlineStr">
        <is>
          <t>Bradford</t>
        </is>
      </c>
      <c r="D439" s="10" t="inlineStr">
        <is>
          <t>https://en.halalguide.me/bradford/produktoviy-magazin/al-falah-supermarket</t>
        </is>
      </c>
      <c r="E439" s="10" t="inlineStr">
        <is>
          <t>Directory</t>
        </is>
      </c>
      <c r="F439" s="10" t="inlineStr">
        <is>
          <t>2026-09-16</t>
        </is>
      </c>
      <c r="G439" s="10" t="inlineStr">
        <is>
          <t>address 150 Manningham Lane (search snippet)</t>
        </is>
      </c>
      <c r="H439" s="10" t="inlineStr">
        <is>
          <t>Requires Verification</t>
        </is>
      </c>
    </row>
    <row r="440">
      <c r="A440" s="5" t="inlineStr">
        <is>
          <t>UK-000337</t>
        </is>
      </c>
      <c r="B440" s="5" t="inlineStr">
        <is>
          <t>Al-Rayan Supermarket</t>
        </is>
      </c>
      <c r="C440" s="5" t="inlineStr">
        <is>
          <t>Rochdale</t>
        </is>
      </c>
      <c r="D440" s="5" t="inlineStr">
        <is>
          <t>https://www.chamberofcommerce.uk/business-directory/england/rochdale/supermarket/1513384-al-rayan-supermarket</t>
        </is>
      </c>
      <c r="E440" s="5" t="inlineStr">
        <is>
          <t>Directory</t>
        </is>
      </c>
      <c r="F440" s="5" t="inlineStr">
        <is>
          <t>2026-09-17</t>
        </is>
      </c>
      <c r="G440" s="5" t="inlineStr">
        <is>
          <t>address, postcode, phone</t>
        </is>
      </c>
      <c r="H440" s="5" t="inlineStr">
        <is>
          <t>Requires Verification</t>
        </is>
      </c>
    </row>
    <row r="441">
      <c r="A441" s="10" t="inlineStr">
        <is>
          <t>UK-000573</t>
        </is>
      </c>
      <c r="B441" s="10" t="inlineStr">
        <is>
          <t>Al-Sultan Supermarket</t>
        </is>
      </c>
      <c r="C441" s="10" t="inlineStr">
        <is>
          <t>London</t>
        </is>
      </c>
      <c r="D441" s="10" t="inlineStr">
        <is>
          <t>https://www.yell.com/s/convenience+stores-edgware+road+tube-paddington.html</t>
        </is>
      </c>
      <c r="E441" s="10" t="inlineStr">
        <is>
          <t>Yell</t>
        </is>
      </c>
      <c r="F441" s="10" t="inlineStr">
        <is>
          <t>2026-09-17</t>
        </is>
      </c>
      <c r="G441" s="10" t="inlineStr">
        <is>
          <t>business name, address, postcode, phone</t>
        </is>
      </c>
      <c r="H441" s="10" t="inlineStr">
        <is>
          <t>Requires Verification</t>
        </is>
      </c>
    </row>
    <row r="442">
      <c r="A442" s="5" t="inlineStr">
        <is>
          <t>UK-000235</t>
        </is>
      </c>
      <c r="B442" s="5" t="inlineStr">
        <is>
          <t>Alchemist Vape Shop Parkgate</t>
        </is>
      </c>
      <c r="C442" s="5" t="inlineStr">
        <is>
          <t>Rotherham</t>
        </is>
      </c>
      <c r="D442" s="5" t="inlineStr">
        <is>
          <t>https://www.facebook.com/AlchemistParkgate/</t>
        </is>
      </c>
      <c r="E442" s="5" t="inlineStr">
        <is>
          <t>Facebook</t>
        </is>
      </c>
      <c r="F442" s="5" t="inlineStr">
        <is>
          <t>2026-09-16</t>
        </is>
      </c>
      <c r="G442" s="5" t="inlineStr">
        <is>
          <t>name, area, product range</t>
        </is>
      </c>
      <c r="H442" s="5" t="inlineStr">
        <is>
          <t>Requires Verification</t>
        </is>
      </c>
    </row>
    <row r="443">
      <c r="A443" s="10" t="inlineStr">
        <is>
          <t>UK-000574</t>
        </is>
      </c>
      <c r="B443" s="10" t="inlineStr">
        <is>
          <t>Ali's Wine &amp; Grocery</t>
        </is>
      </c>
      <c r="C443" s="10" t="inlineStr">
        <is>
          <t>Islington</t>
        </is>
      </c>
      <c r="D443" s="10" t="inlineStr">
        <is>
          <t>https://www.yell.com/s/off+licences-dalston-east+london.html</t>
        </is>
      </c>
      <c r="E443" s="10" t="inlineStr">
        <is>
          <t>Yell</t>
        </is>
      </c>
      <c r="F443" s="10" t="inlineStr">
        <is>
          <t>2026-09-17</t>
        </is>
      </c>
      <c r="G443" s="10" t="inlineStr">
        <is>
          <t>name, address, postcode, phone</t>
        </is>
      </c>
      <c r="H443" s="10" t="inlineStr">
        <is>
          <t>Requires Verification</t>
        </is>
      </c>
    </row>
    <row r="444">
      <c r="A444" s="5" t="inlineStr">
        <is>
          <t>UK-000575</t>
        </is>
      </c>
      <c r="B444" s="5" t="inlineStr">
        <is>
          <t>All Drinks Cash &amp; Carry Ltd</t>
        </is>
      </c>
      <c r="C444" s="5" t="inlineStr">
        <is>
          <t>Southall</t>
        </is>
      </c>
      <c r="D444" s="5" t="inlineStr">
        <is>
          <t>https://all-drinks.co.uk/contact/</t>
        </is>
      </c>
      <c r="E444" s="5" t="inlineStr">
        <is>
          <t>Official Website</t>
        </is>
      </c>
      <c r="F444" s="5" t="inlineStr">
        <is>
          <t>2026-09-17</t>
        </is>
      </c>
      <c r="G444" s="5" t="inlineStr">
        <is>
          <t>address, phone, website</t>
        </is>
      </c>
      <c r="H444" s="5" t="inlineStr">
        <is>
          <t>Verified (website + Companies House)</t>
        </is>
      </c>
    </row>
    <row r="445">
      <c r="A445" s="10" t="inlineStr">
        <is>
          <t>UK-000575</t>
        </is>
      </c>
      <c r="B445" s="10" t="inlineStr">
        <is>
          <t>All Drinks Cash &amp; Carry Ltd</t>
        </is>
      </c>
      <c r="C445" s="10" t="inlineStr">
        <is>
          <t>Southall</t>
        </is>
      </c>
      <c r="D445" s="10" t="inlineStr">
        <is>
          <t>https://find-and-update.company-information.service.gov.uk/company/10267733</t>
        </is>
      </c>
      <c r="E445" s="10" t="inlineStr">
        <is>
          <t>Companies House</t>
        </is>
      </c>
      <c r="F445" s="10" t="inlineStr">
        <is>
          <t>2026-09-17</t>
        </is>
      </c>
      <c r="G445" s="10" t="inlineStr">
        <is>
          <t>company number, registered name, registered office</t>
        </is>
      </c>
      <c r="H445" s="10" t="inlineStr">
        <is>
          <t>Verified (website + Companies House)</t>
        </is>
      </c>
    </row>
    <row r="446">
      <c r="A446" s="5" t="inlineStr">
        <is>
          <t>UK-000754</t>
        </is>
      </c>
      <c r="B446" s="5" t="inlineStr">
        <is>
          <t>All n One Mini Convenience</t>
        </is>
      </c>
      <c r="C446" s="5" t="inlineStr">
        <is>
          <t>Liverpool</t>
        </is>
      </c>
      <c r="D446" s="5" t="inlineStr">
        <is>
          <t>https://www.yell.com/biz/all-n-one-mini-convenience-liverpool-8262944/</t>
        </is>
      </c>
      <c r="E446" s="5" t="inlineStr">
        <is>
          <t>Yell</t>
        </is>
      </c>
      <c r="F446" s="5" t="inlineStr">
        <is>
          <t>2026-09-17</t>
        </is>
      </c>
      <c r="G446" s="5" t="inlineStr">
        <is>
          <t>name, address, postcode</t>
        </is>
      </c>
      <c r="H446" s="5" t="inlineStr">
        <is>
          <t>Requires Verification</t>
        </is>
      </c>
    </row>
    <row r="447">
      <c r="A447" s="10" t="inlineStr">
        <is>
          <t>UK-000576</t>
        </is>
      </c>
      <c r="B447" s="10" t="inlineStr">
        <is>
          <t>Alpha Off Licence</t>
        </is>
      </c>
      <c r="C447" s="10" t="inlineStr">
        <is>
          <t>London</t>
        </is>
      </c>
      <c r="D447" s="10" t="inlineStr">
        <is>
          <t>https://www.yell.com/s/off+licences-se15.html</t>
        </is>
      </c>
      <c r="E447" s="10" t="inlineStr">
        <is>
          <t>Yell</t>
        </is>
      </c>
      <c r="F447" s="10" t="inlineStr">
        <is>
          <t>2026-09-17</t>
        </is>
      </c>
      <c r="G447" s="10" t="inlineStr">
        <is>
          <t>business name, address, phone</t>
        </is>
      </c>
      <c r="H447" s="10" t="inlineStr">
        <is>
          <t>Requires Verification</t>
        </is>
      </c>
    </row>
    <row r="448">
      <c r="A448" s="5" t="inlineStr">
        <is>
          <t>UK-000577</t>
        </is>
      </c>
      <c r="B448" s="5" t="inlineStr">
        <is>
          <t>Amy News &amp; Off Licence</t>
        </is>
      </c>
      <c r="C448" s="5" t="inlineStr">
        <is>
          <t>East Ham</t>
        </is>
      </c>
      <c r="D448" s="5" t="inlineStr">
        <is>
          <t>https://www.192.com/atoz/business/london-e6/general-and-convenience-stores/amy-news-off-licence/e7b06111de0d8805b7965e40fd9036212d59479d/ml/</t>
        </is>
      </c>
      <c r="E448" s="5" t="inlineStr">
        <is>
          <t>Directory</t>
        </is>
      </c>
      <c r="F448" s="5" t="inlineStr">
        <is>
          <t>2026-09-17</t>
        </is>
      </c>
      <c r="G448" s="5" t="inlineStr">
        <is>
          <t>name, address, postcode</t>
        </is>
      </c>
      <c r="H448" s="5" t="inlineStr">
        <is>
          <t>Requires Verification</t>
        </is>
      </c>
    </row>
    <row r="449">
      <c r="A449" s="10" t="inlineStr">
        <is>
          <t>UK-000236</t>
        </is>
      </c>
      <c r="B449" s="10" t="inlineStr">
        <is>
          <t>Angel Smoke e-Cigarettes</t>
        </is>
      </c>
      <c r="C449" s="10" t="inlineStr">
        <is>
          <t>Rotherham</t>
        </is>
      </c>
      <c r="D449" s="10" t="inlineStr">
        <is>
          <t>https://www.chamberofcommerce.uk/business-directory/england/sheffield/miscellaneous/307306-angel-smoke-vape-shop-rotherham-fireworks</t>
        </is>
      </c>
      <c r="E449" s="10" t="inlineStr">
        <is>
          <t>Directory</t>
        </is>
      </c>
      <c r="F449" s="10" t="inlineStr">
        <is>
          <t>2026-09-16</t>
        </is>
      </c>
      <c r="G449" s="10" t="inlineStr">
        <is>
          <t>postcode S62 6EU, name</t>
        </is>
      </c>
      <c r="H449" s="10" t="inlineStr">
        <is>
          <t>Requires Verification</t>
        </is>
      </c>
    </row>
    <row r="450">
      <c r="A450" s="5" t="inlineStr">
        <is>
          <t>UK-000236</t>
        </is>
      </c>
      <c r="B450" s="5" t="inlineStr">
        <is>
          <t>Angel Smoke e-Cigarettes</t>
        </is>
      </c>
      <c r="C450" s="5" t="inlineStr">
        <is>
          <t>Rotherham</t>
        </is>
      </c>
      <c r="D450" s="5" t="inlineStr">
        <is>
          <t>https://angel-smoke-vape-shop-rotherham-fireworks.wheree.com/</t>
        </is>
      </c>
      <c r="E450" s="5" t="inlineStr">
        <is>
          <t>Directory</t>
        </is>
      </c>
      <c r="F450" s="5" t="inlineStr">
        <is>
          <t>2026-09-16</t>
        </is>
      </c>
      <c r="G450" s="5" t="inlineStr">
        <is>
          <t>address, phone</t>
        </is>
      </c>
      <c r="H450" s="5" t="inlineStr">
        <is>
          <t>Requires Verification</t>
        </is>
      </c>
    </row>
    <row r="451">
      <c r="A451" s="10" t="inlineStr">
        <is>
          <t>UK-000578</t>
        </is>
      </c>
      <c r="B451" s="10" t="inlineStr">
        <is>
          <t>Anglo Asian Cash &amp; Carry Ltd</t>
        </is>
      </c>
      <c r="C451" s="10" t="inlineStr">
        <is>
          <t>Wembley</t>
        </is>
      </c>
      <c r="D451" s="10" t="inlineStr">
        <is>
          <t>https://www.yell.com/biz/anglo-asian-cash-and-carry-ltd-wembley-3390439/</t>
        </is>
      </c>
      <c r="E451" s="10" t="inlineStr">
        <is>
          <t>Yell</t>
        </is>
      </c>
      <c r="F451" s="10" t="inlineStr">
        <is>
          <t>2026-09-17</t>
        </is>
      </c>
      <c r="G451" s="10" t="inlineStr">
        <is>
          <t>business name, address</t>
        </is>
      </c>
      <c r="H451" s="10" t="inlineStr">
        <is>
          <t>Requires Verification</t>
        </is>
      </c>
    </row>
    <row r="452">
      <c r="A452" s="5" t="inlineStr">
        <is>
          <t>UK-000338</t>
        </is>
      </c>
      <c r="B452" s="5" t="inlineStr">
        <is>
          <t>Anil's Off Licence</t>
        </is>
      </c>
      <c r="C452" s="5" t="inlineStr">
        <is>
          <t>Bolton</t>
        </is>
      </c>
      <c r="D452" s="5" t="inlineStr">
        <is>
          <t>https://www.britaine.co.uk/anil-s-off-licence-F1B07C40413</t>
        </is>
      </c>
      <c r="E452" s="5" t="inlineStr">
        <is>
          <t>Directory</t>
        </is>
      </c>
      <c r="F452" s="5" t="inlineStr">
        <is>
          <t>2026-09-17</t>
        </is>
      </c>
      <c r="G452" s="5" t="inlineStr">
        <is>
          <t>trading name, address, postcode (via search results)</t>
        </is>
      </c>
      <c r="H452" s="5" t="inlineStr">
        <is>
          <t>Requires Verification</t>
        </is>
      </c>
    </row>
    <row r="453">
      <c r="A453" s="10" t="inlineStr">
        <is>
          <t>WY-0050</t>
        </is>
      </c>
      <c r="B453" s="10" t="inlineStr">
        <is>
          <t>Anwarsons Newsagency</t>
        </is>
      </c>
      <c r="C453" s="10" t="inlineStr">
        <is>
          <t>Brighouse</t>
        </is>
      </c>
      <c r="D453" s="10" t="inlineStr">
        <is>
          <t>https://thomsonlocal.com/search/Newsagents/Wyke-West-Yorkshire/Anwarsons-Newsagency/2652959/01484717622</t>
        </is>
      </c>
      <c r="E453" s="10" t="inlineStr">
        <is>
          <t>Directory</t>
        </is>
      </c>
      <c r="F453" s="10" t="inlineStr">
        <is>
          <t>2026-09-16</t>
        </is>
      </c>
      <c r="G453" s="10" t="inlineStr">
        <is>
          <t>phone</t>
        </is>
      </c>
      <c r="H453" s="10" t="inlineStr">
        <is>
          <t>Requires Verification</t>
        </is>
      </c>
    </row>
    <row r="454">
      <c r="A454" s="5" t="inlineStr">
        <is>
          <t>WY-0050</t>
        </is>
      </c>
      <c r="B454" s="5" t="inlineStr">
        <is>
          <t>Anwarsons Newsagency</t>
        </is>
      </c>
      <c r="C454" s="5" t="inlineStr">
        <is>
          <t>Brighouse</t>
        </is>
      </c>
      <c r="D454" s="5" t="inlineStr">
        <is>
          <t>https://www.misterwhat.co.uk/company/540928-anwarsons-quality-tobacconists-brighouse</t>
        </is>
      </c>
      <c r="E454" s="5" t="inlineStr">
        <is>
          <t>Directory</t>
        </is>
      </c>
      <c r="F454" s="5" t="inlineStr">
        <is>
          <t>2026-09-16</t>
        </is>
      </c>
      <c r="G454" s="5" t="inlineStr">
        <is>
          <t>address, postcode, tobacconist offer</t>
        </is>
      </c>
      <c r="H454" s="5" t="inlineStr">
        <is>
          <t>Requires Verification</t>
        </is>
      </c>
    </row>
    <row r="455">
      <c r="A455" s="10" t="inlineStr">
        <is>
          <t>WY-0050</t>
        </is>
      </c>
      <c r="B455" s="10" t="inlineStr">
        <is>
          <t>Anwarsons Newsagency</t>
        </is>
      </c>
      <c r="C455" s="10" t="inlineStr">
        <is>
          <t>Brighouse</t>
        </is>
      </c>
      <c r="D455" s="10" t="inlineStr">
        <is>
          <t>https://b99.co.uk/tobacconist/brighouse/anwarsons/</t>
        </is>
      </c>
      <c r="E455" s="10" t="inlineStr">
        <is>
          <t>Directory</t>
        </is>
      </c>
      <c r="F455" s="10" t="inlineStr">
        <is>
          <t>2026-09-16</t>
        </is>
      </c>
      <c r="G455" s="10" t="inlineStr">
        <is>
          <t>listing confirmation</t>
        </is>
      </c>
      <c r="H455" s="10" t="inlineStr">
        <is>
          <t>Requires Verification</t>
        </is>
      </c>
    </row>
    <row r="456">
      <c r="A456" s="5" t="inlineStr">
        <is>
          <t>UK-000339</t>
        </is>
      </c>
      <c r="B456" s="5" t="inlineStr">
        <is>
          <t>Arif Grocers</t>
        </is>
      </c>
      <c r="C456" s="5" t="inlineStr">
        <is>
          <t>Rochdale</t>
        </is>
      </c>
      <c r="D456" s="5" t="inlineStr">
        <is>
          <t>https://www.instagram.com/arifgrocers/</t>
        </is>
      </c>
      <c r="E456" s="5" t="inlineStr">
        <is>
          <t>Instagram</t>
        </is>
      </c>
      <c r="F456" s="5" t="inlineStr">
        <is>
          <t>2026-09-17</t>
        </is>
      </c>
      <c r="G456" s="5" t="inlineStr">
        <is>
          <t>address, postcode</t>
        </is>
      </c>
      <c r="H456" s="5" t="inlineStr">
        <is>
          <t>Requires Verification</t>
        </is>
      </c>
    </row>
    <row r="457">
      <c r="A457" s="10" t="inlineStr">
        <is>
          <t>WY-0051</t>
        </is>
      </c>
      <c r="B457" s="10" t="inlineStr">
        <is>
          <t>Armley Ridge Road Convenience Store &amp; Off-Licence</t>
        </is>
      </c>
      <c r="C457" s="10" t="inlineStr">
        <is>
          <t>Leeds</t>
        </is>
      </c>
      <c r="D457" s="10" t="inlineStr">
        <is>
          <t>https://www.facebook.com/NoProblemArmley/</t>
        </is>
      </c>
      <c r="E457" s="10" t="inlineStr">
        <is>
          <t>Facebook</t>
        </is>
      </c>
      <c r="F457" s="10" t="inlineStr">
        <is>
          <t>2026-09-16</t>
        </is>
      </c>
      <c r="G457" s="10" t="inlineStr">
        <is>
          <t>name, area (via search results)</t>
        </is>
      </c>
      <c r="H457" s="10" t="inlineStr">
        <is>
          <t>Requires Verification</t>
        </is>
      </c>
    </row>
    <row r="458">
      <c r="A458" s="5" t="inlineStr">
        <is>
          <t>UK-000340</t>
        </is>
      </c>
      <c r="B458" s="5" t="inlineStr">
        <is>
          <t>Arthur Morris Tobacconists</t>
        </is>
      </c>
      <c r="C458" s="5" t="inlineStr">
        <is>
          <t>Bolton</t>
        </is>
      </c>
      <c r="D458" s="5" t="inlineStr">
        <is>
          <t>https://www.yelp.com/biz/arthur-morris-tobacconists-bolton</t>
        </is>
      </c>
      <c r="E458" s="5" t="inlineStr">
        <is>
          <t>Directory</t>
        </is>
      </c>
      <c r="F458" s="5" t="inlineStr">
        <is>
          <t>2026-09-17</t>
        </is>
      </c>
      <c r="G458" s="5" t="inlineStr">
        <is>
          <t>trading name, address (via search results)</t>
        </is>
      </c>
      <c r="H458" s="5" t="inlineStr">
        <is>
          <t>Requires Verification</t>
        </is>
      </c>
    </row>
    <row r="459">
      <c r="A459" s="10" t="inlineStr">
        <is>
          <t>UK-000340</t>
        </is>
      </c>
      <c r="B459" s="10" t="inlineStr">
        <is>
          <t>Arthur Morris Tobacconists</t>
        </is>
      </c>
      <c r="C459" s="10" t="inlineStr">
        <is>
          <t>Bolton</t>
        </is>
      </c>
      <c r="D459" s="10" t="inlineStr">
        <is>
          <t>https://wegetyoufound.co.uk/listings/arthur-morris-tobacconists-plc-ltd/bolton/tobacco-shop</t>
        </is>
      </c>
      <c r="E459" s="10" t="inlineStr">
        <is>
          <t>Directory</t>
        </is>
      </c>
      <c r="F459" s="10" t="inlineStr">
        <is>
          <t>2026-09-17</t>
        </is>
      </c>
      <c r="G459" s="10" t="inlineStr">
        <is>
          <t>legal-style company name (via search results)</t>
        </is>
      </c>
      <c r="H459" s="10" t="inlineStr">
        <is>
          <t>Requires Verification</t>
        </is>
      </c>
    </row>
    <row r="460">
      <c r="A460" s="5" t="inlineStr">
        <is>
          <t>UK-000453</t>
        </is>
      </c>
      <c r="B460" s="5" t="inlineStr">
        <is>
          <t>Artisan Vapor Oldbury</t>
        </is>
      </c>
      <c r="C460" s="5" t="inlineStr">
        <is>
          <t>Oldbury</t>
        </is>
      </c>
      <c r="D460" s="5" t="inlineStr">
        <is>
          <t>https://ecigdirectory.co.uk/vape-shop/listing/artisan-vapor-oldbury</t>
        </is>
      </c>
      <c r="E460" s="5" t="inlineStr">
        <is>
          <t>Directory</t>
        </is>
      </c>
      <c r="F460" s="5" t="inlineStr">
        <is>
          <t>2026-09-17</t>
        </is>
      </c>
      <c r="G460" s="5" t="inlineStr">
        <is>
          <t>business name, Oldbury location (directory snippet)</t>
        </is>
      </c>
      <c r="H460" s="5" t="inlineStr">
        <is>
          <t>Requires Verification</t>
        </is>
      </c>
    </row>
    <row r="461">
      <c r="A461" s="10" t="inlineStr">
        <is>
          <t>UK-000755</t>
        </is>
      </c>
      <c r="B461" s="10" t="inlineStr">
        <is>
          <t>Ashok &amp; Vanita House</t>
        </is>
      </c>
      <c r="C461" s="10" t="inlineStr">
        <is>
          <t>Liverpool</t>
        </is>
      </c>
      <c r="D461" s="10" t="inlineStr">
        <is>
          <t>https://anfield.cylex-uk.co.uk/off-licence.html</t>
        </is>
      </c>
      <c r="E461" s="10" t="inlineStr">
        <is>
          <t>Directory</t>
        </is>
      </c>
      <c r="F461" s="10" t="inlineStr">
        <is>
          <t>2026-09-17</t>
        </is>
      </c>
      <c r="G461" s="10" t="inlineStr">
        <is>
          <t>name, address, postcode, phone</t>
        </is>
      </c>
      <c r="H461" s="10" t="inlineStr">
        <is>
          <t>Requires Verification</t>
        </is>
      </c>
    </row>
    <row r="462">
      <c r="A462" s="5" t="inlineStr">
        <is>
          <t>WY-0052</t>
        </is>
      </c>
      <c r="B462" s="5" t="inlineStr">
        <is>
          <t>Asia Foods</t>
        </is>
      </c>
      <c r="C462" s="5" t="inlineStr">
        <is>
          <t>Huddersfield</t>
        </is>
      </c>
      <c r="D462" s="5" t="inlineStr">
        <is>
          <t>https://asia-foods-huddersfield.edan.io/</t>
        </is>
      </c>
      <c r="E462" s="5" t="inlineStr">
        <is>
          <t>Directory</t>
        </is>
      </c>
      <c r="F462" s="5" t="inlineStr">
        <is>
          <t>2026-09-16</t>
        </is>
      </c>
      <c r="G462" s="5" t="inlineStr">
        <is>
          <t>address, phone</t>
        </is>
      </c>
      <c r="H462" s="5" t="inlineStr">
        <is>
          <t>Requires Verification</t>
        </is>
      </c>
    </row>
    <row r="463">
      <c r="A463" s="10" t="inlineStr">
        <is>
          <t>WY-0052</t>
        </is>
      </c>
      <c r="B463" s="10" t="inlineStr">
        <is>
          <t>Asia Foods</t>
        </is>
      </c>
      <c r="C463" s="10" t="inlineStr">
        <is>
          <t>Huddersfield</t>
        </is>
      </c>
      <c r="D463" s="10" t="inlineStr">
        <is>
          <t>https://www.yorkshire.com/huddersfield/shopping/grocers/asia-foods</t>
        </is>
      </c>
      <c r="E463" s="10" t="inlineStr">
        <is>
          <t>Directory</t>
        </is>
      </c>
      <c r="F463" s="10" t="inlineStr">
        <is>
          <t>2026-09-16</t>
        </is>
      </c>
      <c r="G463" s="10" t="inlineStr">
        <is>
          <t>cross-check of name and town</t>
        </is>
      </c>
      <c r="H463" s="10" t="inlineStr">
        <is>
          <t>Requires Verification</t>
        </is>
      </c>
    </row>
    <row r="464">
      <c r="A464" s="5" t="inlineStr">
        <is>
          <t>UK-000341</t>
        </is>
      </c>
      <c r="B464" s="5" t="inlineStr">
        <is>
          <t>Aston's of Manchester</t>
        </is>
      </c>
      <c r="C464" s="5" t="inlineStr">
        <is>
          <t>Manchester</t>
        </is>
      </c>
      <c r="D464" s="5" t="inlineStr">
        <is>
          <t>https://www.yelp.co.uk/biz/astons-of-manchester-manchester-2</t>
        </is>
      </c>
      <c r="E464" s="5" t="inlineStr">
        <is>
          <t>Directory</t>
        </is>
      </c>
      <c r="F464" s="5" t="inlineStr">
        <is>
          <t>2026-09-17</t>
        </is>
      </c>
      <c r="G464" s="5" t="inlineStr">
        <is>
          <t>address, postcode, phone</t>
        </is>
      </c>
      <c r="H464" s="5" t="inlineStr">
        <is>
          <t>Requires Verification</t>
        </is>
      </c>
    </row>
    <row r="465">
      <c r="A465" s="10" t="inlineStr">
        <is>
          <t>UK-000341</t>
        </is>
      </c>
      <c r="B465" s="10" t="inlineStr">
        <is>
          <t>Aston's of Manchester</t>
        </is>
      </c>
      <c r="C465" s="10" t="inlineStr">
        <is>
          <t>Manchester</t>
        </is>
      </c>
      <c r="D465" s="10" t="inlineStr">
        <is>
          <t>https://astonsofmanchester.co.uk/</t>
        </is>
      </c>
      <c r="E465" s="10" t="inlineStr">
        <is>
          <t>Official Website</t>
        </is>
      </c>
      <c r="F465" s="10" t="inlineStr">
        <is>
          <t>2026-09-17</t>
        </is>
      </c>
      <c r="G465" s="10" t="inlineStr">
        <is>
          <t>website, product range</t>
        </is>
      </c>
      <c r="H465" s="10" t="inlineStr">
        <is>
          <t>Requires Verification</t>
        </is>
      </c>
    </row>
    <row r="466">
      <c r="A466" s="5" t="inlineStr">
        <is>
          <t>UK-000341</t>
        </is>
      </c>
      <c r="B466" s="5" t="inlineStr">
        <is>
          <t>Aston's of Manchester</t>
        </is>
      </c>
      <c r="C466" s="5" t="inlineStr">
        <is>
          <t>Manchester</t>
        </is>
      </c>
      <c r="D466" s="5" t="inlineStr">
        <is>
          <t>https://cigars.co.uk/location/c-e-j-m-aston/</t>
        </is>
      </c>
      <c r="E466" s="5" t="inlineStr">
        <is>
          <t>Directory</t>
        </is>
      </c>
      <c r="F466" s="5" t="inlineStr">
        <is>
          <t>2026-09-17</t>
        </is>
      </c>
      <c r="G466" s="5" t="inlineStr">
        <is>
          <t>cigar stockist accreditation</t>
        </is>
      </c>
      <c r="H466" s="5" t="inlineStr">
        <is>
          <t>Requires Verification</t>
        </is>
      </c>
    </row>
    <row r="467">
      <c r="A467" s="10" t="inlineStr">
        <is>
          <t>UK-000579</t>
        </is>
      </c>
      <c r="B467" s="10" t="inlineStr">
        <is>
          <t>Aswat &amp; Sons</t>
        </is>
      </c>
      <c r="C467" s="10" t="inlineStr">
        <is>
          <t>Forest Gate</t>
        </is>
      </c>
      <c r="D467" s="10" t="inlineStr">
        <is>
          <t>https://london.cylex-uk.co.uk/upton-park/grocery%20stores.html</t>
        </is>
      </c>
      <c r="E467" s="10" t="inlineStr">
        <is>
          <t>Directory</t>
        </is>
      </c>
      <c r="F467" s="10" t="inlineStr">
        <is>
          <t>2026-09-17</t>
        </is>
      </c>
      <c r="G467" s="10" t="inlineStr">
        <is>
          <t>name, address, postcode</t>
        </is>
      </c>
      <c r="H467" s="10" t="inlineStr">
        <is>
          <t>Requires Verification</t>
        </is>
      </c>
    </row>
    <row r="468">
      <c r="A468" s="5" t="inlineStr">
        <is>
          <t>UK-000342</t>
        </is>
      </c>
      <c r="B468" s="5" t="inlineStr">
        <is>
          <t>Aytac Foods Distribution</t>
        </is>
      </c>
      <c r="C468" s="5" t="inlineStr">
        <is>
          <t>Ashton-under-Lyne</t>
        </is>
      </c>
      <c r="D468" s="5" t="inlineStr">
        <is>
          <t>https://ashton-under-lyne.cylex-uk.co.uk/company/aytac-foods-distribution-ltd---cash---carry---restaurant-wholesaler-27682099.html</t>
        </is>
      </c>
      <c r="E468" s="5" t="inlineStr">
        <is>
          <t>Directory</t>
        </is>
      </c>
      <c r="F468" s="5" t="inlineStr">
        <is>
          <t>2026-09-17</t>
        </is>
      </c>
      <c r="G468" s="5" t="inlineStr">
        <is>
          <t>address, postcode</t>
        </is>
      </c>
      <c r="H468" s="5" t="inlineStr">
        <is>
          <t>Requires Verification</t>
        </is>
      </c>
    </row>
    <row r="469">
      <c r="A469" s="10" t="inlineStr">
        <is>
          <t>WY-0053</t>
        </is>
      </c>
      <c r="B469" s="10" t="inlineStr">
        <is>
          <t>Azeem's Vape Shop</t>
        </is>
      </c>
      <c r="C469" s="10" t="inlineStr">
        <is>
          <t>Keighley</t>
        </is>
      </c>
      <c r="D469" s="10" t="inlineStr">
        <is>
          <t>https://m.yelp.com/biz/azeems-vape-shop-keighley</t>
        </is>
      </c>
      <c r="E469" s="10" t="inlineStr">
        <is>
          <t>Directory</t>
        </is>
      </c>
      <c r="F469" s="10" t="inlineStr">
        <is>
          <t>2026-09-16</t>
        </is>
      </c>
      <c r="G469" s="10" t="inlineStr">
        <is>
          <t>address 130 Lawkholme Lane BD21 3LU, phone, hours (search snippet)</t>
        </is>
      </c>
      <c r="H469" s="10" t="inlineStr">
        <is>
          <t>Partially Verified</t>
        </is>
      </c>
    </row>
    <row r="470">
      <c r="A470" s="5" t="inlineStr">
        <is>
          <t>WY-0053</t>
        </is>
      </c>
      <c r="B470" s="5" t="inlineStr">
        <is>
          <t>Azeem's Vape Shop</t>
        </is>
      </c>
      <c r="C470" s="5" t="inlineStr">
        <is>
          <t>Keighley</t>
        </is>
      </c>
      <c r="D470" s="5" t="inlineStr">
        <is>
          <t>https://find-and-update.company-information.service.gov.uk/company/13574720</t>
        </is>
      </c>
      <c r="E470" s="5" t="inlineStr">
        <is>
          <t>Companies House</t>
        </is>
      </c>
      <c r="F470" s="5" t="inlineStr">
        <is>
          <t>2026-09-16</t>
        </is>
      </c>
      <c r="G470" s="5" t="inlineStr">
        <is>
          <t>company number, dissolved status (search snippet; direct fetch blocked)</t>
        </is>
      </c>
      <c r="H470" s="5" t="inlineStr">
        <is>
          <t>Partially Verified</t>
        </is>
      </c>
    </row>
    <row r="471">
      <c r="A471" s="10" t="inlineStr">
        <is>
          <t>WY-0053</t>
        </is>
      </c>
      <c r="B471" s="10" t="inlineStr">
        <is>
          <t>Azeem's Vape Shop</t>
        </is>
      </c>
      <c r="C471" s="10" t="inlineStr">
        <is>
          <t>Keighley</t>
        </is>
      </c>
      <c r="D471" s="10" t="inlineStr">
        <is>
          <t>https://azeemsvapeshop.co.uk/contact/</t>
        </is>
      </c>
      <c r="E471" s="10" t="inlineStr">
        <is>
          <t>Official Website</t>
        </is>
      </c>
      <c r="F471" s="10" t="inlineStr">
        <is>
          <t>2026-09-16</t>
        </is>
      </c>
      <c r="G471" s="10" t="inlineStr">
        <is>
          <t>official website existence (fetch blocked)</t>
        </is>
      </c>
      <c r="H471" s="10" t="inlineStr">
        <is>
          <t>Partially Verified</t>
        </is>
      </c>
    </row>
    <row r="472">
      <c r="A472" s="5" t="inlineStr">
        <is>
          <t>WY-0054</t>
        </is>
      </c>
      <c r="B472" s="5" t="inlineStr">
        <is>
          <t>Azeem's Vape Shop</t>
        </is>
      </c>
      <c r="C472" s="5" t="inlineStr">
        <is>
          <t>Todmorden</t>
        </is>
      </c>
      <c r="D472" s="5" t="inlineStr">
        <is>
          <t>https://tobaccoshops.co.uk/05958051/Azeem%E2%80%99s_vape_shop</t>
        </is>
      </c>
      <c r="E472" s="5" t="inlineStr">
        <is>
          <t>Directory</t>
        </is>
      </c>
      <c r="F472" s="5" t="inlineStr">
        <is>
          <t>2026-09-16</t>
        </is>
      </c>
      <c r="G472" s="5" t="inlineStr">
        <is>
          <t>name, town listing</t>
        </is>
      </c>
      <c r="H472" s="5" t="inlineStr">
        <is>
          <t>Requires Verification</t>
        </is>
      </c>
    </row>
    <row r="473">
      <c r="A473" s="10" t="inlineStr">
        <is>
          <t>WY-0054</t>
        </is>
      </c>
      <c r="B473" s="10" t="inlineStr">
        <is>
          <t>Azeem's Vape Shop</t>
        </is>
      </c>
      <c r="C473" s="10" t="inlineStr">
        <is>
          <t>Todmorden</t>
        </is>
      </c>
      <c r="D473" s="10" t="inlineStr">
        <is>
          <t>https://www.yelp.com/search?cflt=vapeshops&amp;find_loc=Todmorden%2C+West+Yorkshire</t>
        </is>
      </c>
      <c r="E473" s="10" t="inlineStr">
        <is>
          <t>Directory</t>
        </is>
      </c>
      <c r="F473" s="10" t="inlineStr">
        <is>
          <t>2026-09-16</t>
        </is>
      </c>
      <c r="G473" s="10" t="inlineStr">
        <is>
          <t>listed among Todmorden vape shops</t>
        </is>
      </c>
      <c r="H473" s="10" t="inlineStr">
        <is>
          <t>Requires Verification</t>
        </is>
      </c>
    </row>
    <row r="474">
      <c r="A474" s="5" t="inlineStr">
        <is>
          <t>UK-000454</t>
        </is>
      </c>
      <c r="B474" s="5" t="inlineStr">
        <is>
          <t>B &amp; G Liquor Ltd</t>
        </is>
      </c>
      <c r="C474" s="5" t="inlineStr">
        <is>
          <t>Oldbury</t>
        </is>
      </c>
      <c r="D474" s="5" t="inlineStr">
        <is>
          <t>https://www.yell.com/s/off+licences+and+wine+merchants-oldbury-west+midlands.html</t>
        </is>
      </c>
      <c r="E474" s="5" t="inlineStr">
        <is>
          <t>Yell</t>
        </is>
      </c>
      <c r="F474" s="5" t="inlineStr">
        <is>
          <t>2026-09-17</t>
        </is>
      </c>
      <c r="G474" s="5" t="inlineStr">
        <is>
          <t>business name, address, phone (listing snippet)</t>
        </is>
      </c>
      <c r="H474" s="5" t="inlineStr">
        <is>
          <t>Requires Verification</t>
        </is>
      </c>
    </row>
    <row r="475">
      <c r="A475" s="10" t="inlineStr">
        <is>
          <t>UK-000756</t>
        </is>
      </c>
      <c r="B475" s="10" t="inlineStr">
        <is>
          <t>BBBBooze</t>
        </is>
      </c>
      <c r="C475" s="10" t="inlineStr">
        <is>
          <t>Liverpool</t>
        </is>
      </c>
      <c r="D475" s="10" t="inlineStr">
        <is>
          <t>https://liverpool.cylex-uk.co.uk/off-licence-4.html</t>
        </is>
      </c>
      <c r="E475" s="10" t="inlineStr">
        <is>
          <t>Directory</t>
        </is>
      </c>
      <c r="F475" s="10" t="inlineStr">
        <is>
          <t>2026-09-17</t>
        </is>
      </c>
      <c r="G475" s="10" t="inlineStr">
        <is>
          <t>name, address, postcode</t>
        </is>
      </c>
      <c r="H475" s="10" t="inlineStr">
        <is>
          <t>Requires Verification</t>
        </is>
      </c>
    </row>
    <row r="476">
      <c r="A476" s="5" t="inlineStr">
        <is>
          <t>WY-0055</t>
        </is>
      </c>
      <c r="B476" s="5" t="inlineStr">
        <is>
          <t>BGC Wholesale</t>
        </is>
      </c>
      <c r="C476" s="5" t="inlineStr">
        <is>
          <t>Bradford</t>
        </is>
      </c>
      <c r="D476" s="5" t="inlineStr">
        <is>
          <t>https://bradford.cylex-uk.co.uk/company/bgc-wholesale-ltd-27159538.html</t>
        </is>
      </c>
      <c r="E476" s="5" t="inlineStr">
        <is>
          <t>Directory</t>
        </is>
      </c>
      <c r="F476" s="5" t="inlineStr">
        <is>
          <t>2026-09-16</t>
        </is>
      </c>
      <c r="G476" s="5" t="inlineStr">
        <is>
          <t>address 12 Roydsdale Way, Euroway Estate BD4 6SE, phone (search snippet)</t>
        </is>
      </c>
      <c r="H476" s="5" t="inlineStr">
        <is>
          <t>Partially Verified</t>
        </is>
      </c>
    </row>
    <row r="477">
      <c r="A477" s="10" t="inlineStr">
        <is>
          <t>WY-0055</t>
        </is>
      </c>
      <c r="B477" s="10" t="inlineStr">
        <is>
          <t>BGC Wholesale</t>
        </is>
      </c>
      <c r="C477" s="10" t="inlineStr">
        <is>
          <t>Bradford</t>
        </is>
      </c>
      <c r="D477" s="10" t="inlineStr">
        <is>
          <t>https://find-and-update.company-information.service.gov.uk/company/12428420/officers</t>
        </is>
      </c>
      <c r="E477" s="10" t="inlineStr">
        <is>
          <t>Companies House</t>
        </is>
      </c>
      <c r="F477" s="10" t="inlineStr">
        <is>
          <t>2026-09-16</t>
        </is>
      </c>
      <c r="G477" s="10" t="inlineStr">
        <is>
          <t>company number 12428420 (search snippet; direct fetch blocked)</t>
        </is>
      </c>
      <c r="H477" s="10" t="inlineStr">
        <is>
          <t>Partially Verified</t>
        </is>
      </c>
    </row>
    <row r="478">
      <c r="A478" s="5" t="inlineStr">
        <is>
          <t>WY-0055</t>
        </is>
      </c>
      <c r="B478" s="5" t="inlineStr">
        <is>
          <t>BGC Wholesale</t>
        </is>
      </c>
      <c r="C478" s="5" t="inlineStr">
        <is>
          <t>Bradford</t>
        </is>
      </c>
      <c r="D478" s="5" t="inlineStr">
        <is>
          <t>https://tiger-feet-limited-previously-bgc-wholesale.wheree.com/</t>
        </is>
      </c>
      <c r="E478" s="5" t="inlineStr">
        <is>
          <t>Directory</t>
        </is>
      </c>
      <c r="F478" s="5" t="inlineStr">
        <is>
          <t>2026-09-16</t>
        </is>
      </c>
      <c r="G478" s="5" t="inlineStr">
        <is>
          <t>rebrand to Tiger Feet Limited, Wyke Bradford (search result)</t>
        </is>
      </c>
      <c r="H478" s="5" t="inlineStr">
        <is>
          <t>Partially Verified</t>
        </is>
      </c>
    </row>
    <row r="479">
      <c r="A479" s="10" t="inlineStr">
        <is>
          <t>UK-000343</t>
        </is>
      </c>
      <c r="B479" s="10" t="inlineStr">
        <is>
          <t>BK Off Licence (Salford)</t>
        </is>
      </c>
      <c r="C479" s="10" t="inlineStr">
        <is>
          <t>Salford</t>
        </is>
      </c>
      <c r="D479" s="10" t="inlineStr">
        <is>
          <t>https://www.salford.gov.uk/licensing-and-permits/licensing-notice-of-application/bk-off-licence</t>
        </is>
      </c>
      <c r="E479" s="10" t="inlineStr">
        <is>
          <t>Other</t>
        </is>
      </c>
      <c r="F479" s="10" t="inlineStr">
        <is>
          <t>2026-09-17</t>
        </is>
      </c>
      <c r="G479" s="10" t="inlineStr">
        <is>
          <t>business name, address, postcode (council licensing notice)</t>
        </is>
      </c>
      <c r="H479" s="10" t="inlineStr">
        <is>
          <t>Requires Verification</t>
        </is>
      </c>
    </row>
    <row r="480">
      <c r="A480" s="5" t="inlineStr">
        <is>
          <t>UK-000344</t>
        </is>
      </c>
      <c r="B480" s="5" t="inlineStr">
        <is>
          <t>Babylon Night Shisha Lounge</t>
        </is>
      </c>
      <c r="C480" s="5" t="inlineStr">
        <is>
          <t>Oldham</t>
        </is>
      </c>
      <c r="D480" s="5" t="inlineStr">
        <is>
          <t>https://babylon-night-shisha-lounge.wheree.com/</t>
        </is>
      </c>
      <c r="E480" s="5" t="inlineStr">
        <is>
          <t>Directory</t>
        </is>
      </c>
      <c r="F480" s="5" t="inlineStr">
        <is>
          <t>2026-09-17</t>
        </is>
      </c>
      <c r="G480" s="5" t="inlineStr">
        <is>
          <t>address, postcode</t>
        </is>
      </c>
      <c r="H480" s="5" t="inlineStr">
        <is>
          <t>Requires Verification</t>
        </is>
      </c>
    </row>
    <row r="481">
      <c r="A481" s="10" t="inlineStr">
        <is>
          <t>WY-0056</t>
        </is>
      </c>
      <c r="B481" s="10" t="inlineStr">
        <is>
          <t>Baildon Green Convenience Store</t>
        </is>
      </c>
      <c r="C481" s="10" t="inlineStr">
        <is>
          <t>Shipley</t>
        </is>
      </c>
      <c r="D481" s="10" t="inlineStr">
        <is>
          <t>https://www.yorkshire.com/shipley/shopping/corner-shops/baildon-green-convenience-store</t>
        </is>
      </c>
      <c r="E481" s="10" t="inlineStr">
        <is>
          <t>Directory</t>
        </is>
      </c>
      <c r="F481" s="10" t="inlineStr">
        <is>
          <t>2026-09-16</t>
        </is>
      </c>
      <c r="G481" s="10" t="inlineStr">
        <is>
          <t>name, Cliffe Lane West Baildon location, hours (search snippet)</t>
        </is>
      </c>
      <c r="H481" s="10" t="inlineStr">
        <is>
          <t>Requires Verification</t>
        </is>
      </c>
    </row>
    <row r="482">
      <c r="A482" s="5" t="inlineStr">
        <is>
          <t>WY-0057</t>
        </is>
      </c>
      <c r="B482" s="5" t="inlineStr">
        <is>
          <t>Baildon Off Licence</t>
        </is>
      </c>
      <c r="C482" s="5" t="inlineStr">
        <is>
          <t>Shipley</t>
        </is>
      </c>
      <c r="D482" s="5" t="inlineStr">
        <is>
          <t>https://www.yorkshire.com/saltaire/shopping/off-license/baildon-off-licence</t>
        </is>
      </c>
      <c r="E482" s="5" t="inlineStr">
        <is>
          <t>Directory</t>
        </is>
      </c>
      <c r="F482" s="5" t="inlineStr">
        <is>
          <t>2026-09-16</t>
        </is>
      </c>
      <c r="G482" s="5" t="inlineStr">
        <is>
          <t>name, Coach Road Baildon location, hours (search snippet)</t>
        </is>
      </c>
      <c r="H482" s="5" t="inlineStr">
        <is>
          <t>Requires Verification</t>
        </is>
      </c>
    </row>
    <row r="483">
      <c r="A483" s="10" t="inlineStr">
        <is>
          <t>WY-0058</t>
        </is>
      </c>
      <c r="B483" s="10" t="inlineStr">
        <is>
          <t>Bar Market</t>
        </is>
      </c>
      <c r="C483" s="10" t="inlineStr">
        <is>
          <t>Halifax</t>
        </is>
      </c>
      <c r="D483" s="10" t="inlineStr">
        <is>
          <t>https://www.yorkshire.com/halifax/shopping/off-license/bar-market-ltd</t>
        </is>
      </c>
      <c r="E483" s="10" t="inlineStr">
        <is>
          <t>Directory</t>
        </is>
      </c>
      <c r="F483" s="10" t="inlineStr">
        <is>
          <t>2026-09-16</t>
        </is>
      </c>
      <c r="G483" s="10" t="inlineStr">
        <is>
          <t>name, street, description</t>
        </is>
      </c>
      <c r="H483" s="10" t="inlineStr">
        <is>
          <t>Requires Verification</t>
        </is>
      </c>
    </row>
    <row r="484">
      <c r="A484" s="5" t="inlineStr">
        <is>
          <t>UK-000345</t>
        </is>
      </c>
      <c r="B484" s="5" t="inlineStr">
        <is>
          <t>Bargain Brand Food</t>
        </is>
      </c>
      <c r="C484" s="5" t="inlineStr">
        <is>
          <t>Wigan</t>
        </is>
      </c>
      <c r="D484" s="5" t="inlineStr">
        <is>
          <t>https://bargain-brand-food.wheree.com/</t>
        </is>
      </c>
      <c r="E484" s="5" t="inlineStr">
        <is>
          <t>Directory</t>
        </is>
      </c>
      <c r="F484" s="5" t="inlineStr">
        <is>
          <t>2026-09-17</t>
        </is>
      </c>
      <c r="G484" s="5" t="inlineStr">
        <is>
          <t>trading name, address, postcode (via search results)</t>
        </is>
      </c>
      <c r="H484" s="5" t="inlineStr">
        <is>
          <t>Requires Verification</t>
        </is>
      </c>
    </row>
    <row r="485">
      <c r="A485" s="10" t="inlineStr">
        <is>
          <t>UK-000237</t>
        </is>
      </c>
      <c r="B485" s="10" t="inlineStr">
        <is>
          <t>Bargains Cash &amp; Carry Ltd</t>
        </is>
      </c>
      <c r="C485" s="10" t="inlineStr">
        <is>
          <t>Sheffield</t>
        </is>
      </c>
      <c r="D485" s="10" t="inlineStr">
        <is>
          <t>https://sheffield.cylex-uk.co.uk/company/bargains-cash---carry-ltd-27419816.html</t>
        </is>
      </c>
      <c r="E485" s="10" t="inlineStr">
        <is>
          <t>Directory</t>
        </is>
      </c>
      <c r="F485" s="10" t="inlineStr">
        <is>
          <t>2026-09-16</t>
        </is>
      </c>
      <c r="G485" s="10" t="inlineStr">
        <is>
          <t>name, town, category</t>
        </is>
      </c>
      <c r="H485" s="10" t="inlineStr">
        <is>
          <t>Requires Verification</t>
        </is>
      </c>
    </row>
    <row r="486">
      <c r="A486" s="5" t="inlineStr">
        <is>
          <t>UK-000346</t>
        </is>
      </c>
      <c r="B486" s="5" t="inlineStr">
        <is>
          <t>Barkway Newsagents (Stretford)</t>
        </is>
      </c>
      <c r="C486" s="5" t="inlineStr">
        <is>
          <t>Stretford</t>
        </is>
      </c>
      <c r="D486" s="5" t="inlineStr">
        <is>
          <t>https://stretford-trafford.cylex-uk.co.uk/company/barkway-newsagents-13599788.html</t>
        </is>
      </c>
      <c r="E486" s="5" t="inlineStr">
        <is>
          <t>Directory</t>
        </is>
      </c>
      <c r="F486" s="5" t="inlineStr">
        <is>
          <t>2026-09-17</t>
        </is>
      </c>
      <c r="G486" s="5" t="inlineStr">
        <is>
          <t>business name, address, postcode, phone</t>
        </is>
      </c>
      <c r="H486" s="5" t="inlineStr">
        <is>
          <t>Requires Verification</t>
        </is>
      </c>
    </row>
    <row r="487">
      <c r="A487" s="10" t="inlineStr">
        <is>
          <t>UK-000580</t>
        </is>
      </c>
      <c r="B487" s="10" t="inlineStr">
        <is>
          <t>Barraka Shop</t>
        </is>
      </c>
      <c r="C487" s="10" t="inlineStr">
        <is>
          <t>London</t>
        </is>
      </c>
      <c r="D487" s="10" t="inlineStr">
        <is>
          <t>https://www.yell.com/biz/barraka-shop-london-901765630/</t>
        </is>
      </c>
      <c r="E487" s="10" t="inlineStr">
        <is>
          <t>Yell</t>
        </is>
      </c>
      <c r="F487" s="10" t="inlineStr">
        <is>
          <t>2026-09-17</t>
        </is>
      </c>
      <c r="G487" s="10" t="inlineStr">
        <is>
          <t>business name, address</t>
        </is>
      </c>
      <c r="H487" s="10" t="inlineStr">
        <is>
          <t>Requires Verification</t>
        </is>
      </c>
    </row>
    <row r="488">
      <c r="A488" s="5" t="inlineStr">
        <is>
          <t>WY-0059</t>
        </is>
      </c>
      <c r="B488" s="5" t="inlineStr">
        <is>
          <t>Barry's Cash &amp; Carry</t>
        </is>
      </c>
      <c r="C488" s="5" t="inlineStr">
        <is>
          <t>Halifax</t>
        </is>
      </c>
      <c r="D488" s="5" t="inlineStr">
        <is>
          <t>https://cutpricebarrys.co.uk/barrys-cash-and-carry/</t>
        </is>
      </c>
      <c r="E488" s="5" t="inlineStr">
        <is>
          <t>Official Website</t>
        </is>
      </c>
      <c r="F488" s="5" t="inlineStr">
        <is>
          <t>2026-09-16</t>
        </is>
      </c>
      <c r="G488" s="5" t="inlineStr">
        <is>
          <t>business description (via search snippet; fetch blocked)</t>
        </is>
      </c>
      <c r="H488" s="5" t="inlineStr">
        <is>
          <t>Partially Verified</t>
        </is>
      </c>
    </row>
    <row r="489">
      <c r="A489" s="10" t="inlineStr">
        <is>
          <t>WY-0059</t>
        </is>
      </c>
      <c r="B489" s="10" t="inlineStr">
        <is>
          <t>Barry's Cash &amp; Carry</t>
        </is>
      </c>
      <c r="C489" s="10" t="inlineStr">
        <is>
          <t>Halifax</t>
        </is>
      </c>
      <c r="D489" s="10" t="inlineStr">
        <is>
          <t>https://find-and-update.company-information.service.gov.uk/company/11123434</t>
        </is>
      </c>
      <c r="E489" s="10" t="inlineStr">
        <is>
          <t>Companies House</t>
        </is>
      </c>
      <c r="F489" s="10" t="inlineStr">
        <is>
          <t>2026-09-16</t>
        </is>
      </c>
      <c r="G489" s="10" t="inlineStr">
        <is>
          <t>company number, status, incorporation date, registered office (via search snippet)</t>
        </is>
      </c>
      <c r="H489" s="10" t="inlineStr">
        <is>
          <t>Partially Verified</t>
        </is>
      </c>
    </row>
    <row r="490">
      <c r="A490" s="5" t="inlineStr">
        <is>
          <t>WY-0059</t>
        </is>
      </c>
      <c r="B490" s="5" t="inlineStr">
        <is>
          <t>Barry's Cash &amp; Carry</t>
        </is>
      </c>
      <c r="C490" s="5" t="inlineStr">
        <is>
          <t>Halifax</t>
        </is>
      </c>
      <c r="D490" s="5" t="inlineStr">
        <is>
          <t>https://www.bizseek.co.uk/barrys-cash-carry-01422-646060</t>
        </is>
      </c>
      <c r="E490" s="5" t="inlineStr">
        <is>
          <t>Directory</t>
        </is>
      </c>
      <c r="F490" s="5" t="inlineStr">
        <is>
          <t>2026-09-16</t>
        </is>
      </c>
      <c r="G490" s="5" t="inlineStr">
        <is>
          <t>phone</t>
        </is>
      </c>
      <c r="H490" s="5" t="inlineStr">
        <is>
          <t>Partially Verified</t>
        </is>
      </c>
    </row>
    <row r="491">
      <c r="A491" s="10" t="inlineStr">
        <is>
          <t>WY-0059</t>
        </is>
      </c>
      <c r="B491" s="10" t="inlineStr">
        <is>
          <t>Barry's Cash &amp; Carry</t>
        </is>
      </c>
      <c r="C491" s="10" t="inlineStr">
        <is>
          <t>Halifax</t>
        </is>
      </c>
      <c r="D491" s="10" t="inlineStr">
        <is>
          <t>https://www.chamberofcommerce.uk/business-directory/england/halifax/cash-and-carry-wholesaler/923587-barrys-cash-carry</t>
        </is>
      </c>
      <c r="E491" s="10" t="inlineStr">
        <is>
          <t>Directory</t>
        </is>
      </c>
      <c r="F491" s="10" t="inlineStr">
        <is>
          <t>2026-09-16</t>
        </is>
      </c>
      <c r="G491" s="10" t="inlineStr">
        <is>
          <t>address, email</t>
        </is>
      </c>
      <c r="H491" s="10" t="inlineStr">
        <is>
          <t>Partially Verified</t>
        </is>
      </c>
    </row>
    <row r="492">
      <c r="A492" s="5" t="inlineStr">
        <is>
          <t>WY-0059</t>
        </is>
      </c>
      <c r="B492" s="5" t="inlineStr">
        <is>
          <t>Barry's Cash &amp; Carry</t>
        </is>
      </c>
      <c r="C492" s="5" t="inlineStr">
        <is>
          <t>Halifax</t>
        </is>
      </c>
      <c r="D492" s="5" t="inlineStr">
        <is>
          <t>https://www.instagram.com/barryscashandcarry/</t>
        </is>
      </c>
      <c r="E492" s="5" t="inlineStr">
        <is>
          <t>Instagram</t>
        </is>
      </c>
      <c r="F492" s="5" t="inlineStr">
        <is>
          <t>2026-09-16</t>
        </is>
      </c>
      <c r="G492" s="5" t="inlineStr">
        <is>
          <t>social (facebook, instagram)</t>
        </is>
      </c>
      <c r="H492" s="5" t="inlineStr">
        <is>
          <t>Partially Verified</t>
        </is>
      </c>
    </row>
    <row r="493">
      <c r="A493" s="10" t="inlineStr">
        <is>
          <t>WY-0060</t>
        </is>
      </c>
      <c r="B493" s="10" t="inlineStr">
        <is>
          <t>Batley Bargain Centre</t>
        </is>
      </c>
      <c r="C493" s="10" t="inlineStr">
        <is>
          <t>Batley</t>
        </is>
      </c>
      <c r="D493" s="10" t="inlineStr">
        <is>
          <t>https://www.batleybargaincentre.com/</t>
        </is>
      </c>
      <c r="E493" s="10" t="inlineStr">
        <is>
          <t>Official Website</t>
        </is>
      </c>
      <c r="F493" s="10" t="inlineStr">
        <is>
          <t>2026-09-16</t>
        </is>
      </c>
      <c r="G493" s="10" t="inlineStr">
        <is>
          <t>business name, town, product mix (from search result snippet)</t>
        </is>
      </c>
      <c r="H493" s="10" t="inlineStr">
        <is>
          <t>Partially Verified</t>
        </is>
      </c>
    </row>
    <row r="494">
      <c r="A494" s="5" t="inlineStr">
        <is>
          <t>WY-0060</t>
        </is>
      </c>
      <c r="B494" s="5" t="inlineStr">
        <is>
          <t>Batley Bargain Centre</t>
        </is>
      </c>
      <c r="C494" s="5" t="inlineStr">
        <is>
          <t>Batley</t>
        </is>
      </c>
      <c r="D494" s="5" t="inlineStr">
        <is>
          <t>https://www.misterwhat.co.uk/company/550608-batley-bargain-centre-batley</t>
        </is>
      </c>
      <c r="E494" s="5" t="inlineStr">
        <is>
          <t>Directory</t>
        </is>
      </c>
      <c r="F494" s="5" t="inlineStr">
        <is>
          <t>2026-09-16</t>
        </is>
      </c>
      <c r="G494" s="5" t="inlineStr">
        <is>
          <t>postcode, phone, email, social (facebook, instagram)</t>
        </is>
      </c>
      <c r="H494" s="5" t="inlineStr">
        <is>
          <t>Partially Verified</t>
        </is>
      </c>
    </row>
    <row r="495">
      <c r="A495" s="10" t="inlineStr">
        <is>
          <t>UK-000455</t>
        </is>
      </c>
      <c r="B495" s="10" t="inlineStr">
        <is>
          <t>Bearwood International Supermarket</t>
        </is>
      </c>
      <c r="C495" s="10" t="inlineStr">
        <is>
          <t>Smethwick</t>
        </is>
      </c>
      <c r="D495" s="10" t="inlineStr">
        <is>
          <t>https://www.yelp.com/biz/bearwood-international-supermarket-smethwick</t>
        </is>
      </c>
      <c r="E495" s="10" t="inlineStr">
        <is>
          <t>Directory</t>
        </is>
      </c>
      <c r="F495" s="10" t="inlineStr">
        <is>
          <t>2026-09-17</t>
        </is>
      </c>
      <c r="G495" s="10" t="inlineStr">
        <is>
          <t>business name, Bearwood Road/Smethwick location (listing snippet)</t>
        </is>
      </c>
      <c r="H495" s="10" t="inlineStr">
        <is>
          <t>Requires Verification</t>
        </is>
      </c>
    </row>
    <row r="496">
      <c r="A496" s="5" t="inlineStr">
        <is>
          <t>UK-000757</t>
        </is>
      </c>
      <c r="B496" s="5" t="inlineStr">
        <is>
          <t>Bebington Convenience Store &amp; Off Licence</t>
        </is>
      </c>
      <c r="C496" s="5" t="inlineStr">
        <is>
          <t>Wirral</t>
        </is>
      </c>
      <c r="D496" s="5" t="inlineStr">
        <is>
          <t>https://www.bigreddirectory.com/bebington-convenience-store-off-licence-heswall-wirral</t>
        </is>
      </c>
      <c r="E496" s="5" t="inlineStr">
        <is>
          <t>Directory</t>
        </is>
      </c>
      <c r="F496" s="5" t="inlineStr">
        <is>
          <t>2026-09-17</t>
        </is>
      </c>
      <c r="G496" s="5" t="inlineStr">
        <is>
          <t>business name, Brimstage Road address</t>
        </is>
      </c>
      <c r="H496" s="5" t="inlineStr">
        <is>
          <t>Requires Verification</t>
        </is>
      </c>
    </row>
    <row r="497">
      <c r="A497" s="10" t="inlineStr">
        <is>
          <t>WY-0061</t>
        </is>
      </c>
      <c r="B497" s="10" t="inlineStr">
        <is>
          <t>Beer Ritz</t>
        </is>
      </c>
      <c r="C497" s="10" t="inlineStr">
        <is>
          <t>Leeds</t>
        </is>
      </c>
      <c r="D497" s="10" t="inlineStr">
        <is>
          <t>https://www.yelp.co.uk/biz/beer-ritz-leeds</t>
        </is>
      </c>
      <c r="E497" s="10" t="inlineStr">
        <is>
          <t>Directory</t>
        </is>
      </c>
      <c r="F497" s="10" t="inlineStr">
        <is>
          <t>2026-09-16</t>
        </is>
      </c>
      <c r="G497" s="10" t="inlineStr">
        <is>
          <t>address, phone, hours (via search results)</t>
        </is>
      </c>
      <c r="H497" s="10" t="inlineStr">
        <is>
          <t>Partially Verified</t>
        </is>
      </c>
    </row>
    <row r="498">
      <c r="A498" s="5" t="inlineStr">
        <is>
          <t>WY-0061</t>
        </is>
      </c>
      <c r="B498" s="5" t="inlineStr">
        <is>
          <t>Beer Ritz</t>
        </is>
      </c>
      <c r="C498" s="5" t="inlineStr">
        <is>
          <t>Leeds</t>
        </is>
      </c>
      <c r="D498" s="5" t="inlineStr">
        <is>
          <t>https://www.beerritz.co.uk/contact-us</t>
        </is>
      </c>
      <c r="E498" s="5" t="inlineStr">
        <is>
          <t>Official Website</t>
        </is>
      </c>
      <c r="F498" s="5" t="inlineStr">
        <is>
          <t>2026-09-16</t>
        </is>
      </c>
      <c r="G498" s="5" t="inlineStr">
        <is>
          <t>website/contact page existence (via search results; direct fetch blocked by proxy)</t>
        </is>
      </c>
      <c r="H498" s="5" t="inlineStr">
        <is>
          <t>Partially Verified</t>
        </is>
      </c>
    </row>
    <row r="499">
      <c r="A499" s="10" t="inlineStr">
        <is>
          <t>WY-0061</t>
        </is>
      </c>
      <c r="B499" s="10" t="inlineStr">
        <is>
          <t>Beer Ritz</t>
        </is>
      </c>
      <c r="C499" s="10" t="inlineStr">
        <is>
          <t>Leeds</t>
        </is>
      </c>
      <c r="D499" s="10" t="inlineStr">
        <is>
          <t>https://www.headingleyleeds.com/offlicences</t>
        </is>
      </c>
      <c r="E499" s="10" t="inlineStr">
        <is>
          <t>Directory</t>
        </is>
      </c>
      <c r="F499" s="10" t="inlineStr">
        <is>
          <t>2026-09-16</t>
        </is>
      </c>
      <c r="G499" s="10" t="inlineStr">
        <is>
          <t>Headingley off-licence listing (via search results)</t>
        </is>
      </c>
      <c r="H499" s="10" t="inlineStr">
        <is>
          <t>Partially Verified</t>
        </is>
      </c>
    </row>
    <row r="500">
      <c r="A500" s="5" t="inlineStr">
        <is>
          <t>WY-0062</t>
        </is>
      </c>
      <c r="B500" s="5" t="inlineStr">
        <is>
          <t>Bespoke Shisha</t>
        </is>
      </c>
      <c r="C500" s="5" t="inlineStr">
        <is>
          <t>Dewsbury</t>
        </is>
      </c>
      <c r="D500" s="5" t="inlineStr">
        <is>
          <t>https://suitableforvegetarian.com/business/detail/bespoke-shisha</t>
        </is>
      </c>
      <c r="E500" s="5" t="inlineStr">
        <is>
          <t>Directory</t>
        </is>
      </c>
      <c r="F500" s="5" t="inlineStr">
        <is>
          <t>2026-09-16</t>
        </is>
      </c>
      <c r="G500" s="5" t="inlineStr">
        <is>
          <t>name, address, postcode</t>
        </is>
      </c>
      <c r="H500" s="5" t="inlineStr">
        <is>
          <t>Requires Verification</t>
        </is>
      </c>
    </row>
    <row r="501">
      <c r="A501" s="10" t="inlineStr">
        <is>
          <t>WY-0063</t>
        </is>
      </c>
      <c r="B501" s="10" t="inlineStr">
        <is>
          <t>Best Choice Wholesale</t>
        </is>
      </c>
      <c r="C501" s="10" t="inlineStr">
        <is>
          <t>Leeds</t>
        </is>
      </c>
      <c r="D501" s="10" t="inlineStr">
        <is>
          <t>https://www.bestchoicewholesale.co.uk/contact-us/</t>
        </is>
      </c>
      <c r="E501" s="10" t="inlineStr">
        <is>
          <t>Official Website</t>
        </is>
      </c>
      <c r="F501" s="10" t="inlineStr">
        <is>
          <t>2026-09-16</t>
        </is>
      </c>
      <c r="G501" s="10" t="inlineStr">
        <is>
          <t>address, phone, email (via search results)</t>
        </is>
      </c>
      <c r="H501" s="10" t="inlineStr">
        <is>
          <t>Requires Verification</t>
        </is>
      </c>
    </row>
    <row r="502">
      <c r="A502" s="5" t="inlineStr">
        <is>
          <t>WY-0063</t>
        </is>
      </c>
      <c r="B502" s="5" t="inlineStr">
        <is>
          <t>Best Choice Wholesale</t>
        </is>
      </c>
      <c r="C502" s="5" t="inlineStr">
        <is>
          <t>Leeds</t>
        </is>
      </c>
      <c r="D502" s="5" t="inlineStr">
        <is>
          <t>https://www.scoot.co.uk/England/West-Yorkshire/Leeds/Best-Choice-Wholesale-16993082.html</t>
        </is>
      </c>
      <c r="E502" s="5" t="inlineStr">
        <is>
          <t>Directory</t>
        </is>
      </c>
      <c r="F502" s="5" t="inlineStr">
        <is>
          <t>2026-09-16</t>
        </is>
      </c>
      <c r="G502" s="5" t="inlineStr">
        <is>
          <t>listing cross-check (via search results)</t>
        </is>
      </c>
      <c r="H502" s="5" t="inlineStr">
        <is>
          <t>Requires Verification</t>
        </is>
      </c>
    </row>
    <row r="503">
      <c r="A503" s="10" t="inlineStr">
        <is>
          <t>WY-0063</t>
        </is>
      </c>
      <c r="B503" s="10" t="inlineStr">
        <is>
          <t>Best Choice Wholesale</t>
        </is>
      </c>
      <c r="C503" s="10" t="inlineStr">
        <is>
          <t>Leeds</t>
        </is>
      </c>
      <c r="D503" s="10" t="inlineStr">
        <is>
          <t>https://www.yell.com/biz/best-choice-wholesale-leeds-9089835/</t>
        </is>
      </c>
      <c r="E503" s="10" t="inlineStr">
        <is>
          <t>Yell</t>
        </is>
      </c>
      <c r="F503" s="10" t="inlineStr">
        <is>
          <t>2026-09-16</t>
        </is>
      </c>
      <c r="G503" s="10" t="inlineStr">
        <is>
          <t>category, description (via search results)</t>
        </is>
      </c>
      <c r="H503" s="10" t="inlineStr">
        <is>
          <t>Requires Verification</t>
        </is>
      </c>
    </row>
    <row r="504">
      <c r="A504" s="5" t="inlineStr">
        <is>
          <t>UK-000581</t>
        </is>
      </c>
      <c r="B504" s="5" t="inlineStr">
        <is>
          <t>Best Foods</t>
        </is>
      </c>
      <c r="C504" s="5" t="inlineStr">
        <is>
          <t>Wembley</t>
        </is>
      </c>
      <c r="D504" s="5" t="inlineStr">
        <is>
          <t>https://www.yell.com/biz/best-foods-wembley-9412662/</t>
        </is>
      </c>
      <c r="E504" s="5" t="inlineStr">
        <is>
          <t>Yell</t>
        </is>
      </c>
      <c r="F504" s="5" t="inlineStr">
        <is>
          <t>2026-09-17</t>
        </is>
      </c>
      <c r="G504" s="5" t="inlineStr">
        <is>
          <t>business name, address</t>
        </is>
      </c>
      <c r="H504" s="5" t="inlineStr">
        <is>
          <t>Requires Verification</t>
        </is>
      </c>
    </row>
    <row r="505">
      <c r="A505" s="10" t="inlineStr">
        <is>
          <t>UK-000582</t>
        </is>
      </c>
      <c r="B505" s="10" t="inlineStr">
        <is>
          <t>Best Quality Food &amp; Wines</t>
        </is>
      </c>
      <c r="C505" s="10" t="inlineStr">
        <is>
          <t>London</t>
        </is>
      </c>
      <c r="D505" s="10" t="inlineStr">
        <is>
          <t>https://www.yell.com/s/off+licences-fulham-london.html</t>
        </is>
      </c>
      <c r="E505" s="10" t="inlineStr">
        <is>
          <t>Yell</t>
        </is>
      </c>
      <c r="F505" s="10" t="inlineStr">
        <is>
          <t>2026-09-17</t>
        </is>
      </c>
      <c r="G505" s="10" t="inlineStr">
        <is>
          <t>business name, address, postcode, phone</t>
        </is>
      </c>
      <c r="H505" s="10" t="inlineStr">
        <is>
          <t>Requires Verification</t>
        </is>
      </c>
    </row>
    <row r="506">
      <c r="A506" s="5" t="inlineStr">
        <is>
          <t>UK-000238</t>
        </is>
      </c>
      <c r="B506" s="5" t="inlineStr">
        <is>
          <t>Beverley International Foods</t>
        </is>
      </c>
      <c r="C506" s="5" t="inlineStr">
        <is>
          <t>Kingston upon Hull</t>
        </is>
      </c>
      <c r="D506" s="5" t="inlineStr">
        <is>
          <t>https://www.yorkshire.com/hull/shopping/supermarkets/beverley-international-foods</t>
        </is>
      </c>
      <c r="E506" s="5" t="inlineStr">
        <is>
          <t>Directory</t>
        </is>
      </c>
      <c r="F506" s="5" t="inlineStr">
        <is>
          <t>2026-09-16</t>
        </is>
      </c>
      <c r="G506" s="5" t="inlineStr">
        <is>
          <t>name, Beverley Road location (via search results)</t>
        </is>
      </c>
      <c r="H506" s="5" t="inlineStr">
        <is>
          <t>Requires Verification</t>
        </is>
      </c>
    </row>
    <row r="507">
      <c r="A507" s="10" t="inlineStr">
        <is>
          <t>UK-000583</t>
        </is>
      </c>
      <c r="B507" s="10" t="inlineStr">
        <is>
          <t>Beyond Cash &amp; Carry</t>
        </is>
      </c>
      <c r="C507" s="10" t="inlineStr">
        <is>
          <t>East Ham</t>
        </is>
      </c>
      <c r="D507" s="10" t="inlineStr">
        <is>
          <t>https://www.yell.com/s/cash+and+carry-london+borough+of+newham.html</t>
        </is>
      </c>
      <c r="E507" s="10" t="inlineStr">
        <is>
          <t>Yell</t>
        </is>
      </c>
      <c r="F507" s="10" t="inlineStr">
        <is>
          <t>2026-09-17</t>
        </is>
      </c>
      <c r="G507" s="10" t="inlineStr">
        <is>
          <t>name, address, postcode</t>
        </is>
      </c>
      <c r="H507" s="10" t="inlineStr">
        <is>
          <t>Requires Verification</t>
        </is>
      </c>
    </row>
    <row r="508">
      <c r="A508" s="5" t="inlineStr">
        <is>
          <t>WY-0064</t>
        </is>
      </c>
      <c r="B508" s="5" t="inlineStr">
        <is>
          <t>Big D Vapes</t>
        </is>
      </c>
      <c r="C508" s="5" t="inlineStr">
        <is>
          <t>Slaithwaite</t>
        </is>
      </c>
      <c r="D508" s="5" t="inlineStr">
        <is>
          <t>https://slaithwaite.cylex-uk.co.uk/company/big-d-vapes-slaithwaite-27713821.html</t>
        </is>
      </c>
      <c r="E508" s="5" t="inlineStr">
        <is>
          <t>Directory</t>
        </is>
      </c>
      <c r="F508" s="5" t="inlineStr">
        <is>
          <t>2026-09-16</t>
        </is>
      </c>
      <c r="G508" s="5" t="inlineStr">
        <is>
          <t>address, phone</t>
        </is>
      </c>
      <c r="H508" s="5" t="inlineStr">
        <is>
          <t>Requires Verification</t>
        </is>
      </c>
    </row>
    <row r="509">
      <c r="A509" s="10" t="inlineStr">
        <is>
          <t>WY-0064</t>
        </is>
      </c>
      <c r="B509" s="10" t="inlineStr">
        <is>
          <t>Big D Vapes</t>
        </is>
      </c>
      <c r="C509" s="10" t="inlineStr">
        <is>
          <t>Slaithwaite</t>
        </is>
      </c>
      <c r="D509" s="10" t="inlineStr">
        <is>
          <t>https://www.facebook.com/BigDVapesSlaithwaite</t>
        </is>
      </c>
      <c r="E509" s="10" t="inlineStr">
        <is>
          <t>Facebook</t>
        </is>
      </c>
      <c r="F509" s="10" t="inlineStr">
        <is>
          <t>2026-09-16</t>
        </is>
      </c>
      <c r="G509" s="10" t="inlineStr">
        <is>
          <t>business Facebook page, service area</t>
        </is>
      </c>
      <c r="H509" s="10" t="inlineStr">
        <is>
          <t>Requires Verification</t>
        </is>
      </c>
    </row>
    <row r="510">
      <c r="A510" s="5" t="inlineStr">
        <is>
          <t>WY-0064</t>
        </is>
      </c>
      <c r="B510" s="5" t="inlineStr">
        <is>
          <t>Big D Vapes</t>
        </is>
      </c>
      <c r="C510" s="5" t="inlineStr">
        <is>
          <t>Slaithwaite</t>
        </is>
      </c>
      <c r="D510" s="5" t="inlineStr">
        <is>
          <t>https://find-and-update.company-information.service.gov.uk/company/12029439</t>
        </is>
      </c>
      <c r="E510" s="5" t="inlineStr">
        <is>
          <t>Companies House</t>
        </is>
      </c>
      <c r="F510" s="5" t="inlineStr">
        <is>
          <t>2026-09-16</t>
        </is>
      </c>
      <c r="G510" s="5" t="inlineStr">
        <is>
          <t>registered company name, company number</t>
        </is>
      </c>
      <c r="H510" s="5" t="inlineStr">
        <is>
          <t>Requires Verification</t>
        </is>
      </c>
    </row>
    <row r="511">
      <c r="A511" s="10" t="inlineStr">
        <is>
          <t>WY-0064</t>
        </is>
      </c>
      <c r="B511" s="10" t="inlineStr">
        <is>
          <t>Big D Vapes</t>
        </is>
      </c>
      <c r="C511" s="10" t="inlineStr">
        <is>
          <t>Slaithwaite</t>
        </is>
      </c>
      <c r="D511" s="10" t="inlineStr">
        <is>
          <t>https://ratings.food.gov.uk/business/1669648</t>
        </is>
      </c>
      <c r="E511" s="10" t="inlineStr">
        <is>
          <t>Other</t>
        </is>
      </c>
      <c r="F511" s="10" t="inlineStr">
        <is>
          <t>2026-09-16</t>
        </is>
      </c>
      <c r="G511" s="10" t="inlineStr">
        <is>
          <t>FSA-registered business in Huddersfield area (existence check)</t>
        </is>
      </c>
      <c r="H511" s="10" t="inlineStr">
        <is>
          <t>Requires Verification</t>
        </is>
      </c>
    </row>
    <row r="512">
      <c r="A512" s="5" t="inlineStr">
        <is>
          <t>UK-000584</t>
        </is>
      </c>
      <c r="B512" s="5" t="inlineStr">
        <is>
          <t>Bims African Food Store Ltd</t>
        </is>
      </c>
      <c r="C512" s="5" t="inlineStr">
        <is>
          <t>London</t>
        </is>
      </c>
      <c r="D512" s="5" t="inlineStr">
        <is>
          <t>https://www.yell.com/biz/bims-african-food-store-ltd-london-6667038/</t>
        </is>
      </c>
      <c r="E512" s="5" t="inlineStr">
        <is>
          <t>Yell</t>
        </is>
      </c>
      <c r="F512" s="5" t="inlineStr">
        <is>
          <t>2026-09-17</t>
        </is>
      </c>
      <c r="G512" s="5" t="inlineStr">
        <is>
          <t>business name, address</t>
        </is>
      </c>
      <c r="H512" s="5" t="inlineStr">
        <is>
          <t>Requires Verification</t>
        </is>
      </c>
    </row>
    <row r="513">
      <c r="A513" s="10" t="inlineStr">
        <is>
          <t>WY-0065</t>
        </is>
      </c>
      <c r="B513" s="10" t="inlineStr">
        <is>
          <t>Bingley Vape Shop</t>
        </is>
      </c>
      <c r="C513" s="10" t="inlineStr">
        <is>
          <t>Bingley</t>
        </is>
      </c>
      <c r="D513" s="10" t="inlineStr">
        <is>
          <t>https://find-and-update.company-information.service.gov.uk/company/11788618</t>
        </is>
      </c>
      <c r="E513" s="10" t="inlineStr">
        <is>
          <t>Companies House</t>
        </is>
      </c>
      <c r="F513" s="10" t="inlineStr">
        <is>
          <t>2026-09-16</t>
        </is>
      </c>
      <c r="G513" s="10" t="inlineStr">
        <is>
          <t>company number, registered name and office 67-69 Main Street BD16 2JA (search snippet; direct fetch blocked)</t>
        </is>
      </c>
      <c r="H513" s="10" t="inlineStr">
        <is>
          <t>Partially Verified</t>
        </is>
      </c>
    </row>
    <row r="514">
      <c r="A514" s="5" t="inlineStr">
        <is>
          <t>WY-0065</t>
        </is>
      </c>
      <c r="B514" s="5" t="inlineStr">
        <is>
          <t>Bingley Vape Shop</t>
        </is>
      </c>
      <c r="C514" s="5" t="inlineStr">
        <is>
          <t>Bingley</t>
        </is>
      </c>
      <c r="D514" s="5" t="inlineStr">
        <is>
          <t>https://www.facebook.com/BingleyVapeShop/</t>
        </is>
      </c>
      <c r="E514" s="5" t="inlineStr">
        <is>
          <t>Facebook</t>
        </is>
      </c>
      <c r="F514" s="5" t="inlineStr">
        <is>
          <t>2026-09-16</t>
        </is>
      </c>
      <c r="G514" s="5" t="inlineStr">
        <is>
          <t>active page, product range, phone (search snippet)</t>
        </is>
      </c>
      <c r="H514" s="5" t="inlineStr">
        <is>
          <t>Partially Verified</t>
        </is>
      </c>
    </row>
    <row r="515">
      <c r="A515" s="10" t="inlineStr">
        <is>
          <t>UK-000456</t>
        </is>
      </c>
      <c r="B515" s="10" t="inlineStr">
        <is>
          <t>Blockall Convenience Store</t>
        </is>
      </c>
      <c r="C515" s="10" t="inlineStr">
        <is>
          <t>Wednesbury</t>
        </is>
      </c>
      <c r="D515" s="10" t="inlineStr">
        <is>
          <t>https://www.yell.com/biz/blockall-convenience-store-wednesbury-7899353/</t>
        </is>
      </c>
      <c r="E515" s="10" t="inlineStr">
        <is>
          <t>Yell</t>
        </is>
      </c>
      <c r="F515" s="10" t="inlineStr">
        <is>
          <t>2026-09-17</t>
        </is>
      </c>
      <c r="G515" s="10" t="inlineStr">
        <is>
          <t>business name, address (listing snippet)</t>
        </is>
      </c>
      <c r="H515" s="10" t="inlineStr">
        <is>
          <t>Requires Verification</t>
        </is>
      </c>
    </row>
    <row r="516">
      <c r="A516" s="5" t="inlineStr">
        <is>
          <t>UK-000457</t>
        </is>
      </c>
      <c r="B516" s="5" t="inlineStr">
        <is>
          <t>Bloomfield Convenience Store</t>
        </is>
      </c>
      <c r="C516" s="5" t="inlineStr">
        <is>
          <t>Tipton</t>
        </is>
      </c>
      <c r="D516" s="5" t="inlineStr">
        <is>
          <t>https://tipton.cylex-uk.co.uk/company/bloomfield-convenience-store-19860362.html</t>
        </is>
      </c>
      <c r="E516" s="5" t="inlineStr">
        <is>
          <t>Directory</t>
        </is>
      </c>
      <c r="F516" s="5" t="inlineStr">
        <is>
          <t>2026-09-17</t>
        </is>
      </c>
      <c r="G516" s="5" t="inlineStr">
        <is>
          <t>business name, Tipton location (directory snippet)</t>
        </is>
      </c>
      <c r="H516" s="5" t="inlineStr">
        <is>
          <t>Requires Verification</t>
        </is>
      </c>
    </row>
    <row r="517">
      <c r="A517" s="10" t="inlineStr">
        <is>
          <t>UK-000585</t>
        </is>
      </c>
      <c r="B517" s="10" t="inlineStr">
        <is>
          <t>Blowers Vape Shop Ltd</t>
        </is>
      </c>
      <c r="C517" s="10" t="inlineStr">
        <is>
          <t>Uxbridge</t>
        </is>
      </c>
      <c r="D517" s="10" t="inlineStr">
        <is>
          <t>https://www.yell.com/biz/blowers-vape-shop-ltd-uxbridge-9763062/</t>
        </is>
      </c>
      <c r="E517" s="10" t="inlineStr">
        <is>
          <t>Yell</t>
        </is>
      </c>
      <c r="F517" s="10" t="inlineStr">
        <is>
          <t>2026-09-17</t>
        </is>
      </c>
      <c r="G517" s="10" t="inlineStr">
        <is>
          <t>business name, address</t>
        </is>
      </c>
      <c r="H517" s="10" t="inlineStr">
        <is>
          <t>Partially Verified</t>
        </is>
      </c>
    </row>
    <row r="518">
      <c r="A518" s="5" t="inlineStr">
        <is>
          <t>UK-000585</t>
        </is>
      </c>
      <c r="B518" s="5" t="inlineStr">
        <is>
          <t>Blowers Vape Shop Ltd</t>
        </is>
      </c>
      <c r="C518" s="5" t="inlineStr">
        <is>
          <t>Uxbridge</t>
        </is>
      </c>
      <c r="D518" s="5" t="inlineStr">
        <is>
          <t>https://www.thomsonlocal.com/search/smoking-cessation/hillingdon-uxbridge/blowers-vape-shop-ltd/3040780/01895254502</t>
        </is>
      </c>
      <c r="E518" s="5" t="inlineStr">
        <is>
          <t>Directory</t>
        </is>
      </c>
      <c r="F518" s="5" t="inlineStr">
        <is>
          <t>2026-09-17</t>
        </is>
      </c>
      <c r="G518" s="5" t="inlineStr">
        <is>
          <t>phone</t>
        </is>
      </c>
      <c r="H518" s="5" t="inlineStr">
        <is>
          <t>Partially Verified</t>
        </is>
      </c>
    </row>
    <row r="519">
      <c r="A519" s="10" t="inlineStr">
        <is>
          <t>UK-000585</t>
        </is>
      </c>
      <c r="B519" s="10" t="inlineStr">
        <is>
          <t>Blowers Vape Shop Ltd</t>
        </is>
      </c>
      <c r="C519" s="10" t="inlineStr">
        <is>
          <t>Uxbridge</t>
        </is>
      </c>
      <c r="D519" s="10" t="inlineStr">
        <is>
          <t>https://find-and-update.company-information.service.gov.uk/company/11795235</t>
        </is>
      </c>
      <c r="E519" s="10" t="inlineStr">
        <is>
          <t>Companies House</t>
        </is>
      </c>
      <c r="F519" s="10" t="inlineStr">
        <is>
          <t>2026-09-17</t>
        </is>
      </c>
      <c r="G519" s="10" t="inlineStr">
        <is>
          <t>company number, registered name</t>
        </is>
      </c>
      <c r="H519" s="10" t="inlineStr">
        <is>
          <t>Partially Verified</t>
        </is>
      </c>
    </row>
    <row r="520">
      <c r="A520" s="5" t="inlineStr">
        <is>
          <t>UK-000347</t>
        </is>
      </c>
      <c r="B520" s="5" t="inlineStr">
        <is>
          <t>Bolton Vape Store</t>
        </is>
      </c>
      <c r="C520" s="5" t="inlineStr">
        <is>
          <t>Bolton</t>
        </is>
      </c>
      <c r="D520" s="5" t="inlineStr">
        <is>
          <t>https://boltonvape.com/pages/contact-us</t>
        </is>
      </c>
      <c r="E520" s="5" t="inlineStr">
        <is>
          <t>Official Website</t>
        </is>
      </c>
      <c r="F520" s="5" t="inlineStr">
        <is>
          <t>2026-09-17</t>
        </is>
      </c>
      <c r="G520" s="5" t="inlineStr">
        <is>
          <t>address, postcode, phone (via search results)</t>
        </is>
      </c>
      <c r="H520" s="5" t="inlineStr">
        <is>
          <t>Requires Verification</t>
        </is>
      </c>
    </row>
    <row r="521">
      <c r="A521" s="10" t="inlineStr">
        <is>
          <t>UK-000586</t>
        </is>
      </c>
      <c r="B521" s="10" t="inlineStr">
        <is>
          <t>Bondor Bazar</t>
        </is>
      </c>
      <c r="C521" s="10" t="inlineStr">
        <is>
          <t>Forest Gate</t>
        </is>
      </c>
      <c r="D521" s="10" t="inlineStr">
        <is>
          <t>https://london.cylex-uk.co.uk/upton-park/grocery%20stores.html</t>
        </is>
      </c>
      <c r="E521" s="10" t="inlineStr">
        <is>
          <t>Directory</t>
        </is>
      </c>
      <c r="F521" s="10" t="inlineStr">
        <is>
          <t>2026-09-17</t>
        </is>
      </c>
      <c r="G521" s="10" t="inlineStr">
        <is>
          <t>name, address, postcode</t>
        </is>
      </c>
      <c r="H521" s="10" t="inlineStr">
        <is>
          <t>Requires Verification</t>
        </is>
      </c>
    </row>
    <row r="522">
      <c r="A522" s="5" t="inlineStr">
        <is>
          <t>WY-0066</t>
        </is>
      </c>
      <c r="B522" s="5" t="inlineStr">
        <is>
          <t>Boothtown Post Office &amp; Off-Licence</t>
        </is>
      </c>
      <c r="C522" s="5" t="inlineStr">
        <is>
          <t>Halifax</t>
        </is>
      </c>
      <c r="D522" s="5" t="inlineStr">
        <is>
          <t>https://findit.halifaxcourier.co.uk/search/halifax/off-licence</t>
        </is>
      </c>
      <c r="E522" s="5" t="inlineStr">
        <is>
          <t>Directory</t>
        </is>
      </c>
      <c r="F522" s="5" t="inlineStr">
        <is>
          <t>2026-09-16</t>
        </is>
      </c>
      <c r="G522" s="5" t="inlineStr">
        <is>
          <t>name, town, category</t>
        </is>
      </c>
      <c r="H522" s="5" t="inlineStr">
        <is>
          <t>Requires Verification</t>
        </is>
      </c>
    </row>
    <row r="523">
      <c r="A523" s="10" t="inlineStr">
        <is>
          <t>WY-0067</t>
        </is>
      </c>
      <c r="B523" s="10" t="inlineStr">
        <is>
          <t>Booze Express</t>
        </is>
      </c>
      <c r="C523" s="10" t="inlineStr">
        <is>
          <t>Halifax</t>
        </is>
      </c>
      <c r="D523" s="10" t="inlineStr">
        <is>
          <t>https://findit.halifaxcourier.co.uk/company/1155715525128193</t>
        </is>
      </c>
      <c r="E523" s="10" t="inlineStr">
        <is>
          <t>Directory</t>
        </is>
      </c>
      <c r="F523" s="10" t="inlineStr">
        <is>
          <t>2026-09-16</t>
        </is>
      </c>
      <c r="G523" s="10" t="inlineStr">
        <is>
          <t>address, postcode</t>
        </is>
      </c>
      <c r="H523" s="10" t="inlineStr">
        <is>
          <t>Partially Verified</t>
        </is>
      </c>
    </row>
    <row r="524">
      <c r="A524" s="5" t="inlineStr">
        <is>
          <t>WY-0067</t>
        </is>
      </c>
      <c r="B524" s="5" t="inlineStr">
        <is>
          <t>Booze Express</t>
        </is>
      </c>
      <c r="C524" s="5" t="inlineStr">
        <is>
          <t>Halifax</t>
        </is>
      </c>
      <c r="D524" s="5" t="inlineStr">
        <is>
          <t>https://www.yorkshire.com/halifax/shopping/off-license/booze-express</t>
        </is>
      </c>
      <c r="E524" s="5" t="inlineStr">
        <is>
          <t>Directory</t>
        </is>
      </c>
      <c r="F524" s="5" t="inlineStr">
        <is>
          <t>2026-09-16</t>
        </is>
      </c>
      <c r="G524" s="5" t="inlineStr">
        <is>
          <t>current listing</t>
        </is>
      </c>
      <c r="H524" s="5" t="inlineStr">
        <is>
          <t>Partially Verified</t>
        </is>
      </c>
    </row>
    <row r="525">
      <c r="A525" s="10" t="inlineStr">
        <is>
          <t>WY-0067</t>
        </is>
      </c>
      <c r="B525" s="10" t="inlineStr">
        <is>
          <t>Booze Express</t>
        </is>
      </c>
      <c r="C525" s="10" t="inlineStr">
        <is>
          <t>Halifax</t>
        </is>
      </c>
      <c r="D525" s="10" t="inlineStr">
        <is>
          <t>https://find-and-update.company-information.service.gov.uk/company/10264056</t>
        </is>
      </c>
      <c r="E525" s="10" t="inlineStr">
        <is>
          <t>Companies House</t>
        </is>
      </c>
      <c r="F525" s="10" t="inlineStr">
        <is>
          <t>2026-09-16</t>
        </is>
      </c>
      <c r="G525" s="10" t="inlineStr">
        <is>
          <t>former company dissolved 2019 (via search snippet)</t>
        </is>
      </c>
      <c r="H525" s="10" t="inlineStr">
        <is>
          <t>Partially Verified</t>
        </is>
      </c>
    </row>
    <row r="526">
      <c r="A526" s="5" t="inlineStr">
        <is>
          <t>UK-000458</t>
        </is>
      </c>
      <c r="B526" s="5" t="inlineStr">
        <is>
          <t>Booze Stop</t>
        </is>
      </c>
      <c r="C526" s="5" t="inlineStr">
        <is>
          <t>Oldbury</t>
        </is>
      </c>
      <c r="D526" s="5" t="inlineStr">
        <is>
          <t>https://www.yell.com/s/off+licences+and+wine+merchants-oldbury-west+midlands.html</t>
        </is>
      </c>
      <c r="E526" s="5" t="inlineStr">
        <is>
          <t>Yell</t>
        </is>
      </c>
      <c r="F526" s="5" t="inlineStr">
        <is>
          <t>2026-09-17</t>
        </is>
      </c>
      <c r="G526" s="5" t="inlineStr">
        <is>
          <t>business name, address, phone (listing snippet)</t>
        </is>
      </c>
      <c r="H526" s="5" t="inlineStr">
        <is>
          <t>Requires Verification</t>
        </is>
      </c>
    </row>
    <row r="527">
      <c r="A527" s="10" t="inlineStr">
        <is>
          <t>WY-0068</t>
        </is>
      </c>
      <c r="B527" s="10" t="inlineStr">
        <is>
          <t>Bottle and Bean</t>
        </is>
      </c>
      <c r="C527" s="10" t="inlineStr">
        <is>
          <t>Wetherby</t>
        </is>
      </c>
      <c r="D527" s="10" t="inlineStr">
        <is>
          <t>https://www.yorkshire.com/wetherby/shopping/off-license/bottle-and-bean</t>
        </is>
      </c>
      <c r="E527" s="10" t="inlineStr">
        <is>
          <t>Directory</t>
        </is>
      </c>
      <c r="F527" s="10" t="inlineStr">
        <is>
          <t>2026-09-16</t>
        </is>
      </c>
      <c r="G527" s="10" t="inlineStr">
        <is>
          <t>name, town, description (via search results)</t>
        </is>
      </c>
      <c r="H527" s="10" t="inlineStr">
        <is>
          <t>Requires Verification</t>
        </is>
      </c>
    </row>
    <row r="528">
      <c r="A528" s="5" t="inlineStr">
        <is>
          <t>UK-000758</t>
        </is>
      </c>
      <c r="B528" s="5" t="inlineStr">
        <is>
          <t>Bottoms Up</t>
        </is>
      </c>
      <c r="C528" s="5" t="inlineStr">
        <is>
          <t>Liverpool</t>
        </is>
      </c>
      <c r="D528" s="5" t="inlineStr">
        <is>
          <t>https://anfield.cylex-uk.co.uk/off-licence.html</t>
        </is>
      </c>
      <c r="E528" s="5" t="inlineStr">
        <is>
          <t>Directory</t>
        </is>
      </c>
      <c r="F528" s="5" t="inlineStr">
        <is>
          <t>2026-09-17</t>
        </is>
      </c>
      <c r="G528" s="5" t="inlineStr">
        <is>
          <t>name, address, postcode, phone</t>
        </is>
      </c>
      <c r="H528" s="5" t="inlineStr">
        <is>
          <t>Requires Verification</t>
        </is>
      </c>
    </row>
    <row r="529">
      <c r="A529" s="10" t="inlineStr">
        <is>
          <t>UK-000587</t>
        </is>
      </c>
      <c r="B529" s="10" t="inlineStr">
        <is>
          <t>Bow Off Licence</t>
        </is>
      </c>
      <c r="C529" s="10" t="inlineStr">
        <is>
          <t>Bow</t>
        </is>
      </c>
      <c r="D529" s="10" t="inlineStr">
        <is>
          <t>https://www.yell.com/s/off+licences-bethnal+green-east+london.html</t>
        </is>
      </c>
      <c r="E529" s="10" t="inlineStr">
        <is>
          <t>Yell</t>
        </is>
      </c>
      <c r="F529" s="10" t="inlineStr">
        <is>
          <t>2026-09-17</t>
        </is>
      </c>
      <c r="G529" s="10" t="inlineStr">
        <is>
          <t>name, address, postcode, phone</t>
        </is>
      </c>
      <c r="H529" s="10" t="inlineStr">
        <is>
          <t>Requires Verification</t>
        </is>
      </c>
    </row>
    <row r="530">
      <c r="A530" s="5" t="inlineStr">
        <is>
          <t>UK-000348</t>
        </is>
      </c>
      <c r="B530" s="5" t="inlineStr">
        <is>
          <t>Bradshawgate News &amp; Off Licence</t>
        </is>
      </c>
      <c r="C530" s="5" t="inlineStr">
        <is>
          <t>Bolton</t>
        </is>
      </c>
      <c r="D530" s="5" t="inlineStr">
        <is>
          <t>https://www.yell.com/biz/bradshawgate-news-and-off-licence-bolton-8206606/</t>
        </is>
      </c>
      <c r="E530" s="5" t="inlineStr">
        <is>
          <t>Yell</t>
        </is>
      </c>
      <c r="F530" s="5" t="inlineStr">
        <is>
          <t>2026-09-17</t>
        </is>
      </c>
      <c r="G530" s="5" t="inlineStr">
        <is>
          <t>trading name, address, postcode (via search results)</t>
        </is>
      </c>
      <c r="H530" s="5" t="inlineStr">
        <is>
          <t>Requires Verification</t>
        </is>
      </c>
    </row>
    <row r="531">
      <c r="A531" s="10" t="inlineStr">
        <is>
          <t>WY-0069</t>
        </is>
      </c>
      <c r="B531" s="10" t="inlineStr">
        <is>
          <t>Bridge Off Licence Convenience Store</t>
        </is>
      </c>
      <c r="C531" s="10" t="inlineStr">
        <is>
          <t>Sowerby Bridge</t>
        </is>
      </c>
      <c r="D531" s="10" t="inlineStr">
        <is>
          <t>https://www.yorkshire.com/sowerby-bridge/shopping/off-license/bridge-off-licence-convenience-store</t>
        </is>
      </c>
      <c r="E531" s="10" t="inlineStr">
        <is>
          <t>Directory</t>
        </is>
      </c>
      <c r="F531" s="10" t="inlineStr">
        <is>
          <t>2026-09-16</t>
        </is>
      </c>
      <c r="G531" s="10" t="inlineStr">
        <is>
          <t>name, town, category</t>
        </is>
      </c>
      <c r="H531" s="10" t="inlineStr">
        <is>
          <t>Requires Verification</t>
        </is>
      </c>
    </row>
    <row r="532">
      <c r="A532" s="5" t="inlineStr">
        <is>
          <t>WY-0070</t>
        </is>
      </c>
      <c r="B532" s="5" t="inlineStr">
        <is>
          <t>Brooks News</t>
        </is>
      </c>
      <c r="C532" s="5" t="inlineStr">
        <is>
          <t>Pudsey</t>
        </is>
      </c>
      <c r="D532" s="5" t="inlineStr">
        <is>
          <t>https://www.thomsonlocal.com/search/newsagents/morley-west-yorkshire</t>
        </is>
      </c>
      <c r="E532" s="5" t="inlineStr">
        <is>
          <t>Directory</t>
        </is>
      </c>
      <c r="F532" s="5" t="inlineStr">
        <is>
          <t>2026-09-16</t>
        </is>
      </c>
      <c r="G532" s="5" t="inlineStr">
        <is>
          <t>directory search context (via search results)</t>
        </is>
      </c>
      <c r="H532" s="5" t="inlineStr">
        <is>
          <t>Requires Verification</t>
        </is>
      </c>
    </row>
    <row r="533">
      <c r="A533" s="10" t="inlineStr">
        <is>
          <t>WY-0070</t>
        </is>
      </c>
      <c r="B533" s="10" t="inlineStr">
        <is>
          <t>Brooks News</t>
        </is>
      </c>
      <c r="C533" s="10" t="inlineStr">
        <is>
          <t>Pudsey</t>
        </is>
      </c>
      <c r="D533" s="10" t="inlineStr">
        <is>
          <t>https://findit.yorkshireeveningpost.co.uk/search/leeds/newsagent</t>
        </is>
      </c>
      <c r="E533" s="10" t="inlineStr">
        <is>
          <t>Directory</t>
        </is>
      </c>
      <c r="F533" s="10" t="inlineStr">
        <is>
          <t>2026-09-16</t>
        </is>
      </c>
      <c r="G533" s="10" t="inlineStr">
        <is>
          <t>name, address, phone (via search results)</t>
        </is>
      </c>
      <c r="H533" s="10" t="inlineStr">
        <is>
          <t>Requires Verification</t>
        </is>
      </c>
    </row>
    <row r="534">
      <c r="A534" s="5" t="inlineStr">
        <is>
          <t>UK-000759</t>
        </is>
      </c>
      <c r="B534" s="5" t="inlineStr">
        <is>
          <t>Brothers Vape Store</t>
        </is>
      </c>
      <c r="C534" s="5" t="inlineStr">
        <is>
          <t>St Helens</t>
        </is>
      </c>
      <c r="D534" s="5" t="inlineStr">
        <is>
          <t>https://find-and-update.company-information.service.gov.uk/company/14550614</t>
        </is>
      </c>
      <c r="E534" s="5" t="inlineStr">
        <is>
          <t>Companies House</t>
        </is>
      </c>
      <c r="F534" s="5" t="inlineStr">
        <is>
          <t>2026-09-17</t>
        </is>
      </c>
      <c r="G534" s="5" t="inlineStr">
        <is>
          <t>registered company name, number, incorporation date</t>
        </is>
      </c>
      <c r="H534" s="5" t="inlineStr">
        <is>
          <t>Requires Verification</t>
        </is>
      </c>
    </row>
    <row r="535">
      <c r="A535" s="10" t="inlineStr">
        <is>
          <t>UK-000759</t>
        </is>
      </c>
      <c r="B535" s="10" t="inlineStr">
        <is>
          <t>Brothers Vape Store</t>
        </is>
      </c>
      <c r="C535" s="10" t="inlineStr">
        <is>
          <t>St Helens</t>
        </is>
      </c>
      <c r="D535" s="10" t="inlineStr">
        <is>
          <t>https://www.brothersvapestore.co.uk/about-us/</t>
        </is>
      </c>
      <c r="E535" s="10" t="inlineStr">
        <is>
          <t>Official Website</t>
        </is>
      </c>
      <c r="F535" s="10" t="inlineStr">
        <is>
          <t>2026-09-17</t>
        </is>
      </c>
      <c r="G535" s="10" t="inlineStr">
        <is>
          <t>trading name, Clock Face Road address, independent status</t>
        </is>
      </c>
      <c r="H535" s="10" t="inlineStr">
        <is>
          <t>Requires Verification</t>
        </is>
      </c>
    </row>
    <row r="536">
      <c r="A536" s="5" t="inlineStr">
        <is>
          <t>UK-000760</t>
        </is>
      </c>
      <c r="B536" s="5" t="inlineStr">
        <is>
          <t>Bruntsfield News</t>
        </is>
      </c>
      <c r="C536" s="5" t="inlineStr">
        <is>
          <t>Edinburgh</t>
        </is>
      </c>
      <c r="D536" s="5" t="inlineStr">
        <is>
          <t>https://www.yell.com/biz/bruntsfield-news-edinburgh-7919327/</t>
        </is>
      </c>
      <c r="E536" s="5" t="inlineStr">
        <is>
          <t>Yell</t>
        </is>
      </c>
      <c r="F536" s="5" t="inlineStr">
        <is>
          <t>2026-09-17</t>
        </is>
      </c>
      <c r="G536" s="5" t="inlineStr">
        <is>
          <t>name, address, phone (snippet)</t>
        </is>
      </c>
      <c r="H536" s="5" t="inlineStr">
        <is>
          <t>Requires Verification</t>
        </is>
      </c>
    </row>
    <row r="537">
      <c r="A537" s="10" t="inlineStr">
        <is>
          <t>WY-0071</t>
        </is>
      </c>
      <c r="B537" s="10" t="inlineStr">
        <is>
          <t>C Booth and Son</t>
        </is>
      </c>
      <c r="C537" s="10" t="inlineStr">
        <is>
          <t>Huddersfield</t>
        </is>
      </c>
      <c r="D537" s="10" t="inlineStr">
        <is>
          <t>https://www.examinerlive.co.uk/news/west-yorkshire-news/the-shop-sells-everything-c-9967957</t>
        </is>
      </c>
      <c r="E537" s="10" t="inlineStr">
        <is>
          <t>News / Trade Press</t>
        </is>
      </c>
      <c r="F537" s="10" t="inlineStr">
        <is>
          <t>2026-09-16</t>
        </is>
      </c>
      <c r="G537" s="10" t="inlineStr">
        <is>
          <t>business history, tobacco offer, Cross Church Street location</t>
        </is>
      </c>
      <c r="H537" s="10" t="inlineStr">
        <is>
          <t>Requires Verification</t>
        </is>
      </c>
    </row>
    <row r="538">
      <c r="A538" s="5" t="inlineStr">
        <is>
          <t>UK-000588</t>
        </is>
      </c>
      <c r="B538" s="5" t="inlineStr">
        <is>
          <t>C H Stores Ltd</t>
        </is>
      </c>
      <c r="C538" s="5" t="inlineStr">
        <is>
          <t>Bethnal Green</t>
        </is>
      </c>
      <c r="D538" s="5" t="inlineStr">
        <is>
          <t>https://www.192.com/atoz/business/london-e2/convenience-stores/c-h-stores-ltd/c8e825e9e626344689402d87535d7035b6a60db8/comp/</t>
        </is>
      </c>
      <c r="E538" s="5" t="inlineStr">
        <is>
          <t>Directory</t>
        </is>
      </c>
      <c r="F538" s="5" t="inlineStr">
        <is>
          <t>2026-09-17</t>
        </is>
      </c>
      <c r="G538" s="5" t="inlineStr">
        <is>
          <t>name, district, postcode</t>
        </is>
      </c>
      <c r="H538" s="5" t="inlineStr">
        <is>
          <t>Requires Verification</t>
        </is>
      </c>
    </row>
    <row r="539">
      <c r="A539" s="10" t="inlineStr">
        <is>
          <t>UK-000761</t>
        </is>
      </c>
      <c r="B539" s="10" t="inlineStr">
        <is>
          <t>C Hoyton Off Licence</t>
        </is>
      </c>
      <c r="C539" s="10" t="inlineStr">
        <is>
          <t>St Helens</t>
        </is>
      </c>
      <c r="D539" s="10" t="inlineStr">
        <is>
          <t>https://www.24houralcohol.co.uk/st-helens-off-licences</t>
        </is>
      </c>
      <c r="E539" s="10" t="inlineStr">
        <is>
          <t>Directory</t>
        </is>
      </c>
      <c r="F539" s="10" t="inlineStr">
        <is>
          <t>2026-09-17</t>
        </is>
      </c>
      <c r="G539" s="10" t="inlineStr">
        <is>
          <t>business name, Dunriding Lane address, postcode</t>
        </is>
      </c>
      <c r="H539" s="10" t="inlineStr">
        <is>
          <t>Requires Verification</t>
        </is>
      </c>
    </row>
    <row r="540">
      <c r="A540" s="5" t="inlineStr">
        <is>
          <t>UK-000239</t>
        </is>
      </c>
      <c r="B540" s="5" t="inlineStr">
        <is>
          <t>CK Fast Food Suppliers</t>
        </is>
      </c>
      <c r="C540" s="5" t="inlineStr">
        <is>
          <t>Kingston upon Hull</t>
        </is>
      </c>
      <c r="D540" s="5" t="inlineStr">
        <is>
          <t>https://www.ckfastfoods.com/categories</t>
        </is>
      </c>
      <c r="E540" s="5" t="inlineStr">
        <is>
          <t>Official Website</t>
        </is>
      </c>
      <c r="F540" s="5" t="inlineStr">
        <is>
          <t>2026-09-16</t>
        </is>
      </c>
      <c r="G540" s="5" t="inlineStr">
        <is>
          <t>name, Northumberland Avenue address (via search results)</t>
        </is>
      </c>
      <c r="H540" s="5" t="inlineStr">
        <is>
          <t>Partially Verified</t>
        </is>
      </c>
    </row>
    <row r="541">
      <c r="A541" s="10" t="inlineStr">
        <is>
          <t>UK-000589</t>
        </is>
      </c>
      <c r="B541" s="10" t="inlineStr">
        <is>
          <t>Camberwell Grocery</t>
        </is>
      </c>
      <c r="C541" s="10" t="inlineStr">
        <is>
          <t>London</t>
        </is>
      </c>
      <c r="D541" s="10" t="inlineStr">
        <is>
          <t>https://www.yell.com/s/supermarkets-camberwell+green+se5+london+borough+of+southwark+london.html</t>
        </is>
      </c>
      <c r="E541" s="10" t="inlineStr">
        <is>
          <t>Yell</t>
        </is>
      </c>
      <c r="F541" s="10" t="inlineStr">
        <is>
          <t>2026-09-17</t>
        </is>
      </c>
      <c r="G541" s="10" t="inlineStr">
        <is>
          <t>business name, address, phone</t>
        </is>
      </c>
      <c r="H541" s="10" t="inlineStr">
        <is>
          <t>Requires Verification</t>
        </is>
      </c>
    </row>
    <row r="542">
      <c r="A542" s="5" t="inlineStr">
        <is>
          <t>UK-000590</t>
        </is>
      </c>
      <c r="B542" s="5" t="inlineStr">
        <is>
          <t>Camden Vape</t>
        </is>
      </c>
      <c r="C542" s="5" t="inlineStr">
        <is>
          <t>London</t>
        </is>
      </c>
      <c r="D542" s="5" t="inlineStr">
        <is>
          <t>https://www.yell.com/biz/camden-vape-london-10104712/</t>
        </is>
      </c>
      <c r="E542" s="5" t="inlineStr">
        <is>
          <t>Yell</t>
        </is>
      </c>
      <c r="F542" s="5" t="inlineStr">
        <is>
          <t>2026-09-17</t>
        </is>
      </c>
      <c r="G542" s="5" t="inlineStr">
        <is>
          <t>business name, address, postcode, phone</t>
        </is>
      </c>
      <c r="H542" s="5" t="inlineStr">
        <is>
          <t>Duplicate Review Required</t>
        </is>
      </c>
    </row>
    <row r="543">
      <c r="A543" s="10" t="inlineStr">
        <is>
          <t>WY-0072</t>
        </is>
      </c>
      <c r="B543" s="10" t="inlineStr">
        <is>
          <t>Carlton Self Service</t>
        </is>
      </c>
      <c r="C543" s="10" t="inlineStr">
        <is>
          <t>Pontefract</t>
        </is>
      </c>
      <c r="D543" s="10" t="inlineStr">
        <is>
          <t>https://www.thomsonlocal.com/search/newsagents/wakefield-pontefract-castleford/carlton-self-service/1650013/01977780317</t>
        </is>
      </c>
      <c r="E543" s="10" t="inlineStr">
        <is>
          <t>Directory</t>
        </is>
      </c>
      <c r="F543" s="10" t="inlineStr">
        <is>
          <t>2026-09-16</t>
        </is>
      </c>
      <c r="G543" s="10" t="inlineStr">
        <is>
          <t>name, address 6-8 Swanhill Lane WF8 2SE, phone</t>
        </is>
      </c>
      <c r="H543" s="10" t="inlineStr">
        <is>
          <t>Requires Verification</t>
        </is>
      </c>
    </row>
    <row r="544">
      <c r="A544" s="5" t="inlineStr">
        <is>
          <t>UK-000762</t>
        </is>
      </c>
      <c r="B544" s="5" t="inlineStr">
        <is>
          <t>Cashen's 2</t>
        </is>
      </c>
      <c r="C544" s="5" t="inlineStr">
        <is>
          <t>Liverpool</t>
        </is>
      </c>
      <c r="D544" s="5" t="inlineStr">
        <is>
          <t>https://liverpool.cylex-uk.co.uk/off-licence-4.html</t>
        </is>
      </c>
      <c r="E544" s="5" t="inlineStr">
        <is>
          <t>Directory</t>
        </is>
      </c>
      <c r="F544" s="5" t="inlineStr">
        <is>
          <t>2026-09-17</t>
        </is>
      </c>
      <c r="G544" s="5" t="inlineStr">
        <is>
          <t>name, address, postcode</t>
        </is>
      </c>
      <c r="H544" s="5" t="inlineStr">
        <is>
          <t>Requires Verification</t>
        </is>
      </c>
    </row>
    <row r="545">
      <c r="A545" s="10" t="inlineStr">
        <is>
          <t>WY-0073</t>
        </is>
      </c>
      <c r="B545" s="10" t="inlineStr">
        <is>
          <t>Caspar's Bottle Shop</t>
        </is>
      </c>
      <c r="C545" s="10" t="inlineStr">
        <is>
          <t>Leeds</t>
        </is>
      </c>
      <c r="D545" s="10" t="inlineStr">
        <is>
          <t>https://www.casparsbottleshop.com/</t>
        </is>
      </c>
      <c r="E545" s="10" t="inlineStr">
        <is>
          <t>Official Website</t>
        </is>
      </c>
      <c r="F545" s="10" t="inlineStr">
        <is>
          <t>2026-09-16</t>
        </is>
      </c>
      <c r="G545" s="10" t="inlineStr">
        <is>
          <t>name, address, hours (via search results; direct fetch blocked by proxy)</t>
        </is>
      </c>
      <c r="H545" s="10" t="inlineStr">
        <is>
          <t>Requires Verification</t>
        </is>
      </c>
    </row>
    <row r="546">
      <c r="A546" s="5" t="inlineStr">
        <is>
          <t>WY-0073</t>
        </is>
      </c>
      <c r="B546" s="5" t="inlineStr">
        <is>
          <t>Caspar's Bottle Shop</t>
        </is>
      </c>
      <c r="C546" s="5" t="inlineStr">
        <is>
          <t>Leeds</t>
        </is>
      </c>
      <c r="D546" s="5" t="inlineStr">
        <is>
          <t>https://leeds-list.com/lifestyle/the-best-bottle-shops-in-leeds/</t>
        </is>
      </c>
      <c r="E546" s="5" t="inlineStr">
        <is>
          <t>News / Trade Press</t>
        </is>
      </c>
      <c r="F546" s="5" t="inlineStr">
        <is>
          <t>2026-09-16</t>
        </is>
      </c>
      <c r="G546" s="5" t="inlineStr">
        <is>
          <t>listing among Leeds bottle shops (via search results)</t>
        </is>
      </c>
      <c r="H546" s="5" t="inlineStr">
        <is>
          <t>Requires Verification</t>
        </is>
      </c>
    </row>
    <row r="547">
      <c r="A547" s="10" t="inlineStr">
        <is>
          <t>WY-0073</t>
        </is>
      </c>
      <c r="B547" s="10" t="inlineStr">
        <is>
          <t>Caspar's Bottle Shop</t>
        </is>
      </c>
      <c r="C547" s="10" t="inlineStr">
        <is>
          <t>Leeds</t>
        </is>
      </c>
      <c r="D547" s="10" t="inlineStr">
        <is>
          <t>https://leeds.cylex-uk.co.uk/company/caspar's-bottle-shop-26660090.html</t>
        </is>
      </c>
      <c r="E547" s="10" t="inlineStr">
        <is>
          <t>Directory</t>
        </is>
      </c>
      <c r="F547" s="10" t="inlineStr">
        <is>
          <t>2026-09-16</t>
        </is>
      </c>
      <c r="G547" s="10" t="inlineStr">
        <is>
          <t>postcode, phone, social (facebook)</t>
        </is>
      </c>
      <c r="H547" s="10" t="inlineStr">
        <is>
          <t>Requires Verification</t>
        </is>
      </c>
    </row>
    <row r="548">
      <c r="A548" s="5" t="inlineStr">
        <is>
          <t>UK-000459</t>
        </is>
      </c>
      <c r="B548" s="5" t="inlineStr">
        <is>
          <t>Caspian Foods Cash &amp; Carry Limited</t>
        </is>
      </c>
      <c r="C548" s="5" t="inlineStr">
        <is>
          <t>Birmingham</t>
        </is>
      </c>
      <c r="D548" s="5" t="inlineStr">
        <is>
          <t>https://www.dnb.com/business-directory/company-profiles.caspian_foods_cash__carry_limited.a9cb3ac91cc8fd94e3ed5a2abf28a59b.html</t>
        </is>
      </c>
      <c r="E548" s="5" t="inlineStr">
        <is>
          <t>Directory</t>
        </is>
      </c>
      <c r="F548" s="5" t="inlineStr">
        <is>
          <t>2026-09-17</t>
        </is>
      </c>
      <c r="G548" s="5" t="inlineStr">
        <is>
          <t>address, postcode</t>
        </is>
      </c>
      <c r="H548" s="5" t="inlineStr">
        <is>
          <t>Requires Verification</t>
        </is>
      </c>
    </row>
    <row r="549">
      <c r="A549" s="10" t="inlineStr">
        <is>
          <t>WY-0074</t>
        </is>
      </c>
      <c r="B549" s="10" t="inlineStr">
        <is>
          <t>Castleford Road Off Licence</t>
        </is>
      </c>
      <c r="C549" s="10" t="inlineStr">
        <is>
          <t>Normanton</t>
        </is>
      </c>
      <c r="D549" s="10" t="inlineStr">
        <is>
          <t>https://www.192.com/atoz/business/normanton-wf6/convenience-stores/castleford-road-off-licence-limited/bb1e65f2f01c9a4208fc92bb1c8fdf5da42be2ec/comp/</t>
        </is>
      </c>
      <c r="E549" s="10" t="inlineStr">
        <is>
          <t>Directory</t>
        </is>
      </c>
      <c r="F549" s="10" t="inlineStr">
        <is>
          <t>2026-09-16</t>
        </is>
      </c>
      <c r="G549" s="10" t="inlineStr">
        <is>
          <t>name, legal name, address, phone</t>
        </is>
      </c>
      <c r="H549" s="10" t="inlineStr">
        <is>
          <t>Requires Verification</t>
        </is>
      </c>
    </row>
    <row r="550">
      <c r="A550" s="5" t="inlineStr">
        <is>
          <t>WY-0074</t>
        </is>
      </c>
      <c r="B550" s="5" t="inlineStr">
        <is>
          <t>Castleford Road Off Licence</t>
        </is>
      </c>
      <c r="C550" s="5" t="inlineStr">
        <is>
          <t>Normanton</t>
        </is>
      </c>
      <c r="D550" s="5" t="inlineStr">
        <is>
          <t>https://ratings.food.gov.uk/business/283424</t>
        </is>
      </c>
      <c r="E550" s="5" t="inlineStr">
        <is>
          <t>Other</t>
        </is>
      </c>
      <c r="F550" s="5" t="inlineStr">
        <is>
          <t>2026-09-16</t>
        </is>
      </c>
      <c r="G550" s="5" t="inlineStr">
        <is>
          <t>FSA food hygiene listing 'Castleford Road Off Licence' (existence cross-check)</t>
        </is>
      </c>
      <c r="H550" s="5" t="inlineStr">
        <is>
          <t>Requires Verification</t>
        </is>
      </c>
    </row>
    <row r="551">
      <c r="A551" s="10" t="inlineStr">
        <is>
          <t>UK-000460</t>
        </is>
      </c>
      <c r="B551" s="10" t="inlineStr">
        <is>
          <t>Causeway Wines</t>
        </is>
      </c>
      <c r="C551" s="10" t="inlineStr">
        <is>
          <t>Oldbury</t>
        </is>
      </c>
      <c r="D551" s="10" t="inlineStr">
        <is>
          <t>https://www.yell.com/s/off+licences+and+wine+merchants-oldbury-west+midlands.html</t>
        </is>
      </c>
      <c r="E551" s="10" t="inlineStr">
        <is>
          <t>Yell</t>
        </is>
      </c>
      <c r="F551" s="10" t="inlineStr">
        <is>
          <t>2026-09-17</t>
        </is>
      </c>
      <c r="G551" s="10" t="inlineStr">
        <is>
          <t>business name, address, phone (listing snippet)</t>
        </is>
      </c>
      <c r="H551" s="10" t="inlineStr">
        <is>
          <t>Requires Verification</t>
        </is>
      </c>
    </row>
    <row r="552">
      <c r="A552" s="5" t="inlineStr">
        <is>
          <t>UK-000461</t>
        </is>
      </c>
      <c r="B552" s="5" t="inlineStr">
        <is>
          <t>Cave Lounge</t>
        </is>
      </c>
      <c r="C552" s="5" t="inlineStr">
        <is>
          <t>Wolverhampton</t>
        </is>
      </c>
      <c r="D552" s="5" t="inlineStr">
        <is>
          <t>https://cavelounge.co.uk/</t>
        </is>
      </c>
      <c r="E552" s="5" t="inlineStr">
        <is>
          <t>Official Website</t>
        </is>
      </c>
      <c r="F552" s="5" t="inlineStr">
        <is>
          <t>2026-09-17</t>
        </is>
      </c>
      <c r="G552" s="5" t="inlineStr">
        <is>
          <t>business, area</t>
        </is>
      </c>
      <c r="H552" s="5" t="inlineStr">
        <is>
          <t>Verified (website + Companies House)</t>
        </is>
      </c>
    </row>
    <row r="553">
      <c r="A553" s="10" t="inlineStr">
        <is>
          <t>UK-000461</t>
        </is>
      </c>
      <c r="B553" s="10" t="inlineStr">
        <is>
          <t>Cave Lounge</t>
        </is>
      </c>
      <c r="C553" s="10" t="inlineStr">
        <is>
          <t>Wolverhampton</t>
        </is>
      </c>
      <c r="D553" s="10" t="inlineStr">
        <is>
          <t>https://find-and-update.company-information.service.gov.uk/company/11537893/filing-history</t>
        </is>
      </c>
      <c r="E553" s="10" t="inlineStr">
        <is>
          <t>Companies House</t>
        </is>
      </c>
      <c r="F553" s="10" t="inlineStr">
        <is>
          <t>2026-09-17</t>
        </is>
      </c>
      <c r="G553" s="10" t="inlineStr">
        <is>
          <t>company number, legal name</t>
        </is>
      </c>
      <c r="H553" s="10" t="inlineStr">
        <is>
          <t>Verified (website + Companies House)</t>
        </is>
      </c>
    </row>
    <row r="554">
      <c r="A554" s="5" t="inlineStr">
        <is>
          <t>WY-0075</t>
        </is>
      </c>
      <c r="B554" s="5" t="inlineStr">
        <is>
          <t>Charlesworths</t>
        </is>
      </c>
      <c r="C554" s="5" t="inlineStr">
        <is>
          <t>Holmfirth</t>
        </is>
      </c>
      <c r="D554" s="5" t="inlineStr">
        <is>
          <t>https://myindex.co.uk/charlesworths.htm</t>
        </is>
      </c>
      <c r="E554" s="5" t="inlineStr">
        <is>
          <t>Directory</t>
        </is>
      </c>
      <c r="F554" s="5" t="inlineStr">
        <is>
          <t>2026-09-16</t>
        </is>
      </c>
      <c r="G554" s="5" t="inlineStr">
        <is>
          <t>address, phone</t>
        </is>
      </c>
      <c r="H554" s="5" t="inlineStr">
        <is>
          <t>Requires Verification</t>
        </is>
      </c>
    </row>
    <row r="555">
      <c r="A555" s="10" t="inlineStr">
        <is>
          <t>WY-0075</t>
        </is>
      </c>
      <c r="B555" s="10" t="inlineStr">
        <is>
          <t>Charlesworths</t>
        </is>
      </c>
      <c r="C555" s="10" t="inlineStr">
        <is>
          <t>Holmfirth</t>
        </is>
      </c>
      <c r="D555" s="10" t="inlineStr">
        <is>
          <t>https://citikey.uk/display/charlesworths-B1CQZ</t>
        </is>
      </c>
      <c r="E555" s="10" t="inlineStr">
        <is>
          <t>Directory</t>
        </is>
      </c>
      <c r="F555" s="10" t="inlineStr">
        <is>
          <t>2026-09-16</t>
        </is>
      </c>
      <c r="G555" s="10" t="inlineStr">
        <is>
          <t>cross-check address 27 Victoria Street HD9 7DF</t>
        </is>
      </c>
      <c r="H555" s="10" t="inlineStr">
        <is>
          <t>Requires Verification</t>
        </is>
      </c>
    </row>
    <row r="556">
      <c r="A556" s="5" t="inlineStr">
        <is>
          <t>WY-0075</t>
        </is>
      </c>
      <c r="B556" s="5" t="inlineStr">
        <is>
          <t>Charlesworths</t>
        </is>
      </c>
      <c r="C556" s="5" t="inlineStr">
        <is>
          <t>Holmfirth</t>
        </is>
      </c>
      <c r="D556" s="5" t="inlineStr">
        <is>
          <t>https://holmfirthhistory.org.uk/holmfirth-past-and-present/victoria-street/</t>
        </is>
      </c>
      <c r="E556" s="5" t="inlineStr">
        <is>
          <t>Other</t>
        </is>
      </c>
      <c r="F556" s="5" t="inlineStr">
        <is>
          <t>2026-09-16</t>
        </is>
      </c>
      <c r="G556" s="5" t="inlineStr">
        <is>
          <t>business history since 1891</t>
        </is>
      </c>
      <c r="H556" s="5" t="inlineStr">
        <is>
          <t>Requires Verification</t>
        </is>
      </c>
    </row>
    <row r="557">
      <c r="A557" s="10" t="inlineStr">
        <is>
          <t>UK-000349</t>
        </is>
      </c>
      <c r="B557" s="10" t="inlineStr">
        <is>
          <t>Cheapasmokes Bolton</t>
        </is>
      </c>
      <c r="C557" s="10" t="inlineStr">
        <is>
          <t>Bolton</t>
        </is>
      </c>
      <c r="D557" s="10" t="inlineStr">
        <is>
          <t>https://www.cheapasmokes.com/pages/cheapasmokes-bolton</t>
        </is>
      </c>
      <c r="E557" s="10" t="inlineStr">
        <is>
          <t>Official Website</t>
        </is>
      </c>
      <c r="F557" s="10" t="inlineStr">
        <is>
          <t>2026-09-17</t>
        </is>
      </c>
      <c r="G557" s="10" t="inlineStr">
        <is>
          <t>trading name, market location (via search results)</t>
        </is>
      </c>
      <c r="H557" s="10" t="inlineStr">
        <is>
          <t>Requires Verification</t>
        </is>
      </c>
    </row>
    <row r="558">
      <c r="A558" s="5" t="inlineStr">
        <is>
          <t>UK-000240</t>
        </is>
      </c>
      <c r="B558" s="5" t="inlineStr">
        <is>
          <t>Chong Wah Oriental Supermarket</t>
        </is>
      </c>
      <c r="C558" s="5" t="inlineStr">
        <is>
          <t>Kingston upon Hull</t>
        </is>
      </c>
      <c r="D558" s="5" t="inlineStr">
        <is>
          <t>https://www.yorkshire.com/hull/shopping/supermarkets/chong-wah-oriental-supermarket</t>
        </is>
      </c>
      <c r="E558" s="5" t="inlineStr">
        <is>
          <t>Directory</t>
        </is>
      </c>
      <c r="F558" s="5" t="inlineStr">
        <is>
          <t>2026-09-16</t>
        </is>
      </c>
      <c r="G558" s="5" t="inlineStr">
        <is>
          <t>name, Union Street location (via search results)</t>
        </is>
      </c>
      <c r="H558" s="5" t="inlineStr">
        <is>
          <t>Requires Verification</t>
        </is>
      </c>
    </row>
    <row r="559">
      <c r="A559" s="10" t="inlineStr">
        <is>
          <t>UK-000763</t>
        </is>
      </c>
      <c r="B559" s="10" t="inlineStr">
        <is>
          <t>Cignil Vapour</t>
        </is>
      </c>
      <c r="C559" s="10" t="inlineStr">
        <is>
          <t>Livingston</t>
        </is>
      </c>
      <c r="D559" s="10" t="inlineStr">
        <is>
          <t>https://livingston.cylex-uk.co.uk/vape-shops/</t>
        </is>
      </c>
      <c r="E559" s="10" t="inlineStr">
        <is>
          <t>Directory</t>
        </is>
      </c>
      <c r="F559" s="10" t="inlineStr">
        <is>
          <t>2026-09-17</t>
        </is>
      </c>
      <c r="G559" s="10" t="inlineStr">
        <is>
          <t>name, town (snippet)</t>
        </is>
      </c>
      <c r="H559" s="10" t="inlineStr">
        <is>
          <t>Requires Verification</t>
        </is>
      </c>
    </row>
    <row r="560">
      <c r="A560" s="5" t="inlineStr">
        <is>
          <t>UK-000241</t>
        </is>
      </c>
      <c r="B560" s="5" t="inlineStr">
        <is>
          <t>Cirrus Vape Hull</t>
        </is>
      </c>
      <c r="C560" s="5" t="inlineStr">
        <is>
          <t>Kingston upon Hull</t>
        </is>
      </c>
      <c r="D560" s="5" t="inlineStr">
        <is>
          <t>https://www.facebook.com/cirrusvapecirrusvape/</t>
        </is>
      </c>
      <c r="E560" s="5" t="inlineStr">
        <is>
          <t>Facebook</t>
        </is>
      </c>
      <c r="F560" s="5" t="inlineStr">
        <is>
          <t>2026-09-16</t>
        </is>
      </c>
      <c r="G560" s="5" t="inlineStr">
        <is>
          <t>name (via search results)</t>
        </is>
      </c>
      <c r="H560" s="5" t="inlineStr">
        <is>
          <t>Requires Verification</t>
        </is>
      </c>
    </row>
    <row r="561">
      <c r="A561" s="10" t="inlineStr">
        <is>
          <t>UK-000764</t>
        </is>
      </c>
      <c r="B561" s="10" t="inlineStr">
        <is>
          <t>Coatbridge Vape Shop</t>
        </is>
      </c>
      <c r="C561" s="10" t="inlineStr">
        <is>
          <t>Coatbridge</t>
        </is>
      </c>
      <c r="D561" s="10" t="inlineStr">
        <is>
          <t>https://coatbridge-sct.business-dir.co.uk/coatbridge-vape-shop/</t>
        </is>
      </c>
      <c r="E561" s="10" t="inlineStr">
        <is>
          <t>Directory</t>
        </is>
      </c>
      <c r="F561" s="10" t="inlineStr">
        <is>
          <t>2026-09-17</t>
        </is>
      </c>
      <c r="G561" s="10" t="inlineStr">
        <is>
          <t>address, postcode</t>
        </is>
      </c>
      <c r="H561" s="10" t="inlineStr">
        <is>
          <t>Requires Verification</t>
        </is>
      </c>
    </row>
    <row r="562">
      <c r="A562" s="5" t="inlineStr">
        <is>
          <t>UK-000764</t>
        </is>
      </c>
      <c r="B562" s="5" t="inlineStr">
        <is>
          <t>Coatbridge Vape Shop</t>
        </is>
      </c>
      <c r="C562" s="5" t="inlineStr">
        <is>
          <t>Coatbridge</t>
        </is>
      </c>
      <c r="D562" s="5" t="inlineStr">
        <is>
          <t>https://vapemaps.co/scotland/north-lanarkshire/coatbridge/coatbridge-vape-shop/10495</t>
        </is>
      </c>
      <c r="E562" s="5" t="inlineStr">
        <is>
          <t>Directory</t>
        </is>
      </c>
      <c r="F562" s="5" t="inlineStr">
        <is>
          <t>2026-09-17</t>
        </is>
      </c>
      <c r="G562" s="5" t="inlineStr">
        <is>
          <t>phone</t>
        </is>
      </c>
      <c r="H562" s="5" t="inlineStr">
        <is>
          <t>Requires Verification</t>
        </is>
      </c>
    </row>
    <row r="563">
      <c r="A563" s="10" t="inlineStr">
        <is>
          <t>UK-000591</t>
        </is>
      </c>
      <c r="B563" s="10" t="inlineStr">
        <is>
          <t>Cobham Food &amp; Wine</t>
        </is>
      </c>
      <c r="C563" s="10" t="inlineStr">
        <is>
          <t>Mitcham</t>
        </is>
      </c>
      <c r="D563" s="10" t="inlineStr">
        <is>
          <t>https://www.yell.com/s/off+licences-wimbledon-south+west+london.html</t>
        </is>
      </c>
      <c r="E563" s="10" t="inlineStr">
        <is>
          <t>Yell</t>
        </is>
      </c>
      <c r="F563" s="10" t="inlineStr">
        <is>
          <t>2026-09-17</t>
        </is>
      </c>
      <c r="G563" s="10" t="inlineStr">
        <is>
          <t>business name, address, phone</t>
        </is>
      </c>
      <c r="H563" s="10" t="inlineStr">
        <is>
          <t>Requires Verification</t>
        </is>
      </c>
    </row>
    <row r="564">
      <c r="A564" s="5" t="inlineStr">
        <is>
          <t>UK-000462</t>
        </is>
      </c>
      <c r="B564" s="5" t="inlineStr">
        <is>
          <t>Colley-Vape</t>
        </is>
      </c>
      <c r="C564" s="5" t="inlineStr">
        <is>
          <t>Halesowen</t>
        </is>
      </c>
      <c r="D564" s="5" t="inlineStr">
        <is>
          <t>https://www.facebook.com/Colleyvape/</t>
        </is>
      </c>
      <c r="E564" s="5" t="inlineStr">
        <is>
          <t>Facebook</t>
        </is>
      </c>
      <c r="F564" s="5" t="inlineStr">
        <is>
          <t>2026-09-17</t>
        </is>
      </c>
      <c r="G564" s="5" t="inlineStr">
        <is>
          <t>business name, address (page snippet)</t>
        </is>
      </c>
      <c r="H564" s="5" t="inlineStr">
        <is>
          <t>Requires Verification</t>
        </is>
      </c>
    </row>
    <row r="565">
      <c r="A565" s="10" t="inlineStr">
        <is>
          <t>UK-000765</t>
        </is>
      </c>
      <c r="B565" s="10" t="inlineStr">
        <is>
          <t>Convenience Store &amp; Off Licence - Haverty Precinct</t>
        </is>
      </c>
      <c r="C565" s="10" t="inlineStr">
        <is>
          <t>Newton-le-Willows</t>
        </is>
      </c>
      <c r="D565" s="10" t="inlineStr">
        <is>
          <t>https://vinsights.co.uk/Business/958907</t>
        </is>
      </c>
      <c r="E565" s="10" t="inlineStr">
        <is>
          <t>Directory</t>
        </is>
      </c>
      <c r="F565" s="10" t="inlineStr">
        <is>
          <t>2026-09-17</t>
        </is>
      </c>
      <c r="G565" s="10" t="inlineStr">
        <is>
          <t>business name, Haverty Precinct address, postcode</t>
        </is>
      </c>
      <c r="H565" s="10" t="inlineStr">
        <is>
          <t>Requires Verification</t>
        </is>
      </c>
    </row>
    <row r="566">
      <c r="A566" s="5" t="inlineStr">
        <is>
          <t>WY-0076</t>
        </is>
      </c>
      <c r="B566" s="5" t="inlineStr">
        <is>
          <t>Costcutter Wibsey</t>
        </is>
      </c>
      <c r="C566" s="5" t="inlineStr">
        <is>
          <t>Bradford</t>
        </is>
      </c>
      <c r="D566" s="5" t="inlineStr">
        <is>
          <t>https://store-locator.costcutter.co.uk/costcutter-b8ba71542351</t>
        </is>
      </c>
      <c r="E566" s="5" t="inlineStr">
        <is>
          <t>Other</t>
        </is>
      </c>
      <c r="F566" s="5" t="inlineStr">
        <is>
          <t>2026-09-16</t>
        </is>
      </c>
      <c r="G566" s="5" t="inlineStr">
        <is>
          <t>Costcutter store locator entry (search result)</t>
        </is>
      </c>
      <c r="H566" s="5" t="inlineStr">
        <is>
          <t>Requires Verification</t>
        </is>
      </c>
    </row>
    <row r="567">
      <c r="A567" s="10" t="inlineStr">
        <is>
          <t>WY-0076</t>
        </is>
      </c>
      <c r="B567" s="10" t="inlineStr">
        <is>
          <t>Costcutter Wibsey</t>
        </is>
      </c>
      <c r="C567" s="10" t="inlineStr">
        <is>
          <t>Bradford</t>
        </is>
      </c>
      <c r="D567" s="10" t="inlineStr">
        <is>
          <t>https://www.yorkshire.com/wibsey/shopping/corner-shops/costcutter-15</t>
        </is>
      </c>
      <c r="E567" s="10" t="inlineStr">
        <is>
          <t>Directory</t>
        </is>
      </c>
      <c r="F567" s="10" t="inlineStr">
        <is>
          <t>2026-09-16</t>
        </is>
      </c>
      <c r="G567" s="10" t="inlineStr">
        <is>
          <t>address 48 Holroyd Hill BD6 1PQ (search snippet)</t>
        </is>
      </c>
      <c r="H567" s="10" t="inlineStr">
        <is>
          <t>Requires Verification</t>
        </is>
      </c>
    </row>
    <row r="568">
      <c r="A568" s="5" t="inlineStr">
        <is>
          <t>WY-0076</t>
        </is>
      </c>
      <c r="B568" s="5" t="inlineStr">
        <is>
          <t>Costcutter Wibsey</t>
        </is>
      </c>
      <c r="C568" s="5" t="inlineStr">
        <is>
          <t>Bradford</t>
        </is>
      </c>
      <c r="D568" s="5" t="inlineStr">
        <is>
          <t>https://www.locaji.co.uk/west-yorkshire/bradford/costcutter/1616/</t>
        </is>
      </c>
      <c r="E568" s="5" t="inlineStr">
        <is>
          <t>Directory</t>
        </is>
      </c>
      <c r="F568" s="5" t="inlineStr">
        <is>
          <t>2026-09-16</t>
        </is>
      </c>
      <c r="G568" s="5" t="inlineStr">
        <is>
          <t>phone</t>
        </is>
      </c>
      <c r="H568" s="5" t="inlineStr">
        <is>
          <t>Requires Verification</t>
        </is>
      </c>
    </row>
    <row r="569">
      <c r="A569" s="10" t="inlineStr">
        <is>
          <t>WY-0077</t>
        </is>
      </c>
      <c r="B569" s="10" t="inlineStr">
        <is>
          <t>Cote Hill Filling Station</t>
        </is>
      </c>
      <c r="C569" s="10" t="inlineStr">
        <is>
          <t>Halifax</t>
        </is>
      </c>
      <c r="D569" s="10" t="inlineStr">
        <is>
          <t>https://fuelmap.co.uk/forecourt/4068/</t>
        </is>
      </c>
      <c r="E569" s="10" t="inlineStr">
        <is>
          <t>Directory</t>
        </is>
      </c>
      <c r="F569" s="10" t="inlineStr">
        <is>
          <t>2026-09-16</t>
        </is>
      </c>
      <c r="G569" s="10" t="inlineStr">
        <is>
          <t>address, postcode, fuel brands, hours</t>
        </is>
      </c>
      <c r="H569" s="10" t="inlineStr">
        <is>
          <t>Partially Verified</t>
        </is>
      </c>
    </row>
    <row r="570">
      <c r="A570" s="5" t="inlineStr">
        <is>
          <t>WY-0077</t>
        </is>
      </c>
      <c r="B570" s="5" t="inlineStr">
        <is>
          <t>Cote Hill Filling Station</t>
        </is>
      </c>
      <c r="C570" s="5" t="inlineStr">
        <is>
          <t>Halifax</t>
        </is>
      </c>
      <c r="D570" s="5" t="inlineStr">
        <is>
          <t>https://www.cotehillhalifax.co.uk/</t>
        </is>
      </c>
      <c r="E570" s="5" t="inlineStr">
        <is>
          <t>Official Website</t>
        </is>
      </c>
      <c r="F570" s="5" t="inlineStr">
        <is>
          <t>2026-09-16</t>
        </is>
      </c>
      <c r="G570" s="5" t="inlineStr">
        <is>
          <t>website URL seen in search results (fetch blocked)</t>
        </is>
      </c>
      <c r="H570" s="5" t="inlineStr">
        <is>
          <t>Partially Verified</t>
        </is>
      </c>
    </row>
    <row r="571">
      <c r="A571" s="10" t="inlineStr">
        <is>
          <t>WY-0077</t>
        </is>
      </c>
      <c r="B571" s="10" t="inlineStr">
        <is>
          <t>Cote Hill Filling Station</t>
        </is>
      </c>
      <c r="C571" s="10" t="inlineStr">
        <is>
          <t>Halifax</t>
        </is>
      </c>
      <c r="D571" s="10" t="inlineStr">
        <is>
          <t>https://www.yell.com/biz/cote-hill-filling-station-halifax-994009/</t>
        </is>
      </c>
      <c r="E571" s="10" t="inlineStr">
        <is>
          <t>Yell</t>
        </is>
      </c>
      <c r="F571" s="10" t="inlineStr">
        <is>
          <t>2026-09-16</t>
        </is>
      </c>
      <c r="G571" s="10" t="inlineStr">
        <is>
          <t>listing confirmation</t>
        </is>
      </c>
      <c r="H571" s="10" t="inlineStr">
        <is>
          <t>Partially Verified</t>
        </is>
      </c>
    </row>
    <row r="572">
      <c r="A572" s="5" t="inlineStr">
        <is>
          <t>UK-000242</t>
        </is>
      </c>
      <c r="B572" s="5" t="inlineStr">
        <is>
          <t>Cram Vape Doncaster</t>
        </is>
      </c>
      <c r="C572" s="5" t="inlineStr">
        <is>
          <t>Doncaster</t>
        </is>
      </c>
      <c r="D572" s="5" t="inlineStr">
        <is>
          <t>https://cram-vape.ueniweb.com/</t>
        </is>
      </c>
      <c r="E572" s="5" t="inlineStr">
        <is>
          <t>Directory</t>
        </is>
      </c>
      <c r="F572" s="5" t="inlineStr">
        <is>
          <t>2026-09-16</t>
        </is>
      </c>
      <c r="G572" s="5" t="inlineStr">
        <is>
          <t>name, product range, website</t>
        </is>
      </c>
      <c r="H572" s="5" t="inlineStr">
        <is>
          <t>Requires Verification</t>
        </is>
      </c>
    </row>
    <row r="573">
      <c r="A573" s="10" t="inlineStr">
        <is>
          <t>WY-0078</t>
        </is>
      </c>
      <c r="B573" s="10" t="inlineStr">
        <is>
          <t>Crazycloudzzz</t>
        </is>
      </c>
      <c r="C573" s="10" t="inlineStr">
        <is>
          <t>Halifax</t>
        </is>
      </c>
      <c r="D573" s="10" t="inlineStr">
        <is>
          <t>https://www.yell.com/s/tobacconists-halifax.html</t>
        </is>
      </c>
      <c r="E573" s="10" t="inlineStr">
        <is>
          <t>Yell</t>
        </is>
      </c>
      <c r="F573" s="10" t="inlineStr">
        <is>
          <t>2026-09-16</t>
        </is>
      </c>
      <c r="G573" s="10" t="inlineStr">
        <is>
          <t>name, address, postcode</t>
        </is>
      </c>
      <c r="H573" s="10" t="inlineStr">
        <is>
          <t>Requires Verification</t>
        </is>
      </c>
    </row>
    <row r="574">
      <c r="A574" s="5" t="inlineStr">
        <is>
          <t>WY-0079</t>
        </is>
      </c>
      <c r="B574" s="5" t="inlineStr">
        <is>
          <t>Crossroads Off Licence &amp; Newsagent</t>
        </is>
      </c>
      <c r="C574" s="5" t="inlineStr">
        <is>
          <t>Wakefield</t>
        </is>
      </c>
      <c r="D574" s="5" t="inlineStr">
        <is>
          <t>https://m.yelp.com/biz/crossroads-off-licence-and-newsagent-wakefield</t>
        </is>
      </c>
      <c r="E574" s="5" t="inlineStr">
        <is>
          <t>Directory</t>
        </is>
      </c>
      <c r="F574" s="5" t="inlineStr">
        <is>
          <t>2026-09-16</t>
        </is>
      </c>
      <c r="G574" s="5" t="inlineStr">
        <is>
          <t>name, address 19 Cross Road, Wakefield</t>
        </is>
      </c>
      <c r="H574" s="5" t="inlineStr">
        <is>
          <t>Requires Verification</t>
        </is>
      </c>
    </row>
    <row r="575">
      <c r="A575" s="10" t="inlineStr">
        <is>
          <t>UK-000592</t>
        </is>
      </c>
      <c r="B575" s="10" t="inlineStr">
        <is>
          <t>Custom Vapes</t>
        </is>
      </c>
      <c r="C575" s="10" t="inlineStr">
        <is>
          <t>Stratford</t>
        </is>
      </c>
      <c r="D575" s="10" t="inlineStr">
        <is>
          <t>https://www.yell.com/s/vape+shops-stratford-east+london.html</t>
        </is>
      </c>
      <c r="E575" s="10" t="inlineStr">
        <is>
          <t>Yell</t>
        </is>
      </c>
      <c r="F575" s="10" t="inlineStr">
        <is>
          <t>2026-09-17</t>
        </is>
      </c>
      <c r="G575" s="10" t="inlineStr">
        <is>
          <t>name, address, postcode</t>
        </is>
      </c>
      <c r="H575" s="10" t="inlineStr">
        <is>
          <t>Requires Verification</t>
        </is>
      </c>
    </row>
    <row r="576">
      <c r="A576" s="5" t="inlineStr">
        <is>
          <t>UK-000350</t>
        </is>
      </c>
      <c r="B576" s="5" t="inlineStr">
        <is>
          <t>DA Shop</t>
        </is>
      </c>
      <c r="C576" s="5" t="inlineStr">
        <is>
          <t>Cheadle</t>
        </is>
      </c>
      <c r="D576" s="5" t="inlineStr">
        <is>
          <t>https://www.24houralcohol.co.uk/stockport-off-licences</t>
        </is>
      </c>
      <c r="E576" s="5" t="inlineStr">
        <is>
          <t>Directory</t>
        </is>
      </c>
      <c r="F576" s="5" t="inlineStr">
        <is>
          <t>2026-09-17</t>
        </is>
      </c>
      <c r="G576" s="5" t="inlineStr">
        <is>
          <t>address, postcode, phone</t>
        </is>
      </c>
      <c r="H576" s="5" t="inlineStr">
        <is>
          <t>Requires Verification</t>
        </is>
      </c>
    </row>
    <row r="577">
      <c r="A577" s="10" t="inlineStr">
        <is>
          <t>UK-000463</t>
        </is>
      </c>
      <c r="B577" s="10" t="inlineStr">
        <is>
          <t>DNB Vapes</t>
        </is>
      </c>
      <c r="C577" s="10" t="inlineStr">
        <is>
          <t>Brierley Hill</t>
        </is>
      </c>
      <c r="D577" s="10" t="inlineStr">
        <is>
          <t>https://www.dnbvapes.co.uk/</t>
        </is>
      </c>
      <c r="E577" s="10" t="inlineStr">
        <is>
          <t>Official Website</t>
        </is>
      </c>
      <c r="F577" s="10" t="inlineStr">
        <is>
          <t>2026-09-17</t>
        </is>
      </c>
      <c r="G577" s="10" t="inlineStr">
        <is>
          <t>business name, website, Brierley Hill area (search snippet)</t>
        </is>
      </c>
      <c r="H577" s="10" t="inlineStr">
        <is>
          <t>Requires Verification</t>
        </is>
      </c>
    </row>
    <row r="578">
      <c r="A578" s="5" t="inlineStr">
        <is>
          <t>UK-000464</t>
        </is>
      </c>
      <c r="B578" s="5" t="inlineStr">
        <is>
          <t>Dals Store Ltd</t>
        </is>
      </c>
      <c r="C578" s="5" t="inlineStr">
        <is>
          <t>Wolverhampton</t>
        </is>
      </c>
      <c r="D578" s="5" t="inlineStr">
        <is>
          <t>https://www.wolverhampton.co.uk/supermarkets/</t>
        </is>
      </c>
      <c r="E578" s="5" t="inlineStr">
        <is>
          <t>Directory</t>
        </is>
      </c>
      <c r="F578" s="5" t="inlineStr">
        <is>
          <t>2026-09-17</t>
        </is>
      </c>
      <c r="G578" s="5" t="inlineStr">
        <is>
          <t>name, address, postcode</t>
        </is>
      </c>
      <c r="H578" s="5" t="inlineStr">
        <is>
          <t>Requires Verification</t>
        </is>
      </c>
    </row>
    <row r="579">
      <c r="A579" s="10" t="inlineStr">
        <is>
          <t>UK-000593</t>
        </is>
      </c>
      <c r="B579" s="10" t="inlineStr">
        <is>
          <t>Dalston Food and Wine</t>
        </is>
      </c>
      <c r="C579" s="10" t="inlineStr">
        <is>
          <t>Dalston</t>
        </is>
      </c>
      <c r="D579" s="10" t="inlineStr">
        <is>
          <t>https://www.yell.com/s/off+licences-dalston-east+london.html</t>
        </is>
      </c>
      <c r="E579" s="10" t="inlineStr">
        <is>
          <t>Yell</t>
        </is>
      </c>
      <c r="F579" s="10" t="inlineStr">
        <is>
          <t>2026-09-17</t>
        </is>
      </c>
      <c r="G579" s="10" t="inlineStr">
        <is>
          <t>name, address, postcode, phone</t>
        </is>
      </c>
      <c r="H579" s="10" t="inlineStr">
        <is>
          <t>Requires Verification</t>
        </is>
      </c>
    </row>
    <row r="580">
      <c r="A580" s="5" t="inlineStr">
        <is>
          <t>UK-000766</t>
        </is>
      </c>
      <c r="B580" s="5" t="inlineStr">
        <is>
          <t>Daniel Store</t>
        </is>
      </c>
      <c r="C580" s="5" t="inlineStr">
        <is>
          <t>Glasgow</t>
        </is>
      </c>
      <c r="D580" s="5" t="inlineStr">
        <is>
          <t>https://dennistoun.co.uk/directory/tag/convenience-store/</t>
        </is>
      </c>
      <c r="E580" s="5" t="inlineStr">
        <is>
          <t>Directory</t>
        </is>
      </c>
      <c r="F580" s="5" t="inlineStr">
        <is>
          <t>2026-09-17</t>
        </is>
      </c>
      <c r="G580" s="5" t="inlineStr">
        <is>
          <t>trading name, address, postcode</t>
        </is>
      </c>
      <c r="H580" s="5" t="inlineStr">
        <is>
          <t>Requires Verification</t>
        </is>
      </c>
    </row>
    <row r="581">
      <c r="A581" s="10" t="inlineStr">
        <is>
          <t>UK-000465</t>
        </is>
      </c>
      <c r="B581" s="10" t="inlineStr">
        <is>
          <t>Dave Wine</t>
        </is>
      </c>
      <c r="C581" s="10" t="inlineStr">
        <is>
          <t>Oldbury</t>
        </is>
      </c>
      <c r="D581" s="10" t="inlineStr">
        <is>
          <t>https://www.yell.com/s/off+licences+and+wine+merchants-oldbury-west+midlands.html</t>
        </is>
      </c>
      <c r="E581" s="10" t="inlineStr">
        <is>
          <t>Yell</t>
        </is>
      </c>
      <c r="F581" s="10" t="inlineStr">
        <is>
          <t>2026-09-17</t>
        </is>
      </c>
      <c r="G581" s="10" t="inlineStr">
        <is>
          <t>business name, address, phone (listing snippet)</t>
        </is>
      </c>
      <c r="H581" s="10" t="inlineStr">
        <is>
          <t>Requires Verification</t>
        </is>
      </c>
    </row>
    <row r="582">
      <c r="A582" s="5" t="inlineStr">
        <is>
          <t>UK-000351</t>
        </is>
      </c>
      <c r="B582" s="5" t="inlineStr">
        <is>
          <t>Dave's Off Licence</t>
        </is>
      </c>
      <c r="C582" s="5" t="inlineStr">
        <is>
          <t>Wigan</t>
        </is>
      </c>
      <c r="D582" s="5" t="inlineStr">
        <is>
          <t>https://www.24houralcohol.co.uk/wigan-off-licences</t>
        </is>
      </c>
      <c r="E582" s="5" t="inlineStr">
        <is>
          <t>Directory</t>
        </is>
      </c>
      <c r="F582" s="5" t="inlineStr">
        <is>
          <t>2026-09-17</t>
        </is>
      </c>
      <c r="G582" s="5" t="inlineStr">
        <is>
          <t>trading name, address, postcode (via search results)</t>
        </is>
      </c>
      <c r="H582" s="5" t="inlineStr">
        <is>
          <t>Requires Verification</t>
        </is>
      </c>
    </row>
    <row r="583">
      <c r="A583" s="10" t="inlineStr">
        <is>
          <t>UK-000466</t>
        </is>
      </c>
      <c r="B583" s="10" t="inlineStr">
        <is>
          <t>Delta Wines</t>
        </is>
      </c>
      <c r="C583" s="10" t="inlineStr">
        <is>
          <t>West Bromwich</t>
        </is>
      </c>
      <c r="D583" s="10" t="inlineStr">
        <is>
          <t>https://west-bromwich.cylex-uk.co.uk/beer-wine-spirits/</t>
        </is>
      </c>
      <c r="E583" s="10" t="inlineStr">
        <is>
          <t>Directory</t>
        </is>
      </c>
      <c r="F583" s="10" t="inlineStr">
        <is>
          <t>2026-09-17</t>
        </is>
      </c>
      <c r="G583" s="10" t="inlineStr">
        <is>
          <t>business name, address, phone (listing snippet)</t>
        </is>
      </c>
      <c r="H583" s="10" t="inlineStr">
        <is>
          <t>Requires Verification</t>
        </is>
      </c>
    </row>
    <row r="584">
      <c r="A584" s="5" t="inlineStr">
        <is>
          <t>UK-000594</t>
        </is>
      </c>
      <c r="B584" s="5" t="inlineStr">
        <is>
          <t>Dennis Convenience Store</t>
        </is>
      </c>
      <c r="C584" s="5" t="inlineStr">
        <is>
          <t>London</t>
        </is>
      </c>
      <c r="D584" s="5" t="inlineStr">
        <is>
          <t>https://www.yell.com/s/supermarkets-bellingham-south+east+london.html</t>
        </is>
      </c>
      <c r="E584" s="5" t="inlineStr">
        <is>
          <t>Yell</t>
        </is>
      </c>
      <c r="F584" s="5" t="inlineStr">
        <is>
          <t>2026-09-17</t>
        </is>
      </c>
      <c r="G584" s="5" t="inlineStr">
        <is>
          <t>business name, address</t>
        </is>
      </c>
      <c r="H584" s="5" t="inlineStr">
        <is>
          <t>Requires Verification</t>
        </is>
      </c>
    </row>
    <row r="585">
      <c r="A585" s="10" t="inlineStr">
        <is>
          <t>WY-0080</t>
        </is>
      </c>
      <c r="B585" s="10" t="inlineStr">
        <is>
          <t>Dhillon's Newsagents</t>
        </is>
      </c>
      <c r="C585" s="10" t="inlineStr">
        <is>
          <t>Leeds</t>
        </is>
      </c>
      <c r="D585" s="10" t="inlineStr">
        <is>
          <t>https://findit.yorkshireeveningpost.co.uk/search/leeds/newsagent</t>
        </is>
      </c>
      <c r="E585" s="10" t="inlineStr">
        <is>
          <t>Directory</t>
        </is>
      </c>
      <c r="F585" s="10" t="inlineStr">
        <is>
          <t>2026-09-16</t>
        </is>
      </c>
      <c r="G585" s="10" t="inlineStr">
        <is>
          <t>name, address, phone (via search results)</t>
        </is>
      </c>
      <c r="H585" s="10" t="inlineStr">
        <is>
          <t>Requires Verification</t>
        </is>
      </c>
    </row>
    <row r="586">
      <c r="A586" s="5" t="inlineStr">
        <is>
          <t>WY-0080</t>
        </is>
      </c>
      <c r="B586" s="5" t="inlineStr">
        <is>
          <t>Dhillon's Newsagents</t>
        </is>
      </c>
      <c r="C586" s="5" t="inlineStr">
        <is>
          <t>Leeds</t>
        </is>
      </c>
      <c r="D586" s="5" t="inlineStr">
        <is>
          <t>https://www.192.com/atoz/business/leeds/newsagents/</t>
        </is>
      </c>
      <c r="E586" s="5" t="inlineStr">
        <is>
          <t>Directory</t>
        </is>
      </c>
      <c r="F586" s="5" t="inlineStr">
        <is>
          <t>2026-09-16</t>
        </is>
      </c>
      <c r="G586" s="5" t="inlineStr">
        <is>
          <t>listing cross-check (via search results)</t>
        </is>
      </c>
      <c r="H586" s="5" t="inlineStr">
        <is>
          <t>Requires Verification</t>
        </is>
      </c>
    </row>
    <row r="587">
      <c r="A587" s="10" t="inlineStr">
        <is>
          <t>UK-000352</t>
        </is>
      </c>
      <c r="B587" s="10" t="inlineStr">
        <is>
          <t>Dial Me A Shisha</t>
        </is>
      </c>
      <c r="C587" s="10" t="inlineStr">
        <is>
          <t>Bolton</t>
        </is>
      </c>
      <c r="D587" s="10" t="inlineStr">
        <is>
          <t>https://dial-me-a-shisha.ueniweb.com/</t>
        </is>
      </c>
      <c r="E587" s="10" t="inlineStr">
        <is>
          <t>Official Website</t>
        </is>
      </c>
      <c r="F587" s="10" t="inlineStr">
        <is>
          <t>2026-09-17</t>
        </is>
      </c>
      <c r="G587" s="10" t="inlineStr">
        <is>
          <t>trading name, service, Bolton location (via search results)</t>
        </is>
      </c>
      <c r="H587" s="10" t="inlineStr">
        <is>
          <t>Requires Verification</t>
        </is>
      </c>
    </row>
    <row r="588">
      <c r="A588" s="5" t="inlineStr">
        <is>
          <t>UK-000352</t>
        </is>
      </c>
      <c r="B588" s="5" t="inlineStr">
        <is>
          <t>Dial Me A Shisha</t>
        </is>
      </c>
      <c r="C588" s="5" t="inlineStr">
        <is>
          <t>Bolton</t>
        </is>
      </c>
      <c r="D588" s="5" t="inlineStr">
        <is>
          <t>https://www.yelp.co.uk/biz/dial-me-a-shisha-bolton</t>
        </is>
      </c>
      <c r="E588" s="5" t="inlineStr">
        <is>
          <t>Directory</t>
        </is>
      </c>
      <c r="F588" s="5" t="inlineStr">
        <is>
          <t>2026-09-17</t>
        </is>
      </c>
      <c r="G588" s="5" t="inlineStr">
        <is>
          <t>address (via search results)</t>
        </is>
      </c>
      <c r="H588" s="5" t="inlineStr">
        <is>
          <t>Requires Verification</t>
        </is>
      </c>
    </row>
    <row r="589">
      <c r="A589" s="10" t="inlineStr">
        <is>
          <t>UK-000353</t>
        </is>
      </c>
      <c r="B589" s="10" t="inlineStr">
        <is>
          <t>Didsbury Express</t>
        </is>
      </c>
      <c r="C589" s="10" t="inlineStr">
        <is>
          <t>Manchester</t>
        </is>
      </c>
      <c r="D589" s="10" t="inlineStr">
        <is>
          <t>https://www.192.com/atoz/business/manchester-m20/convenience-stores/didsbury-express/6ec1daa23654a53672bc8f33dd6ce3ccb3000bc5/ml/</t>
        </is>
      </c>
      <c r="E589" s="10" t="inlineStr">
        <is>
          <t>Directory</t>
        </is>
      </c>
      <c r="F589" s="10" t="inlineStr">
        <is>
          <t>2026-09-17</t>
        </is>
      </c>
      <c r="G589" s="10" t="inlineStr">
        <is>
          <t>business name, address, postcode</t>
        </is>
      </c>
      <c r="H589" s="10" t="inlineStr">
        <is>
          <t>Requires Verification</t>
        </is>
      </c>
    </row>
    <row r="590">
      <c r="A590" s="5" t="inlineStr">
        <is>
          <t>UK-000767</t>
        </is>
      </c>
      <c r="B590" s="5" t="inlineStr">
        <is>
          <t>Discount Booze</t>
        </is>
      </c>
      <c r="C590" s="5" t="inlineStr">
        <is>
          <t>Liverpool</t>
        </is>
      </c>
      <c r="D590" s="5" t="inlineStr">
        <is>
          <t>https://liverpool.cylex-uk.co.uk/off-licence-4.html</t>
        </is>
      </c>
      <c r="E590" s="5" t="inlineStr">
        <is>
          <t>Directory</t>
        </is>
      </c>
      <c r="F590" s="5" t="inlineStr">
        <is>
          <t>2026-09-17</t>
        </is>
      </c>
      <c r="G590" s="5" t="inlineStr">
        <is>
          <t>name, address, postcode</t>
        </is>
      </c>
      <c r="H590" s="5" t="inlineStr">
        <is>
          <t>Requires Verification</t>
        </is>
      </c>
    </row>
    <row r="591">
      <c r="A591" s="10" t="inlineStr">
        <is>
          <t>UK-000595</t>
        </is>
      </c>
      <c r="B591" s="10" t="inlineStr">
        <is>
          <t>Diu Supermarket</t>
        </is>
      </c>
      <c r="C591" s="10" t="inlineStr">
        <is>
          <t>Wembley</t>
        </is>
      </c>
      <c r="D591" s="10" t="inlineStr">
        <is>
          <t>https://www.yell.com/s/supermarkets-wembley.html</t>
        </is>
      </c>
      <c r="E591" s="10" t="inlineStr">
        <is>
          <t>Yell</t>
        </is>
      </c>
      <c r="F591" s="10" t="inlineStr">
        <is>
          <t>2026-09-17</t>
        </is>
      </c>
      <c r="G591" s="10" t="inlineStr">
        <is>
          <t>business name, address</t>
        </is>
      </c>
      <c r="H591" s="10" t="inlineStr">
        <is>
          <t>Requires Verification</t>
        </is>
      </c>
    </row>
    <row r="592">
      <c r="A592" s="5" t="inlineStr">
        <is>
          <t>UK-000596</t>
        </is>
      </c>
      <c r="B592" s="5" t="inlineStr">
        <is>
          <t>Dostlar Ltd</t>
        </is>
      </c>
      <c r="C592" s="5" t="inlineStr">
        <is>
          <t>Harringay</t>
        </is>
      </c>
      <c r="D592" s="5" t="inlineStr">
        <is>
          <t>https://www.yell.com/s/turkish+supermarket-london+borough+of+haringey.html</t>
        </is>
      </c>
      <c r="E592" s="5" t="inlineStr">
        <is>
          <t>Yell</t>
        </is>
      </c>
      <c r="F592" s="5" t="inlineStr">
        <is>
          <t>2026-09-17</t>
        </is>
      </c>
      <c r="G592" s="5" t="inlineStr">
        <is>
          <t>name, address, postcode, phone</t>
        </is>
      </c>
      <c r="H592" s="5" t="inlineStr">
        <is>
          <t>Requires Verification</t>
        </is>
      </c>
    </row>
    <row r="593">
      <c r="A593" s="10" t="inlineStr">
        <is>
          <t>UK-000354</t>
        </is>
      </c>
      <c r="B593" s="10" t="inlineStr">
        <is>
          <t>Dragon Vape Leigh</t>
        </is>
      </c>
      <c r="C593" s="10" t="inlineStr">
        <is>
          <t>Leigh</t>
        </is>
      </c>
      <c r="D593" s="10" t="inlineStr">
        <is>
          <t>https://dragonvapeuk.com/more/</t>
        </is>
      </c>
      <c r="E593" s="10" t="inlineStr">
        <is>
          <t>Official Website</t>
        </is>
      </c>
      <c r="F593" s="10" t="inlineStr">
        <is>
          <t>2026-09-17</t>
        </is>
      </c>
      <c r="G593" s="10" t="inlineStr">
        <is>
          <t>trading name, address, phone (via search results)</t>
        </is>
      </c>
      <c r="H593" s="10" t="inlineStr">
        <is>
          <t>Requires Verification</t>
        </is>
      </c>
    </row>
    <row r="594">
      <c r="A594" s="5" t="inlineStr">
        <is>
          <t>UK-000355</t>
        </is>
      </c>
      <c r="B594" s="5" t="inlineStr">
        <is>
          <t>Draycott Trading Cash &amp; Carry</t>
        </is>
      </c>
      <c r="C594" s="5" t="inlineStr">
        <is>
          <t>Bolton</t>
        </is>
      </c>
      <c r="D594" s="5" t="inlineStr">
        <is>
          <t>https://nextdoor.co.uk/pages/draycott-trading-cash-carry/</t>
        </is>
      </c>
      <c r="E594" s="5" t="inlineStr">
        <is>
          <t>Directory</t>
        </is>
      </c>
      <c r="F594" s="5" t="inlineStr">
        <is>
          <t>2026-09-17</t>
        </is>
      </c>
      <c r="G594" s="5" t="inlineStr">
        <is>
          <t>trading name, address, postcode, phone (via search results)</t>
        </is>
      </c>
      <c r="H594" s="5" t="inlineStr">
        <is>
          <t>Requires Verification</t>
        </is>
      </c>
    </row>
    <row r="595">
      <c r="A595" s="10" t="inlineStr">
        <is>
          <t>UK-000768</t>
        </is>
      </c>
      <c r="B595" s="10" t="inlineStr">
        <is>
          <t>Drip Crazy Vapes</t>
        </is>
      </c>
      <c r="C595" s="10" t="inlineStr">
        <is>
          <t>Kirkcaldy</t>
        </is>
      </c>
      <c r="D595" s="10" t="inlineStr">
        <is>
          <t>https://kirkcaldy.cylex-uk.co.uk/company/drip-crazy-vapes-26497256.html</t>
        </is>
      </c>
      <c r="E595" s="10" t="inlineStr">
        <is>
          <t>Directory</t>
        </is>
      </c>
      <c r="F595" s="10" t="inlineStr">
        <is>
          <t>2026-09-17</t>
        </is>
      </c>
      <c r="G595" s="10" t="inlineStr">
        <is>
          <t>address, postcode, phone (snippet)</t>
        </is>
      </c>
      <c r="H595" s="10" t="inlineStr">
        <is>
          <t>Requires Verification</t>
        </is>
      </c>
    </row>
    <row r="596">
      <c r="A596" s="5" t="inlineStr">
        <is>
          <t>UK-000356</t>
        </is>
      </c>
      <c r="B596" s="5" t="inlineStr">
        <is>
          <t>Dubai Cafe &amp; Shisha Bar (Rusholme)</t>
        </is>
      </c>
      <c r="C596" s="5" t="inlineStr">
        <is>
          <t>Manchester</t>
        </is>
      </c>
      <c r="D596" s="5" t="inlineStr">
        <is>
          <t>https://www.hungrybritish.com/manchester/dubai-cafe-shisha-bar-rusholme/</t>
        </is>
      </c>
      <c r="E596" s="5" t="inlineStr">
        <is>
          <t>Directory</t>
        </is>
      </c>
      <c r="F596" s="5" t="inlineStr">
        <is>
          <t>2026-09-17</t>
        </is>
      </c>
      <c r="G596" s="5" t="inlineStr">
        <is>
          <t>business name, address, postcode, phone</t>
        </is>
      </c>
      <c r="H596" s="5" t="inlineStr">
        <is>
          <t>Requires Verification</t>
        </is>
      </c>
    </row>
    <row r="597">
      <c r="A597" s="10" t="inlineStr">
        <is>
          <t>UK-000769</t>
        </is>
      </c>
      <c r="B597" s="10" t="inlineStr">
        <is>
          <t>Dubai Convenience &amp; Off Licence</t>
        </is>
      </c>
      <c r="C597" s="10" t="inlineStr">
        <is>
          <t>Liverpool</t>
        </is>
      </c>
      <c r="D597" s="10" t="inlineStr">
        <is>
          <t>https://www.yell.com/biz/dubai-convenience-and-off-licence-liverpool-10714449/</t>
        </is>
      </c>
      <c r="E597" s="10" t="inlineStr">
        <is>
          <t>Yell</t>
        </is>
      </c>
      <c r="F597" s="10" t="inlineStr">
        <is>
          <t>2026-09-17</t>
        </is>
      </c>
      <c r="G597" s="10" t="inlineStr">
        <is>
          <t>name, address, postcode</t>
        </is>
      </c>
      <c r="H597" s="10" t="inlineStr">
        <is>
          <t>Requires Verification</t>
        </is>
      </c>
    </row>
    <row r="598">
      <c r="A598" s="5" t="inlineStr">
        <is>
          <t>UK-000467</t>
        </is>
      </c>
      <c r="B598" s="5" t="inlineStr">
        <is>
          <t>Dylan's 24/7 Off Licence &amp; Convenience Store</t>
        </is>
      </c>
      <c r="C598" s="5" t="inlineStr">
        <is>
          <t>Wednesbury</t>
        </is>
      </c>
      <c r="D598" s="5" t="inlineStr">
        <is>
          <t>https://wednesbury.cylex-uk.co.uk/convenience-stores/</t>
        </is>
      </c>
      <c r="E598" s="5" t="inlineStr">
        <is>
          <t>Directory</t>
        </is>
      </c>
      <c r="F598" s="5" t="inlineStr">
        <is>
          <t>2026-09-17</t>
        </is>
      </c>
      <c r="G598" s="5" t="inlineStr">
        <is>
          <t>business name, address, phone (listing snippet)</t>
        </is>
      </c>
      <c r="H598" s="5" t="inlineStr">
        <is>
          <t>Requires Verification</t>
        </is>
      </c>
    </row>
    <row r="599">
      <c r="A599" s="10" t="inlineStr">
        <is>
          <t>UK-000468</t>
        </is>
      </c>
      <c r="B599" s="10" t="inlineStr">
        <is>
          <t>Dylans Drink Shop</t>
        </is>
      </c>
      <c r="C599" s="10" t="inlineStr">
        <is>
          <t>Smethwick</t>
        </is>
      </c>
      <c r="D599" s="10" t="inlineStr">
        <is>
          <t>https://www.yell.com/s/off+licences-bearwood.html</t>
        </is>
      </c>
      <c r="E599" s="10" t="inlineStr">
        <is>
          <t>Yell</t>
        </is>
      </c>
      <c r="F599" s="10" t="inlineStr">
        <is>
          <t>2026-09-17</t>
        </is>
      </c>
      <c r="G599" s="10" t="inlineStr">
        <is>
          <t>business name, address (listing snippet)</t>
        </is>
      </c>
      <c r="H599" s="10" t="inlineStr">
        <is>
          <t>Requires Verification</t>
        </is>
      </c>
    </row>
    <row r="600">
      <c r="A600" s="5" t="inlineStr">
        <is>
          <t>UK-000357</t>
        </is>
      </c>
      <c r="B600" s="5" t="inlineStr">
        <is>
          <t>E-cig &amp; Gadget Shop</t>
        </is>
      </c>
      <c r="C600" s="5" t="inlineStr">
        <is>
          <t>Rochdale</t>
        </is>
      </c>
      <c r="D600" s="5" t="inlineStr">
        <is>
          <t>https://vapeshops.puffingbird.com/england/rochdale/e-cig-gadget-shop</t>
        </is>
      </c>
      <c r="E600" s="5" t="inlineStr">
        <is>
          <t>Directory</t>
        </is>
      </c>
      <c r="F600" s="5" t="inlineStr">
        <is>
          <t>2026-09-17</t>
        </is>
      </c>
      <c r="G600" s="5" t="inlineStr">
        <is>
          <t>address, phone, email</t>
        </is>
      </c>
      <c r="H600" s="5" t="inlineStr">
        <is>
          <t>Requires Verification</t>
        </is>
      </c>
    </row>
    <row r="601">
      <c r="A601" s="10" t="inlineStr">
        <is>
          <t>UK-000597</t>
        </is>
      </c>
      <c r="B601" s="10" t="inlineStr">
        <is>
          <t>E17 Vape Bar</t>
        </is>
      </c>
      <c r="C601" s="10" t="inlineStr">
        <is>
          <t>Walthamstow</t>
        </is>
      </c>
      <c r="D601" s="10" t="inlineStr">
        <is>
          <t>https://www.yell.com/biz/e17-vape-bar-london-9131218/</t>
        </is>
      </c>
      <c r="E601" s="10" t="inlineStr">
        <is>
          <t>Yell</t>
        </is>
      </c>
      <c r="F601" s="10" t="inlineStr">
        <is>
          <t>2026-09-17</t>
        </is>
      </c>
      <c r="G601" s="10" t="inlineStr">
        <is>
          <t>name, address, postcode</t>
        </is>
      </c>
      <c r="H601" s="10" t="inlineStr">
        <is>
          <t>Requires Verification</t>
        </is>
      </c>
    </row>
    <row r="602">
      <c r="A602" s="5" t="inlineStr">
        <is>
          <t>WY-0081</t>
        </is>
      </c>
      <c r="B602" s="5" t="inlineStr">
        <is>
          <t>ECigarette Outlet</t>
        </is>
      </c>
      <c r="C602" s="5" t="inlineStr">
        <is>
          <t>Shipley</t>
        </is>
      </c>
      <c r="D602" s="5" t="inlineStr">
        <is>
          <t>https://ecigdirectory.co.uk/vape-shop/listing/ecigarette-outlet-shipley</t>
        </is>
      </c>
      <c r="E602" s="5" t="inlineStr">
        <is>
          <t>Directory</t>
        </is>
      </c>
      <c r="F602" s="5" t="inlineStr">
        <is>
          <t>2026-09-16</t>
        </is>
      </c>
      <c r="G602" s="5" t="inlineStr">
        <is>
          <t>name, address 27 Kirkgate, Shipley BD18 3QW (search snippet)</t>
        </is>
      </c>
      <c r="H602" s="5" t="inlineStr">
        <is>
          <t>Requires Verification</t>
        </is>
      </c>
    </row>
    <row r="603">
      <c r="A603" s="10" t="inlineStr">
        <is>
          <t>UK-000598</t>
        </is>
      </c>
      <c r="B603" s="10" t="inlineStr">
        <is>
          <t>Easy Off Licence (Caledonian Road)</t>
        </is>
      </c>
      <c r="C603" s="10" t="inlineStr">
        <is>
          <t>London</t>
        </is>
      </c>
      <c r="D603" s="10" t="inlineStr">
        <is>
          <t>http://2pos.org.uk/2808/140518</t>
        </is>
      </c>
      <c r="E603" s="10" t="inlineStr">
        <is>
          <t>Directory</t>
        </is>
      </c>
      <c r="F603" s="10" t="inlineStr">
        <is>
          <t>2026-09-17</t>
        </is>
      </c>
      <c r="G603" s="10" t="inlineStr">
        <is>
          <t>business name, address, postcode, phone</t>
        </is>
      </c>
      <c r="H603" s="10" t="inlineStr">
        <is>
          <t>Requires Verification</t>
        </is>
      </c>
    </row>
    <row r="604">
      <c r="A604" s="5" t="inlineStr">
        <is>
          <t>UK-000598</t>
        </is>
      </c>
      <c r="B604" s="5" t="inlineStr">
        <is>
          <t>Easy Off Licence (Caledonian Road)</t>
        </is>
      </c>
      <c r="C604" s="5" t="inlineStr">
        <is>
          <t>London</t>
        </is>
      </c>
      <c r="D604" s="5" t="inlineStr">
        <is>
          <t>https://www.24houralcohol.co.uk/islington-off-licences</t>
        </is>
      </c>
      <c r="E604" s="5" t="inlineStr">
        <is>
          <t>Directory</t>
        </is>
      </c>
      <c r="F604" s="5" t="inlineStr">
        <is>
          <t>2026-09-17</t>
        </is>
      </c>
      <c r="G604" s="5" t="inlineStr">
        <is>
          <t>business name, area</t>
        </is>
      </c>
      <c r="H604" s="5" t="inlineStr">
        <is>
          <t>Requires Verification</t>
        </is>
      </c>
    </row>
    <row r="605">
      <c r="A605" s="10" t="inlineStr">
        <is>
          <t>UK-000599</t>
        </is>
      </c>
      <c r="B605" s="10" t="inlineStr">
        <is>
          <t>Eatmore Express</t>
        </is>
      </c>
      <c r="C605" s="10" t="inlineStr">
        <is>
          <t>London</t>
        </is>
      </c>
      <c r="D605" s="10" t="inlineStr">
        <is>
          <t>https://www.yell.com/s/off+licences-fulham-london.html</t>
        </is>
      </c>
      <c r="E605" s="10" t="inlineStr">
        <is>
          <t>Yell</t>
        </is>
      </c>
      <c r="F605" s="10" t="inlineStr">
        <is>
          <t>2026-09-17</t>
        </is>
      </c>
      <c r="G605" s="10" t="inlineStr">
        <is>
          <t>business name, address, postcode, phone</t>
        </is>
      </c>
      <c r="H605" s="10" t="inlineStr">
        <is>
          <t>Requires Verification</t>
        </is>
      </c>
    </row>
    <row r="606">
      <c r="A606" s="5" t="inlineStr">
        <is>
          <t>WY-0082</t>
        </is>
      </c>
      <c r="B606" s="5" t="inlineStr">
        <is>
          <t>Ecig N Vape</t>
        </is>
      </c>
      <c r="C606" s="5" t="inlineStr">
        <is>
          <t>Heckmondwike</t>
        </is>
      </c>
      <c r="D606" s="5" t="inlineStr">
        <is>
          <t>https://heckmondwike.cylex-uk.co.uk/company/ecig-n-vape-26993170.html</t>
        </is>
      </c>
      <c r="E606" s="5" t="inlineStr">
        <is>
          <t>Directory</t>
        </is>
      </c>
      <c r="F606" s="5" t="inlineStr">
        <is>
          <t>2026-09-16</t>
        </is>
      </c>
      <c r="G606" s="5" t="inlineStr">
        <is>
          <t>address, phone</t>
        </is>
      </c>
      <c r="H606" s="5" t="inlineStr">
        <is>
          <t>Requires Verification</t>
        </is>
      </c>
    </row>
    <row r="607">
      <c r="A607" s="10" t="inlineStr">
        <is>
          <t>WY-0082</t>
        </is>
      </c>
      <c r="B607" s="10" t="inlineStr">
        <is>
          <t>Ecig N Vape</t>
        </is>
      </c>
      <c r="C607" s="10" t="inlineStr">
        <is>
          <t>Heckmondwike</t>
        </is>
      </c>
      <c r="D607" s="10" t="inlineStr">
        <is>
          <t>https://www.tripadvisor.co.uk/Attraction_Review-g3207739-d28330163-Reviews-Ecig_N_Vape-Heckmondwike_Dewsbury_West_Yorkshire_England.html</t>
        </is>
      </c>
      <c r="E607" s="10" t="inlineStr">
        <is>
          <t>Directory</t>
        </is>
      </c>
      <c r="F607" s="10" t="inlineStr">
        <is>
          <t>2026-09-16</t>
        </is>
      </c>
      <c r="G607" s="10" t="inlineStr">
        <is>
          <t>cross-check of name and town</t>
        </is>
      </c>
      <c r="H607" s="10" t="inlineStr">
        <is>
          <t>Requires Verification</t>
        </is>
      </c>
    </row>
    <row r="608">
      <c r="A608" s="5" t="inlineStr">
        <is>
          <t>UK-000243</t>
        </is>
      </c>
      <c r="B608" s="5" t="inlineStr">
        <is>
          <t>Ecigbox Northallerton</t>
        </is>
      </c>
      <c r="C608" s="5" t="inlineStr">
        <is>
          <t>Northallerton</t>
        </is>
      </c>
      <c r="D608" s="5" t="inlineStr">
        <is>
          <t>https://ecigdirectory.co.uk/vape-shop/listing/ecigbox-northallerton</t>
        </is>
      </c>
      <c r="E608" s="5" t="inlineStr">
        <is>
          <t>Directory</t>
        </is>
      </c>
      <c r="F608" s="5" t="inlineStr">
        <is>
          <t>2026-09-16</t>
        </is>
      </c>
      <c r="G608" s="5" t="inlineStr">
        <is>
          <t>name, address, postcode</t>
        </is>
      </c>
      <c r="H608" s="5" t="inlineStr">
        <is>
          <t>Requires Verification</t>
        </is>
      </c>
    </row>
    <row r="609">
      <c r="A609" s="10" t="inlineStr">
        <is>
          <t>UK-000243</t>
        </is>
      </c>
      <c r="B609" s="10" t="inlineStr">
        <is>
          <t>Ecigbox Northallerton</t>
        </is>
      </c>
      <c r="C609" s="10" t="inlineStr">
        <is>
          <t>Northallerton</t>
        </is>
      </c>
      <c r="D609" s="10" t="inlineStr">
        <is>
          <t>https://www.facebook.com/Ecigboxnorthallerton/</t>
        </is>
      </c>
      <c r="E609" s="10" t="inlineStr">
        <is>
          <t>Facebook</t>
        </is>
      </c>
      <c r="F609" s="10" t="inlineStr">
        <is>
          <t>2026-09-16</t>
        </is>
      </c>
      <c r="G609" s="10" t="inlineStr">
        <is>
          <t>social page</t>
        </is>
      </c>
      <c r="H609" s="10" t="inlineStr">
        <is>
          <t>Requires Verification</t>
        </is>
      </c>
    </row>
    <row r="610">
      <c r="A610" s="5" t="inlineStr">
        <is>
          <t>UK-000600</t>
        </is>
      </c>
      <c r="B610" s="5" t="inlineStr">
        <is>
          <t>Edmonton Supermarket</t>
        </is>
      </c>
      <c r="C610" s="5" t="inlineStr">
        <is>
          <t>Edmonton</t>
        </is>
      </c>
      <c r="D610" s="5" t="inlineStr">
        <is>
          <t>https://www.yell.com/s/grocers+and+convenience+stores-edmonton-north+london.html</t>
        </is>
      </c>
      <c r="E610" s="5" t="inlineStr">
        <is>
          <t>Yell</t>
        </is>
      </c>
      <c r="F610" s="5" t="inlineStr">
        <is>
          <t>2026-09-17</t>
        </is>
      </c>
      <c r="G610" s="5" t="inlineStr">
        <is>
          <t>name, address, postcode</t>
        </is>
      </c>
      <c r="H610" s="5" t="inlineStr">
        <is>
          <t>Requires Verification</t>
        </is>
      </c>
    </row>
    <row r="611">
      <c r="A611" s="10" t="inlineStr">
        <is>
          <t>UK-000770</t>
        </is>
      </c>
      <c r="B611" s="10" t="inlineStr">
        <is>
          <t>Electro Vapors</t>
        </is>
      </c>
      <c r="C611" s="10" t="inlineStr">
        <is>
          <t>Bootle</t>
        </is>
      </c>
      <c r="D611" s="10" t="inlineStr">
        <is>
          <t>https://www.192.com/atoz/business/bootle-l20/smokers-requisites/electro-vapors/ac598b271ee3f114bcec85266ae32878ffa1c07b/ml/</t>
        </is>
      </c>
      <c r="E611" s="10" t="inlineStr">
        <is>
          <t>Directory</t>
        </is>
      </c>
      <c r="F611" s="10" t="inlineStr">
        <is>
          <t>2026-09-17</t>
        </is>
      </c>
      <c r="G611" s="10" t="inlineStr">
        <is>
          <t>name, address, postcode, phone</t>
        </is>
      </c>
      <c r="H611" s="10" t="inlineStr">
        <is>
          <t>Requires Verification</t>
        </is>
      </c>
    </row>
    <row r="612">
      <c r="A612" s="5" t="inlineStr">
        <is>
          <t>UK-000770</t>
        </is>
      </c>
      <c r="B612" s="5" t="inlineStr">
        <is>
          <t>Electro Vapors</t>
        </is>
      </c>
      <c r="C612" s="5" t="inlineStr">
        <is>
          <t>Bootle</t>
        </is>
      </c>
      <c r="D612" s="5" t="inlineStr">
        <is>
          <t>https://bootle-merseyside.cylex-uk.co.uk/company/electro-vapors-26615302.html</t>
        </is>
      </c>
      <c r="E612" s="5" t="inlineStr">
        <is>
          <t>Directory</t>
        </is>
      </c>
      <c r="F612" s="5" t="inlineStr">
        <is>
          <t>2026-09-17</t>
        </is>
      </c>
      <c r="G612" s="5" t="inlineStr">
        <is>
          <t>name, category</t>
        </is>
      </c>
      <c r="H612" s="5" t="inlineStr">
        <is>
          <t>Requires Verification</t>
        </is>
      </c>
    </row>
    <row r="613">
      <c r="A613" s="10" t="inlineStr">
        <is>
          <t>UK-000601</t>
        </is>
      </c>
      <c r="B613" s="10" t="inlineStr">
        <is>
          <t>Eliquid Base (Kentish Town)</t>
        </is>
      </c>
      <c r="C613" s="10" t="inlineStr">
        <is>
          <t>London</t>
        </is>
      </c>
      <c r="D613" s="10" t="inlineStr">
        <is>
          <t>https://www.yell.com/s/vape+shops-camden+town-central+london.html</t>
        </is>
      </c>
      <c r="E613" s="10" t="inlineStr">
        <is>
          <t>Yell</t>
        </is>
      </c>
      <c r="F613" s="10" t="inlineStr">
        <is>
          <t>2026-09-17</t>
        </is>
      </c>
      <c r="G613" s="10" t="inlineStr">
        <is>
          <t>business name, address, postcode, phone</t>
        </is>
      </c>
      <c r="H613" s="10" t="inlineStr">
        <is>
          <t>Requires Verification</t>
        </is>
      </c>
    </row>
    <row r="614">
      <c r="A614" s="5" t="inlineStr">
        <is>
          <t>UK-000771</t>
        </is>
      </c>
      <c r="B614" s="5" t="inlineStr">
        <is>
          <t>Elite Wholesale</t>
        </is>
      </c>
      <c r="C614" s="5" t="inlineStr">
        <is>
          <t>Edinburgh</t>
        </is>
      </c>
      <c r="D614" s="5" t="inlineStr">
        <is>
          <t>https://www.192.com/atoz/business/edinburgh-eh7/cash-and-carry-wholesalers/elite-wholesale/5e5495a162d31d863ca424ed90b18654b0a965af/ml/</t>
        </is>
      </c>
      <c r="E614" s="5" t="inlineStr">
        <is>
          <t>Directory</t>
        </is>
      </c>
      <c r="F614" s="5" t="inlineStr">
        <is>
          <t>2026-09-17</t>
        </is>
      </c>
      <c r="G614" s="5" t="inlineStr">
        <is>
          <t>name, postcode (snippet)</t>
        </is>
      </c>
      <c r="H614" s="5" t="inlineStr">
        <is>
          <t>Requires Verification</t>
        </is>
      </c>
    </row>
    <row r="615">
      <c r="A615" s="10" t="inlineStr">
        <is>
          <t>UK-000602</t>
        </is>
      </c>
      <c r="B615" s="10" t="inlineStr">
        <is>
          <t>Elite Wine Merchants</t>
        </is>
      </c>
      <c r="C615" s="10" t="inlineStr">
        <is>
          <t>London</t>
        </is>
      </c>
      <c r="D615" s="10" t="inlineStr">
        <is>
          <t>https://www.yell.com/s/off+licences-earls+court-south+west+london.html</t>
        </is>
      </c>
      <c r="E615" s="10" t="inlineStr">
        <is>
          <t>Yell</t>
        </is>
      </c>
      <c r="F615" s="10" t="inlineStr">
        <is>
          <t>2026-09-17</t>
        </is>
      </c>
      <c r="G615" s="10" t="inlineStr">
        <is>
          <t>business name, address, postcode</t>
        </is>
      </c>
      <c r="H615" s="10" t="inlineStr">
        <is>
          <t>Requires Verification</t>
        </is>
      </c>
    </row>
    <row r="616">
      <c r="A616" s="5" t="inlineStr">
        <is>
          <t>UK-000469</t>
        </is>
      </c>
      <c r="B616" s="5" t="inlineStr">
        <is>
          <t>Elite Wines</t>
        </is>
      </c>
      <c r="C616" s="5" t="inlineStr">
        <is>
          <t>West Bromwich</t>
        </is>
      </c>
      <c r="D616" s="5" t="inlineStr">
        <is>
          <t>https://west-bromwich.cylex-uk.co.uk/beer-wine-spirits/</t>
        </is>
      </c>
      <c r="E616" s="5" t="inlineStr">
        <is>
          <t>Directory</t>
        </is>
      </c>
      <c r="F616" s="5" t="inlineStr">
        <is>
          <t>2026-09-17</t>
        </is>
      </c>
      <c r="G616" s="5" t="inlineStr">
        <is>
          <t>business name, address, phone (listing snippet)</t>
        </is>
      </c>
      <c r="H616" s="5" t="inlineStr">
        <is>
          <t>Requires Verification</t>
        </is>
      </c>
    </row>
    <row r="617">
      <c r="A617" s="10" t="inlineStr">
        <is>
          <t>UK-000772</t>
        </is>
      </c>
      <c r="B617" s="10" t="inlineStr">
        <is>
          <t>Ellie's Cellar</t>
        </is>
      </c>
      <c r="C617" s="10" t="inlineStr">
        <is>
          <t>Stirling</t>
        </is>
      </c>
      <c r="D617" s="10" t="inlineStr">
        <is>
          <t>https://falkirk.cylex-uk.co.uk/off-licence.html</t>
        </is>
      </c>
      <c r="E617" s="10" t="inlineStr">
        <is>
          <t>Directory</t>
        </is>
      </c>
      <c r="F617" s="10" t="inlineStr">
        <is>
          <t>2026-09-17</t>
        </is>
      </c>
      <c r="G617" s="10" t="inlineStr">
        <is>
          <t>name, address, postcode, phone (snippet)</t>
        </is>
      </c>
      <c r="H617" s="10" t="inlineStr">
        <is>
          <t>Requires Verification</t>
        </is>
      </c>
    </row>
    <row r="618">
      <c r="A618" s="5" t="inlineStr">
        <is>
          <t>UK-000773</t>
        </is>
      </c>
      <c r="B618" s="5" t="inlineStr">
        <is>
          <t>Elm Row Grocer &amp; Off Licence</t>
        </is>
      </c>
      <c r="C618" s="5" t="inlineStr">
        <is>
          <t>Edinburgh</t>
        </is>
      </c>
      <c r="D618" s="5" t="inlineStr">
        <is>
          <t>https://www.yell.com/biz/elm-row-grocer-and-off-licence-edinburgh-7953638/</t>
        </is>
      </c>
      <c r="E618" s="5" t="inlineStr">
        <is>
          <t>Yell</t>
        </is>
      </c>
      <c r="F618" s="5" t="inlineStr">
        <is>
          <t>2026-09-17</t>
        </is>
      </c>
      <c r="G618" s="5" t="inlineStr">
        <is>
          <t>name, address, phone (snippet)</t>
        </is>
      </c>
      <c r="H618" s="5" t="inlineStr">
        <is>
          <t>Requires Verification</t>
        </is>
      </c>
    </row>
    <row r="619">
      <c r="A619" s="10" t="inlineStr">
        <is>
          <t>UK-000470</t>
        </is>
      </c>
      <c r="B619" s="10" t="inlineStr">
        <is>
          <t>Emperors Shisha Lounge Cafe</t>
        </is>
      </c>
      <c r="C619" s="10" t="inlineStr">
        <is>
          <t>Birmingham</t>
        </is>
      </c>
      <c r="D619" s="10" t="inlineStr">
        <is>
          <t>https://www.emperorscafe.co.uk/contact</t>
        </is>
      </c>
      <c r="E619" s="10" t="inlineStr">
        <is>
          <t>Official Website</t>
        </is>
      </c>
      <c r="F619" s="10" t="inlineStr">
        <is>
          <t>2026-09-17</t>
        </is>
      </c>
      <c r="G619" s="10" t="inlineStr">
        <is>
          <t>trading name, category, social</t>
        </is>
      </c>
      <c r="H619" s="10" t="inlineStr">
        <is>
          <t>Requires Verification</t>
        </is>
      </c>
    </row>
    <row r="620">
      <c r="A620" s="5" t="inlineStr">
        <is>
          <t>UK-000470</t>
        </is>
      </c>
      <c r="B620" s="5" t="inlineStr">
        <is>
          <t>Emperors Shisha Lounge Cafe</t>
        </is>
      </c>
      <c r="C620" s="5" t="inlineStr">
        <is>
          <t>Birmingham</t>
        </is>
      </c>
      <c r="D620" s="5" t="inlineStr">
        <is>
          <t>https://www.tiktok.com/@emperorsbirmingham</t>
        </is>
      </c>
      <c r="E620" s="5" t="inlineStr">
        <is>
          <t>Instagram</t>
        </is>
      </c>
      <c r="F620" s="5" t="inlineStr">
        <is>
          <t>2026-09-17</t>
        </is>
      </c>
      <c r="G620" s="5" t="inlineStr">
        <is>
          <t>address, postcode</t>
        </is>
      </c>
      <c r="H620" s="5" t="inlineStr">
        <is>
          <t>Requires Verification</t>
        </is>
      </c>
    </row>
    <row r="621">
      <c r="A621" s="10" t="inlineStr">
        <is>
          <t>WY-0083</t>
        </is>
      </c>
      <c r="B621" s="10" t="inlineStr">
        <is>
          <t>Emporium Vapez</t>
        </is>
      </c>
      <c r="C621" s="10" t="inlineStr">
        <is>
          <t>Dewsbury</t>
        </is>
      </c>
      <c r="D621" s="10" t="inlineStr">
        <is>
          <t>https://www.yelp.com/biz/emporium-vapez-dewsbury</t>
        </is>
      </c>
      <c r="E621" s="10" t="inlineStr">
        <is>
          <t>Directory</t>
        </is>
      </c>
      <c r="F621" s="10" t="inlineStr">
        <is>
          <t>2026-09-16</t>
        </is>
      </c>
      <c r="G621" s="10" t="inlineStr">
        <is>
          <t>address, postcode, phone, opening hours</t>
        </is>
      </c>
      <c r="H621" s="10" t="inlineStr">
        <is>
          <t>Requires Verification</t>
        </is>
      </c>
    </row>
    <row r="622">
      <c r="A622" s="5" t="inlineStr">
        <is>
          <t>UK-000774</t>
        </is>
      </c>
      <c r="B622" s="5" t="inlineStr">
        <is>
          <t>Emporium Vapour</t>
        </is>
      </c>
      <c r="C622" s="5" t="inlineStr">
        <is>
          <t>Falkirk</t>
        </is>
      </c>
      <c r="D622" s="5" t="inlineStr">
        <is>
          <t>https://www.yell.com/s/vape+shops-falkirk.html</t>
        </is>
      </c>
      <c r="E622" s="5" t="inlineStr">
        <is>
          <t>Yell</t>
        </is>
      </c>
      <c r="F622" s="5" t="inlineStr">
        <is>
          <t>2026-09-17</t>
        </is>
      </c>
      <c r="G622" s="5" t="inlineStr">
        <is>
          <t>name, address, postcode, phone (snippet)</t>
        </is>
      </c>
      <c r="H622" s="5" t="inlineStr">
        <is>
          <t>Requires Verification</t>
        </is>
      </c>
    </row>
    <row r="623">
      <c r="A623" s="10" t="inlineStr">
        <is>
          <t>UK-000603</t>
        </is>
      </c>
      <c r="B623" s="10" t="inlineStr">
        <is>
          <t>Express Kentish Town Food &amp; Wine</t>
        </is>
      </c>
      <c r="C623" s="10" t="inlineStr">
        <is>
          <t>London</t>
        </is>
      </c>
      <c r="D623" s="10" t="inlineStr">
        <is>
          <t>https://www.yell.com/biz/express-kentish-town-food-and-wine-london-8768068/</t>
        </is>
      </c>
      <c r="E623" s="10" t="inlineStr">
        <is>
          <t>Yell</t>
        </is>
      </c>
      <c r="F623" s="10" t="inlineStr">
        <is>
          <t>2026-09-17</t>
        </is>
      </c>
      <c r="G623" s="10" t="inlineStr">
        <is>
          <t>business name, area (NW5)</t>
        </is>
      </c>
      <c r="H623" s="10" t="inlineStr">
        <is>
          <t>Requires Verification</t>
        </is>
      </c>
    </row>
    <row r="624">
      <c r="A624" s="5" t="inlineStr">
        <is>
          <t>UK-000358</t>
        </is>
      </c>
      <c r="B624" s="5" t="inlineStr">
        <is>
          <t>Ezee-Quit</t>
        </is>
      </c>
      <c r="C624" s="5" t="inlineStr">
        <is>
          <t>Denton</t>
        </is>
      </c>
      <c r="D624" s="5" t="inlineStr">
        <is>
          <t>https://denton-tameside.cylex-uk.co.uk/vape-shops/</t>
        </is>
      </c>
      <c r="E624" s="5" t="inlineStr">
        <is>
          <t>Directory</t>
        </is>
      </c>
      <c r="F624" s="5" t="inlineStr">
        <is>
          <t>2026-09-17</t>
        </is>
      </c>
      <c r="G624" s="5" t="inlineStr">
        <is>
          <t>address, postcode</t>
        </is>
      </c>
      <c r="H624" s="5" t="inlineStr">
        <is>
          <t>Requires Verification</t>
        </is>
      </c>
    </row>
    <row r="625">
      <c r="A625" s="10" t="inlineStr">
        <is>
          <t>UK-000471</t>
        </is>
      </c>
      <c r="B625" s="10" t="inlineStr">
        <is>
          <t>F B Supermarket</t>
        </is>
      </c>
      <c r="C625" s="10" t="inlineStr">
        <is>
          <t>Walsall</t>
        </is>
      </c>
      <c r="D625" s="10" t="inlineStr">
        <is>
          <t>https://directory.expressandstar.co.uk/company/437687065624577</t>
        </is>
      </c>
      <c r="E625" s="10" t="inlineStr">
        <is>
          <t>Directory</t>
        </is>
      </c>
      <c r="F625" s="10" t="inlineStr">
        <is>
          <t>2026-09-17</t>
        </is>
      </c>
      <c r="G625" s="10" t="inlineStr">
        <is>
          <t>address, postcode, phone</t>
        </is>
      </c>
      <c r="H625" s="10" t="inlineStr">
        <is>
          <t>Requires Verification</t>
        </is>
      </c>
    </row>
    <row r="626">
      <c r="A626" s="5" t="inlineStr">
        <is>
          <t>UK-000471</t>
        </is>
      </c>
      <c r="B626" s="5" t="inlineStr">
        <is>
          <t>F B Supermarket</t>
        </is>
      </c>
      <c r="C626" s="5" t="inlineStr">
        <is>
          <t>Walsall</t>
        </is>
      </c>
      <c r="D626" s="5" t="inlineStr">
        <is>
          <t>https://www.yell.com/biz/f-b-supermarket-walsall-1579799/</t>
        </is>
      </c>
      <c r="E626" s="5" t="inlineStr">
        <is>
          <t>Yell</t>
        </is>
      </c>
      <c r="F626" s="5" t="inlineStr">
        <is>
          <t>2026-09-17</t>
        </is>
      </c>
      <c r="G626" s="5" t="inlineStr">
        <is>
          <t>address confirmation</t>
        </is>
      </c>
      <c r="H626" s="5" t="inlineStr">
        <is>
          <t>Requires Verification</t>
        </is>
      </c>
    </row>
    <row r="627">
      <c r="A627" s="10" t="inlineStr">
        <is>
          <t>UK-000604</t>
        </is>
      </c>
      <c r="B627" s="10" t="inlineStr">
        <is>
          <t>Falcon Supermarket Ltd</t>
        </is>
      </c>
      <c r="C627" s="10" t="inlineStr">
        <is>
          <t>Barking</t>
        </is>
      </c>
      <c r="D627" s="10" t="inlineStr">
        <is>
          <t>https://www.192.com/atoz/business/barking-ig11/convenience-stores/falcon-supermarket-ltd/d207ce31292b5e7e5310b42c3d9b883c0af23641/comp/</t>
        </is>
      </c>
      <c r="E627" s="10" t="inlineStr">
        <is>
          <t>Directory</t>
        </is>
      </c>
      <c r="F627" s="10" t="inlineStr">
        <is>
          <t>2026-09-17</t>
        </is>
      </c>
      <c r="G627" s="10" t="inlineStr">
        <is>
          <t>name, district, postcode</t>
        </is>
      </c>
      <c r="H627" s="10" t="inlineStr">
        <is>
          <t>Requires Verification</t>
        </is>
      </c>
    </row>
    <row r="628">
      <c r="A628" s="5" t="inlineStr">
        <is>
          <t>UK-000244</t>
        </is>
      </c>
      <c r="B628" s="5" t="inlineStr">
        <is>
          <t>Fantasy Vapez</t>
        </is>
      </c>
      <c r="C628" s="5" t="inlineStr">
        <is>
          <t>Cleethorpes</t>
        </is>
      </c>
      <c r="D628" s="5" t="inlineStr">
        <is>
          <t>https://cleethorpes.cylex-uk.co.uk/vape-shops/</t>
        </is>
      </c>
      <c r="E628" s="5" t="inlineStr">
        <is>
          <t>Directory</t>
        </is>
      </c>
      <c r="F628" s="5" t="inlineStr">
        <is>
          <t>2026-09-16</t>
        </is>
      </c>
      <c r="G628" s="5" t="inlineStr">
        <is>
          <t>name, 4 Market Street address (via search results)</t>
        </is>
      </c>
      <c r="H628" s="5" t="inlineStr">
        <is>
          <t>Requires Verification</t>
        </is>
      </c>
    </row>
    <row r="629">
      <c r="A629" s="10" t="inlineStr">
        <is>
          <t>WY-0084</t>
        </is>
      </c>
      <c r="B629" s="10" t="inlineStr">
        <is>
          <t>FilFoods Filipino Store</t>
        </is>
      </c>
      <c r="C629" s="10" t="inlineStr">
        <is>
          <t>Leeds</t>
        </is>
      </c>
      <c r="D629" s="10" t="inlineStr">
        <is>
          <t>https://directory.grimsbytelegraph.co.uk/company/437837462491136</t>
        </is>
      </c>
      <c r="E629" s="10" t="inlineStr">
        <is>
          <t>Directory</t>
        </is>
      </c>
      <c r="F629" s="10" t="inlineStr">
        <is>
          <t>2026-09-16</t>
        </is>
      </c>
      <c r="G629" s="10" t="inlineStr">
        <is>
          <t>name, address, postcode (via search results)</t>
        </is>
      </c>
      <c r="H629" s="10" t="inlineStr">
        <is>
          <t>Requires Verification</t>
        </is>
      </c>
    </row>
    <row r="630">
      <c r="A630" s="5" t="inlineStr">
        <is>
          <t>WY-0084</t>
        </is>
      </c>
      <c r="B630" s="5" t="inlineStr">
        <is>
          <t>FilFoods Filipino Store</t>
        </is>
      </c>
      <c r="C630" s="5" t="inlineStr">
        <is>
          <t>Leeds</t>
        </is>
      </c>
      <c r="D630" s="5" t="inlineStr">
        <is>
          <t>https://www.yell.com/biz/filfoods-filipino-store-leeds-8549203/</t>
        </is>
      </c>
      <c r="E630" s="5" t="inlineStr">
        <is>
          <t>Yell</t>
        </is>
      </c>
      <c r="F630" s="5" t="inlineStr">
        <is>
          <t>2026-09-16</t>
        </is>
      </c>
      <c r="G630" s="5" t="inlineStr">
        <is>
          <t>phone, listing cross-check (via search results)</t>
        </is>
      </c>
      <c r="H630" s="5" t="inlineStr">
        <is>
          <t>Requires Verification</t>
        </is>
      </c>
    </row>
    <row r="631">
      <c r="A631" s="10" t="inlineStr">
        <is>
          <t>WY-0084</t>
        </is>
      </c>
      <c r="B631" s="10" t="inlineStr">
        <is>
          <t>FilFoods Filipino Store</t>
        </is>
      </c>
      <c r="C631" s="10" t="inlineStr">
        <is>
          <t>Leeds</t>
        </is>
      </c>
      <c r="D631" s="10" t="inlineStr">
        <is>
          <t>https://palengke.co.uk/shop/filfoods-filipino-store/</t>
        </is>
      </c>
      <c r="E631" s="10" t="inlineStr">
        <is>
          <t>Directory</t>
        </is>
      </c>
      <c r="F631" s="10" t="inlineStr">
        <is>
          <t>2026-09-16</t>
        </is>
      </c>
      <c r="G631" s="10" t="inlineStr">
        <is>
          <t>description, product range (via search results)</t>
        </is>
      </c>
      <c r="H631" s="10" t="inlineStr">
        <is>
          <t>Requires Verification</t>
        </is>
      </c>
    </row>
    <row r="632">
      <c r="A632" s="5" t="inlineStr">
        <is>
          <t>UK-000245</t>
        </is>
      </c>
      <c r="B632" s="5" t="inlineStr">
        <is>
          <t>First Choice Off Licence</t>
        </is>
      </c>
      <c r="C632" s="5" t="inlineStr">
        <is>
          <t>Sheffield</t>
        </is>
      </c>
      <c r="D632" s="5" t="inlineStr">
        <is>
          <t>https://www.facebook.com/FirstChoiceOffLicence/</t>
        </is>
      </c>
      <c r="E632" s="5" t="inlineStr">
        <is>
          <t>Facebook</t>
        </is>
      </c>
      <c r="F632" s="5" t="inlineStr">
        <is>
          <t>2026-09-16</t>
        </is>
      </c>
      <c r="G632" s="5" t="inlineStr">
        <is>
          <t>name, product range</t>
        </is>
      </c>
      <c r="H632" s="5" t="inlineStr">
        <is>
          <t>Requires Verification</t>
        </is>
      </c>
    </row>
    <row r="633">
      <c r="A633" s="10" t="inlineStr">
        <is>
          <t>UK-000605</t>
        </is>
      </c>
      <c r="B633" s="10" t="inlineStr">
        <is>
          <t>First Gear Convenience Store</t>
        </is>
      </c>
      <c r="C633" s="10" t="inlineStr">
        <is>
          <t>London</t>
        </is>
      </c>
      <c r="D633" s="10" t="inlineStr">
        <is>
          <t>https://www.yell.com/s/off+licences-sw9.html</t>
        </is>
      </c>
      <c r="E633" s="10" t="inlineStr">
        <is>
          <t>Yell</t>
        </is>
      </c>
      <c r="F633" s="10" t="inlineStr">
        <is>
          <t>2026-09-17</t>
        </is>
      </c>
      <c r="G633" s="10" t="inlineStr">
        <is>
          <t>business name, address, phone</t>
        </is>
      </c>
      <c r="H633" s="10" t="inlineStr">
        <is>
          <t>Requires Verification</t>
        </is>
      </c>
    </row>
    <row r="634">
      <c r="A634" s="5" t="inlineStr">
        <is>
          <t>UK-000246</t>
        </is>
      </c>
      <c r="B634" s="5" t="inlineStr">
        <is>
          <t>Flemingate News</t>
        </is>
      </c>
      <c r="C634" s="5" t="inlineStr">
        <is>
          <t>Beverley</t>
        </is>
      </c>
      <c r="D634" s="5" t="inlineStr">
        <is>
          <t>https://beverley.cylex-uk.co.uk/newsagents/</t>
        </is>
      </c>
      <c r="E634" s="5" t="inlineStr">
        <is>
          <t>Directory</t>
        </is>
      </c>
      <c r="F634" s="5" t="inlineStr">
        <is>
          <t>2026-09-16</t>
        </is>
      </c>
      <c r="G634" s="5" t="inlineStr">
        <is>
          <t>name, 83 Flemingate address, postcode, phone (via search results)</t>
        </is>
      </c>
      <c r="H634" s="5" t="inlineStr">
        <is>
          <t>Requires Verification</t>
        </is>
      </c>
    </row>
    <row r="635">
      <c r="A635" s="10" t="inlineStr">
        <is>
          <t>UK-000247</t>
        </is>
      </c>
      <c r="B635" s="10" t="inlineStr">
        <is>
          <t>FonFix &amp; Vape Shop</t>
        </is>
      </c>
      <c r="C635" s="10" t="inlineStr">
        <is>
          <t>Grimsby</t>
        </is>
      </c>
      <c r="D635" s="10" t="inlineStr">
        <is>
          <t>https://www.facebook.com/p/FonFix-Vape-Shop-100067673350065/</t>
        </is>
      </c>
      <c r="E635" s="10" t="inlineStr">
        <is>
          <t>Facebook</t>
        </is>
      </c>
      <c r="F635" s="10" t="inlineStr">
        <is>
          <t>2026-09-16</t>
        </is>
      </c>
      <c r="G635" s="10" t="inlineStr">
        <is>
          <t>name, Freeman Street address, phone (via search results)</t>
        </is>
      </c>
      <c r="H635" s="10" t="inlineStr">
        <is>
          <t>Requires Verification</t>
        </is>
      </c>
    </row>
    <row r="636">
      <c r="A636" s="5" t="inlineStr">
        <is>
          <t>UK-000248</t>
        </is>
      </c>
      <c r="B636" s="5" t="inlineStr">
        <is>
          <t>Food Plus (Babylon Supermarket 7)</t>
        </is>
      </c>
      <c r="C636" s="5" t="inlineStr">
        <is>
          <t>Kingston upon Hull</t>
        </is>
      </c>
      <c r="D636" s="5" t="inlineStr">
        <is>
          <t>https://www.foodplus.eu/en/products/food-plus-babylon-supermarket-7-hu3-4bj-kingston-upon-hull</t>
        </is>
      </c>
      <c r="E636" s="5" t="inlineStr">
        <is>
          <t>Directory</t>
        </is>
      </c>
      <c r="F636" s="5" t="inlineStr">
        <is>
          <t>2026-09-16</t>
        </is>
      </c>
      <c r="G636" s="5" t="inlineStr">
        <is>
          <t>name, HU3 4BJ postcode (via search results)</t>
        </is>
      </c>
      <c r="H636" s="5" t="inlineStr">
        <is>
          <t>Requires Verification</t>
        </is>
      </c>
    </row>
    <row r="637">
      <c r="A637" s="10" t="inlineStr">
        <is>
          <t>UK-000775</t>
        </is>
      </c>
      <c r="B637" s="10" t="inlineStr">
        <is>
          <t>Food World</t>
        </is>
      </c>
      <c r="C637" s="10" t="inlineStr">
        <is>
          <t>Liverpool</t>
        </is>
      </c>
      <c r="D637" s="10" t="inlineStr">
        <is>
          <t>https://www.yell.com/biz/foodworld-liverpool-7634386/</t>
        </is>
      </c>
      <c r="E637" s="10" t="inlineStr">
        <is>
          <t>Yell</t>
        </is>
      </c>
      <c r="F637" s="10" t="inlineStr">
        <is>
          <t>2026-09-17</t>
        </is>
      </c>
      <c r="G637" s="10" t="inlineStr">
        <is>
          <t>name, address, postcode</t>
        </is>
      </c>
      <c r="H637" s="10" t="inlineStr">
        <is>
          <t>Requires Verification</t>
        </is>
      </c>
    </row>
    <row r="638">
      <c r="A638" s="5" t="inlineStr">
        <is>
          <t>UK-000776</t>
        </is>
      </c>
      <c r="B638" s="5" t="inlineStr">
        <is>
          <t>Foodasia Hypermart</t>
        </is>
      </c>
      <c r="C638" s="5" t="inlineStr">
        <is>
          <t>Glasgow</t>
        </is>
      </c>
      <c r="D638" s="5" t="inlineStr">
        <is>
          <t>https://foodasiaonline.com/</t>
        </is>
      </c>
      <c r="E638" s="5" t="inlineStr">
        <is>
          <t>Official Website</t>
        </is>
      </c>
      <c r="F638" s="5" t="inlineStr">
        <is>
          <t>2026-09-17</t>
        </is>
      </c>
      <c r="G638" s="5" t="inlineStr">
        <is>
          <t>trading name, positioning, website</t>
        </is>
      </c>
      <c r="H638" s="5" t="inlineStr">
        <is>
          <t>Requires Verification</t>
        </is>
      </c>
    </row>
    <row r="639">
      <c r="A639" s="10" t="inlineStr">
        <is>
          <t>UK-000776</t>
        </is>
      </c>
      <c r="B639" s="10" t="inlineStr">
        <is>
          <t>Foodasia Hypermart</t>
        </is>
      </c>
      <c r="C639" s="10" t="inlineStr">
        <is>
          <t>Glasgow</t>
        </is>
      </c>
      <c r="D639" s="10" t="inlineStr">
        <is>
          <t>https://ratings.food.gov.uk/business/1206701/foodasia-supermarket-glasgow</t>
        </is>
      </c>
      <c r="E639" s="10" t="inlineStr">
        <is>
          <t>Other</t>
        </is>
      </c>
      <c r="F639" s="10" t="inlineStr">
        <is>
          <t>2026-09-17</t>
        </is>
      </c>
      <c r="G639" s="10" t="inlineStr">
        <is>
          <t>address, postcode</t>
        </is>
      </c>
      <c r="H639" s="10" t="inlineStr">
        <is>
          <t>Requires Verification</t>
        </is>
      </c>
    </row>
    <row r="640">
      <c r="A640" s="5" t="inlineStr">
        <is>
          <t>WY-0085</t>
        </is>
      </c>
      <c r="B640" s="5" t="inlineStr">
        <is>
          <t>Forever Vapes</t>
        </is>
      </c>
      <c r="C640" s="5" t="inlineStr">
        <is>
          <t>Heckmondwike</t>
        </is>
      </c>
      <c r="D640" s="5" t="inlineStr">
        <is>
          <t>https://vapeshops.puffingbird.com/yorkshire-and-the-humber/heckmondwike/forever-vapes-ltd</t>
        </is>
      </c>
      <c r="E640" s="5" t="inlineStr">
        <is>
          <t>Directory</t>
        </is>
      </c>
      <c r="F640" s="5" t="inlineStr">
        <is>
          <t>2026-09-16</t>
        </is>
      </c>
      <c r="G640" s="5" t="inlineStr">
        <is>
          <t>name, street, postcode</t>
        </is>
      </c>
      <c r="H640" s="5" t="inlineStr">
        <is>
          <t>Requires Verification</t>
        </is>
      </c>
    </row>
    <row r="641">
      <c r="A641" s="10" t="inlineStr">
        <is>
          <t>UK-000606</t>
        </is>
      </c>
      <c r="B641" s="10" t="inlineStr">
        <is>
          <t>Fresh Bazaar Ltd</t>
        </is>
      </c>
      <c r="C641" s="10" t="inlineStr">
        <is>
          <t>Bethnal Green</t>
        </is>
      </c>
      <c r="D641" s="10" t="inlineStr">
        <is>
          <t>https://www.192.com/atoz/business/london-e2/convenience-stores/fresh-bazaar-ltd/931f21171fde778d06198bb33ab9a5f663a96283/ml/</t>
        </is>
      </c>
      <c r="E641" s="10" t="inlineStr">
        <is>
          <t>Directory</t>
        </is>
      </c>
      <c r="F641" s="10" t="inlineStr">
        <is>
          <t>2026-09-17</t>
        </is>
      </c>
      <c r="G641" s="10" t="inlineStr">
        <is>
          <t>name, district, postcode</t>
        </is>
      </c>
      <c r="H641" s="10" t="inlineStr">
        <is>
          <t>Requires Verification</t>
        </is>
      </c>
    </row>
    <row r="642">
      <c r="A642" s="5" t="inlineStr">
        <is>
          <t>WY-0086</t>
        </is>
      </c>
      <c r="B642" s="5" t="inlineStr">
        <is>
          <t>FreshCo Wakefield</t>
        </is>
      </c>
      <c r="C642" s="5" t="inlineStr">
        <is>
          <t>Wakefield</t>
        </is>
      </c>
      <c r="D642" s="5" t="inlineStr">
        <is>
          <t>https://www.wakefieldexpress.co.uk/lifestyle/food-and-drink/world-foods-new-supermarket-in-wakefield-caters-for-european-asian-african-and-middle-eastern-tastes-3999877</t>
        </is>
      </c>
      <c r="E642" s="5" t="inlineStr">
        <is>
          <t>News / Trade Press</t>
        </is>
      </c>
      <c r="F642" s="5" t="inlineStr">
        <is>
          <t>2026-09-16</t>
        </is>
      </c>
      <c r="G642" s="5" t="inlineStr">
        <is>
          <t>opening story, owner name, product range</t>
        </is>
      </c>
      <c r="H642" s="5" t="inlineStr">
        <is>
          <t>Partially Verified</t>
        </is>
      </c>
    </row>
    <row r="643">
      <c r="A643" s="10" t="inlineStr">
        <is>
          <t>WY-0086</t>
        </is>
      </c>
      <c r="B643" s="10" t="inlineStr">
        <is>
          <t>FreshCo Wakefield</t>
        </is>
      </c>
      <c r="C643" s="10" t="inlineStr">
        <is>
          <t>Wakefield</t>
        </is>
      </c>
      <c r="D643" s="10" t="inlineStr">
        <is>
          <t>https://find-and-update.company-information.service.gov.uk/company/13746881</t>
        </is>
      </c>
      <c r="E643" s="10" t="inlineStr">
        <is>
          <t>Companies House</t>
        </is>
      </c>
      <c r="F643" s="10" t="inlineStr">
        <is>
          <t>2026-09-16</t>
        </is>
      </c>
      <c r="G643" s="10" t="inlineStr">
        <is>
          <t>company number, incorporation 16 Nov 2021 (via search snippet)</t>
        </is>
      </c>
      <c r="H643" s="10" t="inlineStr">
        <is>
          <t>Partially Verified</t>
        </is>
      </c>
    </row>
    <row r="644">
      <c r="A644" s="5" t="inlineStr">
        <is>
          <t>WY-0086</t>
        </is>
      </c>
      <c r="B644" s="5" t="inlineStr">
        <is>
          <t>FreshCo Wakefield</t>
        </is>
      </c>
      <c r="C644" s="5" t="inlineStr">
        <is>
          <t>Wakefield</t>
        </is>
      </c>
      <c r="D644" s="5" t="inlineStr">
        <is>
          <t>https://wakefield.cylex-uk.co.uk/company/freshco-supermarket-28819652.html</t>
        </is>
      </c>
      <c r="E644" s="5" t="inlineStr">
        <is>
          <t>Directory</t>
        </is>
      </c>
      <c r="F644" s="5" t="inlineStr">
        <is>
          <t>2026-09-16</t>
        </is>
      </c>
      <c r="G644" s="5" t="inlineStr">
        <is>
          <t>address St Andrews Hall, Upper Warrengate WF1 4JZ (via search snippet)</t>
        </is>
      </c>
      <c r="H644" s="5" t="inlineStr">
        <is>
          <t>Partially Verified</t>
        </is>
      </c>
    </row>
    <row r="645">
      <c r="A645" s="10" t="inlineStr">
        <is>
          <t>WY-0086</t>
        </is>
      </c>
      <c r="B645" s="10" t="inlineStr">
        <is>
          <t>FreshCo Wakefield</t>
        </is>
      </c>
      <c r="C645" s="10" t="inlineStr">
        <is>
          <t>Wakefield</t>
        </is>
      </c>
      <c r="D645" s="10" t="inlineStr">
        <is>
          <t>https://freshcowakefield.com/restaurant</t>
        </is>
      </c>
      <c r="E645" s="10" t="inlineStr">
        <is>
          <t>Official Website</t>
        </is>
      </c>
      <c r="F645" s="10" t="inlineStr">
        <is>
          <t>2026-09-16</t>
        </is>
      </c>
      <c r="G645" s="10" t="inlineStr">
        <is>
          <t>website existence, restaurant/cafe arm (seen in search results; fetch blocked)</t>
        </is>
      </c>
      <c r="H645" s="10" t="inlineStr">
        <is>
          <t>Partially Verified</t>
        </is>
      </c>
    </row>
    <row r="646">
      <c r="A646" s="5" t="inlineStr">
        <is>
          <t>UK-000249</t>
        </is>
      </c>
      <c r="B646" s="5" t="inlineStr">
        <is>
          <t>Freshco Cash &amp; Carry</t>
        </is>
      </c>
      <c r="C646" s="5" t="inlineStr">
        <is>
          <t>Kingston upon Hull</t>
        </is>
      </c>
      <c r="D646" s="5" t="inlineStr">
        <is>
          <t>https://freshcocashcarry.co.uk/</t>
        </is>
      </c>
      <c r="E646" s="5" t="inlineStr">
        <is>
          <t>Official Website</t>
        </is>
      </c>
      <c r="F646" s="5" t="inlineStr">
        <is>
          <t>2026-09-16</t>
        </is>
      </c>
      <c r="G646" s="5" t="inlineStr">
        <is>
          <t>name, product range, delivery (via search results)</t>
        </is>
      </c>
      <c r="H646" s="5" t="inlineStr">
        <is>
          <t>Verified (website + Companies House)</t>
        </is>
      </c>
    </row>
    <row r="647">
      <c r="A647" s="10" t="inlineStr">
        <is>
          <t>UK-000249</t>
        </is>
      </c>
      <c r="B647" s="10" t="inlineStr">
        <is>
          <t>Freshco Cash &amp; Carry</t>
        </is>
      </c>
      <c r="C647" s="10" t="inlineStr">
        <is>
          <t>Kingston upon Hull</t>
        </is>
      </c>
      <c r="D647" s="10" t="inlineStr">
        <is>
          <t>https://find-and-update.company-information.service.gov.uk/company/14599796</t>
        </is>
      </c>
      <c r="E647" s="10" t="inlineStr">
        <is>
          <t>Companies House</t>
        </is>
      </c>
      <c r="F647" s="10" t="inlineStr">
        <is>
          <t>2026-09-16</t>
        </is>
      </c>
      <c r="G647" s="10" t="inlineStr">
        <is>
          <t>company number, status, incorporation date</t>
        </is>
      </c>
      <c r="H647" s="10" t="inlineStr">
        <is>
          <t>Verified (website + Companies House)</t>
        </is>
      </c>
    </row>
    <row r="648">
      <c r="A648" s="5" t="inlineStr">
        <is>
          <t>UK-000249</t>
        </is>
      </c>
      <c r="B648" s="5" t="inlineStr">
        <is>
          <t>Freshco Cash &amp; Carry</t>
        </is>
      </c>
      <c r="C648" s="5" t="inlineStr">
        <is>
          <t>Kingston upon Hull</t>
        </is>
      </c>
      <c r="D648" s="5" t="inlineStr">
        <is>
          <t>https://ratings.food.gov.uk/business/193206/freshco-cash-carry-kingston-upon-hull/online-ratings</t>
        </is>
      </c>
      <c r="E648" s="5" t="inlineStr">
        <is>
          <t>Directory</t>
        </is>
      </c>
      <c r="F648" s="5" t="inlineStr">
        <is>
          <t>2026-09-16</t>
        </is>
      </c>
      <c r="G648" s="5" t="inlineStr">
        <is>
          <t>Spring Bank address, postcode (via search results)</t>
        </is>
      </c>
      <c r="H648" s="5" t="inlineStr">
        <is>
          <t>Verified (website + Companies House)</t>
        </is>
      </c>
    </row>
    <row r="649">
      <c r="A649" s="10" t="inlineStr">
        <is>
          <t>WY-0087</t>
        </is>
      </c>
      <c r="B649" s="10" t="inlineStr">
        <is>
          <t>Freshco UK</t>
        </is>
      </c>
      <c r="C649" s="10" t="inlineStr">
        <is>
          <t>Bradford</t>
        </is>
      </c>
      <c r="D649" s="10" t="inlineStr">
        <is>
          <t>https://freshco-uk-ltd.wheree.com/</t>
        </is>
      </c>
      <c r="E649" s="10" t="inlineStr">
        <is>
          <t>Directory</t>
        </is>
      </c>
      <c r="F649" s="10" t="inlineStr">
        <is>
          <t>2026-09-16</t>
        </is>
      </c>
      <c r="G649" s="10" t="inlineStr">
        <is>
          <t>name, Manningham Bradford location, halal offer (search result)</t>
        </is>
      </c>
      <c r="H649" s="10" t="inlineStr">
        <is>
          <t>Requires Verification</t>
        </is>
      </c>
    </row>
    <row r="650">
      <c r="A650" s="5" t="inlineStr">
        <is>
          <t>UK-000607</t>
        </is>
      </c>
      <c r="B650" s="5" t="inlineStr">
        <is>
          <t>Fulham Food &amp; Wine</t>
        </is>
      </c>
      <c r="C650" s="5" t="inlineStr">
        <is>
          <t>London</t>
        </is>
      </c>
      <c r="D650" s="5" t="inlineStr">
        <is>
          <t>https://www.yell.com/s/off+licences-fulham-london.html</t>
        </is>
      </c>
      <c r="E650" s="5" t="inlineStr">
        <is>
          <t>Yell</t>
        </is>
      </c>
      <c r="F650" s="5" t="inlineStr">
        <is>
          <t>2026-09-17</t>
        </is>
      </c>
      <c r="G650" s="5" t="inlineStr">
        <is>
          <t>business name, address, postcode, phone</t>
        </is>
      </c>
      <c r="H650" s="5" t="inlineStr">
        <is>
          <t>Requires Verification</t>
        </is>
      </c>
    </row>
    <row r="651">
      <c r="A651" s="10" t="inlineStr">
        <is>
          <t>UK-000608</t>
        </is>
      </c>
      <c r="B651" s="10" t="inlineStr">
        <is>
          <t>G S Wines</t>
        </is>
      </c>
      <c r="C651" s="10" t="inlineStr">
        <is>
          <t>Dagenham</t>
        </is>
      </c>
      <c r="D651" s="10" t="inlineStr">
        <is>
          <t>https://www.yell.com/s/off+licences-london+borough+of+barking+and+dagenham.html</t>
        </is>
      </c>
      <c r="E651" s="10" t="inlineStr">
        <is>
          <t>Yell</t>
        </is>
      </c>
      <c r="F651" s="10" t="inlineStr">
        <is>
          <t>2026-09-17</t>
        </is>
      </c>
      <c r="G651" s="10" t="inlineStr">
        <is>
          <t>name, address, postcode, phone</t>
        </is>
      </c>
      <c r="H651" s="10" t="inlineStr">
        <is>
          <t>Requires Verification</t>
        </is>
      </c>
    </row>
    <row r="652">
      <c r="A652" s="5" t="inlineStr">
        <is>
          <t>UK-000250</t>
        </is>
      </c>
      <c r="B652" s="5" t="inlineStr">
        <is>
          <t>GDF Vape Shop</t>
        </is>
      </c>
      <c r="C652" s="5" t="inlineStr">
        <is>
          <t>Doncaster</t>
        </is>
      </c>
      <c r="D652" s="5" t="inlineStr">
        <is>
          <t>https://gdf-vape-shop.ueniweb.com/</t>
        </is>
      </c>
      <c r="E652" s="5" t="inlineStr">
        <is>
          <t>Directory</t>
        </is>
      </c>
      <c r="F652" s="5" t="inlineStr">
        <is>
          <t>2026-09-16</t>
        </is>
      </c>
      <c r="G652" s="5" t="inlineStr">
        <is>
          <t>name, product range, website</t>
        </is>
      </c>
      <c r="H652" s="5" t="inlineStr">
        <is>
          <t>Requires Verification</t>
        </is>
      </c>
    </row>
    <row r="653">
      <c r="A653" s="10" t="inlineStr">
        <is>
          <t>UK-000472</t>
        </is>
      </c>
      <c r="B653" s="10" t="inlineStr">
        <is>
          <t>Gadgets And Vape House</t>
        </is>
      </c>
      <c r="C653" s="10" t="inlineStr">
        <is>
          <t>Dudley</t>
        </is>
      </c>
      <c r="D653" s="10" t="inlineStr">
        <is>
          <t>https://shopdudley.co.uk/listing/gadgets-and-vape-house/</t>
        </is>
      </c>
      <c r="E653" s="10" t="inlineStr">
        <is>
          <t>Directory</t>
        </is>
      </c>
      <c r="F653" s="10" t="inlineStr">
        <is>
          <t>2026-09-17</t>
        </is>
      </c>
      <c r="G653" s="10" t="inlineStr">
        <is>
          <t>business name, Dudley location (directory listing)</t>
        </is>
      </c>
      <c r="H653" s="10" t="inlineStr">
        <is>
          <t>Requires Verification</t>
        </is>
      </c>
    </row>
    <row r="654">
      <c r="A654" s="5" t="inlineStr">
        <is>
          <t>UK-000609</t>
        </is>
      </c>
      <c r="B654" s="5" t="inlineStr">
        <is>
          <t>Galaxy Convenient Store</t>
        </is>
      </c>
      <c r="C654" s="5" t="inlineStr">
        <is>
          <t>Mitcham</t>
        </is>
      </c>
      <c r="D654" s="5" t="inlineStr">
        <is>
          <t>https://www.yell.com/biz/galaxy-convienient-store-mitcham-6771299/</t>
        </is>
      </c>
      <c r="E654" s="5" t="inlineStr">
        <is>
          <t>Yell</t>
        </is>
      </c>
      <c r="F654" s="5" t="inlineStr">
        <is>
          <t>2026-09-17</t>
        </is>
      </c>
      <c r="G654" s="5" t="inlineStr">
        <is>
          <t>business name, address</t>
        </is>
      </c>
      <c r="H654" s="5" t="inlineStr">
        <is>
          <t>Requires Verification</t>
        </is>
      </c>
    </row>
    <row r="655">
      <c r="A655" s="10" t="inlineStr">
        <is>
          <t>UK-000610</t>
        </is>
      </c>
      <c r="B655" s="10" t="inlineStr">
        <is>
          <t>Ganapathy Cash &amp; Carry</t>
        </is>
      </c>
      <c r="C655" s="10" t="inlineStr">
        <is>
          <t>Wembley</t>
        </is>
      </c>
      <c r="D655" s="10" t="inlineStr">
        <is>
          <t>https://www.yell.com/biz/ganapathy-cash-and-carry-wembley-5472445/</t>
        </is>
      </c>
      <c r="E655" s="10" t="inlineStr">
        <is>
          <t>Yell</t>
        </is>
      </c>
      <c r="F655" s="10" t="inlineStr">
        <is>
          <t>2026-09-17</t>
        </is>
      </c>
      <c r="G655" s="10" t="inlineStr">
        <is>
          <t>business name, address, phone</t>
        </is>
      </c>
      <c r="H655" s="10" t="inlineStr">
        <is>
          <t>Requires Verification</t>
        </is>
      </c>
    </row>
    <row r="656">
      <c r="A656" s="5" t="inlineStr">
        <is>
          <t>WY-0088</t>
        </is>
      </c>
      <c r="B656" s="5" t="inlineStr">
        <is>
          <t>Get Plugged</t>
        </is>
      </c>
      <c r="C656" s="5" t="inlineStr">
        <is>
          <t>Huddersfield</t>
        </is>
      </c>
      <c r="D656" s="5" t="inlineStr">
        <is>
          <t>https://www.yorkshire.com/huddersfield/shopping/vape-shops/get-plugged</t>
        </is>
      </c>
      <c r="E656" s="5" t="inlineStr">
        <is>
          <t>Directory</t>
        </is>
      </c>
      <c r="F656" s="5" t="inlineStr">
        <is>
          <t>2026-09-16</t>
        </is>
      </c>
      <c r="G656" s="5" t="inlineStr">
        <is>
          <t>Bradford Road location, opening hours</t>
        </is>
      </c>
      <c r="H656" s="5" t="inlineStr">
        <is>
          <t>Requires Verification</t>
        </is>
      </c>
    </row>
    <row r="657">
      <c r="A657" s="10" t="inlineStr">
        <is>
          <t>WY-0088</t>
        </is>
      </c>
      <c r="B657" s="10" t="inlineStr">
        <is>
          <t>Get Plugged</t>
        </is>
      </c>
      <c r="C657" s="10" t="inlineStr">
        <is>
          <t>Huddersfield</t>
        </is>
      </c>
      <c r="D657" s="10" t="inlineStr">
        <is>
          <t>https://getplugged.co.uk/</t>
        </is>
      </c>
      <c r="E657" s="10" t="inlineStr">
        <is>
          <t>Official Website</t>
        </is>
      </c>
      <c r="F657" s="10" t="inlineStr">
        <is>
          <t>2026-09-16</t>
        </is>
      </c>
      <c r="G657" s="10" t="inlineStr">
        <is>
          <t>website URL seen in search results (fetch blocked)</t>
        </is>
      </c>
      <c r="H657" s="10" t="inlineStr">
        <is>
          <t>Requires Verification</t>
        </is>
      </c>
    </row>
    <row r="658">
      <c r="A658" s="5" t="inlineStr">
        <is>
          <t>WY-0088</t>
        </is>
      </c>
      <c r="B658" s="5" t="inlineStr">
        <is>
          <t>Get Plugged</t>
        </is>
      </c>
      <c r="C658" s="5" t="inlineStr">
        <is>
          <t>Huddersfield</t>
        </is>
      </c>
      <c r="D658" s="5" t="inlineStr">
        <is>
          <t>https://www.facebook.com/p/Get-Plugged-61559687350403/</t>
        </is>
      </c>
      <c r="E658" s="5" t="inlineStr">
        <is>
          <t>Facebook</t>
        </is>
      </c>
      <c r="F658" s="5" t="inlineStr">
        <is>
          <t>2026-09-16</t>
        </is>
      </c>
      <c r="G658" s="5" t="inlineStr">
        <is>
          <t>social (facebook)</t>
        </is>
      </c>
      <c r="H658" s="5" t="inlineStr">
        <is>
          <t>Requires Verification</t>
        </is>
      </c>
    </row>
    <row r="659">
      <c r="A659" s="10" t="inlineStr">
        <is>
          <t>WY-0089</t>
        </is>
      </c>
      <c r="B659" s="10" t="inlineStr">
        <is>
          <t>Gibraltar Mini Mart</t>
        </is>
      </c>
      <c r="C659" s="10" t="inlineStr">
        <is>
          <t>Halifax</t>
        </is>
      </c>
      <c r="D659" s="10" t="inlineStr">
        <is>
          <t>https://www.yorkshire.com/halifax/shopping/corner-shops/gibraltar-mini-mart-vapemobile-shop</t>
        </is>
      </c>
      <c r="E659" s="10" t="inlineStr">
        <is>
          <t>Directory</t>
        </is>
      </c>
      <c r="F659" s="10" t="inlineStr">
        <is>
          <t>2026-09-16</t>
        </is>
      </c>
      <c r="G659" s="10" t="inlineStr">
        <is>
          <t>name, address, product mix</t>
        </is>
      </c>
      <c r="H659" s="10" t="inlineStr">
        <is>
          <t>Requires Verification</t>
        </is>
      </c>
    </row>
    <row r="660">
      <c r="A660" s="5" t="inlineStr">
        <is>
          <t>UK-000359</t>
        </is>
      </c>
      <c r="B660" s="5" t="inlineStr">
        <is>
          <t>Global Food Ashton</t>
        </is>
      </c>
      <c r="C660" s="5" t="inlineStr">
        <is>
          <t>Ashton-under-Lyne</t>
        </is>
      </c>
      <c r="D660" s="5" t="inlineStr">
        <is>
          <t>https://www.yell.com/biz/global-food-ashton-ashton-under-lyne-8490812/</t>
        </is>
      </c>
      <c r="E660" s="5" t="inlineStr">
        <is>
          <t>Yell</t>
        </is>
      </c>
      <c r="F660" s="5" t="inlineStr">
        <is>
          <t>2026-09-17</t>
        </is>
      </c>
      <c r="G660" s="5" t="inlineStr">
        <is>
          <t>address, postcode</t>
        </is>
      </c>
      <c r="H660" s="5" t="inlineStr">
        <is>
          <t>Requires Verification</t>
        </is>
      </c>
    </row>
    <row r="661">
      <c r="A661" s="10" t="inlineStr">
        <is>
          <t>WY-0090</t>
        </is>
      </c>
      <c r="B661" s="10" t="inlineStr">
        <is>
          <t>Global Mini Market 2</t>
        </is>
      </c>
      <c r="C661" s="10" t="inlineStr">
        <is>
          <t>Bingley</t>
        </is>
      </c>
      <c r="D661" s="10" t="inlineStr">
        <is>
          <t>https://www.24houralcohol.co.uk/bradford-off-licences</t>
        </is>
      </c>
      <c r="E661" s="10" t="inlineStr">
        <is>
          <t>Directory</t>
        </is>
      </c>
      <c r="F661" s="10" t="inlineStr">
        <is>
          <t>2026-09-16</t>
        </is>
      </c>
      <c r="G661" s="10" t="inlineStr">
        <is>
          <t>name, address 83-85 Main Street BD16 2JA, 24/7 opening (search snippet)</t>
        </is>
      </c>
      <c r="H661" s="10" t="inlineStr">
        <is>
          <t>Requires Verification</t>
        </is>
      </c>
    </row>
    <row r="662">
      <c r="A662" s="5" t="inlineStr">
        <is>
          <t>UK-000611</t>
        </is>
      </c>
      <c r="B662" s="5" t="inlineStr">
        <is>
          <t>Global News</t>
        </is>
      </c>
      <c r="C662" s="5" t="inlineStr">
        <is>
          <t>Stratford</t>
        </is>
      </c>
      <c r="D662" s="5" t="inlineStr">
        <is>
          <t>https://www.yell.com/s/vape+shops-stratford-east+london.html</t>
        </is>
      </c>
      <c r="E662" s="5" t="inlineStr">
        <is>
          <t>Yell</t>
        </is>
      </c>
      <c r="F662" s="5" t="inlineStr">
        <is>
          <t>2026-09-17</t>
        </is>
      </c>
      <c r="G662" s="5" t="inlineStr">
        <is>
          <t>name, address, postcode</t>
        </is>
      </c>
      <c r="H662" s="5" t="inlineStr">
        <is>
          <t>Requires Verification</t>
        </is>
      </c>
    </row>
    <row r="663">
      <c r="A663" s="10" t="inlineStr">
        <is>
          <t>UK-000777</t>
        </is>
      </c>
      <c r="B663" s="10" t="inlineStr">
        <is>
          <t>Goldenacre Wines</t>
        </is>
      </c>
      <c r="C663" s="10" t="inlineStr">
        <is>
          <t>Edinburgh</t>
        </is>
      </c>
      <c r="D663" s="10" t="inlineStr">
        <is>
          <t>https://www.yell.com/s/off+licences-leith.html</t>
        </is>
      </c>
      <c r="E663" s="10" t="inlineStr">
        <is>
          <t>Yell</t>
        </is>
      </c>
      <c r="F663" s="10" t="inlineStr">
        <is>
          <t>2026-09-17</t>
        </is>
      </c>
      <c r="G663" s="10" t="inlineStr">
        <is>
          <t>name, address, phone (snippet)</t>
        </is>
      </c>
      <c r="H663" s="10" t="inlineStr">
        <is>
          <t>Requires Verification</t>
        </is>
      </c>
    </row>
    <row r="664">
      <c r="A664" s="5" t="inlineStr">
        <is>
          <t>UK-000778</t>
        </is>
      </c>
      <c r="B664" s="5" t="inlineStr">
        <is>
          <t>Granby Supermarkets</t>
        </is>
      </c>
      <c r="C664" s="5" t="inlineStr">
        <is>
          <t>Liverpool</t>
        </is>
      </c>
      <c r="D664" s="5" t="inlineStr">
        <is>
          <t>https://www.yell.com/biz/granby-supermarkets-liverpool-8906587/</t>
        </is>
      </c>
      <c r="E664" s="5" t="inlineStr">
        <is>
          <t>Yell</t>
        </is>
      </c>
      <c r="F664" s="5" t="inlineStr">
        <is>
          <t>2026-09-17</t>
        </is>
      </c>
      <c r="G664" s="5" t="inlineStr">
        <is>
          <t>name, address, postcode, phone</t>
        </is>
      </c>
      <c r="H664" s="5" t="inlineStr">
        <is>
          <t>Requires Verification</t>
        </is>
      </c>
    </row>
    <row r="665">
      <c r="A665" s="10" t="inlineStr">
        <is>
          <t>UK-000473</t>
        </is>
      </c>
      <c r="B665" s="10" t="inlineStr">
        <is>
          <t>Green Supermarket</t>
        </is>
      </c>
      <c r="C665" s="10" t="inlineStr">
        <is>
          <t>Birmingham</t>
        </is>
      </c>
      <c r="D665" s="10" t="inlineStr">
        <is>
          <t>https://birmingham.ukintouch.com/supermarket/green-supermarket/</t>
        </is>
      </c>
      <c r="E665" s="10" t="inlineStr">
        <is>
          <t>Directory</t>
        </is>
      </c>
      <c r="F665" s="10" t="inlineStr">
        <is>
          <t>2026-09-17</t>
        </is>
      </c>
      <c r="G665" s="10" t="inlineStr">
        <is>
          <t>address, postcode</t>
        </is>
      </c>
      <c r="H665" s="10" t="inlineStr">
        <is>
          <t>Requires Verification</t>
        </is>
      </c>
    </row>
    <row r="666">
      <c r="A666" s="5" t="inlineStr">
        <is>
          <t>WY-0091</t>
        </is>
      </c>
      <c r="B666" s="5" t="inlineStr">
        <is>
          <t>Greengates Service Station</t>
        </is>
      </c>
      <c r="C666" s="5" t="inlineStr">
        <is>
          <t>Bradford</t>
        </is>
      </c>
      <c r="D666" s="5" t="inlineStr">
        <is>
          <t>https://fuelmap.co.uk/forecourt/612/</t>
        </is>
      </c>
      <c r="E666" s="5" t="inlineStr">
        <is>
          <t>Directory</t>
        </is>
      </c>
      <c r="F666" s="5" t="inlineStr">
        <is>
          <t>2026-09-16</t>
        </is>
      </c>
      <c r="G666" s="5" t="inlineStr">
        <is>
          <t>name and Bradford (Greengates) location (search result)</t>
        </is>
      </c>
      <c r="H666" s="5" t="inlineStr">
        <is>
          <t>Requires Verification</t>
        </is>
      </c>
    </row>
    <row r="667">
      <c r="A667" s="10" t="inlineStr">
        <is>
          <t>UK-000251</t>
        </is>
      </c>
      <c r="B667" s="10" t="inlineStr">
        <is>
          <t>Greenroof Service Station</t>
        </is>
      </c>
      <c r="C667" s="10" t="inlineStr">
        <is>
          <t>Goole</t>
        </is>
      </c>
      <c r="D667" s="10" t="inlineStr">
        <is>
          <t>https://directory.hinckleytimes.net/search/scunthorpe/petrol-service-stations</t>
        </is>
      </c>
      <c r="E667" s="10" t="inlineStr">
        <is>
          <t>Directory</t>
        </is>
      </c>
      <c r="F667" s="10" t="inlineStr">
        <is>
          <t>2026-09-16</t>
        </is>
      </c>
      <c r="G667" s="10" t="inlineStr">
        <is>
          <t>name, Swinefleet/Goole location (via search results)</t>
        </is>
      </c>
      <c r="H667" s="10" t="inlineStr">
        <is>
          <t>Requires Verification</t>
        </is>
      </c>
    </row>
    <row r="668">
      <c r="A668" s="5" t="inlineStr">
        <is>
          <t>UK-000252</t>
        </is>
      </c>
      <c r="B668" s="5" t="inlineStr">
        <is>
          <t>Grimsby Toys and Vapes</t>
        </is>
      </c>
      <c r="C668" s="5" t="inlineStr">
        <is>
          <t>Grimsby</t>
        </is>
      </c>
      <c r="D668" s="5" t="inlineStr">
        <is>
          <t>https://grimsbylocal.co.uk/businesses/grimsby-toys-and-vapes</t>
        </is>
      </c>
      <c r="E668" s="5" t="inlineStr">
        <is>
          <t>Directory</t>
        </is>
      </c>
      <c r="F668" s="5" t="inlineStr">
        <is>
          <t>2026-09-16</t>
        </is>
      </c>
      <c r="G668" s="5" t="inlineStr">
        <is>
          <t>name, Pasture Street address, phone (via search results)</t>
        </is>
      </c>
      <c r="H668" s="5" t="inlineStr">
        <is>
          <t>Requires Verification</t>
        </is>
      </c>
    </row>
    <row r="669">
      <c r="A669" s="10" t="inlineStr">
        <is>
          <t>UK-000779</t>
        </is>
      </c>
      <c r="B669" s="10" t="inlineStr">
        <is>
          <t>Grog Shop</t>
        </is>
      </c>
      <c r="C669" s="10" t="inlineStr">
        <is>
          <t>Liverpool</t>
        </is>
      </c>
      <c r="D669" s="10" t="inlineStr">
        <is>
          <t>https://kirkby.cylex-uk.co.uk/convenience-stores/</t>
        </is>
      </c>
      <c r="E669" s="10" t="inlineStr">
        <is>
          <t>Directory</t>
        </is>
      </c>
      <c r="F669" s="10" t="inlineStr">
        <is>
          <t>2026-09-17</t>
        </is>
      </c>
      <c r="G669" s="10" t="inlineStr">
        <is>
          <t>name, address, postcode, phone</t>
        </is>
      </c>
      <c r="H669" s="10" t="inlineStr">
        <is>
          <t>Requires Verification</t>
        </is>
      </c>
    </row>
    <row r="670">
      <c r="A670" s="5" t="inlineStr">
        <is>
          <t>WY-0092</t>
        </is>
      </c>
      <c r="B670" s="5" t="inlineStr">
        <is>
          <t>Gulf Service Station Featherstone</t>
        </is>
      </c>
      <c r="C670" s="5" t="inlineStr">
        <is>
          <t>Featherstone</t>
        </is>
      </c>
      <c r="D670" s="5" t="inlineStr">
        <is>
          <t>https://www.yorkshire.com/featherstone/services/petrol-stations</t>
        </is>
      </c>
      <c r="E670" s="5" t="inlineStr">
        <is>
          <t>Directory</t>
        </is>
      </c>
      <c r="F670" s="5" t="inlineStr">
        <is>
          <t>2026-09-16</t>
        </is>
      </c>
      <c r="G670" s="5" t="inlineStr">
        <is>
          <t>Gulf Service station, Wakefield Rd, Featherstone WF7 5BP</t>
        </is>
      </c>
      <c r="H670" s="5" t="inlineStr">
        <is>
          <t>Requires Verification</t>
        </is>
      </c>
    </row>
    <row r="671">
      <c r="A671" s="10" t="inlineStr">
        <is>
          <t>WY-0093</t>
        </is>
      </c>
      <c r="B671" s="10" t="inlineStr">
        <is>
          <t>Halal Sweets Company</t>
        </is>
      </c>
      <c r="C671" s="10" t="inlineStr">
        <is>
          <t>Bradford</t>
        </is>
      </c>
      <c r="D671" s="10" t="inlineStr">
        <is>
          <t>https://halalsweets.company.site/</t>
        </is>
      </c>
      <c r="E671" s="10" t="inlineStr">
        <is>
          <t>Official Website</t>
        </is>
      </c>
      <c r="F671" s="10" t="inlineStr">
        <is>
          <t>2026-09-16</t>
        </is>
      </c>
      <c r="G671" s="10" t="inlineStr">
        <is>
          <t>business description, Bradford base (search snippet; fetch blocked)</t>
        </is>
      </c>
      <c r="H671" s="10" t="inlineStr">
        <is>
          <t>Partially Verified</t>
        </is>
      </c>
    </row>
    <row r="672">
      <c r="A672" s="5" t="inlineStr">
        <is>
          <t>WY-0093</t>
        </is>
      </c>
      <c r="B672" s="5" t="inlineStr">
        <is>
          <t>Halal Sweets Company</t>
        </is>
      </c>
      <c r="C672" s="5" t="inlineStr">
        <is>
          <t>Bradford</t>
        </is>
      </c>
      <c r="D672" s="5" t="inlineStr">
        <is>
          <t>https://halalsweetscompany.co.uk/</t>
        </is>
      </c>
      <c r="E672" s="5" t="inlineStr">
        <is>
          <t>Official Website</t>
        </is>
      </c>
      <c r="F672" s="5" t="inlineStr">
        <is>
          <t>2026-09-16</t>
        </is>
      </c>
      <c r="G672" s="5" t="inlineStr">
        <is>
          <t>email, social (facebook)</t>
        </is>
      </c>
      <c r="H672" s="5" t="inlineStr">
        <is>
          <t>Partially Verified</t>
        </is>
      </c>
    </row>
    <row r="673">
      <c r="A673" s="10" t="inlineStr">
        <is>
          <t>UK-000474</t>
        </is>
      </c>
      <c r="B673" s="10" t="inlineStr">
        <is>
          <t>Hall Green Convenience Store</t>
        </is>
      </c>
      <c r="C673" s="10" t="inlineStr">
        <is>
          <t>Birmingham</t>
        </is>
      </c>
      <c r="D673" s="10" t="inlineStr">
        <is>
          <t>https://firmania.co.uk/birmingham/hall-green-convenience-store-6482223</t>
        </is>
      </c>
      <c r="E673" s="10" t="inlineStr">
        <is>
          <t>Directory</t>
        </is>
      </c>
      <c r="F673" s="10" t="inlineStr">
        <is>
          <t>2026-09-17</t>
        </is>
      </c>
      <c r="G673" s="10" t="inlineStr">
        <is>
          <t>address, postcode</t>
        </is>
      </c>
      <c r="H673" s="10" t="inlineStr">
        <is>
          <t>Requires Verification</t>
        </is>
      </c>
    </row>
    <row r="674">
      <c r="A674" s="5" t="inlineStr">
        <is>
          <t>UK-000475</t>
        </is>
      </c>
      <c r="B674" s="5" t="inlineStr">
        <is>
          <t>Hall Green News &amp; Mini Mart Ltd</t>
        </is>
      </c>
      <c r="C674" s="5" t="inlineStr">
        <is>
          <t>Birmingham</t>
        </is>
      </c>
      <c r="D674" s="5" t="inlineStr">
        <is>
          <t>https://firmania.co.uk/birmingham/hall-green-news-mini-mart-ltd-4938374</t>
        </is>
      </c>
      <c r="E674" s="5" t="inlineStr">
        <is>
          <t>Directory</t>
        </is>
      </c>
      <c r="F674" s="5" t="inlineStr">
        <is>
          <t>2026-09-17</t>
        </is>
      </c>
      <c r="G674" s="5" t="inlineStr">
        <is>
          <t>address, postcode</t>
        </is>
      </c>
      <c r="H674" s="5" t="inlineStr">
        <is>
          <t>Requires Verification</t>
        </is>
      </c>
    </row>
    <row r="675">
      <c r="A675" s="10" t="inlineStr">
        <is>
          <t>UK-000476</t>
        </is>
      </c>
      <c r="B675" s="10" t="inlineStr">
        <is>
          <t>Hall Green PFS</t>
        </is>
      </c>
      <c r="C675" s="10" t="inlineStr">
        <is>
          <t>Birmingham</t>
        </is>
      </c>
      <c r="D675" s="10" t="inlineStr">
        <is>
          <t>https://eg-otm.com/locations/Birmingham/HALL/hall-green-pfs</t>
        </is>
      </c>
      <c r="E675" s="10" t="inlineStr">
        <is>
          <t>Directory</t>
        </is>
      </c>
      <c r="F675" s="10" t="inlineStr">
        <is>
          <t>2026-09-17</t>
        </is>
      </c>
      <c r="G675" s="10" t="inlineStr">
        <is>
          <t>address, postcode</t>
        </is>
      </c>
      <c r="H675" s="10" t="inlineStr">
        <is>
          <t>Requires Verification</t>
        </is>
      </c>
    </row>
    <row r="676">
      <c r="A676" s="5" t="inlineStr">
        <is>
          <t>WY-0094</t>
        </is>
      </c>
      <c r="B676" s="5" t="inlineStr">
        <is>
          <t>Hang Sing Hong</t>
        </is>
      </c>
      <c r="C676" s="5" t="inlineStr">
        <is>
          <t>Leeds</t>
        </is>
      </c>
      <c r="D676" s="5" t="inlineStr">
        <is>
          <t>https://www.yelp.co.uk/biz/hang-sing-hong-leeds-2</t>
        </is>
      </c>
      <c r="E676" s="5" t="inlineStr">
        <is>
          <t>Directory</t>
        </is>
      </c>
      <c r="F676" s="5" t="inlineStr">
        <is>
          <t>2026-09-16</t>
        </is>
      </c>
      <c r="G676" s="5" t="inlineStr">
        <is>
          <t>name, address, postcode (via search results)</t>
        </is>
      </c>
      <c r="H676" s="5" t="inlineStr">
        <is>
          <t>Requires Verification</t>
        </is>
      </c>
    </row>
    <row r="677">
      <c r="A677" s="10" t="inlineStr">
        <is>
          <t>UK-000612</t>
        </is>
      </c>
      <c r="B677" s="10" t="inlineStr">
        <is>
          <t>Happy Wines</t>
        </is>
      </c>
      <c r="C677" s="10" t="inlineStr">
        <is>
          <t>Dagenham</t>
        </is>
      </c>
      <c r="D677" s="10" t="inlineStr">
        <is>
          <t>https://www.yell.com/s/off+licences-london+borough+of+barking+and+dagenham.html</t>
        </is>
      </c>
      <c r="E677" s="10" t="inlineStr">
        <is>
          <t>Yell</t>
        </is>
      </c>
      <c r="F677" s="10" t="inlineStr">
        <is>
          <t>2026-09-17</t>
        </is>
      </c>
      <c r="G677" s="10" t="inlineStr">
        <is>
          <t>name, address, postcode</t>
        </is>
      </c>
      <c r="H677" s="10" t="inlineStr">
        <is>
          <t>Requires Verification</t>
        </is>
      </c>
    </row>
    <row r="678">
      <c r="A678" s="5" t="inlineStr">
        <is>
          <t>UK-000253</t>
        </is>
      </c>
      <c r="B678" s="5" t="inlineStr">
        <is>
          <t>Haris&amp;Co Supermarket</t>
        </is>
      </c>
      <c r="C678" s="5" t="inlineStr">
        <is>
          <t>Kingston upon Hull</t>
        </is>
      </c>
      <c r="D678" s="5" t="inlineStr">
        <is>
          <t>https://harrisandco.vercel.app/</t>
        </is>
      </c>
      <c r="E678" s="5" t="inlineStr">
        <is>
          <t>Official Website</t>
        </is>
      </c>
      <c r="F678" s="5" t="inlineStr">
        <is>
          <t>2026-09-16</t>
        </is>
      </c>
      <c r="G678" s="5" t="inlineStr">
        <is>
          <t>name, Terry Street address, postcode (via search results)</t>
        </is>
      </c>
      <c r="H678" s="5" t="inlineStr">
        <is>
          <t>Partially Verified</t>
        </is>
      </c>
    </row>
    <row r="679">
      <c r="A679" s="10" t="inlineStr">
        <is>
          <t>UK-000254</t>
        </is>
      </c>
      <c r="B679" s="10" t="inlineStr">
        <is>
          <t>Harvest Service Station</t>
        </is>
      </c>
      <c r="C679" s="10" t="inlineStr">
        <is>
          <t>Doncaster</t>
        </is>
      </c>
      <c r="D679" s="10" t="inlineStr">
        <is>
          <t>https://www.mylocalservices.co.uk/24+Hr+Petrol+Stations-Doncaster.html</t>
        </is>
      </c>
      <c r="E679" s="10" t="inlineStr">
        <is>
          <t>Directory</t>
        </is>
      </c>
      <c r="F679" s="10" t="inlineStr">
        <is>
          <t>2026-09-16</t>
        </is>
      </c>
      <c r="G679" s="10" t="inlineStr">
        <is>
          <t>name, street, category</t>
        </is>
      </c>
      <c r="H679" s="10" t="inlineStr">
        <is>
          <t>Requires Verification</t>
        </is>
      </c>
    </row>
    <row r="680">
      <c r="A680" s="5" t="inlineStr">
        <is>
          <t>UK-000477</t>
        </is>
      </c>
      <c r="B680" s="5" t="inlineStr">
        <is>
          <t>Hayer Brothers Groceries &amp; Off Licence</t>
        </is>
      </c>
      <c r="C680" s="5" t="inlineStr">
        <is>
          <t>Birmingham</t>
        </is>
      </c>
      <c r="D680" s="5" t="inlineStr">
        <is>
          <t>https://www.yell.com/s/off+licences-handsworth-birmingham.html</t>
        </is>
      </c>
      <c r="E680" s="5" t="inlineStr">
        <is>
          <t>Yell</t>
        </is>
      </c>
      <c r="F680" s="5" t="inlineStr">
        <is>
          <t>2026-09-17</t>
        </is>
      </c>
      <c r="G680" s="5" t="inlineStr">
        <is>
          <t>address, postcode, phone</t>
        </is>
      </c>
      <c r="H680" s="5" t="inlineStr">
        <is>
          <t>Requires Verification</t>
        </is>
      </c>
    </row>
    <row r="681">
      <c r="A681" s="10" t="inlineStr">
        <is>
          <t>UK-000613</t>
        </is>
      </c>
      <c r="B681" s="10" t="inlineStr">
        <is>
          <t>Hayes Vapes</t>
        </is>
      </c>
      <c r="C681" s="10" t="inlineStr">
        <is>
          <t>Hayes</t>
        </is>
      </c>
      <c r="D681" s="10" t="inlineStr">
        <is>
          <t>https://www.allinlondon.co.uk/directory/tobacconists/214481-hayes-vapes</t>
        </is>
      </c>
      <c r="E681" s="10" t="inlineStr">
        <is>
          <t>Directory</t>
        </is>
      </c>
      <c r="F681" s="10" t="inlineStr">
        <is>
          <t>2026-09-17</t>
        </is>
      </c>
      <c r="G681" s="10" t="inlineStr">
        <is>
          <t>address, phone</t>
        </is>
      </c>
      <c r="H681" s="10" t="inlineStr">
        <is>
          <t>Requires Verification</t>
        </is>
      </c>
    </row>
    <row r="682">
      <c r="A682" s="5" t="inlineStr">
        <is>
          <t>UK-000613</t>
        </is>
      </c>
      <c r="B682" s="5" t="inlineStr">
        <is>
          <t>Hayes Vapes</t>
        </is>
      </c>
      <c r="C682" s="5" t="inlineStr">
        <is>
          <t>Hayes</t>
        </is>
      </c>
      <c r="D682" s="5" t="inlineStr">
        <is>
          <t>https://www.yell.com/biz/hayes-vapes-hayes-10161586/</t>
        </is>
      </c>
      <c r="E682" s="5" t="inlineStr">
        <is>
          <t>Yell</t>
        </is>
      </c>
      <c r="F682" s="5" t="inlineStr">
        <is>
          <t>2026-09-17</t>
        </is>
      </c>
      <c r="G682" s="5" t="inlineStr">
        <is>
          <t>business name</t>
        </is>
      </c>
      <c r="H682" s="5" t="inlineStr">
        <is>
          <t>Requires Verification</t>
        </is>
      </c>
    </row>
    <row r="683">
      <c r="A683" s="10" t="inlineStr">
        <is>
          <t>WY-0095</t>
        </is>
      </c>
      <c r="B683" s="10" t="inlineStr">
        <is>
          <t>Heckmondwike Service Station</t>
        </is>
      </c>
      <c r="C683" s="10" t="inlineStr">
        <is>
          <t>Heckmondwike</t>
        </is>
      </c>
      <c r="D683" s="10" t="inlineStr">
        <is>
          <t>https://map.bp.com/en-US/GB/gas-station/dewsbury/heckmondwike-service-station/137101962</t>
        </is>
      </c>
      <c r="E683" s="10" t="inlineStr">
        <is>
          <t>Directory</t>
        </is>
      </c>
      <c r="F683" s="10" t="inlineStr">
        <is>
          <t>2026-09-16</t>
        </is>
      </c>
      <c r="G683" s="10" t="inlineStr">
        <is>
          <t>site name, road</t>
        </is>
      </c>
      <c r="H683" s="10" t="inlineStr">
        <is>
          <t>Requires Verification</t>
        </is>
      </c>
    </row>
    <row r="684">
      <c r="A684" s="5" t="inlineStr">
        <is>
          <t>WY-0095</t>
        </is>
      </c>
      <c r="B684" s="5" t="inlineStr">
        <is>
          <t>Heckmondwike Service Station</t>
        </is>
      </c>
      <c r="C684" s="5" t="inlineStr">
        <is>
          <t>Heckmondwike</t>
        </is>
      </c>
      <c r="D684" s="5" t="inlineStr">
        <is>
          <t>https://fuelfox.uk/station/heckmondwike-service-station-dewsbury-3798</t>
        </is>
      </c>
      <c r="E684" s="5" t="inlineStr">
        <is>
          <t>Directory</t>
        </is>
      </c>
      <c r="F684" s="5" t="inlineStr">
        <is>
          <t>2026-09-16</t>
        </is>
      </c>
      <c r="G684" s="5" t="inlineStr">
        <is>
          <t>active fuel pricing (trading confirmation)</t>
        </is>
      </c>
      <c r="H684" s="5" t="inlineStr">
        <is>
          <t>Requires Verification</t>
        </is>
      </c>
    </row>
    <row r="685">
      <c r="A685" s="10" t="inlineStr">
        <is>
          <t>UK-000614</t>
        </is>
      </c>
      <c r="B685" s="10" t="inlineStr">
        <is>
          <t>Helena News</t>
        </is>
      </c>
      <c r="C685" s="10" t="inlineStr">
        <is>
          <t>Feltham</t>
        </is>
      </c>
      <c r="D685" s="10" t="inlineStr">
        <is>
          <t>https://www.yell.com/s/newsagents-feltham-middlesex.html</t>
        </is>
      </c>
      <c r="E685" s="10" t="inlineStr">
        <is>
          <t>Yell</t>
        </is>
      </c>
      <c r="F685" s="10" t="inlineStr">
        <is>
          <t>2026-09-17</t>
        </is>
      </c>
      <c r="G685" s="10" t="inlineStr">
        <is>
          <t>business name, address, phone</t>
        </is>
      </c>
      <c r="H685" s="10" t="inlineStr">
        <is>
          <t>Requires Verification</t>
        </is>
      </c>
    </row>
    <row r="686">
      <c r="A686" s="5" t="inlineStr">
        <is>
          <t>UK-000360</t>
        </is>
      </c>
      <c r="B686" s="5" t="inlineStr">
        <is>
          <t>High Bank Convenience Store &amp; Off Licence (Gorton)</t>
        </is>
      </c>
      <c r="C686" s="5" t="inlineStr">
        <is>
          <t>Manchester</t>
        </is>
      </c>
      <c r="D686" s="5" t="inlineStr">
        <is>
          <t>https://www.just-eat.co.uk/restaurants-high-bank-convenience-store-and-off-licence-manchester/menu</t>
        </is>
      </c>
      <c r="E686" s="5" t="inlineStr">
        <is>
          <t>Directory</t>
        </is>
      </c>
      <c r="F686" s="5" t="inlineStr">
        <is>
          <t>2026-09-17</t>
        </is>
      </c>
      <c r="G686" s="5" t="inlineStr">
        <is>
          <t>business name, address, postcode, phone</t>
        </is>
      </c>
      <c r="H686" s="5" t="inlineStr">
        <is>
          <t>Requires Verification</t>
        </is>
      </c>
    </row>
    <row r="687">
      <c r="A687" s="10" t="inlineStr">
        <is>
          <t>UK-000780</t>
        </is>
      </c>
      <c r="B687" s="10" t="inlineStr">
        <is>
          <t>High Park Off Licence</t>
        </is>
      </c>
      <c r="C687" s="10" t="inlineStr">
        <is>
          <t>Liverpool</t>
        </is>
      </c>
      <c r="D687" s="10" t="inlineStr">
        <is>
          <t>https://liverpool.cylex-uk.co.uk/company/high-park--off-licence-13894901.html</t>
        </is>
      </c>
      <c r="E687" s="10" t="inlineStr">
        <is>
          <t>Directory</t>
        </is>
      </c>
      <c r="F687" s="10" t="inlineStr">
        <is>
          <t>2026-09-17</t>
        </is>
      </c>
      <c r="G687" s="10" t="inlineStr">
        <is>
          <t>name, address, postcode, phone</t>
        </is>
      </c>
      <c r="H687" s="10" t="inlineStr">
        <is>
          <t>Requires Verification</t>
        </is>
      </c>
    </row>
    <row r="688">
      <c r="A688" s="5" t="inlineStr">
        <is>
          <t>UK-000478</t>
        </is>
      </c>
      <c r="B688" s="5" t="inlineStr">
        <is>
          <t>High Street Wine Stores</t>
        </is>
      </c>
      <c r="C688" s="5" t="inlineStr">
        <is>
          <t>West Bromwich</t>
        </is>
      </c>
      <c r="D688" s="5" t="inlineStr">
        <is>
          <t>https://west-bromwich.cylex-uk.co.uk/company/high-street-wine-stores-16185574.html</t>
        </is>
      </c>
      <c r="E688" s="5" t="inlineStr">
        <is>
          <t>Directory</t>
        </is>
      </c>
      <c r="F688" s="5" t="inlineStr">
        <is>
          <t>2026-09-17</t>
        </is>
      </c>
      <c r="G688" s="5" t="inlineStr">
        <is>
          <t>business name, West Bromwich location (directory snippet)</t>
        </is>
      </c>
      <c r="H688" s="5" t="inlineStr">
        <is>
          <t>Requires Verification</t>
        </is>
      </c>
    </row>
    <row r="689">
      <c r="A689" s="10" t="inlineStr">
        <is>
          <t>UK-000255</t>
        </is>
      </c>
      <c r="B689" s="10" t="inlineStr">
        <is>
          <t>Hillsborough Vape Lounge</t>
        </is>
      </c>
      <c r="C689" s="10" t="inlineStr">
        <is>
          <t>Sheffield</t>
        </is>
      </c>
      <c r="D689" s="10" t="inlineStr">
        <is>
          <t>https://ecigdirectory.co.uk/vape-shop/listing/hillsborough-vape-lounge-sheffield</t>
        </is>
      </c>
      <c r="E689" s="10" t="inlineStr">
        <is>
          <t>Directory</t>
        </is>
      </c>
      <c r="F689" s="10" t="inlineStr">
        <is>
          <t>2026-09-16</t>
        </is>
      </c>
      <c r="G689" s="10" t="inlineStr">
        <is>
          <t>name, address, postcode</t>
        </is>
      </c>
      <c r="H689" s="10" t="inlineStr">
        <is>
          <t>Requires Verification</t>
        </is>
      </c>
    </row>
    <row r="690">
      <c r="A690" s="5" t="inlineStr">
        <is>
          <t>UK-000781</t>
        </is>
      </c>
      <c r="B690" s="5" t="inlineStr">
        <is>
          <t>Hing Sing Chinese Supermarket</t>
        </is>
      </c>
      <c r="C690" s="5" t="inlineStr">
        <is>
          <t>Edinburgh</t>
        </is>
      </c>
      <c r="D690" s="5" t="inlineStr">
        <is>
          <t>https://www.yell.com/biz/hing-sing-chinese-supermarket-ltd-edinburgh-725922/</t>
        </is>
      </c>
      <c r="E690" s="5" t="inlineStr">
        <is>
          <t>Yell</t>
        </is>
      </c>
      <c r="F690" s="5" t="inlineStr">
        <is>
          <t>2026-09-17</t>
        </is>
      </c>
      <c r="G690" s="5" t="inlineStr">
        <is>
          <t>name, address, phone, wholesale note (snippet)</t>
        </is>
      </c>
      <c r="H690" s="5" t="inlineStr">
        <is>
          <t>Requires Verification</t>
        </is>
      </c>
    </row>
    <row r="691">
      <c r="A691" s="10" t="inlineStr">
        <is>
          <t>UK-000781</t>
        </is>
      </c>
      <c r="B691" s="10" t="inlineStr">
        <is>
          <t>Hing Sing Chinese Supermarket</t>
        </is>
      </c>
      <c r="C691" s="10" t="inlineStr">
        <is>
          <t>Edinburgh</t>
        </is>
      </c>
      <c r="D691" s="10" t="inlineStr">
        <is>
          <t>https://edinburgh.cylex-uk.co.uk/company/hing-sing-chinese-supermarket-ltd-17096313.html</t>
        </is>
      </c>
      <c r="E691" s="10" t="inlineStr">
        <is>
          <t>Directory</t>
        </is>
      </c>
      <c r="F691" s="10" t="inlineStr">
        <is>
          <t>2026-09-17</t>
        </is>
      </c>
      <c r="G691" s="10" t="inlineStr">
        <is>
          <t>postcode, product range</t>
        </is>
      </c>
      <c r="H691" s="10" t="inlineStr">
        <is>
          <t>Requires Verification</t>
        </is>
      </c>
    </row>
    <row r="692">
      <c r="A692" s="5" t="inlineStr">
        <is>
          <t>UK-000256</t>
        </is>
      </c>
      <c r="B692" s="5" t="inlineStr">
        <is>
          <t>Holderness Convenience &amp; Spirits</t>
        </is>
      </c>
      <c r="C692" s="5" t="inlineStr">
        <is>
          <t>Kingston upon Hull</t>
        </is>
      </c>
      <c r="D692" s="5" t="inlineStr">
        <is>
          <t>https://www.yorkshire.com/hull/shopping/off-license/holderness-convenience-spirits</t>
        </is>
      </c>
      <c r="E692" s="5" t="inlineStr">
        <is>
          <t>Directory</t>
        </is>
      </c>
      <c r="F692" s="5" t="inlineStr">
        <is>
          <t>2026-09-16</t>
        </is>
      </c>
      <c r="G692" s="5" t="inlineStr">
        <is>
          <t>name, Holderness Road location (via search results)</t>
        </is>
      </c>
      <c r="H692" s="5" t="inlineStr">
        <is>
          <t>Requires Verification</t>
        </is>
      </c>
    </row>
    <row r="693">
      <c r="A693" s="10" t="inlineStr">
        <is>
          <t>UK-000782</t>
        </is>
      </c>
      <c r="B693" s="10" t="inlineStr">
        <is>
          <t>Holliday's</t>
        </is>
      </c>
      <c r="C693" s="10" t="inlineStr">
        <is>
          <t>Liverpool</t>
        </is>
      </c>
      <c r="D693" s="10" t="inlineStr">
        <is>
          <t>https://kirkby.cylex-uk.co.uk/convenience-stores/</t>
        </is>
      </c>
      <c r="E693" s="10" t="inlineStr">
        <is>
          <t>Directory</t>
        </is>
      </c>
      <c r="F693" s="10" t="inlineStr">
        <is>
          <t>2026-09-17</t>
        </is>
      </c>
      <c r="G693" s="10" t="inlineStr">
        <is>
          <t>name, address, postcode, phone</t>
        </is>
      </c>
      <c r="H693" s="10" t="inlineStr">
        <is>
          <t>Requires Verification</t>
        </is>
      </c>
    </row>
    <row r="694">
      <c r="A694" s="5" t="inlineStr">
        <is>
          <t>UK-000479</t>
        </is>
      </c>
      <c r="B694" s="5" t="inlineStr">
        <is>
          <t>Home From Home Foods</t>
        </is>
      </c>
      <c r="C694" s="5" t="inlineStr">
        <is>
          <t>Wolverhampton</t>
        </is>
      </c>
      <c r="D694" s="5" t="inlineStr">
        <is>
          <t>https://www.homefromhomefoods.com/wolverhampton-shop</t>
        </is>
      </c>
      <c r="E694" s="5" t="inlineStr">
        <is>
          <t>Official Website</t>
        </is>
      </c>
      <c r="F694" s="5" t="inlineStr">
        <is>
          <t>2026-09-17</t>
        </is>
      </c>
      <c r="G694" s="5" t="inlineStr">
        <is>
          <t>address, postcode, phone</t>
        </is>
      </c>
      <c r="H694" s="5" t="inlineStr">
        <is>
          <t>Partially Verified</t>
        </is>
      </c>
    </row>
    <row r="695">
      <c r="A695" s="10" t="inlineStr">
        <is>
          <t>UK-000479</t>
        </is>
      </c>
      <c r="B695" s="10" t="inlineStr">
        <is>
          <t>Home From Home Foods</t>
        </is>
      </c>
      <c r="C695" s="10" t="inlineStr">
        <is>
          <t>Wolverhampton</t>
        </is>
      </c>
      <c r="D695" s="10" t="inlineStr">
        <is>
          <t>https://www.192.com/atoz/business/wolverhampton-wv2/grocers/home-from-home/932abcb61feaa7842a78749cf27fefdfafc04eaa/ml/</t>
        </is>
      </c>
      <c r="E695" s="10" t="inlineStr">
        <is>
          <t>Directory</t>
        </is>
      </c>
      <c r="F695" s="10" t="inlineStr">
        <is>
          <t>2026-09-17</t>
        </is>
      </c>
      <c r="G695" s="10" t="inlineStr">
        <is>
          <t>postcode confirmation</t>
        </is>
      </c>
      <c r="H695" s="10" t="inlineStr">
        <is>
          <t>Partially Verified</t>
        </is>
      </c>
    </row>
    <row r="696">
      <c r="A696" s="5" t="inlineStr">
        <is>
          <t>WY-0096</t>
        </is>
      </c>
      <c r="B696" s="5" t="inlineStr">
        <is>
          <t>Hopes News</t>
        </is>
      </c>
      <c r="C696" s="5" t="inlineStr">
        <is>
          <t>Shipley</t>
        </is>
      </c>
      <c r="D696" s="5" t="inlineStr">
        <is>
          <t>https://www.yorkshire.com/shipley/shopping/off-license/hopes-news</t>
        </is>
      </c>
      <c r="E696" s="5" t="inlineStr">
        <is>
          <t>Directory</t>
        </is>
      </c>
      <c r="F696" s="5" t="inlineStr">
        <is>
          <t>2026-09-16</t>
        </is>
      </c>
      <c r="G696" s="5" t="inlineStr">
        <is>
          <t>name, Otley Road Baildon location, hours (search snippet)</t>
        </is>
      </c>
      <c r="H696" s="5" t="inlineStr">
        <is>
          <t>Requires Verification</t>
        </is>
      </c>
    </row>
    <row r="697">
      <c r="A697" s="10" t="inlineStr">
        <is>
          <t>UK-000361</t>
        </is>
      </c>
      <c r="B697" s="10" t="inlineStr">
        <is>
          <t>House of Vapez Rochdale</t>
        </is>
      </c>
      <c r="C697" s="10" t="inlineStr">
        <is>
          <t>Rochdale</t>
        </is>
      </c>
      <c r="D697" s="10" t="inlineStr">
        <is>
          <t>https://www.instagram.com/houseofvapezrochdale/</t>
        </is>
      </c>
      <c r="E697" s="10" t="inlineStr">
        <is>
          <t>Instagram</t>
        </is>
      </c>
      <c r="F697" s="10" t="inlineStr">
        <is>
          <t>2026-09-17</t>
        </is>
      </c>
      <c r="G697" s="10" t="inlineStr">
        <is>
          <t>address, postcode, phone, email</t>
        </is>
      </c>
      <c r="H697" s="10" t="inlineStr">
        <is>
          <t>Requires Verification</t>
        </is>
      </c>
    </row>
    <row r="698">
      <c r="A698" s="5" t="inlineStr">
        <is>
          <t>WY-0097</t>
        </is>
      </c>
      <c r="B698" s="5" t="inlineStr">
        <is>
          <t>House of Vapour</t>
        </is>
      </c>
      <c r="C698" s="5" t="inlineStr">
        <is>
          <t>South Elmsall</t>
        </is>
      </c>
      <c r="D698" s="5" t="inlineStr">
        <is>
          <t>https://www.houseofvapour.net/</t>
        </is>
      </c>
      <c r="E698" s="5" t="inlineStr">
        <is>
          <t>Official Website</t>
        </is>
      </c>
      <c r="F698" s="5" t="inlineStr">
        <is>
          <t>2026-09-16</t>
        </is>
      </c>
      <c r="G698" s="5" t="inlineStr">
        <is>
          <t>location Barnsley Road South Elmsall, positioning (seen in search results; fetch blocked)</t>
        </is>
      </c>
      <c r="H698" s="5" t="inlineStr">
        <is>
          <t>Requires Verification</t>
        </is>
      </c>
    </row>
    <row r="699">
      <c r="A699" s="10" t="inlineStr">
        <is>
          <t>WY-0097</t>
        </is>
      </c>
      <c r="B699" s="10" t="inlineStr">
        <is>
          <t>House of Vapour</t>
        </is>
      </c>
      <c r="C699" s="10" t="inlineStr">
        <is>
          <t>South Elmsall</t>
        </is>
      </c>
      <c r="D699" s="10" t="inlineStr">
        <is>
          <t>https://ecigdirectory.co.uk/vape-shop/listing/house-of-vapour</t>
        </is>
      </c>
      <c r="E699" s="10" t="inlineStr">
        <is>
          <t>Directory</t>
        </is>
      </c>
      <c r="F699" s="10" t="inlineStr">
        <is>
          <t>2026-09-16</t>
        </is>
      </c>
      <c r="G699" s="10" t="inlineStr">
        <is>
          <t>directory listing cross-check</t>
        </is>
      </c>
      <c r="H699" s="10" t="inlineStr">
        <is>
          <t>Requires Verification</t>
        </is>
      </c>
    </row>
    <row r="700">
      <c r="A700" s="5" t="inlineStr">
        <is>
          <t>WY-0097</t>
        </is>
      </c>
      <c r="B700" s="5" t="inlineStr">
        <is>
          <t>House of Vapour</t>
        </is>
      </c>
      <c r="C700" s="5" t="inlineStr">
        <is>
          <t>South Elmsall</t>
        </is>
      </c>
      <c r="D700" s="5" t="inlineStr">
        <is>
          <t>https://find-open.co.uk/south-elmsall/house-of-vapour-1803096</t>
        </is>
      </c>
      <c r="E700" s="5" t="inlineStr">
        <is>
          <t>Directory</t>
        </is>
      </c>
      <c r="F700" s="5" t="inlineStr">
        <is>
          <t>2026-09-16</t>
        </is>
      </c>
      <c r="G700" s="5" t="inlineStr">
        <is>
          <t>postcode, phone</t>
        </is>
      </c>
      <c r="H700" s="5" t="inlineStr">
        <is>
          <t>Requires Verification</t>
        </is>
      </c>
    </row>
    <row r="701">
      <c r="A701" s="10" t="inlineStr">
        <is>
          <t>UK-000362</t>
        </is>
      </c>
      <c r="B701" s="10" t="inlineStr">
        <is>
          <t>Huqqa Lounge (Rusholme)</t>
        </is>
      </c>
      <c r="C701" s="10" t="inlineStr">
        <is>
          <t>Manchester</t>
        </is>
      </c>
      <c r="D701" s="10" t="inlineStr">
        <is>
          <t>https://www.mastermanchester.co.uk/best-shisha-lounges-manchester/</t>
        </is>
      </c>
      <c r="E701" s="10" t="inlineStr">
        <is>
          <t>Directory</t>
        </is>
      </c>
      <c r="F701" s="10" t="inlineStr">
        <is>
          <t>2026-09-17</t>
        </is>
      </c>
      <c r="G701" s="10" t="inlineStr">
        <is>
          <t>business name, address, phone</t>
        </is>
      </c>
      <c r="H701" s="10" t="inlineStr">
        <is>
          <t>Requires Verification</t>
        </is>
      </c>
    </row>
    <row r="702">
      <c r="A702" s="5" t="inlineStr">
        <is>
          <t>UK-000363</t>
        </is>
      </c>
      <c r="B702" s="5" t="inlineStr">
        <is>
          <t>Hussain &amp; Sons Cash &amp; Carry Oldham</t>
        </is>
      </c>
      <c r="C702" s="5" t="inlineStr">
        <is>
          <t>Oldham</t>
        </is>
      </c>
      <c r="D702" s="5" t="inlineStr">
        <is>
          <t>https://www.oldham.co.uk/listing/1073132-Hussain-Sons-Cash-Carry/</t>
        </is>
      </c>
      <c r="E702" s="5" t="inlineStr">
        <is>
          <t>Directory</t>
        </is>
      </c>
      <c r="F702" s="5" t="inlineStr">
        <is>
          <t>2026-09-17</t>
        </is>
      </c>
      <c r="G702" s="5" t="inlineStr">
        <is>
          <t>trading name, town</t>
        </is>
      </c>
      <c r="H702" s="5" t="inlineStr">
        <is>
          <t>Requires Verification</t>
        </is>
      </c>
    </row>
    <row r="703">
      <c r="A703" s="10" t="inlineStr">
        <is>
          <t>UK-000364</t>
        </is>
      </c>
      <c r="B703" s="10" t="inlineStr">
        <is>
          <t>Hyde Convenience Store</t>
        </is>
      </c>
      <c r="C703" s="10" t="inlineStr">
        <is>
          <t>Hyde</t>
        </is>
      </c>
      <c r="D703" s="10" t="inlineStr">
        <is>
          <t>https://www.thomsonlocal.com/search/grocers/tameside/hyde-convenience-store/1637220/01613683057</t>
        </is>
      </c>
      <c r="E703" s="10" t="inlineStr">
        <is>
          <t>Directory</t>
        </is>
      </c>
      <c r="F703" s="10" t="inlineStr">
        <is>
          <t>2026-09-17</t>
        </is>
      </c>
      <c r="G703" s="10" t="inlineStr">
        <is>
          <t>address, postcode, phone</t>
        </is>
      </c>
      <c r="H703" s="10" t="inlineStr">
        <is>
          <t>Requires Verification</t>
        </is>
      </c>
    </row>
    <row r="704">
      <c r="A704" s="5" t="inlineStr">
        <is>
          <t>UK-000365</t>
        </is>
      </c>
      <c r="B704" s="5" t="inlineStr">
        <is>
          <t>Iblaze Vape (Walkden, Salford)</t>
        </is>
      </c>
      <c r="C704" s="5" t="inlineStr">
        <is>
          <t>Salford</t>
        </is>
      </c>
      <c r="D704" s="5" t="inlineStr">
        <is>
          <t>https://www.localexposurenw.co.uk/enterprise/9247/iblaze-vape-walkden--vaporiser-shop-in-walkden</t>
        </is>
      </c>
      <c r="E704" s="5" t="inlineStr">
        <is>
          <t>Directory</t>
        </is>
      </c>
      <c r="F704" s="5" t="inlineStr">
        <is>
          <t>2026-09-17</t>
        </is>
      </c>
      <c r="G704" s="5" t="inlineStr">
        <is>
          <t>business name, address, postcode, phone</t>
        </is>
      </c>
      <c r="H704" s="5" t="inlineStr">
        <is>
          <t>Requires Verification</t>
        </is>
      </c>
    </row>
    <row r="705">
      <c r="A705" s="10" t="inlineStr">
        <is>
          <t>UK-000783</t>
        </is>
      </c>
      <c r="B705" s="10" t="inlineStr">
        <is>
          <t>Ibrox Vapes &amp; Shisha Centre</t>
        </is>
      </c>
      <c r="C705" s="10" t="inlineStr">
        <is>
          <t>Glasgow</t>
        </is>
      </c>
      <c r="D705" s="10" t="inlineStr">
        <is>
          <t>https://ibrox-vapes-shisha-centre.wheree.com/</t>
        </is>
      </c>
      <c r="E705" s="10" t="inlineStr">
        <is>
          <t>Directory</t>
        </is>
      </c>
      <c r="F705" s="10" t="inlineStr">
        <is>
          <t>2026-09-17</t>
        </is>
      </c>
      <c r="G705" s="10" t="inlineStr">
        <is>
          <t>address, postcode, phone</t>
        </is>
      </c>
      <c r="H705" s="10" t="inlineStr">
        <is>
          <t>Requires Verification</t>
        </is>
      </c>
    </row>
    <row r="706">
      <c r="A706" s="5" t="inlineStr">
        <is>
          <t>UK-000783</t>
        </is>
      </c>
      <c r="B706" s="5" t="inlineStr">
        <is>
          <t>Ibrox Vapes &amp; Shisha Centre</t>
        </is>
      </c>
      <c r="C706" s="5" t="inlineStr">
        <is>
          <t>Glasgow</t>
        </is>
      </c>
      <c r="D706" s="5" t="inlineStr">
        <is>
          <t>https://www.facebook.com/people/Ibrox-Vapes-Shisha/100094996707701/</t>
        </is>
      </c>
      <c r="E706" s="5" t="inlineStr">
        <is>
          <t>Facebook</t>
        </is>
      </c>
      <c r="F706" s="5" t="inlineStr">
        <is>
          <t>2026-09-17</t>
        </is>
      </c>
      <c r="G706" s="5" t="inlineStr">
        <is>
          <t>trading name, social</t>
        </is>
      </c>
      <c r="H706" s="5" t="inlineStr">
        <is>
          <t>Requires Verification</t>
        </is>
      </c>
    </row>
    <row r="707">
      <c r="A707" s="10" t="inlineStr">
        <is>
          <t>WY-0098</t>
        </is>
      </c>
      <c r="B707" s="10" t="inlineStr">
        <is>
          <t>Ilkley Convenience Store</t>
        </is>
      </c>
      <c r="C707" s="10" t="inlineStr">
        <is>
          <t>Ilkley</t>
        </is>
      </c>
      <c r="D707" s="10" t="inlineStr">
        <is>
          <t>https://www.yorkshire.com/ilkley/shopping/corner-shops/ilkley-convenience-store</t>
        </is>
      </c>
      <c r="E707" s="10" t="inlineStr">
        <is>
          <t>Directory</t>
        </is>
      </c>
      <c r="F707" s="10" t="inlineStr">
        <is>
          <t>2026-09-16</t>
        </is>
      </c>
      <c r="G707" s="10" t="inlineStr">
        <is>
          <t>name, Valley Drive Ilkley location, hours (search snippet)</t>
        </is>
      </c>
      <c r="H707" s="10" t="inlineStr">
        <is>
          <t>Requires Verification</t>
        </is>
      </c>
    </row>
    <row r="708">
      <c r="A708" s="5" t="inlineStr">
        <is>
          <t>UK-000784</t>
        </is>
      </c>
      <c r="B708" s="5" t="inlineStr">
        <is>
          <t>Infinity Vapour Airdrie</t>
        </is>
      </c>
      <c r="C708" s="5" t="inlineStr">
        <is>
          <t>Airdrie</t>
        </is>
      </c>
      <c r="D708" s="5" t="inlineStr">
        <is>
          <t>https://vapemaps.co/scotland/north-lanarkshire/coatbridge</t>
        </is>
      </c>
      <c r="E708" s="5" t="inlineStr">
        <is>
          <t>Directory</t>
        </is>
      </c>
      <c r="F708" s="5" t="inlineStr">
        <is>
          <t>2026-09-17</t>
        </is>
      </c>
      <c r="G708" s="5" t="inlineStr">
        <is>
          <t>address, postcode</t>
        </is>
      </c>
      <c r="H708" s="5" t="inlineStr">
        <is>
          <t>Requires Verification</t>
        </is>
      </c>
    </row>
    <row r="709">
      <c r="A709" s="10" t="inlineStr">
        <is>
          <t>UK-000615</t>
        </is>
      </c>
      <c r="B709" s="10" t="inlineStr">
        <is>
          <t>Intcont Food &amp; Wine</t>
        </is>
      </c>
      <c r="C709" s="10" t="inlineStr">
        <is>
          <t>London</t>
        </is>
      </c>
      <c r="D709" s="10" t="inlineStr">
        <is>
          <t>https://www.yell.com/s/wine+merchants-shepherds+bush-west+london.html</t>
        </is>
      </c>
      <c r="E709" s="10" t="inlineStr">
        <is>
          <t>Yell</t>
        </is>
      </c>
      <c r="F709" s="10" t="inlineStr">
        <is>
          <t>2026-09-17</t>
        </is>
      </c>
      <c r="G709" s="10" t="inlineStr">
        <is>
          <t>business name, address, postcode, phone</t>
        </is>
      </c>
      <c r="H709" s="10" t="inlineStr">
        <is>
          <t>Requires Verification</t>
        </is>
      </c>
    </row>
    <row r="710">
      <c r="A710" s="5" t="inlineStr">
        <is>
          <t>WY-0099</t>
        </is>
      </c>
      <c r="B710" s="5" t="inlineStr">
        <is>
          <t>International Foods</t>
        </is>
      </c>
      <c r="C710" s="5" t="inlineStr">
        <is>
          <t>Leeds</t>
        </is>
      </c>
      <c r="D710" s="5" t="inlineStr">
        <is>
          <t>https://find-and-update.company-information.service.gov.uk/company/09552908</t>
        </is>
      </c>
      <c r="E710" s="5" t="inlineStr">
        <is>
          <t>Companies House</t>
        </is>
      </c>
      <c r="F710" s="5" t="inlineStr">
        <is>
          <t>2026-09-16</t>
        </is>
      </c>
      <c r="G710" s="5" t="inlineStr">
        <is>
          <t>registered name, number, registered office, incorporation date (via search results)</t>
        </is>
      </c>
      <c r="H710" s="5" t="inlineStr">
        <is>
          <t>Partially Verified</t>
        </is>
      </c>
    </row>
    <row r="711">
      <c r="A711" s="10" t="inlineStr">
        <is>
          <t>WY-0099</t>
        </is>
      </c>
      <c r="B711" s="10" t="inlineStr">
        <is>
          <t>International Foods</t>
        </is>
      </c>
      <c r="C711" s="10" t="inlineStr">
        <is>
          <t>Leeds</t>
        </is>
      </c>
      <c r="D711" s="10" t="inlineStr">
        <is>
          <t>https://www.yell.com/biz/international-foods-ltd-leeds-8342998/</t>
        </is>
      </c>
      <c r="E711" s="10" t="inlineStr">
        <is>
          <t>Yell</t>
        </is>
      </c>
      <c r="F711" s="10" t="inlineStr">
        <is>
          <t>2026-09-16</t>
        </is>
      </c>
      <c r="G711" s="10" t="inlineStr">
        <is>
          <t>listing confirmation (via search results)</t>
        </is>
      </c>
      <c r="H711" s="10" t="inlineStr">
        <is>
          <t>Partially Verified</t>
        </is>
      </c>
    </row>
    <row r="712">
      <c r="A712" s="5" t="inlineStr">
        <is>
          <t>WY-0099</t>
        </is>
      </c>
      <c r="B712" s="5" t="inlineStr">
        <is>
          <t>International Foods</t>
        </is>
      </c>
      <c r="C712" s="5" t="inlineStr">
        <is>
          <t>Leeds</t>
        </is>
      </c>
      <c r="D712" s="5" t="inlineStr">
        <is>
          <t>https://www.hereme.uk/west-yorkshire/leeds/shop-international-foods</t>
        </is>
      </c>
      <c r="E712" s="5" t="inlineStr">
        <is>
          <t>Directory</t>
        </is>
      </c>
      <c r="F712" s="5" t="inlineStr">
        <is>
          <t>2026-09-16</t>
        </is>
      </c>
      <c r="G712" s="5" t="inlineStr">
        <is>
          <t>Harehills Lane location, hours (via search results)</t>
        </is>
      </c>
      <c r="H712" s="5" t="inlineStr">
        <is>
          <t>Partially Verified</t>
        </is>
      </c>
    </row>
    <row r="713">
      <c r="A713" s="10" t="inlineStr">
        <is>
          <t>UK-000480</t>
        </is>
      </c>
      <c r="B713" s="10" t="inlineStr">
        <is>
          <t>International Mini Market</t>
        </is>
      </c>
      <c r="C713" s="10" t="inlineStr">
        <is>
          <t>Birmingham</t>
        </is>
      </c>
      <c r="D713" s="10" t="inlineStr">
        <is>
          <t>https://www.24houralcohol.co.uk/birmingham-off-licences</t>
        </is>
      </c>
      <c r="E713" s="10" t="inlineStr">
        <is>
          <t>Directory</t>
        </is>
      </c>
      <c r="F713" s="10" t="inlineStr">
        <is>
          <t>2026-09-17</t>
        </is>
      </c>
      <c r="G713" s="10" t="inlineStr">
        <is>
          <t>address, postcode, phone</t>
        </is>
      </c>
      <c r="H713" s="10" t="inlineStr">
        <is>
          <t>Requires Verification</t>
        </is>
      </c>
    </row>
    <row r="714">
      <c r="A714" s="5" t="inlineStr">
        <is>
          <t>UK-000257</t>
        </is>
      </c>
      <c r="B714" s="5" t="inlineStr">
        <is>
          <t>J A &amp; S Cowie Newsagent</t>
        </is>
      </c>
      <c r="C714" s="5" t="inlineStr">
        <is>
          <t>Ripon</t>
        </is>
      </c>
      <c r="D714" s="5" t="inlineStr">
        <is>
          <t>https://www.mynewsagent.co.uk/7788/</t>
        </is>
      </c>
      <c r="E714" s="5" t="inlineStr">
        <is>
          <t>Directory</t>
        </is>
      </c>
      <c r="F714" s="5" t="inlineStr">
        <is>
          <t>2026-09-16</t>
        </is>
      </c>
      <c r="G714" s="5" t="inlineStr">
        <is>
          <t>name, address, postcode, phone</t>
        </is>
      </c>
      <c r="H714" s="5" t="inlineStr">
        <is>
          <t>Requires Verification</t>
        </is>
      </c>
    </row>
    <row r="715">
      <c r="A715" s="10" t="inlineStr">
        <is>
          <t>UK-000785</t>
        </is>
      </c>
      <c r="B715" s="10" t="inlineStr">
        <is>
          <t>J B Halal Superstore</t>
        </is>
      </c>
      <c r="C715" s="10" t="inlineStr">
        <is>
          <t>Liverpool</t>
        </is>
      </c>
      <c r="D715" s="10" t="inlineStr">
        <is>
          <t>https://www.192.com/atoz/business/liverpool-l15/general-and-convenience-stores/j-b-halal-superstore/952a46828ce62008af96ee9a755ba287faa19c6e/ml/</t>
        </is>
      </c>
      <c r="E715" s="10" t="inlineStr">
        <is>
          <t>Directory</t>
        </is>
      </c>
      <c r="F715" s="10" t="inlineStr">
        <is>
          <t>2026-09-17</t>
        </is>
      </c>
      <c r="G715" s="10" t="inlineStr">
        <is>
          <t>name, postcode</t>
        </is>
      </c>
      <c r="H715" s="10" t="inlineStr">
        <is>
          <t>Requires Verification</t>
        </is>
      </c>
    </row>
    <row r="716">
      <c r="A716" s="5" t="inlineStr">
        <is>
          <t>UK-000785</t>
        </is>
      </c>
      <c r="B716" s="5" t="inlineStr">
        <is>
          <t>J B Halal Superstore</t>
        </is>
      </c>
      <c r="C716" s="5" t="inlineStr">
        <is>
          <t>Liverpool</t>
        </is>
      </c>
      <c r="D716" s="5" t="inlineStr">
        <is>
          <t>https://www.yell.com/biz/j-b-halal-superstore-liverpool-6176751/</t>
        </is>
      </c>
      <c r="E716" s="5" t="inlineStr">
        <is>
          <t>Yell</t>
        </is>
      </c>
      <c r="F716" s="5" t="inlineStr">
        <is>
          <t>2026-09-17</t>
        </is>
      </c>
      <c r="G716" s="5" t="inlineStr">
        <is>
          <t>name, category</t>
        </is>
      </c>
      <c r="H716" s="5" t="inlineStr">
        <is>
          <t>Requires Verification</t>
        </is>
      </c>
    </row>
    <row r="717">
      <c r="A717" s="10" t="inlineStr">
        <is>
          <t>UK-000786</t>
        </is>
      </c>
      <c r="B717" s="10" t="inlineStr">
        <is>
          <t>JK's E-Cig Warehouse</t>
        </is>
      </c>
      <c r="C717" s="10" t="inlineStr">
        <is>
          <t>Bootle</t>
        </is>
      </c>
      <c r="D717" s="10" t="inlineStr">
        <is>
          <t>https://bootle-merseyside.cylex-uk.co.uk/company/jk's-e-cig-warehouse-23900198.html</t>
        </is>
      </c>
      <c r="E717" s="10" t="inlineStr">
        <is>
          <t>Directory</t>
        </is>
      </c>
      <c r="F717" s="10" t="inlineStr">
        <is>
          <t>2026-09-17</t>
        </is>
      </c>
      <c r="G717" s="10" t="inlineStr">
        <is>
          <t>name, address, postcode, phone</t>
        </is>
      </c>
      <c r="H717" s="10" t="inlineStr">
        <is>
          <t>Requires Verification</t>
        </is>
      </c>
    </row>
    <row r="718">
      <c r="A718" s="5" t="inlineStr">
        <is>
          <t>UK-000481</t>
        </is>
      </c>
      <c r="B718" s="5" t="inlineStr">
        <is>
          <t>JS Convenience Store</t>
        </is>
      </c>
      <c r="C718" s="5" t="inlineStr">
        <is>
          <t>Wednesbury</t>
        </is>
      </c>
      <c r="D718" s="5" t="inlineStr">
        <is>
          <t>https://www.yell.com/biz/js-convenience-store-wednesbury-8809377/</t>
        </is>
      </c>
      <c r="E718" s="5" t="inlineStr">
        <is>
          <t>Yell</t>
        </is>
      </c>
      <c r="F718" s="5" t="inlineStr">
        <is>
          <t>2026-09-17</t>
        </is>
      </c>
      <c r="G718" s="5" t="inlineStr">
        <is>
          <t>business name, address (listing snippet)</t>
        </is>
      </c>
      <c r="H718" s="5" t="inlineStr">
        <is>
          <t>Requires Verification</t>
        </is>
      </c>
    </row>
    <row r="719">
      <c r="A719" s="10" t="inlineStr">
        <is>
          <t>UK-000258</t>
        </is>
      </c>
      <c r="B719" s="10" t="inlineStr">
        <is>
          <t>Jaan Lounge</t>
        </is>
      </c>
      <c r="C719" s="10" t="inlineStr">
        <is>
          <t>Sheffield</t>
        </is>
      </c>
      <c r="D719" s="10" t="inlineStr">
        <is>
          <t>https://www.jaanlounge.com/</t>
        </is>
      </c>
      <c r="E719" s="10" t="inlineStr">
        <is>
          <t>Official Website</t>
        </is>
      </c>
      <c r="F719" s="10" t="inlineStr">
        <is>
          <t>2026-09-16</t>
        </is>
      </c>
      <c r="G719" s="10" t="inlineStr">
        <is>
          <t>name, description, website</t>
        </is>
      </c>
      <c r="H719" s="10" t="inlineStr">
        <is>
          <t>Requires Verification</t>
        </is>
      </c>
    </row>
    <row r="720">
      <c r="A720" s="5" t="inlineStr">
        <is>
          <t>UK-000366</t>
        </is>
      </c>
      <c r="B720" s="5" t="inlineStr">
        <is>
          <t>Jaffa Convenience Store Ltd (Stretford)</t>
        </is>
      </c>
      <c r="C720" s="5" t="inlineStr">
        <is>
          <t>Stretford</t>
        </is>
      </c>
      <c r="D720" s="5" t="inlineStr">
        <is>
          <t>https://stretford-trafford.cylex-uk.co.uk/convenience-stores/</t>
        </is>
      </c>
      <c r="E720" s="5" t="inlineStr">
        <is>
          <t>Directory</t>
        </is>
      </c>
      <c r="F720" s="5" t="inlineStr">
        <is>
          <t>2026-09-17</t>
        </is>
      </c>
      <c r="G720" s="5" t="inlineStr">
        <is>
          <t>business name, address, postcode</t>
        </is>
      </c>
      <c r="H720" s="5" t="inlineStr">
        <is>
          <t>Requires Verification</t>
        </is>
      </c>
    </row>
    <row r="721">
      <c r="A721" s="10" t="inlineStr">
        <is>
          <t>UK-000259</t>
        </is>
      </c>
      <c r="B721" s="10" t="inlineStr">
        <is>
          <t>Jah's Off Licence</t>
        </is>
      </c>
      <c r="C721" s="10" t="inlineStr">
        <is>
          <t>Sheffield</t>
        </is>
      </c>
      <c r="D721" s="10" t="inlineStr">
        <is>
          <t>https://www.locallife.co.uk/sheffield/off-licences.asp</t>
        </is>
      </c>
      <c r="E721" s="10" t="inlineStr">
        <is>
          <t>Directory</t>
        </is>
      </c>
      <c r="F721" s="10" t="inlineStr">
        <is>
          <t>2026-09-16</t>
        </is>
      </c>
      <c r="G721" s="10" t="inlineStr">
        <is>
          <t>name, address, postcode</t>
        </is>
      </c>
      <c r="H721" s="10" t="inlineStr">
        <is>
          <t>Requires Verification</t>
        </is>
      </c>
    </row>
    <row r="722">
      <c r="A722" s="5" t="inlineStr">
        <is>
          <t>UK-000616</t>
        </is>
      </c>
      <c r="B722" s="5" t="inlineStr">
        <is>
          <t>Jalaram Supermarket</t>
        </is>
      </c>
      <c r="C722" s="5" t="inlineStr">
        <is>
          <t>Wembley</t>
        </is>
      </c>
      <c r="D722" s="5" t="inlineStr">
        <is>
          <t>https://www.yell.com/s/supermarkets-wembley.html</t>
        </is>
      </c>
      <c r="E722" s="5" t="inlineStr">
        <is>
          <t>Yell</t>
        </is>
      </c>
      <c r="F722" s="5" t="inlineStr">
        <is>
          <t>2026-09-17</t>
        </is>
      </c>
      <c r="G722" s="5" t="inlineStr">
        <is>
          <t>business name, address, phone</t>
        </is>
      </c>
      <c r="H722" s="5" t="inlineStr">
        <is>
          <t>Requires Verification</t>
        </is>
      </c>
    </row>
    <row r="723">
      <c r="A723" s="10" t="inlineStr">
        <is>
          <t>WY-0100</t>
        </is>
      </c>
      <c r="B723" s="10" t="inlineStr">
        <is>
          <t>Javid Supermarket</t>
        </is>
      </c>
      <c r="C723" s="10" t="inlineStr">
        <is>
          <t>Huddersfield</t>
        </is>
      </c>
      <c r="D723" s="10" t="inlineStr">
        <is>
          <t>https://www.javidsupermarket.co.uk/contact/</t>
        </is>
      </c>
      <c r="E723" s="10" t="inlineStr">
        <is>
          <t>Official Website</t>
        </is>
      </c>
      <c r="F723" s="10" t="inlineStr">
        <is>
          <t>2026-09-16</t>
        </is>
      </c>
      <c r="G723" s="10" t="inlineStr">
        <is>
          <t>website, email (from search result snippet of own site)</t>
        </is>
      </c>
      <c r="H723" s="10" t="inlineStr">
        <is>
          <t>Requires Verification</t>
        </is>
      </c>
    </row>
    <row r="724">
      <c r="A724" s="5" t="inlineStr">
        <is>
          <t>WY-0100</t>
        </is>
      </c>
      <c r="B724" s="5" t="inlineStr">
        <is>
          <t>Javid Supermarket</t>
        </is>
      </c>
      <c r="C724" s="5" t="inlineStr">
        <is>
          <t>Huddersfield</t>
        </is>
      </c>
      <c r="D724" s="5" t="inlineStr">
        <is>
          <t>https://www.yelp.com/biz/javid-supermarket-huddersfield</t>
        </is>
      </c>
      <c r="E724" s="5" t="inlineStr">
        <is>
          <t>Directory</t>
        </is>
      </c>
      <c r="F724" s="5" t="inlineStr">
        <is>
          <t>2026-09-16</t>
        </is>
      </c>
      <c r="G724" s="5" t="inlineStr">
        <is>
          <t>address 177-179 Bradford Road</t>
        </is>
      </c>
      <c r="H724" s="5" t="inlineStr">
        <is>
          <t>Requires Verification</t>
        </is>
      </c>
    </row>
    <row r="725">
      <c r="A725" s="10" t="inlineStr">
        <is>
          <t>WY-0100</t>
        </is>
      </c>
      <c r="B725" s="10" t="inlineStr">
        <is>
          <t>Javid Supermarket</t>
        </is>
      </c>
      <c r="C725" s="10" t="inlineStr">
        <is>
          <t>Huddersfield</t>
        </is>
      </c>
      <c r="D725" s="10" t="inlineStr">
        <is>
          <t>https://britainfirm.com/england/javid-supermarket-257331</t>
        </is>
      </c>
      <c r="E725" s="10" t="inlineStr">
        <is>
          <t>Directory</t>
        </is>
      </c>
      <c r="F725" s="10" t="inlineStr">
        <is>
          <t>2026-09-16</t>
        </is>
      </c>
      <c r="G725" s="10" t="inlineStr">
        <is>
          <t>phone 01484 517411</t>
        </is>
      </c>
      <c r="H725" s="10" t="inlineStr">
        <is>
          <t>Requires Verification</t>
        </is>
      </c>
    </row>
    <row r="726">
      <c r="A726" s="5" t="inlineStr">
        <is>
          <t>WY-0100</t>
        </is>
      </c>
      <c r="B726" s="5" t="inlineStr">
        <is>
          <t>Javid Supermarket</t>
        </is>
      </c>
      <c r="C726" s="5" t="inlineStr">
        <is>
          <t>Huddersfield</t>
        </is>
      </c>
      <c r="D726" s="5" t="inlineStr">
        <is>
          <t>https://www.instagram.com/javidsupermarket/</t>
        </is>
      </c>
      <c r="E726" s="5" t="inlineStr">
        <is>
          <t>Instagram</t>
        </is>
      </c>
      <c r="F726" s="5" t="inlineStr">
        <is>
          <t>2026-09-16</t>
        </is>
      </c>
      <c r="G726" s="5" t="inlineStr">
        <is>
          <t>social (instagram)</t>
        </is>
      </c>
      <c r="H726" s="5" t="inlineStr">
        <is>
          <t>Requires Verification</t>
        </is>
      </c>
    </row>
    <row r="727">
      <c r="A727" s="10" t="inlineStr">
        <is>
          <t>UK-000482</t>
        </is>
      </c>
      <c r="B727" s="10" t="inlineStr">
        <is>
          <t>Jay Mini Market</t>
        </is>
      </c>
      <c r="C727" s="10" t="inlineStr">
        <is>
          <t>Birmingham</t>
        </is>
      </c>
      <c r="D727" s="10" t="inlineStr">
        <is>
          <t>https://www.yell.com/s/off+licences-handsworth-birmingham.html</t>
        </is>
      </c>
      <c r="E727" s="10" t="inlineStr">
        <is>
          <t>Yell</t>
        </is>
      </c>
      <c r="F727" s="10" t="inlineStr">
        <is>
          <t>2026-09-17</t>
        </is>
      </c>
      <c r="G727" s="10" t="inlineStr">
        <is>
          <t>address, postcode, phone</t>
        </is>
      </c>
      <c r="H727" s="10" t="inlineStr">
        <is>
          <t>Requires Verification</t>
        </is>
      </c>
    </row>
    <row r="728">
      <c r="A728" s="5" t="inlineStr">
        <is>
          <t>UK-000617</t>
        </is>
      </c>
      <c r="B728" s="5" t="inlineStr">
        <is>
          <t>Jeens Cash &amp; Carry</t>
        </is>
      </c>
      <c r="C728" s="5" t="inlineStr">
        <is>
          <t>Wembley</t>
        </is>
      </c>
      <c r="D728" s="5" t="inlineStr">
        <is>
          <t>https://www.yell.com/biz/jeens-cash-and-carry-wembley-5361307/</t>
        </is>
      </c>
      <c r="E728" s="5" t="inlineStr">
        <is>
          <t>Yell</t>
        </is>
      </c>
      <c r="F728" s="5" t="inlineStr">
        <is>
          <t>2026-09-17</t>
        </is>
      </c>
      <c r="G728" s="5" t="inlineStr">
        <is>
          <t>business name, address</t>
        </is>
      </c>
      <c r="H728" s="5" t="inlineStr">
        <is>
          <t>Requires Verification</t>
        </is>
      </c>
    </row>
    <row r="729">
      <c r="A729" s="10" t="inlineStr">
        <is>
          <t>UK-000483</t>
        </is>
      </c>
      <c r="B729" s="10" t="inlineStr">
        <is>
          <t>John Hollingsworth &amp; Sons</t>
        </is>
      </c>
      <c r="C729" s="10" t="inlineStr">
        <is>
          <t>Birmingham</t>
        </is>
      </c>
      <c r="D729" s="10" t="inlineStr">
        <is>
          <t>https://www.yelp.co.uk/biz/john-hollingsworth-and-sons-birmingham</t>
        </is>
      </c>
      <c r="E729" s="10" t="inlineStr">
        <is>
          <t>Directory</t>
        </is>
      </c>
      <c r="F729" s="10" t="inlineStr">
        <is>
          <t>2026-09-17</t>
        </is>
      </c>
      <c r="G729" s="10" t="inlineStr">
        <is>
          <t>address, postcode, phone</t>
        </is>
      </c>
      <c r="H729" s="10" t="inlineStr">
        <is>
          <t>Requires Verification</t>
        </is>
      </c>
    </row>
    <row r="730">
      <c r="A730" s="5" t="inlineStr">
        <is>
          <t>UK-000260</t>
        </is>
      </c>
      <c r="B730" s="5" t="inlineStr">
        <is>
          <t>Juice &amp; Coil Co</t>
        </is>
      </c>
      <c r="C730" s="5" t="inlineStr">
        <is>
          <t>Sheffield</t>
        </is>
      </c>
      <c r="D730" s="5" t="inlineStr">
        <is>
          <t>https://www.yelp.com/search?cflt=vapeshops&amp;find_loc=Unit+12+Parkway+Close%2C+Sheffield+S9+4WJ%2C+United+Kingdom</t>
        </is>
      </c>
      <c r="E730" s="5" t="inlineStr">
        <is>
          <t>Directory</t>
        </is>
      </c>
      <c r="F730" s="5" t="inlineStr">
        <is>
          <t>2026-09-16</t>
        </is>
      </c>
      <c r="G730" s="5" t="inlineStr">
        <is>
          <t>name, address, postcode</t>
        </is>
      </c>
      <c r="H730" s="5" t="inlineStr">
        <is>
          <t>Requires Verification</t>
        </is>
      </c>
    </row>
    <row r="731">
      <c r="A731" s="10" t="inlineStr">
        <is>
          <t>UK-000618</t>
        </is>
      </c>
      <c r="B731" s="10" t="inlineStr">
        <is>
          <t>Juiceshop</t>
        </is>
      </c>
      <c r="C731" s="10" t="inlineStr">
        <is>
          <t>Edmonton</t>
        </is>
      </c>
      <c r="D731" s="10" t="inlineStr">
        <is>
          <t>https://www.192.com/atoz/business/london-n18/smokers-requisites/juiceshop/4c047a1058e014f909e7c51434d959de23d404c6/ml/</t>
        </is>
      </c>
      <c r="E731" s="10" t="inlineStr">
        <is>
          <t>Directory</t>
        </is>
      </c>
      <c r="F731" s="10" t="inlineStr">
        <is>
          <t>2026-09-17</t>
        </is>
      </c>
      <c r="G731" s="10" t="inlineStr">
        <is>
          <t>name, district, postcode</t>
        </is>
      </c>
      <c r="H731" s="10" t="inlineStr">
        <is>
          <t>Requires Verification</t>
        </is>
      </c>
    </row>
    <row r="732">
      <c r="A732" s="5" t="inlineStr">
        <is>
          <t>UK-000484</t>
        </is>
      </c>
      <c r="B732" s="5" t="inlineStr">
        <is>
          <t>Jungle Shisha Lounge</t>
        </is>
      </c>
      <c r="C732" s="5" t="inlineStr">
        <is>
          <t>Birmingham</t>
        </is>
      </c>
      <c r="D732" s="5" t="inlineStr">
        <is>
          <t>https://jungleshishalounge.com/</t>
        </is>
      </c>
      <c r="E732" s="5" t="inlineStr">
        <is>
          <t>Official Website</t>
        </is>
      </c>
      <c r="F732" s="5" t="inlineStr">
        <is>
          <t>2026-09-17</t>
        </is>
      </c>
      <c r="G732" s="5" t="inlineStr">
        <is>
          <t>address, postcode</t>
        </is>
      </c>
      <c r="H732" s="5" t="inlineStr">
        <is>
          <t>Requires Verification</t>
        </is>
      </c>
    </row>
    <row r="733">
      <c r="A733" s="10" t="inlineStr">
        <is>
          <t>UK-000367</t>
        </is>
      </c>
      <c r="B733" s="10" t="inlineStr">
        <is>
          <t>Just Vapours (Eccles, Salford)</t>
        </is>
      </c>
      <c r="C733" s="10" t="inlineStr">
        <is>
          <t>Eccles</t>
        </is>
      </c>
      <c r="D733" s="10" t="inlineStr">
        <is>
          <t>https://eccles-city-of-salford.cylex-uk.co.uk/vape-shops/</t>
        </is>
      </c>
      <c r="E733" s="10" t="inlineStr">
        <is>
          <t>Directory</t>
        </is>
      </c>
      <c r="F733" s="10" t="inlineStr">
        <is>
          <t>2026-09-17</t>
        </is>
      </c>
      <c r="G733" s="10" t="inlineStr">
        <is>
          <t>business name, address, postcode</t>
        </is>
      </c>
      <c r="H733" s="10" t="inlineStr">
        <is>
          <t>Requires Verification</t>
        </is>
      </c>
    </row>
    <row r="734">
      <c r="A734" s="5" t="inlineStr">
        <is>
          <t>UK-000787</t>
        </is>
      </c>
      <c r="B734" s="5" t="inlineStr">
        <is>
          <t>K Douglas Newsagent</t>
        </is>
      </c>
      <c r="C734" s="5" t="inlineStr">
        <is>
          <t>Liverpool</t>
        </is>
      </c>
      <c r="D734" s="5" t="inlineStr">
        <is>
          <t>https://groceries-now.co.uk/now/Waterloo%20(Merseyside)</t>
        </is>
      </c>
      <c r="E734" s="5" t="inlineStr">
        <is>
          <t>Directory</t>
        </is>
      </c>
      <c r="F734" s="5" t="inlineStr">
        <is>
          <t>2026-09-17</t>
        </is>
      </c>
      <c r="G734" s="5" t="inlineStr">
        <is>
          <t>business name, South Road address, postcode</t>
        </is>
      </c>
      <c r="H734" s="5" t="inlineStr">
        <is>
          <t>Requires Verification</t>
        </is>
      </c>
    </row>
    <row r="735">
      <c r="A735" s="10" t="inlineStr">
        <is>
          <t>UK-000788</t>
        </is>
      </c>
      <c r="B735" s="10" t="inlineStr">
        <is>
          <t>K K Stores</t>
        </is>
      </c>
      <c r="C735" s="10" t="inlineStr">
        <is>
          <t>Bootle</t>
        </is>
      </c>
      <c r="D735" s="10" t="inlineStr">
        <is>
          <t>https://www.192.com/atoz/business/bootle-l20/convenience-stores/k-k-stores/3c4031298ca7285729f2a8f40d96a80e709da138/ml/</t>
        </is>
      </c>
      <c r="E735" s="10" t="inlineStr">
        <is>
          <t>Directory</t>
        </is>
      </c>
      <c r="F735" s="10" t="inlineStr">
        <is>
          <t>2026-09-17</t>
        </is>
      </c>
      <c r="G735" s="10" t="inlineStr">
        <is>
          <t>name, postcode</t>
        </is>
      </c>
      <c r="H735" s="10" t="inlineStr">
        <is>
          <t>Requires Verification</t>
        </is>
      </c>
    </row>
    <row r="736">
      <c r="A736" s="5" t="inlineStr">
        <is>
          <t>WY-0101</t>
        </is>
      </c>
      <c r="B736" s="5" t="inlineStr">
        <is>
          <t>KV Convenience &amp; Off Licence</t>
        </is>
      </c>
      <c r="C736" s="5" t="inlineStr">
        <is>
          <t>Huddersfield</t>
        </is>
      </c>
      <c r="D736" s="5" t="inlineStr">
        <is>
          <t>https://www.snappyshopper.co.uk/store/KV-Convenience-Off-Licence</t>
        </is>
      </c>
      <c r="E736" s="5" t="inlineStr">
        <is>
          <t>Other</t>
        </is>
      </c>
      <c r="F736" s="5" t="inlineStr">
        <is>
          <t>2026-09-16</t>
        </is>
      </c>
      <c r="G736" s="5" t="inlineStr">
        <is>
          <t>address, delivery service</t>
        </is>
      </c>
      <c r="H736" s="5" t="inlineStr">
        <is>
          <t>Requires Verification</t>
        </is>
      </c>
    </row>
    <row r="737">
      <c r="A737" s="10" t="inlineStr">
        <is>
          <t>WY-0101</t>
        </is>
      </c>
      <c r="B737" s="10" t="inlineStr">
        <is>
          <t>KV Convenience &amp; Off Licence</t>
        </is>
      </c>
      <c r="C737" s="10" t="inlineStr">
        <is>
          <t>Huddersfield</t>
        </is>
      </c>
      <c r="D737" s="10" t="inlineStr">
        <is>
          <t>https://www.ubereats.com/gb/store/kv-convenience-and-off-licence/etuByqIIWGqjc_-zp4V7ZQ</t>
        </is>
      </c>
      <c r="E737" s="10" t="inlineStr">
        <is>
          <t>Other</t>
        </is>
      </c>
      <c r="F737" s="10" t="inlineStr">
        <is>
          <t>2026-09-16</t>
        </is>
      </c>
      <c r="G737" s="10" t="inlineStr">
        <is>
          <t>cross-check of store and town</t>
        </is>
      </c>
      <c r="H737" s="10" t="inlineStr">
        <is>
          <t>Requires Verification</t>
        </is>
      </c>
    </row>
    <row r="738">
      <c r="A738" s="5" t="inlineStr">
        <is>
          <t>WY-0101</t>
        </is>
      </c>
      <c r="B738" s="5" t="inlineStr">
        <is>
          <t>KV Convenience &amp; Off Licence</t>
        </is>
      </c>
      <c r="C738" s="5" t="inlineStr">
        <is>
          <t>Huddersfield</t>
        </is>
      </c>
      <c r="D738" s="5" t="inlineStr">
        <is>
          <t>https://www.yellowtom.co.uk/1452035</t>
        </is>
      </c>
      <c r="E738" s="5" t="inlineStr">
        <is>
          <t>Directory</t>
        </is>
      </c>
      <c r="F738" s="5" t="inlineStr">
        <is>
          <t>2026-09-16</t>
        </is>
      </c>
      <c r="G738" s="5" t="inlineStr">
        <is>
          <t>phone</t>
        </is>
      </c>
      <c r="H738" s="5" t="inlineStr">
        <is>
          <t>Requires Verification</t>
        </is>
      </c>
    </row>
    <row r="739">
      <c r="A739" s="10" t="inlineStr">
        <is>
          <t>UK-000261</t>
        </is>
      </c>
      <c r="B739" s="10" t="inlineStr">
        <is>
          <t>Kaplan Fast Food Cash &amp; Carry</t>
        </is>
      </c>
      <c r="C739" s="10" t="inlineStr">
        <is>
          <t>Kingston upon Hull</t>
        </is>
      </c>
      <c r="D739" s="10" t="inlineStr">
        <is>
          <t>https://www.facebook.com/people/Kaplan-Fast-Food-Cash-Carry/61558997515973/</t>
        </is>
      </c>
      <c r="E739" s="10" t="inlineStr">
        <is>
          <t>Facebook</t>
        </is>
      </c>
      <c r="F739" s="10" t="inlineStr">
        <is>
          <t>2026-09-16</t>
        </is>
      </c>
      <c r="G739" s="10" t="inlineStr">
        <is>
          <t>name, Flinton Street address (via search results)</t>
        </is>
      </c>
      <c r="H739" s="10" t="inlineStr">
        <is>
          <t>Requires Verification</t>
        </is>
      </c>
    </row>
    <row r="740">
      <c r="A740" s="5" t="inlineStr">
        <is>
          <t>UK-000485</t>
        </is>
      </c>
      <c r="B740" s="5" t="inlineStr">
        <is>
          <t>Kartar Wholesale Cash &amp; Carry</t>
        </is>
      </c>
      <c r="C740" s="5" t="inlineStr">
        <is>
          <t>Birmingham</t>
        </is>
      </c>
      <c r="D740" s="5" t="inlineStr">
        <is>
          <t>https://kartarcc.com/</t>
        </is>
      </c>
      <c r="E740" s="5" t="inlineStr">
        <is>
          <t>Official Website</t>
        </is>
      </c>
      <c r="F740" s="5" t="inlineStr">
        <is>
          <t>2026-09-17</t>
        </is>
      </c>
      <c r="G740" s="5" t="inlineStr">
        <is>
          <t>address, postcode</t>
        </is>
      </c>
      <c r="H740" s="5" t="inlineStr">
        <is>
          <t>Requires Verification</t>
        </is>
      </c>
    </row>
    <row r="741">
      <c r="A741" s="10" t="inlineStr">
        <is>
          <t>WY-0102</t>
        </is>
      </c>
      <c r="B741" s="10" t="inlineStr">
        <is>
          <t>Kasa Beeston Convenience Store</t>
        </is>
      </c>
      <c r="C741" s="10" t="inlineStr">
        <is>
          <t>Leeds</t>
        </is>
      </c>
      <c r="D741" s="10" t="inlineStr">
        <is>
          <t>https://kasabeeston.com/</t>
        </is>
      </c>
      <c r="E741" s="10" t="inlineStr">
        <is>
          <t>Official Website</t>
        </is>
      </c>
      <c r="F741" s="10" t="inlineStr">
        <is>
          <t>2026-09-16</t>
        </is>
      </c>
      <c r="G741" s="10" t="inlineStr">
        <is>
          <t>name, own-site confirmation (via search results; direct fetch blocked by proxy)</t>
        </is>
      </c>
      <c r="H741" s="10" t="inlineStr">
        <is>
          <t>Partially Verified</t>
        </is>
      </c>
    </row>
    <row r="742">
      <c r="A742" s="5" t="inlineStr">
        <is>
          <t>WY-0102</t>
        </is>
      </c>
      <c r="B742" s="5" t="inlineStr">
        <is>
          <t>Kasa Beeston Convenience Store</t>
        </is>
      </c>
      <c r="C742" s="5" t="inlineStr">
        <is>
          <t>Leeds</t>
        </is>
      </c>
      <c r="D742" s="5" t="inlineStr">
        <is>
          <t>https://www.bizseek.co.uk/kasa-beeston-convenience-store-0113-277-5757</t>
        </is>
      </c>
      <c r="E742" s="5" t="inlineStr">
        <is>
          <t>Directory</t>
        </is>
      </c>
      <c r="F742" s="5" t="inlineStr">
        <is>
          <t>2026-09-16</t>
        </is>
      </c>
      <c r="G742" s="5" t="inlineStr">
        <is>
          <t>phone (via search results)</t>
        </is>
      </c>
      <c r="H742" s="5" t="inlineStr">
        <is>
          <t>Partially Verified</t>
        </is>
      </c>
    </row>
    <row r="743">
      <c r="A743" s="10" t="inlineStr">
        <is>
          <t>WY-0102</t>
        </is>
      </c>
      <c r="B743" s="10" t="inlineStr">
        <is>
          <t>Kasa Beeston Convenience Store</t>
        </is>
      </c>
      <c r="C743" s="10" t="inlineStr">
        <is>
          <t>Leeds</t>
        </is>
      </c>
      <c r="D743" s="10" t="inlineStr">
        <is>
          <t>https://citikey.uk/display/kasa-PFM1H</t>
        </is>
      </c>
      <c r="E743" s="10" t="inlineStr">
        <is>
          <t>Directory</t>
        </is>
      </c>
      <c r="F743" s="10" t="inlineStr">
        <is>
          <t>2026-09-16</t>
        </is>
      </c>
      <c r="G743" s="10" t="inlineStr">
        <is>
          <t>address, postcode (via search results)</t>
        </is>
      </c>
      <c r="H743" s="10" t="inlineStr">
        <is>
          <t>Partially Verified</t>
        </is>
      </c>
    </row>
    <row r="744">
      <c r="A744" s="5" t="inlineStr">
        <is>
          <t>WY-0103</t>
        </is>
      </c>
      <c r="B744" s="5" t="inlineStr">
        <is>
          <t>Kash News &amp; Gifts</t>
        </is>
      </c>
      <c r="C744" s="5" t="inlineStr">
        <is>
          <t>Brighouse</t>
        </is>
      </c>
      <c r="D744" s="5" t="inlineStr">
        <is>
          <t>https://www.thomsonlocal.com/search/newsagents/halifax-brighouse-calderdale/kash-news-gifts/922805/01484400405</t>
        </is>
      </c>
      <c r="E744" s="5" t="inlineStr">
        <is>
          <t>Directory</t>
        </is>
      </c>
      <c r="F744" s="5" t="inlineStr">
        <is>
          <t>2026-09-16</t>
        </is>
      </c>
      <c r="G744" s="5" t="inlineStr">
        <is>
          <t>name, phone</t>
        </is>
      </c>
      <c r="H744" s="5" t="inlineStr">
        <is>
          <t>Requires Verification</t>
        </is>
      </c>
    </row>
    <row r="745">
      <c r="A745" s="10" t="inlineStr">
        <is>
          <t>WY-0103</t>
        </is>
      </c>
      <c r="B745" s="10" t="inlineStr">
        <is>
          <t>Kash News &amp; Gifts</t>
        </is>
      </c>
      <c r="C745" s="10" t="inlineStr">
        <is>
          <t>Brighouse</t>
        </is>
      </c>
      <c r="D745" s="10" t="inlineStr">
        <is>
          <t>https://findit.batleynews.co.uk/company/437704624939008</t>
        </is>
      </c>
      <c r="E745" s="10" t="inlineStr">
        <is>
          <t>Directory</t>
        </is>
      </c>
      <c r="F745" s="10" t="inlineStr">
        <is>
          <t>2026-09-16</t>
        </is>
      </c>
      <c r="G745" s="10" t="inlineStr">
        <is>
          <t>address, postcode</t>
        </is>
      </c>
      <c r="H745" s="10" t="inlineStr">
        <is>
          <t>Requires Verification</t>
        </is>
      </c>
    </row>
    <row r="746">
      <c r="A746" s="5" t="inlineStr">
        <is>
          <t>WY-0103</t>
        </is>
      </c>
      <c r="B746" s="5" t="inlineStr">
        <is>
          <t>Kash News &amp; Gifts</t>
        </is>
      </c>
      <c r="C746" s="5" t="inlineStr">
        <is>
          <t>Brighouse</t>
        </is>
      </c>
      <c r="D746" s="5" t="inlineStr">
        <is>
          <t>https://www.visitbrighouse.co.uk/directory/kash-news/</t>
        </is>
      </c>
      <c r="E746" s="5" t="inlineStr">
        <is>
          <t>Directory</t>
        </is>
      </c>
      <c r="F746" s="5" t="inlineStr">
        <is>
          <t>2026-09-16</t>
        </is>
      </c>
      <c r="G746" s="5" t="inlineStr">
        <is>
          <t>listing confirmation</t>
        </is>
      </c>
      <c r="H746" s="5" t="inlineStr">
        <is>
          <t>Requires Verification</t>
        </is>
      </c>
    </row>
    <row r="747">
      <c r="A747" s="10" t="inlineStr">
        <is>
          <t>UK-000789</t>
        </is>
      </c>
      <c r="B747" s="10" t="inlineStr">
        <is>
          <t>Kavery Convenience Store</t>
        </is>
      </c>
      <c r="C747" s="10" t="inlineStr">
        <is>
          <t>Edinburgh</t>
        </is>
      </c>
      <c r="D747" s="10" t="inlineStr">
        <is>
          <t>https://www.192.com/atoz/business/edinburgh-eh11/convenience-stores/kavery-convenience-store/29863d8ca63d97a73540ebc95cddbf28b019a53b/ml/</t>
        </is>
      </c>
      <c r="E747" s="10" t="inlineStr">
        <is>
          <t>Directory</t>
        </is>
      </c>
      <c r="F747" s="10" t="inlineStr">
        <is>
          <t>2026-09-17</t>
        </is>
      </c>
      <c r="G747" s="10" t="inlineStr">
        <is>
          <t>name, address, postcode, phone (snippet)</t>
        </is>
      </c>
      <c r="H747" s="10" t="inlineStr">
        <is>
          <t>Requires Verification</t>
        </is>
      </c>
    </row>
    <row r="748">
      <c r="A748" s="5" t="inlineStr">
        <is>
          <t>WY-0104</t>
        </is>
      </c>
      <c r="B748" s="5" t="inlineStr">
        <is>
          <t>Keep In Touch</t>
        </is>
      </c>
      <c r="C748" s="5" t="inlineStr">
        <is>
          <t>Castleford</t>
        </is>
      </c>
      <c r="D748" s="5" t="inlineStr">
        <is>
          <t>https://www.192.com/atoz/business/castleford-wf10/newsagents/keep-in-touch/645f3ab15b4cb6acdbc0eb9ef27c5a71438678bb/ml/</t>
        </is>
      </c>
      <c r="E748" s="5" t="inlineStr">
        <is>
          <t>Directory</t>
        </is>
      </c>
      <c r="F748" s="5" t="inlineStr">
        <is>
          <t>2026-09-16</t>
        </is>
      </c>
      <c r="G748" s="5" t="inlineStr">
        <is>
          <t>name, address 5 Albion Street WF10 1EG</t>
        </is>
      </c>
      <c r="H748" s="5" t="inlineStr">
        <is>
          <t>Requires Verification</t>
        </is>
      </c>
    </row>
    <row r="749">
      <c r="A749" s="10" t="inlineStr">
        <is>
          <t>UK-000790</t>
        </is>
      </c>
      <c r="B749" s="10" t="inlineStr">
        <is>
          <t>Keerthi Superstore</t>
        </is>
      </c>
      <c r="C749" s="10" t="inlineStr">
        <is>
          <t>Wallasey</t>
        </is>
      </c>
      <c r="D749" s="10" t="inlineStr">
        <is>
          <t>https://democracy.wirral.gov.uk/mgAi.aspx?ID=68536</t>
        </is>
      </c>
      <c r="E749" s="10" t="inlineStr">
        <is>
          <t>Other</t>
        </is>
      </c>
      <c r="F749" s="10" t="inlineStr">
        <is>
          <t>2026-09-17</t>
        </is>
      </c>
      <c r="G749" s="10" t="inlineStr">
        <is>
          <t>business name, King Street address, postcode (premises licence application)</t>
        </is>
      </c>
      <c r="H749" s="10" t="inlineStr">
        <is>
          <t>Requires Verification</t>
        </is>
      </c>
    </row>
    <row r="750">
      <c r="A750" s="5" t="inlineStr">
        <is>
          <t>WY-0105</t>
        </is>
      </c>
      <c r="B750" s="5" t="inlineStr">
        <is>
          <t>Keighley Newsagent</t>
        </is>
      </c>
      <c r="C750" s="5" t="inlineStr">
        <is>
          <t>Keighley</t>
        </is>
      </c>
      <c r="D750" s="5" t="inlineStr">
        <is>
          <t>https://directory.bradfordpages.co.uk/company/504571861241856</t>
        </is>
      </c>
      <c r="E750" s="5" t="inlineStr">
        <is>
          <t>Directory</t>
        </is>
      </c>
      <c r="F750" s="5" t="inlineStr">
        <is>
          <t>2026-09-16</t>
        </is>
      </c>
      <c r="G750" s="5" t="inlineStr">
        <is>
          <t>name, address 125 North Street BD21 3AD (search result)</t>
        </is>
      </c>
      <c r="H750" s="5" t="inlineStr">
        <is>
          <t>Requires Verification</t>
        </is>
      </c>
    </row>
    <row r="751">
      <c r="A751" s="10" t="inlineStr">
        <is>
          <t>UK-000791</t>
        </is>
      </c>
      <c r="B751" s="10" t="inlineStr">
        <is>
          <t>Kellys Wines</t>
        </is>
      </c>
      <c r="C751" s="10" t="inlineStr">
        <is>
          <t>Liverpool</t>
        </is>
      </c>
      <c r="D751" s="10" t="inlineStr">
        <is>
          <t>https://liverpool.cylex-uk.co.uk/off-licence-4.html</t>
        </is>
      </c>
      <c r="E751" s="10" t="inlineStr">
        <is>
          <t>Directory</t>
        </is>
      </c>
      <c r="F751" s="10" t="inlineStr">
        <is>
          <t>2026-09-17</t>
        </is>
      </c>
      <c r="G751" s="10" t="inlineStr">
        <is>
          <t>name, address, postcode</t>
        </is>
      </c>
      <c r="H751" s="10" t="inlineStr">
        <is>
          <t>Requires Verification</t>
        </is>
      </c>
    </row>
    <row r="752">
      <c r="A752" s="5" t="inlineStr">
        <is>
          <t>WY-0106</t>
        </is>
      </c>
      <c r="B752" s="5" t="inlineStr">
        <is>
          <t>Khadim Supersave</t>
        </is>
      </c>
      <c r="C752" s="5" t="inlineStr">
        <is>
          <t>Huddersfield</t>
        </is>
      </c>
      <c r="D752" s="5" t="inlineStr">
        <is>
          <t>https://no-divide.co.uk/khadim-supersave/</t>
        </is>
      </c>
      <c r="E752" s="5" t="inlineStr">
        <is>
          <t>Directory</t>
        </is>
      </c>
      <c r="F752" s="5" t="inlineStr">
        <is>
          <t>2026-09-16</t>
        </is>
      </c>
      <c r="G752" s="5" t="inlineStr">
        <is>
          <t>address, postcode, phone</t>
        </is>
      </c>
      <c r="H752" s="5" t="inlineStr">
        <is>
          <t>Requires Verification</t>
        </is>
      </c>
    </row>
    <row r="753">
      <c r="A753" s="10" t="inlineStr">
        <is>
          <t>UK-000262</t>
        </is>
      </c>
      <c r="B753" s="10" t="inlineStr">
        <is>
          <t>Kick Ash Vapes Cleethorpes</t>
        </is>
      </c>
      <c r="C753" s="10" t="inlineStr">
        <is>
          <t>Cleethorpes</t>
        </is>
      </c>
      <c r="D753" s="10" t="inlineStr">
        <is>
          <t>https://kick-ash-vapes-cleethorpes.wheree.com/</t>
        </is>
      </c>
      <c r="E753" s="10" t="inlineStr">
        <is>
          <t>Directory</t>
        </is>
      </c>
      <c r="F753" s="10" t="inlineStr">
        <is>
          <t>2026-09-16</t>
        </is>
      </c>
      <c r="G753" s="10" t="inlineStr">
        <is>
          <t>name, 201 Grimsby Road address (via search results)</t>
        </is>
      </c>
      <c r="H753" s="10" t="inlineStr">
        <is>
          <t>Requires Verification</t>
        </is>
      </c>
    </row>
    <row r="754">
      <c r="A754" s="5" t="inlineStr">
        <is>
          <t>UK-000792</t>
        </is>
      </c>
      <c r="B754" s="5" t="inlineStr">
        <is>
          <t>Kilted Vapor</t>
        </is>
      </c>
      <c r="C754" s="5" t="inlineStr">
        <is>
          <t>Clydebank</t>
        </is>
      </c>
      <c r="D754" s="5" t="inlineStr">
        <is>
          <t>https://ecigdirectory.co.uk/vape-shop/listing/kilted-vapor-clydebank</t>
        </is>
      </c>
      <c r="E754" s="5" t="inlineStr">
        <is>
          <t>Directory</t>
        </is>
      </c>
      <c r="F754" s="5" t="inlineStr">
        <is>
          <t>2026-09-17</t>
        </is>
      </c>
      <c r="G754" s="5" t="inlineStr">
        <is>
          <t>address, postcode, phone</t>
        </is>
      </c>
      <c r="H754" s="5" t="inlineStr">
        <is>
          <t>Requires Verification</t>
        </is>
      </c>
    </row>
    <row r="755">
      <c r="A755" s="10" t="inlineStr">
        <is>
          <t>UK-000619</t>
        </is>
      </c>
      <c r="B755" s="10" t="inlineStr">
        <is>
          <t>King Edward Off Licence</t>
        </is>
      </c>
      <c r="C755" s="10" t="inlineStr">
        <is>
          <t>Hackney</t>
        </is>
      </c>
      <c r="D755" s="10" t="inlineStr">
        <is>
          <t>https://www.yell.com/s/off+licences-stoke+newington-north+london.html</t>
        </is>
      </c>
      <c r="E755" s="10" t="inlineStr">
        <is>
          <t>Yell</t>
        </is>
      </c>
      <c r="F755" s="10" t="inlineStr">
        <is>
          <t>2026-09-17</t>
        </is>
      </c>
      <c r="G755" s="10" t="inlineStr">
        <is>
          <t>name, address, postcode, phone</t>
        </is>
      </c>
      <c r="H755" s="10" t="inlineStr">
        <is>
          <t>Requires Verification</t>
        </is>
      </c>
    </row>
    <row r="756">
      <c r="A756" s="5" t="inlineStr">
        <is>
          <t>UK-000793</t>
        </is>
      </c>
      <c r="B756" s="5" t="inlineStr">
        <is>
          <t>King Vape Paisley</t>
        </is>
      </c>
      <c r="C756" s="5" t="inlineStr">
        <is>
          <t>Paisley</t>
        </is>
      </c>
      <c r="D756" s="5" t="inlineStr">
        <is>
          <t>https://firmania.co.uk/paisley/king-vape-paisley-6635214</t>
        </is>
      </c>
      <c r="E756" s="5" t="inlineStr">
        <is>
          <t>Directory</t>
        </is>
      </c>
      <c r="F756" s="5" t="inlineStr">
        <is>
          <t>2026-09-17</t>
        </is>
      </c>
      <c r="G756" s="5" t="inlineStr">
        <is>
          <t>address, postcode</t>
        </is>
      </c>
      <c r="H756" s="5" t="inlineStr">
        <is>
          <t>Requires Verification</t>
        </is>
      </c>
    </row>
    <row r="757">
      <c r="A757" s="10" t="inlineStr">
        <is>
          <t>UK-000620</t>
        </is>
      </c>
      <c r="B757" s="10" t="inlineStr">
        <is>
          <t>Kings Cross Continental Stores</t>
        </is>
      </c>
      <c r="C757" s="10" t="inlineStr">
        <is>
          <t>London</t>
        </is>
      </c>
      <c r="D757" s="10" t="inlineStr">
        <is>
          <t>https://islington.moderngov.co.uk/documents/s38601/Kings%20Cross%20Continental%20Stores%2026%20Caledonian%20Road.pdf</t>
        </is>
      </c>
      <c r="E757" s="10" t="inlineStr">
        <is>
          <t>Other</t>
        </is>
      </c>
      <c r="F757" s="10" t="inlineStr">
        <is>
          <t>2026-09-17</t>
        </is>
      </c>
      <c r="G757" s="10" t="inlineStr">
        <is>
          <t>business name, street address</t>
        </is>
      </c>
      <c r="H757" s="10" t="inlineStr">
        <is>
          <t>Requires Verification</t>
        </is>
      </c>
    </row>
    <row r="758">
      <c r="A758" s="5" t="inlineStr">
        <is>
          <t>UK-000621</t>
        </is>
      </c>
      <c r="B758" s="5" t="inlineStr">
        <is>
          <t>Kings Cross Food &amp; Wine</t>
        </is>
      </c>
      <c r="C758" s="5" t="inlineStr">
        <is>
          <t>London</t>
        </is>
      </c>
      <c r="D758" s="5" t="inlineStr">
        <is>
          <t>https://www.yell.com/biz/kings-cross-food-and-wine-london-7949028/</t>
        </is>
      </c>
      <c r="E758" s="5" t="inlineStr">
        <is>
          <t>Yell</t>
        </is>
      </c>
      <c r="F758" s="5" t="inlineStr">
        <is>
          <t>2026-09-17</t>
        </is>
      </c>
      <c r="G758" s="5" t="inlineStr">
        <is>
          <t>business name, area (WC1X)</t>
        </is>
      </c>
      <c r="H758" s="5" t="inlineStr">
        <is>
          <t>Requires Verification</t>
        </is>
      </c>
    </row>
    <row r="759">
      <c r="A759" s="10" t="inlineStr">
        <is>
          <t>UK-000263</t>
        </is>
      </c>
      <c r="B759" s="10" t="inlineStr">
        <is>
          <t>Kings Lites Acomb</t>
        </is>
      </c>
      <c r="C759" s="10" t="inlineStr">
        <is>
          <t>York</t>
        </is>
      </c>
      <c r="D759" s="10" t="inlineStr">
        <is>
          <t>https://www.kingslites.co.uk/acomb</t>
        </is>
      </c>
      <c r="E759" s="10" t="inlineStr">
        <is>
          <t>Official Website</t>
        </is>
      </c>
      <c r="F759" s="10" t="inlineStr">
        <is>
          <t>2026-09-16</t>
        </is>
      </c>
      <c r="G759" s="10" t="inlineStr">
        <is>
          <t>Acomb location, vaping specialist (search snippet)</t>
        </is>
      </c>
      <c r="H759" s="10" t="inlineStr">
        <is>
          <t>Requires Verification</t>
        </is>
      </c>
    </row>
    <row r="760">
      <c r="A760" s="5" t="inlineStr">
        <is>
          <t>UK-000263</t>
        </is>
      </c>
      <c r="B760" s="5" t="inlineStr">
        <is>
          <t>Kings Lites Acomb</t>
        </is>
      </c>
      <c r="C760" s="5" t="inlineStr">
        <is>
          <t>York</t>
        </is>
      </c>
      <c r="D760" s="5" t="inlineStr">
        <is>
          <t>https://york.cylex-uk.co.uk/company/kings-lites-acomb-27065896.html</t>
        </is>
      </c>
      <c r="E760" s="5" t="inlineStr">
        <is>
          <t>Directory</t>
        </is>
      </c>
      <c r="F760" s="5" t="inlineStr">
        <is>
          <t>2026-09-16</t>
        </is>
      </c>
      <c r="G760" s="5" t="inlineStr">
        <is>
          <t>Acomb market place location</t>
        </is>
      </c>
      <c r="H760" s="5" t="inlineStr">
        <is>
          <t>Requires Verification</t>
        </is>
      </c>
    </row>
    <row r="761">
      <c r="A761" s="10" t="inlineStr">
        <is>
          <t>UK-000622</t>
        </is>
      </c>
      <c r="B761" s="10" t="inlineStr">
        <is>
          <t>Kings of Vapes</t>
        </is>
      </c>
      <c r="C761" s="10" t="inlineStr">
        <is>
          <t>Southall</t>
        </is>
      </c>
      <c r="D761" s="10" t="inlineStr">
        <is>
          <t>https://www.192.com/atoz/business/southall-ub2/tobacco-products-retail-sale-of/kings-of-vapes/abbf55cb3c9a00095c4bd6e3cf3ef0725b1173f0/ml/</t>
        </is>
      </c>
      <c r="E761" s="10" t="inlineStr">
        <is>
          <t>Directory</t>
        </is>
      </c>
      <c r="F761" s="10" t="inlineStr">
        <is>
          <t>2026-09-17</t>
        </is>
      </c>
      <c r="G761" s="10" t="inlineStr">
        <is>
          <t>business name, address</t>
        </is>
      </c>
      <c r="H761" s="10" t="inlineStr">
        <is>
          <t>Requires Verification</t>
        </is>
      </c>
    </row>
    <row r="762">
      <c r="A762" s="5" t="inlineStr">
        <is>
          <t>UK-000622</t>
        </is>
      </c>
      <c r="B762" s="5" t="inlineStr">
        <is>
          <t>Kings of Vapes</t>
        </is>
      </c>
      <c r="C762" s="5" t="inlineStr">
        <is>
          <t>Southall</t>
        </is>
      </c>
      <c r="D762" s="5" t="inlineStr">
        <is>
          <t>https://www.yell.com/biz/kings-of-vapes-southall-9448970/</t>
        </is>
      </c>
      <c r="E762" s="5" t="inlineStr">
        <is>
          <t>Yell</t>
        </is>
      </c>
      <c r="F762" s="5" t="inlineStr">
        <is>
          <t>2026-09-17</t>
        </is>
      </c>
      <c r="G762" s="5" t="inlineStr">
        <is>
          <t>business name</t>
        </is>
      </c>
      <c r="H762" s="5" t="inlineStr">
        <is>
          <t>Requires Verification</t>
        </is>
      </c>
    </row>
    <row r="763">
      <c r="A763" s="10" t="inlineStr">
        <is>
          <t>UK-000623</t>
        </is>
      </c>
      <c r="B763" s="10" t="inlineStr">
        <is>
          <t>Kingsland Wines</t>
        </is>
      </c>
      <c r="C763" s="10" t="inlineStr">
        <is>
          <t>Dalston</t>
        </is>
      </c>
      <c r="D763" s="10" t="inlineStr">
        <is>
          <t>https://www.yell.com/s/off+licences-dalston-east+london.html</t>
        </is>
      </c>
      <c r="E763" s="10" t="inlineStr">
        <is>
          <t>Yell</t>
        </is>
      </c>
      <c r="F763" s="10" t="inlineStr">
        <is>
          <t>2026-09-17</t>
        </is>
      </c>
      <c r="G763" s="10" t="inlineStr">
        <is>
          <t>name, address, postcode</t>
        </is>
      </c>
      <c r="H763" s="10" t="inlineStr">
        <is>
          <t>Requires Verification</t>
        </is>
      </c>
    </row>
    <row r="764">
      <c r="A764" s="5" t="inlineStr">
        <is>
          <t>UK-000624</t>
        </is>
      </c>
      <c r="B764" s="5" t="inlineStr">
        <is>
          <t>Knights Express</t>
        </is>
      </c>
      <c r="C764" s="5" t="inlineStr">
        <is>
          <t>London</t>
        </is>
      </c>
      <c r="D764" s="5" t="inlineStr">
        <is>
          <t>https://www.yell.com/s/off+licences-tooting-south+west+london.html</t>
        </is>
      </c>
      <c r="E764" s="5" t="inlineStr">
        <is>
          <t>Yell</t>
        </is>
      </c>
      <c r="F764" s="5" t="inlineStr">
        <is>
          <t>2026-09-17</t>
        </is>
      </c>
      <c r="G764" s="5" t="inlineStr">
        <is>
          <t>business name, address, phone</t>
        </is>
      </c>
      <c r="H764" s="5" t="inlineStr">
        <is>
          <t>Requires Verification</t>
        </is>
      </c>
    </row>
    <row r="765">
      <c r="A765" s="10" t="inlineStr">
        <is>
          <t>UK-000625</t>
        </is>
      </c>
      <c r="B765" s="10" t="inlineStr">
        <is>
          <t>Krystals Food &amp; Wine</t>
        </is>
      </c>
      <c r="C765" s="10" t="inlineStr">
        <is>
          <t>London</t>
        </is>
      </c>
      <c r="D765" s="10" t="inlineStr">
        <is>
          <t>https://www.yell.com/biz/krystals-food-and-wine-london-7962661/</t>
        </is>
      </c>
      <c r="E765" s="10" t="inlineStr">
        <is>
          <t>Yell</t>
        </is>
      </c>
      <c r="F765" s="10" t="inlineStr">
        <is>
          <t>2026-09-17</t>
        </is>
      </c>
      <c r="G765" s="10" t="inlineStr">
        <is>
          <t>business name, address, postcode</t>
        </is>
      </c>
      <c r="H765" s="10" t="inlineStr">
        <is>
          <t>Requires Verification</t>
        </is>
      </c>
    </row>
    <row r="766">
      <c r="A766" s="5" t="inlineStr">
        <is>
          <t>WY-0107</t>
        </is>
      </c>
      <c r="B766" s="5" t="inlineStr">
        <is>
          <t>Kubus International Food</t>
        </is>
      </c>
      <c r="C766" s="5" t="inlineStr">
        <is>
          <t>Wakefield</t>
        </is>
      </c>
      <c r="D766" s="5" t="inlineStr">
        <is>
          <t>https://www.yorkshire.com/wakefield/shopping/corner-shops/kubus-international-food</t>
        </is>
      </c>
      <c r="E766" s="5" t="inlineStr">
        <is>
          <t>Directory</t>
        </is>
      </c>
      <c r="F766" s="5" t="inlineStr">
        <is>
          <t>2026-09-16</t>
        </is>
      </c>
      <c r="G766" s="5" t="inlineStr">
        <is>
          <t>name, address 86 Kirkgate, description, hours</t>
        </is>
      </c>
      <c r="H766" s="5" t="inlineStr">
        <is>
          <t>Requires Verification</t>
        </is>
      </c>
    </row>
    <row r="767">
      <c r="A767" s="10" t="inlineStr">
        <is>
          <t>UK-000264</t>
        </is>
      </c>
      <c r="B767" s="10" t="inlineStr">
        <is>
          <t>La Vana Restaurant &amp; Shisha</t>
        </is>
      </c>
      <c r="C767" s="10" t="inlineStr">
        <is>
          <t>Kingston upon Hull</t>
        </is>
      </c>
      <c r="D767" s="10" t="inlineStr">
        <is>
          <t>https://www.facebook.com/LaVanaShisha/</t>
        </is>
      </c>
      <c r="E767" s="10" t="inlineStr">
        <is>
          <t>Facebook</t>
        </is>
      </c>
      <c r="F767" s="10" t="inlineStr">
        <is>
          <t>2026-09-16</t>
        </is>
      </c>
      <c r="G767" s="10" t="inlineStr">
        <is>
          <t>name, Hull location (via search results)</t>
        </is>
      </c>
      <c r="H767" s="10" t="inlineStr">
        <is>
          <t>Requires Verification</t>
        </is>
      </c>
    </row>
    <row r="768">
      <c r="A768" s="5" t="inlineStr">
        <is>
          <t>UK-000486</t>
        </is>
      </c>
      <c r="B768" s="5" t="inlineStr">
        <is>
          <t>Land of Vapes</t>
        </is>
      </c>
      <c r="C768" s="5" t="inlineStr">
        <is>
          <t>Wolverhampton</t>
        </is>
      </c>
      <c r="D768" s="5" t="inlineStr">
        <is>
          <t>https://ecigdirectory.co.uk/vape-shop/listing/land-of-vapes-wolverhampton</t>
        </is>
      </c>
      <c r="E768" s="5" t="inlineStr">
        <is>
          <t>Directory</t>
        </is>
      </c>
      <c r="F768" s="5" t="inlineStr">
        <is>
          <t>2026-09-17</t>
        </is>
      </c>
      <c r="G768" s="5" t="inlineStr">
        <is>
          <t>address, postcode, phone, brands</t>
        </is>
      </c>
      <c r="H768" s="5" t="inlineStr">
        <is>
          <t>Requires Verification</t>
        </is>
      </c>
    </row>
    <row r="769">
      <c r="A769" s="10" t="inlineStr">
        <is>
          <t>WY-0108</t>
        </is>
      </c>
      <c r="B769" s="10" t="inlineStr">
        <is>
          <t>Latitude Wine &amp; Liquor Merchant</t>
        </is>
      </c>
      <c r="C769" s="10" t="inlineStr">
        <is>
          <t>Leeds</t>
        </is>
      </c>
      <c r="D769" s="10" t="inlineStr">
        <is>
          <t>https://www.yelp.com/biz/latitude-wine-and-liquor-merchant-leeds</t>
        </is>
      </c>
      <c r="E769" s="10" t="inlineStr">
        <is>
          <t>Directory</t>
        </is>
      </c>
      <c r="F769" s="10" t="inlineStr">
        <is>
          <t>2026-09-16</t>
        </is>
      </c>
      <c r="G769" s="10" t="inlineStr">
        <is>
          <t>address, phone, hours (via search results)</t>
        </is>
      </c>
      <c r="H769" s="10" t="inlineStr">
        <is>
          <t>Partially Verified</t>
        </is>
      </c>
    </row>
    <row r="770">
      <c r="A770" s="5" t="inlineStr">
        <is>
          <t>WY-0108</t>
        </is>
      </c>
      <c r="B770" s="5" t="inlineStr">
        <is>
          <t>Latitude Wine &amp; Liquor Merchant</t>
        </is>
      </c>
      <c r="C770" s="5" t="inlineStr">
        <is>
          <t>Leeds</t>
        </is>
      </c>
      <c r="D770" s="5" t="inlineStr">
        <is>
          <t>https://latitudewine.co.uk/</t>
        </is>
      </c>
      <c r="E770" s="5" t="inlineStr">
        <is>
          <t>Official Website</t>
        </is>
      </c>
      <c r="F770" s="5" t="inlineStr">
        <is>
          <t>2026-09-16</t>
        </is>
      </c>
      <c r="G770" s="5" t="inlineStr">
        <is>
          <t>website confirmation (via search results; direct fetch blocked by proxy)</t>
        </is>
      </c>
      <c r="H770" s="5" t="inlineStr">
        <is>
          <t>Partially Verified</t>
        </is>
      </c>
    </row>
    <row r="771">
      <c r="A771" s="10" t="inlineStr">
        <is>
          <t>WY-0108</t>
        </is>
      </c>
      <c r="B771" s="10" t="inlineStr">
        <is>
          <t>Latitude Wine &amp; Liquor Merchant</t>
        </is>
      </c>
      <c r="C771" s="10" t="inlineStr">
        <is>
          <t>Leeds</t>
        </is>
      </c>
      <c r="D771" s="10" t="inlineStr">
        <is>
          <t>https://latitudewine.co.uk/pages/contact-us</t>
        </is>
      </c>
      <c r="E771" s="10" t="inlineStr">
        <is>
          <t>Official Website</t>
        </is>
      </c>
      <c r="F771" s="10" t="inlineStr">
        <is>
          <t>2026-09-16</t>
        </is>
      </c>
      <c r="G771" s="10" t="inlineStr">
        <is>
          <t>email (sales)</t>
        </is>
      </c>
      <c r="H771" s="10" t="inlineStr">
        <is>
          <t>Partially Verified</t>
        </is>
      </c>
    </row>
    <row r="772">
      <c r="A772" s="5" t="inlineStr">
        <is>
          <t>UK-000626</t>
        </is>
      </c>
      <c r="B772" s="5" t="inlineStr">
        <is>
          <t>Lauries Afro Caribbean Food Centre</t>
        </is>
      </c>
      <c r="C772" s="5" t="inlineStr">
        <is>
          <t>London</t>
        </is>
      </c>
      <c r="D772" s="5" t="inlineStr">
        <is>
          <t>https://www.yell.com/biz/lauries-afro-caribbean-food-centre-london-7946211/</t>
        </is>
      </c>
      <c r="E772" s="5" t="inlineStr">
        <is>
          <t>Yell</t>
        </is>
      </c>
      <c r="F772" s="5" t="inlineStr">
        <is>
          <t>2026-09-17</t>
        </is>
      </c>
      <c r="G772" s="5" t="inlineStr">
        <is>
          <t>business name, address</t>
        </is>
      </c>
      <c r="H772" s="5" t="inlineStr">
        <is>
          <t>Requires Verification</t>
        </is>
      </c>
    </row>
    <row r="773">
      <c r="A773" s="10" t="inlineStr">
        <is>
          <t>WY-0109</t>
        </is>
      </c>
      <c r="B773" s="10" t="inlineStr">
        <is>
          <t>Leeds Shisha Wholesale</t>
        </is>
      </c>
      <c r="C773" s="10" t="inlineStr">
        <is>
          <t>Leeds</t>
        </is>
      </c>
      <c r="D773" s="10" t="inlineStr">
        <is>
          <t>https://www.facebook.com/p/Leeds-Shisha-Wholesale-100066917521496/</t>
        </is>
      </c>
      <c r="E773" s="10" t="inlineStr">
        <is>
          <t>Facebook</t>
        </is>
      </c>
      <c r="F773" s="10" t="inlineStr">
        <is>
          <t>2026-09-16</t>
        </is>
      </c>
      <c r="G773" s="10" t="inlineStr">
        <is>
          <t>name, town, description (via search results)</t>
        </is>
      </c>
      <c r="H773" s="10" t="inlineStr">
        <is>
          <t>Requires Verification</t>
        </is>
      </c>
    </row>
    <row r="774">
      <c r="A774" s="5" t="inlineStr">
        <is>
          <t>WY-0109</t>
        </is>
      </c>
      <c r="B774" s="5" t="inlineStr">
        <is>
          <t>Leeds Shisha Wholesale</t>
        </is>
      </c>
      <c r="C774" s="5" t="inlineStr">
        <is>
          <t>Leeds</t>
        </is>
      </c>
      <c r="D774" s="5" t="inlineStr">
        <is>
          <t>https://leeds.cylex-uk.co.uk/company/leeds-shisha-wholesale-27498601.html</t>
        </is>
      </c>
      <c r="E774" s="5" t="inlineStr">
        <is>
          <t>Directory</t>
        </is>
      </c>
      <c r="F774" s="5" t="inlineStr">
        <is>
          <t>2026-09-16</t>
        </is>
      </c>
      <c r="G774" s="5" t="inlineStr">
        <is>
          <t>listing confirmation (via search results)</t>
        </is>
      </c>
      <c r="H774" s="5" t="inlineStr">
        <is>
          <t>Requires Verification</t>
        </is>
      </c>
    </row>
    <row r="775">
      <c r="A775" s="10" t="inlineStr">
        <is>
          <t>UK-000487</t>
        </is>
      </c>
      <c r="B775" s="10" t="inlineStr">
        <is>
          <t>Lewis Food Wholesalers Ltd</t>
        </is>
      </c>
      <c r="C775" s="10" t="inlineStr">
        <is>
          <t>West Bromwich</t>
        </is>
      </c>
      <c r="D775" s="10" t="inlineStr">
        <is>
          <t>https://www.yell.com/biz/lewis-food-wholesalers-west-bromwich-1583979/</t>
        </is>
      </c>
      <c r="E775" s="10" t="inlineStr">
        <is>
          <t>Yell</t>
        </is>
      </c>
      <c r="F775" s="10" t="inlineStr">
        <is>
          <t>2026-09-17</t>
        </is>
      </c>
      <c r="G775" s="10" t="inlineStr">
        <is>
          <t>business name, address (listing snippet)</t>
        </is>
      </c>
      <c r="H775" s="10" t="inlineStr">
        <is>
          <t>Requires Verification</t>
        </is>
      </c>
    </row>
    <row r="776">
      <c r="A776" s="5" t="inlineStr">
        <is>
          <t>UK-000627</t>
        </is>
      </c>
      <c r="B776" s="5" t="inlineStr">
        <is>
          <t>Lewisham Best Food Supermarket</t>
        </is>
      </c>
      <c r="C776" s="5" t="inlineStr">
        <is>
          <t>London</t>
        </is>
      </c>
      <c r="D776" s="5" t="inlineStr">
        <is>
          <t>https://www.yell.com/biz/lewisham-best-food-supermarket-london-9473572/</t>
        </is>
      </c>
      <c r="E776" s="5" t="inlineStr">
        <is>
          <t>Yell</t>
        </is>
      </c>
      <c r="F776" s="5" t="inlineStr">
        <is>
          <t>2026-09-17</t>
        </is>
      </c>
      <c r="G776" s="5" t="inlineStr">
        <is>
          <t>business name, area</t>
        </is>
      </c>
      <c r="H776" s="5" t="inlineStr">
        <is>
          <t>Requires Verification</t>
        </is>
      </c>
    </row>
    <row r="777">
      <c r="A777" s="10" t="inlineStr">
        <is>
          <t>UK-000628</t>
        </is>
      </c>
      <c r="B777" s="10" t="inlineStr">
        <is>
          <t>Leyton Food</t>
        </is>
      </c>
      <c r="C777" s="10" t="inlineStr">
        <is>
          <t>Leyton</t>
        </is>
      </c>
      <c r="D777" s="10" t="inlineStr">
        <is>
          <t>https://www.yell.com/s/vape+shops-stratford-east+london.html</t>
        </is>
      </c>
      <c r="E777" s="10" t="inlineStr">
        <is>
          <t>Yell</t>
        </is>
      </c>
      <c r="F777" s="10" t="inlineStr">
        <is>
          <t>2026-09-17</t>
        </is>
      </c>
      <c r="G777" s="10" t="inlineStr">
        <is>
          <t>name, address, postcode</t>
        </is>
      </c>
      <c r="H777" s="10" t="inlineStr">
        <is>
          <t>Requires Verification</t>
        </is>
      </c>
    </row>
    <row r="778">
      <c r="A778" s="5" t="inlineStr">
        <is>
          <t>UK-000488</t>
        </is>
      </c>
      <c r="B778" s="5" t="inlineStr">
        <is>
          <t>Lioncroft Wholesale Ltd</t>
        </is>
      </c>
      <c r="C778" s="5" t="inlineStr">
        <is>
          <t>Birmingham</t>
        </is>
      </c>
      <c r="D778" s="5" t="inlineStr">
        <is>
          <t>https://lioncroftwholesale.co.uk/</t>
        </is>
      </c>
      <c r="E778" s="5" t="inlineStr">
        <is>
          <t>Official Website</t>
        </is>
      </c>
      <c r="F778" s="5" t="inlineStr">
        <is>
          <t>2026-09-17</t>
        </is>
      </c>
      <c r="G778" s="5" t="inlineStr">
        <is>
          <t>trading name, category, Birmingham base</t>
        </is>
      </c>
      <c r="H778" s="5" t="inlineStr">
        <is>
          <t>Requires Verification</t>
        </is>
      </c>
    </row>
    <row r="779">
      <c r="A779" s="10" t="inlineStr">
        <is>
          <t>WY-0110</t>
        </is>
      </c>
      <c r="B779" s="10" t="inlineStr">
        <is>
          <t>Liquid Mafia The King of Vapes</t>
        </is>
      </c>
      <c r="C779" s="10" t="inlineStr">
        <is>
          <t>Dewsbury</t>
        </is>
      </c>
      <c r="D779" s="10" t="inlineStr">
        <is>
          <t>https://vapemaps.co/england/west-yorkshire/dewsbury/liquid-mafia-the-king-of-vapes/8788</t>
        </is>
      </c>
      <c r="E779" s="10" t="inlineStr">
        <is>
          <t>Directory</t>
        </is>
      </c>
      <c r="F779" s="10" t="inlineStr">
        <is>
          <t>2026-09-16</t>
        </is>
      </c>
      <c r="G779" s="10" t="inlineStr">
        <is>
          <t>address, phone</t>
        </is>
      </c>
      <c r="H779" s="10" t="inlineStr">
        <is>
          <t>Requires Verification</t>
        </is>
      </c>
    </row>
    <row r="780">
      <c r="A780" s="5" t="inlineStr">
        <is>
          <t>WY-0110</t>
        </is>
      </c>
      <c r="B780" s="5" t="inlineStr">
        <is>
          <t>Liquid Mafia The King of Vapes</t>
        </is>
      </c>
      <c r="C780" s="5" t="inlineStr">
        <is>
          <t>Dewsbury</t>
        </is>
      </c>
      <c r="D780" s="5" t="inlineStr">
        <is>
          <t>https://www.yorkshire.com/dewsbury/shopping/vape-shops/liquid-mafia-the-king-of-vapes</t>
        </is>
      </c>
      <c r="E780" s="5" t="inlineStr">
        <is>
          <t>Directory</t>
        </is>
      </c>
      <c r="F780" s="5" t="inlineStr">
        <is>
          <t>2026-09-16</t>
        </is>
      </c>
      <c r="G780" s="5" t="inlineStr">
        <is>
          <t>Huddersfield Road location, hours, rating</t>
        </is>
      </c>
      <c r="H780" s="5" t="inlineStr">
        <is>
          <t>Requires Verification</t>
        </is>
      </c>
    </row>
    <row r="781">
      <c r="A781" s="10" t="inlineStr">
        <is>
          <t>WY-0110</t>
        </is>
      </c>
      <c r="B781" s="10" t="inlineStr">
        <is>
          <t>Liquid Mafia The King of Vapes</t>
        </is>
      </c>
      <c r="C781" s="10" t="inlineStr">
        <is>
          <t>Dewsbury</t>
        </is>
      </c>
      <c r="D781" s="10" t="inlineStr">
        <is>
          <t>https://www.instagram.com/liquidmafiaofficial/</t>
        </is>
      </c>
      <c r="E781" s="10" t="inlineStr">
        <is>
          <t>Instagram</t>
        </is>
      </c>
      <c r="F781" s="10" t="inlineStr">
        <is>
          <t>2026-09-16</t>
        </is>
      </c>
      <c r="G781" s="10" t="inlineStr">
        <is>
          <t>business Instagram, alternative phone</t>
        </is>
      </c>
      <c r="H781" s="10" t="inlineStr">
        <is>
          <t>Requires Verification</t>
        </is>
      </c>
    </row>
    <row r="782">
      <c r="A782" s="5" t="inlineStr">
        <is>
          <t>UK-000489</t>
        </is>
      </c>
      <c r="B782" s="5" t="inlineStr">
        <is>
          <t>Liquor Bins</t>
        </is>
      </c>
      <c r="C782" s="5" t="inlineStr">
        <is>
          <t>Smethwick</t>
        </is>
      </c>
      <c r="D782" s="5" t="inlineStr">
        <is>
          <t>https://www.yell.com/s/off+licences-bearwood.html</t>
        </is>
      </c>
      <c r="E782" s="5" t="inlineStr">
        <is>
          <t>Yell</t>
        </is>
      </c>
      <c r="F782" s="5" t="inlineStr">
        <is>
          <t>2026-09-17</t>
        </is>
      </c>
      <c r="G782" s="5" t="inlineStr">
        <is>
          <t>business name, address (listing snippet)</t>
        </is>
      </c>
      <c r="H782" s="5" t="inlineStr">
        <is>
          <t>Requires Verification</t>
        </is>
      </c>
    </row>
    <row r="783">
      <c r="A783" s="10" t="inlineStr">
        <is>
          <t>UK-000794</t>
        </is>
      </c>
      <c r="B783" s="10" t="inlineStr">
        <is>
          <t>Liverpool 8 Superstore</t>
        </is>
      </c>
      <c r="C783" s="10" t="inlineStr">
        <is>
          <t>Liverpool</t>
        </is>
      </c>
      <c r="D783" s="10" t="inlineStr">
        <is>
          <t>https://confidentials.com/liverpool/counter-culture-the-liverpool-8-superstore</t>
        </is>
      </c>
      <c r="E783" s="10" t="inlineStr">
        <is>
          <t>News / Trade Press</t>
        </is>
      </c>
      <c r="F783" s="10" t="inlineStr">
        <is>
          <t>2026-09-17</t>
        </is>
      </c>
      <c r="G783" s="10" t="inlineStr">
        <is>
          <t>name, address, postcode, product range</t>
        </is>
      </c>
      <c r="H783" s="10" t="inlineStr">
        <is>
          <t>Requires Verification</t>
        </is>
      </c>
    </row>
    <row r="784">
      <c r="A784" s="5" t="inlineStr">
        <is>
          <t>UK-000795</t>
        </is>
      </c>
      <c r="B784" s="5" t="inlineStr">
        <is>
          <t>Liverpool Vape Shack</t>
        </is>
      </c>
      <c r="C784" s="5" t="inlineStr">
        <is>
          <t>Prescot</t>
        </is>
      </c>
      <c r="D784" s="5" t="inlineStr">
        <is>
          <t>https://www.yell.com/biz/vape-shack-prescot-8046036/</t>
        </is>
      </c>
      <c r="E784" s="5" t="inlineStr">
        <is>
          <t>Yell</t>
        </is>
      </c>
      <c r="F784" s="5" t="inlineStr">
        <is>
          <t>2026-09-17</t>
        </is>
      </c>
      <c r="G784" s="5" t="inlineStr">
        <is>
          <t>name, address, postcode, category</t>
        </is>
      </c>
      <c r="H784" s="5" t="inlineStr">
        <is>
          <t>Requires Verification</t>
        </is>
      </c>
    </row>
    <row r="785">
      <c r="A785" s="10" t="inlineStr">
        <is>
          <t>WY-0111</t>
        </is>
      </c>
      <c r="B785" s="10" t="inlineStr">
        <is>
          <t>Local Convenience Store (Elsinore Avenue)</t>
        </is>
      </c>
      <c r="C785" s="10" t="inlineStr">
        <is>
          <t>Elland</t>
        </is>
      </c>
      <c r="D785" s="10" t="inlineStr">
        <is>
          <t>https://www.yorkshire.com/elland/shopping/corner-shops</t>
        </is>
      </c>
      <c r="E785" s="10" t="inlineStr">
        <is>
          <t>Directory</t>
        </is>
      </c>
      <c r="F785" s="10" t="inlineStr">
        <is>
          <t>2026-09-16</t>
        </is>
      </c>
      <c r="G785" s="10" t="inlineStr">
        <is>
          <t>name, address, postcode</t>
        </is>
      </c>
      <c r="H785" s="10" t="inlineStr">
        <is>
          <t>Requires Verification</t>
        </is>
      </c>
    </row>
    <row r="786">
      <c r="A786" s="5" t="inlineStr">
        <is>
          <t>WY-0112</t>
        </is>
      </c>
      <c r="B786" s="5" t="inlineStr">
        <is>
          <t>Local Express Off Licence</t>
        </is>
      </c>
      <c r="C786" s="5" t="inlineStr">
        <is>
          <t>Batley</t>
        </is>
      </c>
      <c r="D786" s="5" t="inlineStr">
        <is>
          <t>https://www.bigreddirectory.com/local-express-off-licence-batley</t>
        </is>
      </c>
      <c r="E786" s="5" t="inlineStr">
        <is>
          <t>Directory</t>
        </is>
      </c>
      <c r="F786" s="5" t="inlineStr">
        <is>
          <t>2026-09-16</t>
        </is>
      </c>
      <c r="G786" s="5" t="inlineStr">
        <is>
          <t>name, address</t>
        </is>
      </c>
      <c r="H786" s="5" t="inlineStr">
        <is>
          <t>Requires Verification</t>
        </is>
      </c>
    </row>
    <row r="787">
      <c r="A787" s="10" t="inlineStr">
        <is>
          <t>WY-0113</t>
        </is>
      </c>
      <c r="B787" s="10" t="inlineStr">
        <is>
          <t>Londis Normanton (313 Castleford Road)</t>
        </is>
      </c>
      <c r="C787" s="10" t="inlineStr">
        <is>
          <t>Normanton</t>
        </is>
      </c>
      <c r="D787" s="10" t="inlineStr">
        <is>
          <t>https://www.londis.co.uk/our-stores/londis-normanton</t>
        </is>
      </c>
      <c r="E787" s="10" t="inlineStr">
        <is>
          <t>Official Website</t>
        </is>
      </c>
      <c r="F787" s="10" t="inlineStr">
        <is>
          <t>2026-09-16</t>
        </is>
      </c>
      <c r="G787" s="10" t="inlineStr">
        <is>
          <t>address, postcode, phone, hours (symbol group store page, seen via search results)</t>
        </is>
      </c>
      <c r="H787" s="10" t="inlineStr">
        <is>
          <t>Requires Verification</t>
        </is>
      </c>
    </row>
    <row r="788">
      <c r="A788" s="5" t="inlineStr">
        <is>
          <t>WY-0114</t>
        </is>
      </c>
      <c r="B788" s="5" t="inlineStr">
        <is>
          <t>Londis Normanton (Castleford Road, WF6 2DW)</t>
        </is>
      </c>
      <c r="C788" s="5" t="inlineStr">
        <is>
          <t>Normanton</t>
        </is>
      </c>
      <c r="D788" s="5" t="inlineStr">
        <is>
          <t>https://www.londis.co.uk/our-stores/normanton</t>
        </is>
      </c>
      <c r="E788" s="5" t="inlineStr">
        <is>
          <t>Official Website</t>
        </is>
      </c>
      <c r="F788" s="5" t="inlineStr">
        <is>
          <t>2026-09-16</t>
        </is>
      </c>
      <c r="G788" s="5" t="inlineStr">
        <is>
          <t>address, postcode, phone (symbol group store page, seen via search results)</t>
        </is>
      </c>
      <c r="H788" s="5" t="inlineStr">
        <is>
          <t>Requires Verification</t>
        </is>
      </c>
    </row>
    <row r="789">
      <c r="A789" s="10" t="inlineStr">
        <is>
          <t>WY-0115</t>
        </is>
      </c>
      <c r="B789" s="10" t="inlineStr">
        <is>
          <t>Londis Ravensthorpe</t>
        </is>
      </c>
      <c r="C789" s="10" t="inlineStr">
        <is>
          <t>Dewsbury</t>
        </is>
      </c>
      <c r="D789" s="10" t="inlineStr">
        <is>
          <t>https://www.londis.co.uk/our-stores/londis-ravensthorpe</t>
        </is>
      </c>
      <c r="E789" s="10" t="inlineStr">
        <is>
          <t>Official Website</t>
        </is>
      </c>
      <c r="F789" s="10" t="inlineStr">
        <is>
          <t>2026-09-16</t>
        </is>
      </c>
      <c r="G789" s="10" t="inlineStr">
        <is>
          <t>store existence and area (symbol group locator, seen in search results)</t>
        </is>
      </c>
      <c r="H789" s="10" t="inlineStr">
        <is>
          <t>Requires Verification</t>
        </is>
      </c>
    </row>
    <row r="790">
      <c r="A790" s="5" t="inlineStr">
        <is>
          <t>WY-0115</t>
        </is>
      </c>
      <c r="B790" s="5" t="inlineStr">
        <is>
          <t>Londis Ravensthorpe</t>
        </is>
      </c>
      <c r="C790" s="5" t="inlineStr">
        <is>
          <t>Dewsbury</t>
        </is>
      </c>
      <c r="D790" s="5" t="inlineStr">
        <is>
          <t>https://directory.gazettelive.co.uk/company/999b46611b8a8afc4d77d779e9c8dcf7</t>
        </is>
      </c>
      <c r="E790" s="5" t="inlineStr">
        <is>
          <t>Directory</t>
        </is>
      </c>
      <c r="F790" s="5" t="inlineStr">
        <is>
          <t>2026-09-16</t>
        </is>
      </c>
      <c r="G790" s="5" t="inlineStr">
        <is>
          <t>postcode, phone</t>
        </is>
      </c>
      <c r="H790" s="5" t="inlineStr">
        <is>
          <t>Requires Verification</t>
        </is>
      </c>
    </row>
    <row r="791">
      <c r="A791" s="10" t="inlineStr">
        <is>
          <t>UK-000629</t>
        </is>
      </c>
      <c r="B791" s="10" t="inlineStr">
        <is>
          <t>London Fog Vapery</t>
        </is>
      </c>
      <c r="C791" s="10" t="inlineStr">
        <is>
          <t>Islington</t>
        </is>
      </c>
      <c r="D791" s="10" t="inlineStr">
        <is>
          <t>https://www.yell.com/s/vape+shops-islington-central+london.html</t>
        </is>
      </c>
      <c r="E791" s="10" t="inlineStr">
        <is>
          <t>Yell</t>
        </is>
      </c>
      <c r="F791" s="10" t="inlineStr">
        <is>
          <t>2026-09-17</t>
        </is>
      </c>
      <c r="G791" s="10" t="inlineStr">
        <is>
          <t>name, address, postcode, phone</t>
        </is>
      </c>
      <c r="H791" s="10" t="inlineStr">
        <is>
          <t>Requires Verification</t>
        </is>
      </c>
    </row>
    <row r="792">
      <c r="A792" s="5" t="inlineStr">
        <is>
          <t>UK-000796</t>
        </is>
      </c>
      <c r="B792" s="5" t="inlineStr">
        <is>
          <t>Loon Fung</t>
        </is>
      </c>
      <c r="C792" s="5" t="inlineStr">
        <is>
          <t>Edinburgh</t>
        </is>
      </c>
      <c r="D792" s="5" t="inlineStr">
        <is>
          <t>https://www.yell.com/s/asian+supermarkets-edinburgh.html</t>
        </is>
      </c>
      <c r="E792" s="5" t="inlineStr">
        <is>
          <t>Yell</t>
        </is>
      </c>
      <c r="F792" s="5" t="inlineStr">
        <is>
          <t>2026-09-17</t>
        </is>
      </c>
      <c r="G792" s="5" t="inlineStr">
        <is>
          <t>name, address, phone (snippet)</t>
        </is>
      </c>
      <c r="H792" s="5" t="inlineStr">
        <is>
          <t>Requires Verification</t>
        </is>
      </c>
    </row>
    <row r="793">
      <c r="A793" s="10" t="inlineStr">
        <is>
          <t>UK-000797</t>
        </is>
      </c>
      <c r="B793" s="10" t="inlineStr">
        <is>
          <t>Lots Of Vape</t>
        </is>
      </c>
      <c r="C793" s="10" t="inlineStr">
        <is>
          <t>Liverpool</t>
        </is>
      </c>
      <c r="D793" s="10" t="inlineStr">
        <is>
          <t>https://waterloo-sefton.cylex-uk.co.uk/company/virgin-vapours-27370213.html</t>
        </is>
      </c>
      <c r="E793" s="10" t="inlineStr">
        <is>
          <t>Directory</t>
        </is>
      </c>
      <c r="F793" s="10" t="inlineStr">
        <is>
          <t>2026-09-17</t>
        </is>
      </c>
      <c r="G793" s="10" t="inlineStr">
        <is>
          <t>Forefield Lane address, postcode, phone (nearby listings)</t>
        </is>
      </c>
      <c r="H793" s="10" t="inlineStr">
        <is>
          <t>Requires Verification</t>
        </is>
      </c>
    </row>
    <row r="794">
      <c r="A794" s="5" t="inlineStr">
        <is>
          <t>UK-000265</t>
        </is>
      </c>
      <c r="B794" s="5" t="inlineStr">
        <is>
          <t>Lounge 418</t>
        </is>
      </c>
      <c r="C794" s="5" t="inlineStr">
        <is>
          <t>Sheffield</t>
        </is>
      </c>
      <c r="D794" s="5" t="inlineStr">
        <is>
          <t>https://www.lounge418.co.uk/</t>
        </is>
      </c>
      <c r="E794" s="5" t="inlineStr">
        <is>
          <t>Official Website</t>
        </is>
      </c>
      <c r="F794" s="5" t="inlineStr">
        <is>
          <t>2026-09-16</t>
        </is>
      </c>
      <c r="G794" s="5" t="inlineStr">
        <is>
          <t>name, description, website</t>
        </is>
      </c>
      <c r="H794" s="5" t="inlineStr">
        <is>
          <t>Requires Verification</t>
        </is>
      </c>
    </row>
    <row r="795">
      <c r="A795" s="10" t="inlineStr">
        <is>
          <t>UK-000630</t>
        </is>
      </c>
      <c r="B795" s="10" t="inlineStr">
        <is>
          <t>Love Vape Brixton</t>
        </is>
      </c>
      <c r="C795" s="10" t="inlineStr">
        <is>
          <t>London</t>
        </is>
      </c>
      <c r="D795" s="10" t="inlineStr">
        <is>
          <t>https://www.yell.com/biz/love-vape-brixton-london-8747292/</t>
        </is>
      </c>
      <c r="E795" s="10" t="inlineStr">
        <is>
          <t>Yell</t>
        </is>
      </c>
      <c r="F795" s="10" t="inlineStr">
        <is>
          <t>2026-09-17</t>
        </is>
      </c>
      <c r="G795" s="10" t="inlineStr">
        <is>
          <t>business name, area</t>
        </is>
      </c>
      <c r="H795" s="10" t="inlineStr">
        <is>
          <t>Requires Verification</t>
        </is>
      </c>
    </row>
    <row r="796">
      <c r="A796" s="5" t="inlineStr">
        <is>
          <t>WY-0116</t>
        </is>
      </c>
      <c r="B796" s="5" t="inlineStr">
        <is>
          <t>Low Lane Convenience Store (Premier)</t>
        </is>
      </c>
      <c r="C796" s="5" t="inlineStr">
        <is>
          <t>Batley</t>
        </is>
      </c>
      <c r="D796" s="5" t="inlineStr">
        <is>
          <t>https://www.premier-stores.co.uk/our-stores/low-lane-convenience-store</t>
        </is>
      </c>
      <c r="E796" s="5" t="inlineStr">
        <is>
          <t>Official Website</t>
        </is>
      </c>
      <c r="F796" s="5" t="inlineStr">
        <is>
          <t>2026-09-16</t>
        </is>
      </c>
      <c r="G796" s="5" t="inlineStr">
        <is>
          <t>store listing, address (symbol group locator)</t>
        </is>
      </c>
      <c r="H796" s="5" t="inlineStr">
        <is>
          <t>Requires Verification</t>
        </is>
      </c>
    </row>
    <row r="797">
      <c r="A797" s="10" t="inlineStr">
        <is>
          <t>UK-000368</t>
        </is>
      </c>
      <c r="B797" s="10" t="inlineStr">
        <is>
          <t>Luxury Shisha Lounge (Rusholme)</t>
        </is>
      </c>
      <c r="C797" s="10" t="inlineStr">
        <is>
          <t>Manchester</t>
        </is>
      </c>
      <c r="D797" s="10" t="inlineStr">
        <is>
          <t>https://www.tripadvisor.com/Restaurant_Review-g187069-d10377632-Reviews-Luxury_Shisha_Lounge-Manchester_Greater_Manchester_England.html</t>
        </is>
      </c>
      <c r="E797" s="10" t="inlineStr">
        <is>
          <t>Directory</t>
        </is>
      </c>
      <c r="F797" s="10" t="inlineStr">
        <is>
          <t>2026-09-17</t>
        </is>
      </c>
      <c r="G797" s="10" t="inlineStr">
        <is>
          <t>business name, address, postcode, phone</t>
        </is>
      </c>
      <c r="H797" s="10" t="inlineStr">
        <is>
          <t>Requires Verification</t>
        </is>
      </c>
    </row>
    <row r="798">
      <c r="A798" s="5" t="inlineStr">
        <is>
          <t>UK-000490</t>
        </is>
      </c>
      <c r="B798" s="5" t="inlineStr">
        <is>
          <t>M &amp; T Supermarket Ltd</t>
        </is>
      </c>
      <c r="C798" s="5" t="inlineStr">
        <is>
          <t>Walsall</t>
        </is>
      </c>
      <c r="D798" s="5" t="inlineStr">
        <is>
          <t>https://www.yell.com/biz/m-and-t-supermarket-ltd-walsall-5024939/</t>
        </is>
      </c>
      <c r="E798" s="5" t="inlineStr">
        <is>
          <t>Yell</t>
        </is>
      </c>
      <c r="F798" s="5" t="inlineStr">
        <is>
          <t>2026-09-17</t>
        </is>
      </c>
      <c r="G798" s="5" t="inlineStr">
        <is>
          <t>address, postcode, phone</t>
        </is>
      </c>
      <c r="H798" s="5" t="inlineStr">
        <is>
          <t>Requires Verification</t>
        </is>
      </c>
    </row>
    <row r="799">
      <c r="A799" s="10" t="inlineStr">
        <is>
          <t>UK-000490</t>
        </is>
      </c>
      <c r="B799" s="10" t="inlineStr">
        <is>
          <t>M &amp; T Supermarket Ltd</t>
        </is>
      </c>
      <c r="C799" s="10" t="inlineStr">
        <is>
          <t>Walsall</t>
        </is>
      </c>
      <c r="D799" s="10" t="inlineStr">
        <is>
          <t>https://citikey.uk/display/m-t-supermarket-1VAVV</t>
        </is>
      </c>
      <c r="E799" s="10" t="inlineStr">
        <is>
          <t>Directory</t>
        </is>
      </c>
      <c r="F799" s="10" t="inlineStr">
        <is>
          <t>2026-09-17</t>
        </is>
      </c>
      <c r="G799" s="10" t="inlineStr">
        <is>
          <t>address, postcode</t>
        </is>
      </c>
      <c r="H799" s="10" t="inlineStr">
        <is>
          <t>Requires Verification</t>
        </is>
      </c>
    </row>
    <row r="800">
      <c r="A800" s="5" t="inlineStr">
        <is>
          <t>UK-000798</t>
        </is>
      </c>
      <c r="B800" s="5" t="inlineStr">
        <is>
          <t>MNS Shisha Shop</t>
        </is>
      </c>
      <c r="C800" s="5" t="inlineStr">
        <is>
          <t>Liverpool</t>
        </is>
      </c>
      <c r="D800" s="5" t="inlineStr">
        <is>
          <t>https://liverpool.cylex-uk.co.uk/company/mns-shisha-shop-27245333.html</t>
        </is>
      </c>
      <c r="E800" s="5" t="inlineStr">
        <is>
          <t>Directory</t>
        </is>
      </c>
      <c r="F800" s="5" t="inlineStr">
        <is>
          <t>2026-09-17</t>
        </is>
      </c>
      <c r="G800" s="5" t="inlineStr">
        <is>
          <t>name, street, category</t>
        </is>
      </c>
      <c r="H800" s="5" t="inlineStr">
        <is>
          <t>Requires Verification</t>
        </is>
      </c>
    </row>
    <row r="801">
      <c r="A801" s="10" t="inlineStr">
        <is>
          <t>WY-0117</t>
        </is>
      </c>
      <c r="B801" s="10" t="inlineStr">
        <is>
          <t>Mace News &amp; Off Licence</t>
        </is>
      </c>
      <c r="C801" s="10" t="inlineStr">
        <is>
          <t>Shipley</t>
        </is>
      </c>
      <c r="D801" s="10" t="inlineStr">
        <is>
          <t>https://www.yorkshire.com/shipley/shopping/off-license/mace-news-off-licence</t>
        </is>
      </c>
      <c r="E801" s="10" t="inlineStr">
        <is>
          <t>Directory</t>
        </is>
      </c>
      <c r="F801" s="10" t="inlineStr">
        <is>
          <t>2026-09-16</t>
        </is>
      </c>
      <c r="G801" s="10" t="inlineStr">
        <is>
          <t>name, Otley Road Baildon location, hours (search snippet)</t>
        </is>
      </c>
      <c r="H801" s="10" t="inlineStr">
        <is>
          <t>Requires Verification</t>
        </is>
      </c>
    </row>
    <row r="802">
      <c r="A802" s="5" t="inlineStr">
        <is>
          <t>UK-000799</t>
        </is>
      </c>
      <c r="B802" s="5" t="inlineStr">
        <is>
          <t>Makkah Halal Meats And Delhi Ltd</t>
        </is>
      </c>
      <c r="C802" s="5" t="inlineStr">
        <is>
          <t>Liverpool</t>
        </is>
      </c>
      <c r="D802" s="5" t="inlineStr">
        <is>
          <t>https://liverpool.cylex-uk.co.uk/company/makkah-halal-meats-and-delhi-ltd-20583923.html</t>
        </is>
      </c>
      <c r="E802" s="5" t="inlineStr">
        <is>
          <t>Directory</t>
        </is>
      </c>
      <c r="F802" s="5" t="inlineStr">
        <is>
          <t>2026-09-17</t>
        </is>
      </c>
      <c r="G802" s="5" t="inlineStr">
        <is>
          <t>name, address, postcode</t>
        </is>
      </c>
      <c r="H802" s="5" t="inlineStr">
        <is>
          <t>Requires Verification</t>
        </is>
      </c>
    </row>
    <row r="803">
      <c r="A803" s="10" t="inlineStr">
        <is>
          <t>UK-000631</t>
        </is>
      </c>
      <c r="B803" s="10" t="inlineStr">
        <is>
          <t>Malar Supermarket</t>
        </is>
      </c>
      <c r="C803" s="10" t="inlineStr">
        <is>
          <t>Wembley</t>
        </is>
      </c>
      <c r="D803" s="10" t="inlineStr">
        <is>
          <t>https://www.yell.com/biz/malar-supermarket-wembley-10906329/</t>
        </is>
      </c>
      <c r="E803" s="10" t="inlineStr">
        <is>
          <t>Yell</t>
        </is>
      </c>
      <c r="F803" s="10" t="inlineStr">
        <is>
          <t>2026-09-17</t>
        </is>
      </c>
      <c r="G803" s="10" t="inlineStr">
        <is>
          <t>business name, address</t>
        </is>
      </c>
      <c r="H803" s="10" t="inlineStr">
        <is>
          <t>Requires Verification</t>
        </is>
      </c>
    </row>
    <row r="804">
      <c r="A804" s="5" t="inlineStr">
        <is>
          <t>UK-000491</t>
        </is>
      </c>
      <c r="B804" s="5" t="inlineStr">
        <is>
          <t>Malhi Wine &amp; Beer Convenience Store</t>
        </is>
      </c>
      <c r="C804" s="5" t="inlineStr">
        <is>
          <t>Birmingham</t>
        </is>
      </c>
      <c r="D804" s="5" t="inlineStr">
        <is>
          <t>https://www.yell.com/s/off+licences-handsworth-birmingham.html</t>
        </is>
      </c>
      <c r="E804" s="5" t="inlineStr">
        <is>
          <t>Yell</t>
        </is>
      </c>
      <c r="F804" s="5" t="inlineStr">
        <is>
          <t>2026-09-17</t>
        </is>
      </c>
      <c r="G804" s="5" t="inlineStr">
        <is>
          <t>address, postcode, phone</t>
        </is>
      </c>
      <c r="H804" s="5" t="inlineStr">
        <is>
          <t>Requires Verification</t>
        </is>
      </c>
    </row>
    <row r="805">
      <c r="A805" s="10" t="inlineStr">
        <is>
          <t>UK-000492</t>
        </is>
      </c>
      <c r="B805" s="10" t="inlineStr">
        <is>
          <t>Malvern Convenience Store</t>
        </is>
      </c>
      <c r="C805" s="10" t="inlineStr">
        <is>
          <t>Birmingham</t>
        </is>
      </c>
      <c r="D805" s="10" t="inlineStr">
        <is>
          <t>https://www.yelp.com/biz/malvern-convenience-store-birmingham</t>
        </is>
      </c>
      <c r="E805" s="10" t="inlineStr">
        <is>
          <t>Directory</t>
        </is>
      </c>
      <c r="F805" s="10" t="inlineStr">
        <is>
          <t>2026-09-17</t>
        </is>
      </c>
      <c r="G805" s="10" t="inlineStr">
        <is>
          <t>address</t>
        </is>
      </c>
      <c r="H805" s="10" t="inlineStr">
        <is>
          <t>Requires Verification</t>
        </is>
      </c>
    </row>
    <row r="806">
      <c r="A806" s="5" t="inlineStr">
        <is>
          <t>UK-000369</t>
        </is>
      </c>
      <c r="B806" s="5" t="inlineStr">
        <is>
          <t>Marfast &amp; Co Ltd (Cheetham Hill)</t>
        </is>
      </c>
      <c r="C806" s="5" t="inlineStr">
        <is>
          <t>Manchester</t>
        </is>
      </c>
      <c r="D806" s="5" t="inlineStr">
        <is>
          <t>https://marfast.co.uk/cashandcarry</t>
        </is>
      </c>
      <c r="E806" s="5" t="inlineStr">
        <is>
          <t>Official Website</t>
        </is>
      </c>
      <c r="F806" s="5" t="inlineStr">
        <is>
          <t>2026-09-17</t>
        </is>
      </c>
      <c r="G806" s="5" t="inlineStr">
        <is>
          <t>business name, address, postcode, offer</t>
        </is>
      </c>
      <c r="H806" s="5" t="inlineStr">
        <is>
          <t>Requires Verification</t>
        </is>
      </c>
    </row>
    <row r="807">
      <c r="A807" s="10" t="inlineStr">
        <is>
          <t>UK-000369</t>
        </is>
      </c>
      <c r="B807" s="10" t="inlineStr">
        <is>
          <t>Marfast &amp; Co Ltd (Cheetham Hill)</t>
        </is>
      </c>
      <c r="C807" s="10" t="inlineStr">
        <is>
          <t>Manchester</t>
        </is>
      </c>
      <c r="D807" s="10" t="inlineStr">
        <is>
          <t>https://manchester.cylex-uk.co.uk/company/marfast-co-ltd-16424765.html</t>
        </is>
      </c>
      <c r="E807" s="10" t="inlineStr">
        <is>
          <t>Directory</t>
        </is>
      </c>
      <c r="F807" s="10" t="inlineStr">
        <is>
          <t>2026-09-17</t>
        </is>
      </c>
      <c r="G807" s="10" t="inlineStr">
        <is>
          <t>phone, address cross-check</t>
        </is>
      </c>
      <c r="H807" s="10" t="inlineStr">
        <is>
          <t>Requires Verification</t>
        </is>
      </c>
    </row>
    <row r="808">
      <c r="A808" s="5" t="inlineStr">
        <is>
          <t>UK-000370</t>
        </is>
      </c>
      <c r="B808" s="5" t="inlineStr">
        <is>
          <t>Marple Bridge Stores</t>
        </is>
      </c>
      <c r="C808" s="5" t="inlineStr">
        <is>
          <t>Marple</t>
        </is>
      </c>
      <c r="D808" s="5" t="inlineStr">
        <is>
          <t>https://www.mynewsagent.co.uk/16218/</t>
        </is>
      </c>
      <c r="E808" s="5" t="inlineStr">
        <is>
          <t>Directory</t>
        </is>
      </c>
      <c r="F808" s="5" t="inlineStr">
        <is>
          <t>2026-09-17</t>
        </is>
      </c>
      <c r="G808" s="5" t="inlineStr">
        <is>
          <t>address, postcode, phone</t>
        </is>
      </c>
      <c r="H808" s="5" t="inlineStr">
        <is>
          <t>Requires Verification</t>
        </is>
      </c>
    </row>
    <row r="809">
      <c r="A809" s="10" t="inlineStr">
        <is>
          <t>UK-000371</t>
        </is>
      </c>
      <c r="B809" s="10" t="inlineStr">
        <is>
          <t>Marple News</t>
        </is>
      </c>
      <c r="C809" s="10" t="inlineStr">
        <is>
          <t>Marple</t>
        </is>
      </c>
      <c r="D809" s="10" t="inlineStr">
        <is>
          <t>https://www.mynewsagent.co.uk/16222/</t>
        </is>
      </c>
      <c r="E809" s="10" t="inlineStr">
        <is>
          <t>Directory</t>
        </is>
      </c>
      <c r="F809" s="10" t="inlineStr">
        <is>
          <t>2026-09-17</t>
        </is>
      </c>
      <c r="G809" s="10" t="inlineStr">
        <is>
          <t>address, postcode, phone</t>
        </is>
      </c>
      <c r="H809" s="10" t="inlineStr">
        <is>
          <t>Requires Verification</t>
        </is>
      </c>
    </row>
    <row r="810">
      <c r="A810" s="5" t="inlineStr">
        <is>
          <t>WY-0118</t>
        </is>
      </c>
      <c r="B810" s="5" t="inlineStr">
        <is>
          <t>Martinez Wines</t>
        </is>
      </c>
      <c r="C810" s="5" t="inlineStr">
        <is>
          <t>Ilkley</t>
        </is>
      </c>
      <c r="D810" s="5" t="inlineStr">
        <is>
          <t>https://martinez.co.uk/shop-services/contact/</t>
        </is>
      </c>
      <c r="E810" s="5" t="inlineStr">
        <is>
          <t>Official Website</t>
        </is>
      </c>
      <c r="F810" s="5" t="inlineStr">
        <is>
          <t>2026-09-16</t>
        </is>
      </c>
      <c r="G810" s="5" t="inlineStr">
        <is>
          <t>address 35 The Grove LS29 9NJ, phone, email shop@martinez.co.uk, hours (search snippet; fetch blocked)</t>
        </is>
      </c>
      <c r="H810" s="5" t="inlineStr">
        <is>
          <t>Requires Verification</t>
        </is>
      </c>
    </row>
    <row r="811">
      <c r="A811" s="10" t="inlineStr">
        <is>
          <t>WY-0118</t>
        </is>
      </c>
      <c r="B811" s="10" t="inlineStr">
        <is>
          <t>Martinez Wines</t>
        </is>
      </c>
      <c r="C811" s="10" t="inlineStr">
        <is>
          <t>Ilkley</t>
        </is>
      </c>
      <c r="D811" s="10" t="inlineStr">
        <is>
          <t>https://www.yelp.com/biz/martinez-wines-ilkley</t>
        </is>
      </c>
      <c r="E811" s="10" t="inlineStr">
        <is>
          <t>Directory</t>
        </is>
      </c>
      <c r="F811" s="10" t="inlineStr">
        <is>
          <t>2026-09-16</t>
        </is>
      </c>
      <c r="G811" s="10" t="inlineStr">
        <is>
          <t>address cross-check (search result)</t>
        </is>
      </c>
      <c r="H811" s="10" t="inlineStr">
        <is>
          <t>Requires Verification</t>
        </is>
      </c>
    </row>
    <row r="812">
      <c r="A812" s="5" t="inlineStr">
        <is>
          <t>WY-0118</t>
        </is>
      </c>
      <c r="B812" s="5" t="inlineStr">
        <is>
          <t>Martinez Wines</t>
        </is>
      </c>
      <c r="C812" s="5" t="inlineStr">
        <is>
          <t>Ilkley</t>
        </is>
      </c>
      <c r="D812" s="5" t="inlineStr">
        <is>
          <t>https://www.instagram.com/martinezwines/</t>
        </is>
      </c>
      <c r="E812" s="5" t="inlineStr">
        <is>
          <t>Instagram</t>
        </is>
      </c>
      <c r="F812" s="5" t="inlineStr">
        <is>
          <t>2026-09-16</t>
        </is>
      </c>
      <c r="G812" s="5" t="inlineStr">
        <is>
          <t>social (instagram)</t>
        </is>
      </c>
      <c r="H812" s="5" t="inlineStr">
        <is>
          <t>Requires Verification</t>
        </is>
      </c>
    </row>
    <row r="813">
      <c r="A813" s="10" t="inlineStr">
        <is>
          <t>UK-000632</t>
        </is>
      </c>
      <c r="B813" s="10" t="inlineStr">
        <is>
          <t>Maruti Wines</t>
        </is>
      </c>
      <c r="C813" s="10" t="inlineStr">
        <is>
          <t>Dagenham</t>
        </is>
      </c>
      <c r="D813" s="10" t="inlineStr">
        <is>
          <t>https://www.yell.com/s/off+licences-rm8.html</t>
        </is>
      </c>
      <c r="E813" s="10" t="inlineStr">
        <is>
          <t>Yell</t>
        </is>
      </c>
      <c r="F813" s="10" t="inlineStr">
        <is>
          <t>2026-09-17</t>
        </is>
      </c>
      <c r="G813" s="10" t="inlineStr">
        <is>
          <t>name, address, postcode</t>
        </is>
      </c>
      <c r="H813" s="10" t="inlineStr">
        <is>
          <t>Requires Verification</t>
        </is>
      </c>
    </row>
    <row r="814">
      <c r="A814" s="5" t="inlineStr">
        <is>
          <t>UK-000633</t>
        </is>
      </c>
      <c r="B814" s="5" t="inlineStr">
        <is>
          <t>Marylebone News</t>
        </is>
      </c>
      <c r="C814" s="5" t="inlineStr">
        <is>
          <t>London</t>
        </is>
      </c>
      <c r="D814" s="5" t="inlineStr">
        <is>
          <t>https://www.yell.com/biz/marylebone-news-london-10688888/</t>
        </is>
      </c>
      <c r="E814" s="5" t="inlineStr">
        <is>
          <t>Yell</t>
        </is>
      </c>
      <c r="F814" s="5" t="inlineStr">
        <is>
          <t>2026-09-17</t>
        </is>
      </c>
      <c r="G814" s="5" t="inlineStr">
        <is>
          <t>business name, address, postcode</t>
        </is>
      </c>
      <c r="H814" s="5" t="inlineStr">
        <is>
          <t>Requires Verification</t>
        </is>
      </c>
    </row>
    <row r="815">
      <c r="A815" s="10" t="inlineStr">
        <is>
          <t>WY-0119</t>
        </is>
      </c>
      <c r="B815" s="10" t="inlineStr">
        <is>
          <t>Matharu Newsagents</t>
        </is>
      </c>
      <c r="C815" s="10" t="inlineStr">
        <is>
          <t>Leeds</t>
        </is>
      </c>
      <c r="D815" s="10" t="inlineStr">
        <is>
          <t>https://findit.yorkshireeveningpost.co.uk/search/leeds/newsagent</t>
        </is>
      </c>
      <c r="E815" s="10" t="inlineStr">
        <is>
          <t>Directory</t>
        </is>
      </c>
      <c r="F815" s="10" t="inlineStr">
        <is>
          <t>2026-09-16</t>
        </is>
      </c>
      <c r="G815" s="10" t="inlineStr">
        <is>
          <t>name, address, phone (via search results)</t>
        </is>
      </c>
      <c r="H815" s="10" t="inlineStr">
        <is>
          <t>Requires Verification</t>
        </is>
      </c>
    </row>
    <row r="816">
      <c r="A816" s="5" t="inlineStr">
        <is>
          <t>UK-000372</t>
        </is>
      </c>
      <c r="B816" s="5" t="inlineStr">
        <is>
          <t>Mazzalini Shisha Lounge</t>
        </is>
      </c>
      <c r="C816" s="5" t="inlineStr">
        <is>
          <t>Oldham</t>
        </is>
      </c>
      <c r="D816" s="5" t="inlineStr">
        <is>
          <t>https://www.yelp.co.uk/biz/mazzalini-shisha-lounge-oldham</t>
        </is>
      </c>
      <c r="E816" s="5" t="inlineStr">
        <is>
          <t>Yell</t>
        </is>
      </c>
      <c r="F816" s="5" t="inlineStr">
        <is>
          <t>2026-09-17</t>
        </is>
      </c>
      <c r="G816" s="5" t="inlineStr">
        <is>
          <t>address, postcode</t>
        </is>
      </c>
      <c r="H816" s="5" t="inlineStr">
        <is>
          <t>Requires Verification</t>
        </is>
      </c>
    </row>
    <row r="817">
      <c r="A817" s="10" t="inlineStr">
        <is>
          <t>WY-0120</t>
        </is>
      </c>
      <c r="B817" s="10" t="inlineStr">
        <is>
          <t>Meltham Convenience Store</t>
        </is>
      </c>
      <c r="C817" s="10" t="inlineStr">
        <is>
          <t>Meltham</t>
        </is>
      </c>
      <c r="D817" s="10" t="inlineStr">
        <is>
          <t>https://www.yell.com/biz/meltham-convenience-store-holmfirth-9079746/</t>
        </is>
      </c>
      <c r="E817" s="10" t="inlineStr">
        <is>
          <t>Yell</t>
        </is>
      </c>
      <c r="F817" s="10" t="inlineStr">
        <is>
          <t>2026-09-16</t>
        </is>
      </c>
      <c r="G817" s="10" t="inlineStr">
        <is>
          <t>listing, category</t>
        </is>
      </c>
      <c r="H817" s="10" t="inlineStr">
        <is>
          <t>Requires Verification</t>
        </is>
      </c>
    </row>
    <row r="818">
      <c r="A818" s="5" t="inlineStr">
        <is>
          <t>WY-0120</t>
        </is>
      </c>
      <c r="B818" s="5" t="inlineStr">
        <is>
          <t>Meltham Convenience Store</t>
        </is>
      </c>
      <c r="C818" s="5" t="inlineStr">
        <is>
          <t>Meltham</t>
        </is>
      </c>
      <c r="D818" s="5" t="inlineStr">
        <is>
          <t>https://directory.gazettelive.co.uk/company/d9f72795f940854d6693354206b3bc2d</t>
        </is>
      </c>
      <c r="E818" s="5" t="inlineStr">
        <is>
          <t>Directory</t>
        </is>
      </c>
      <c r="F818" s="5" t="inlineStr">
        <is>
          <t>2026-09-16</t>
        </is>
      </c>
      <c r="G818" s="5" t="inlineStr">
        <is>
          <t>address, postcode, phone</t>
        </is>
      </c>
      <c r="H818" s="5" t="inlineStr">
        <is>
          <t>Requires Verification</t>
        </is>
      </c>
    </row>
    <row r="819">
      <c r="A819" s="10" t="inlineStr">
        <is>
          <t>UK-000800</t>
        </is>
      </c>
      <c r="B819" s="10" t="inlineStr">
        <is>
          <t>Mersey Vapour Maghull</t>
        </is>
      </c>
      <c r="C819" s="10" t="inlineStr">
        <is>
          <t>Maghull</t>
        </is>
      </c>
      <c r="D819" s="10" t="inlineStr">
        <is>
          <t>https://waterloo-sefton.cylex-uk.co.uk/company/virgin-vapours-27370213.html</t>
        </is>
      </c>
      <c r="E819" s="10" t="inlineStr">
        <is>
          <t>Directory</t>
        </is>
      </c>
      <c r="F819" s="10" t="inlineStr">
        <is>
          <t>2026-09-17</t>
        </is>
      </c>
      <c r="G819" s="10" t="inlineStr">
        <is>
          <t>Tree View Court Maghull address, postcode (nearby listings)</t>
        </is>
      </c>
      <c r="H819" s="10" t="inlineStr">
        <is>
          <t>Requires Verification</t>
        </is>
      </c>
    </row>
    <row r="820">
      <c r="A820" s="5" t="inlineStr">
        <is>
          <t>UK-000801</t>
        </is>
      </c>
      <c r="B820" s="5" t="inlineStr">
        <is>
          <t>Mick's Convenience Store</t>
        </is>
      </c>
      <c r="C820" s="5" t="inlineStr">
        <is>
          <t>Bootle</t>
        </is>
      </c>
      <c r="D820" s="5" t="inlineStr">
        <is>
          <t>https://www.yell.com/biz/mick-s-convenience-store-bootle-10203737/</t>
        </is>
      </c>
      <c r="E820" s="5" t="inlineStr">
        <is>
          <t>Yell</t>
        </is>
      </c>
      <c r="F820" s="5" t="inlineStr">
        <is>
          <t>2026-09-17</t>
        </is>
      </c>
      <c r="G820" s="5" t="inlineStr">
        <is>
          <t>name, address, postcode</t>
        </is>
      </c>
      <c r="H820" s="5" t="inlineStr">
        <is>
          <t>Requires Verification</t>
        </is>
      </c>
    </row>
    <row r="821">
      <c r="A821" s="10" t="inlineStr">
        <is>
          <t>UK-000634</t>
        </is>
      </c>
      <c r="B821" s="10" t="inlineStr">
        <is>
          <t>Millennium Food &amp; Wine</t>
        </is>
      </c>
      <c r="C821" s="10" t="inlineStr">
        <is>
          <t>Stratford</t>
        </is>
      </c>
      <c r="D821" s="10" t="inlineStr">
        <is>
          <t>https://www.yell.com/s/vape+shops-stratford-east+london.html</t>
        </is>
      </c>
      <c r="E821" s="10" t="inlineStr">
        <is>
          <t>Yell</t>
        </is>
      </c>
      <c r="F821" s="10" t="inlineStr">
        <is>
          <t>2026-09-17</t>
        </is>
      </c>
      <c r="G821" s="10" t="inlineStr">
        <is>
          <t>name, address, postcode</t>
        </is>
      </c>
      <c r="H821" s="10" t="inlineStr">
        <is>
          <t>Requires Verification</t>
        </is>
      </c>
    </row>
    <row r="822">
      <c r="A822" s="5" t="inlineStr">
        <is>
          <t>UK-000802</t>
        </is>
      </c>
      <c r="B822" s="5" t="inlineStr">
        <is>
          <t>Millstreet Wines</t>
        </is>
      </c>
      <c r="C822" s="5" t="inlineStr">
        <is>
          <t>Liverpool</t>
        </is>
      </c>
      <c r="D822" s="5" t="inlineStr">
        <is>
          <t>https://liverpool.cylex-uk.co.uk/off-licence-4.html</t>
        </is>
      </c>
      <c r="E822" s="5" t="inlineStr">
        <is>
          <t>Directory</t>
        </is>
      </c>
      <c r="F822" s="5" t="inlineStr">
        <is>
          <t>2026-09-17</t>
        </is>
      </c>
      <c r="G822" s="5" t="inlineStr">
        <is>
          <t>name, address, postcode, phone</t>
        </is>
      </c>
      <c r="H822" s="5" t="inlineStr">
        <is>
          <t>Requires Verification</t>
        </is>
      </c>
    </row>
    <row r="823">
      <c r="A823" s="10" t="inlineStr">
        <is>
          <t>UK-000635</t>
        </is>
      </c>
      <c r="B823" s="10" t="inlineStr">
        <is>
          <t>Mina Stores</t>
        </is>
      </c>
      <c r="C823" s="10" t="inlineStr">
        <is>
          <t>Forest Gate</t>
        </is>
      </c>
      <c r="D823" s="10" t="inlineStr">
        <is>
          <t>https://london.cylex-uk.co.uk/upton-park/grocery%20stores.html</t>
        </is>
      </c>
      <c r="E823" s="10" t="inlineStr">
        <is>
          <t>Directory</t>
        </is>
      </c>
      <c r="F823" s="10" t="inlineStr">
        <is>
          <t>2026-09-17</t>
        </is>
      </c>
      <c r="G823" s="10" t="inlineStr">
        <is>
          <t>name, address, postcode</t>
        </is>
      </c>
      <c r="H823" s="10" t="inlineStr">
        <is>
          <t>Requires Verification</t>
        </is>
      </c>
    </row>
    <row r="824">
      <c r="A824" s="5" t="inlineStr">
        <is>
          <t>UK-000803</t>
        </is>
      </c>
      <c r="B824" s="5" t="inlineStr">
        <is>
          <t>Minar Superstore &amp; Halal Meat Shop</t>
        </is>
      </c>
      <c r="C824" s="5" t="inlineStr">
        <is>
          <t>Glasgow</t>
        </is>
      </c>
      <c r="D824" s="5" t="inlineStr">
        <is>
          <t>https://find-and-update.company-information.service.gov.uk/company/SC662637</t>
        </is>
      </c>
      <c r="E824" s="5" t="inlineStr">
        <is>
          <t>Companies House</t>
        </is>
      </c>
      <c r="F824" s="5" t="inlineStr">
        <is>
          <t>2026-09-17</t>
        </is>
      </c>
      <c r="G824" s="5" t="inlineStr">
        <is>
          <t>registered company name, number</t>
        </is>
      </c>
      <c r="H824" s="5" t="inlineStr">
        <is>
          <t>Requires Verification</t>
        </is>
      </c>
    </row>
    <row r="825">
      <c r="A825" s="10" t="inlineStr">
        <is>
          <t>UK-000803</t>
        </is>
      </c>
      <c r="B825" s="10" t="inlineStr">
        <is>
          <t>Minar Superstore &amp; Halal Meat Shop</t>
        </is>
      </c>
      <c r="C825" s="10" t="inlineStr">
        <is>
          <t>Glasgow</t>
        </is>
      </c>
      <c r="D825" s="10" t="inlineStr">
        <is>
          <t>https://firmania.co.uk/glasgow/minar-superstore-halal-meat-shop-3024910</t>
        </is>
      </c>
      <c r="E825" s="10" t="inlineStr">
        <is>
          <t>Directory</t>
        </is>
      </c>
      <c r="F825" s="10" t="inlineStr">
        <is>
          <t>2026-09-17</t>
        </is>
      </c>
      <c r="G825" s="10" t="inlineStr">
        <is>
          <t>address, postcode, phone</t>
        </is>
      </c>
      <c r="H825" s="10" t="inlineStr">
        <is>
          <t>Requires Verification</t>
        </is>
      </c>
    </row>
    <row r="826">
      <c r="A826" s="5" t="inlineStr">
        <is>
          <t>UK-000636</t>
        </is>
      </c>
      <c r="B826" s="5" t="inlineStr">
        <is>
          <t>Mini Free Off Licence</t>
        </is>
      </c>
      <c r="C826" s="5" t="inlineStr">
        <is>
          <t>Bethnal Green</t>
        </is>
      </c>
      <c r="D826" s="5" t="inlineStr">
        <is>
          <t>https://www.yell.com/s/off+licences-bethnal+green-east+london.html</t>
        </is>
      </c>
      <c r="E826" s="5" t="inlineStr">
        <is>
          <t>Yell</t>
        </is>
      </c>
      <c r="F826" s="5" t="inlineStr">
        <is>
          <t>2026-09-17</t>
        </is>
      </c>
      <c r="G826" s="5" t="inlineStr">
        <is>
          <t>name, address, postcode, phone</t>
        </is>
      </c>
      <c r="H826" s="5" t="inlineStr">
        <is>
          <t>Requires Verification</t>
        </is>
      </c>
    </row>
    <row r="827">
      <c r="A827" s="10" t="inlineStr">
        <is>
          <t>UK-000493</t>
        </is>
      </c>
      <c r="B827" s="10" t="inlineStr">
        <is>
          <t>Mini-Stop Express</t>
        </is>
      </c>
      <c r="C827" s="10" t="inlineStr">
        <is>
          <t>Smethwick</t>
        </is>
      </c>
      <c r="D827" s="10" t="inlineStr">
        <is>
          <t>https://www.yell.com/s/off+licences-bearwood.html</t>
        </is>
      </c>
      <c r="E827" s="10" t="inlineStr">
        <is>
          <t>Yell</t>
        </is>
      </c>
      <c r="F827" s="10" t="inlineStr">
        <is>
          <t>2026-09-17</t>
        </is>
      </c>
      <c r="G827" s="10" t="inlineStr">
        <is>
          <t>business name, address (listing snippet)</t>
        </is>
      </c>
      <c r="H827" s="10" t="inlineStr">
        <is>
          <t>Requires Verification</t>
        </is>
      </c>
    </row>
    <row r="828">
      <c r="A828" s="5" t="inlineStr">
        <is>
          <t>WY-0121</t>
        </is>
      </c>
      <c r="B828" s="5" t="inlineStr">
        <is>
          <t>Mister Motivaper</t>
        </is>
      </c>
      <c r="C828" s="5" t="inlineStr">
        <is>
          <t>Pontefract</t>
        </is>
      </c>
      <c r="D828" s="5" t="inlineStr">
        <is>
          <t>https://ecigdirectory.co.uk/vape-shop/listing/mister-motivaper-pontefract</t>
        </is>
      </c>
      <c r="E828" s="5" t="inlineStr">
        <is>
          <t>Directory</t>
        </is>
      </c>
      <c r="F828" s="5" t="inlineStr">
        <is>
          <t>2026-09-16</t>
        </is>
      </c>
      <c r="G828" s="5" t="inlineStr">
        <is>
          <t>address 7 Horse Fair, phone</t>
        </is>
      </c>
      <c r="H828" s="5" t="inlineStr">
        <is>
          <t>Requires Verification</t>
        </is>
      </c>
    </row>
    <row r="829">
      <c r="A829" s="10" t="inlineStr">
        <is>
          <t>UK-000804</t>
        </is>
      </c>
      <c r="B829" s="10" t="inlineStr">
        <is>
          <t>Mobile Tech &amp; Vape</t>
        </is>
      </c>
      <c r="C829" s="10" t="inlineStr">
        <is>
          <t>Falkirk</t>
        </is>
      </c>
      <c r="D829" s="10" t="inlineStr">
        <is>
          <t>https://www.yell.com/s/vape+shops-falkirk.html</t>
        </is>
      </c>
      <c r="E829" s="10" t="inlineStr">
        <is>
          <t>Yell</t>
        </is>
      </c>
      <c r="F829" s="10" t="inlineStr">
        <is>
          <t>2026-09-17</t>
        </is>
      </c>
      <c r="G829" s="10" t="inlineStr">
        <is>
          <t>name, address, postcode, phone (snippet)</t>
        </is>
      </c>
      <c r="H829" s="10" t="inlineStr">
        <is>
          <t>Requires Verification</t>
        </is>
      </c>
    </row>
    <row r="830">
      <c r="A830" s="5" t="inlineStr">
        <is>
          <t>UK-000373</t>
        </is>
      </c>
      <c r="B830" s="5" t="inlineStr">
        <is>
          <t>Mobile and Vape Shop Hindley</t>
        </is>
      </c>
      <c r="C830" s="5" t="inlineStr">
        <is>
          <t>Wigan</t>
        </is>
      </c>
      <c r="D830" s="5" t="inlineStr">
        <is>
          <t>https://www.yelp.com/biz/mobile-and-vape-shop-hindley</t>
        </is>
      </c>
      <c r="E830" s="5" t="inlineStr">
        <is>
          <t>Directory</t>
        </is>
      </c>
      <c r="F830" s="5" t="inlineStr">
        <is>
          <t>2026-09-17</t>
        </is>
      </c>
      <c r="G830" s="5" t="inlineStr">
        <is>
          <t>trading name, address (via search results)</t>
        </is>
      </c>
      <c r="H830" s="5" t="inlineStr">
        <is>
          <t>Requires Verification</t>
        </is>
      </c>
    </row>
    <row r="831">
      <c r="A831" s="10" t="inlineStr">
        <is>
          <t>UK-000494</t>
        </is>
      </c>
      <c r="B831" s="10" t="inlineStr">
        <is>
          <t>Monmore Confectionery (Midlands) Ltd</t>
        </is>
      </c>
      <c r="C831" s="10" t="inlineStr">
        <is>
          <t>Bilston</t>
        </is>
      </c>
      <c r="D831" s="10" t="inlineStr">
        <is>
          <t>https://www.monmoreconfectionery.co.uk/cash-carry</t>
        </is>
      </c>
      <c r="E831" s="10" t="inlineStr">
        <is>
          <t>Official Website</t>
        </is>
      </c>
      <c r="F831" s="10" t="inlineStr">
        <is>
          <t>2026-09-17</t>
        </is>
      </c>
      <c r="G831" s="10" t="inlineStr">
        <is>
          <t>trade info, phone</t>
        </is>
      </c>
      <c r="H831" s="10" t="inlineStr">
        <is>
          <t>Verified (website + Companies House)</t>
        </is>
      </c>
    </row>
    <row r="832">
      <c r="A832" s="5" t="inlineStr">
        <is>
          <t>UK-000494</t>
        </is>
      </c>
      <c r="B832" s="5" t="inlineStr">
        <is>
          <t>Monmore Confectionery (Midlands) Ltd</t>
        </is>
      </c>
      <c r="C832" s="5" t="inlineStr">
        <is>
          <t>Bilston</t>
        </is>
      </c>
      <c r="D832" s="5" t="inlineStr">
        <is>
          <t>https://www.partyrelated.co.uk/party/1210388/monmore-confectionery-(midlands)-ltd</t>
        </is>
      </c>
      <c r="E832" s="5" t="inlineStr">
        <is>
          <t>Directory</t>
        </is>
      </c>
      <c r="F832" s="5" t="inlineStr">
        <is>
          <t>2026-09-17</t>
        </is>
      </c>
      <c r="G832" s="5" t="inlineStr">
        <is>
          <t>address, postcode</t>
        </is>
      </c>
      <c r="H832" s="5" t="inlineStr">
        <is>
          <t>Verified (website + Companies House)</t>
        </is>
      </c>
    </row>
    <row r="833">
      <c r="A833" s="10" t="inlineStr">
        <is>
          <t>UK-000494</t>
        </is>
      </c>
      <c r="B833" s="10" t="inlineStr">
        <is>
          <t>Monmore Confectionery (Midlands) Ltd</t>
        </is>
      </c>
      <c r="C833" s="10" t="inlineStr">
        <is>
          <t>Bilston</t>
        </is>
      </c>
      <c r="D833" s="10" t="inlineStr">
        <is>
          <t>http://companycheck.co.uk/company/04449605/MONMORE-CONFECTIONERY-MIDLANDS-LIMITED</t>
        </is>
      </c>
      <c r="E833" s="10" t="inlineStr">
        <is>
          <t>Companies House</t>
        </is>
      </c>
      <c r="F833" s="10" t="inlineStr">
        <is>
          <t>2026-09-17</t>
        </is>
      </c>
      <c r="G833" s="10" t="inlineStr">
        <is>
          <t>company number, legal name</t>
        </is>
      </c>
      <c r="H833" s="10" t="inlineStr">
        <is>
          <t>Verified (website + Companies House)</t>
        </is>
      </c>
    </row>
    <row r="834">
      <c r="A834" s="5" t="inlineStr">
        <is>
          <t>WY-0122</t>
        </is>
      </c>
      <c r="B834" s="5" t="inlineStr">
        <is>
          <t>Mount Pellon Newsagent</t>
        </is>
      </c>
      <c r="C834" s="5" t="inlineStr">
        <is>
          <t>Halifax</t>
        </is>
      </c>
      <c r="D834" s="5" t="inlineStr">
        <is>
          <t>https://www.misterwhat.co.uk/company/573371-mount-pellon-newsagent-halifax</t>
        </is>
      </c>
      <c r="E834" s="5" t="inlineStr">
        <is>
          <t>Directory</t>
        </is>
      </c>
      <c r="F834" s="5" t="inlineStr">
        <is>
          <t>2026-09-16</t>
        </is>
      </c>
      <c r="G834" s="5" t="inlineStr">
        <is>
          <t>postcode, phone</t>
        </is>
      </c>
      <c r="H834" s="5" t="inlineStr">
        <is>
          <t>Requires Verification</t>
        </is>
      </c>
    </row>
    <row r="835">
      <c r="A835" s="10" t="inlineStr">
        <is>
          <t>WY-0122</t>
        </is>
      </c>
      <c r="B835" s="10" t="inlineStr">
        <is>
          <t>Mount Pellon Newsagent</t>
        </is>
      </c>
      <c r="C835" s="10" t="inlineStr">
        <is>
          <t>Halifax</t>
        </is>
      </c>
      <c r="D835" s="10" t="inlineStr">
        <is>
          <t>https://www.yorkshire.com/halifax/shopping/corner-shops/mount-pellon-newsagent</t>
        </is>
      </c>
      <c r="E835" s="10" t="inlineStr">
        <is>
          <t>Directory</t>
        </is>
      </c>
      <c r="F835" s="10" t="inlineStr">
        <is>
          <t>2026-09-16</t>
        </is>
      </c>
      <c r="G835" s="10" t="inlineStr">
        <is>
          <t>street, description</t>
        </is>
      </c>
      <c r="H835" s="10" t="inlineStr">
        <is>
          <t>Requires Verification</t>
        </is>
      </c>
    </row>
    <row r="836">
      <c r="A836" s="5" t="inlineStr">
        <is>
          <t>UK-000637</t>
        </is>
      </c>
      <c r="B836" s="5" t="inlineStr">
        <is>
          <t>Mount Superstore</t>
        </is>
      </c>
      <c r="C836" s="5" t="inlineStr">
        <is>
          <t>Feltham</t>
        </is>
      </c>
      <c r="D836" s="5" t="inlineStr">
        <is>
          <t>https://www.allinlondon.co.uk/directory/newsagents/231848-mount-superstore</t>
        </is>
      </c>
      <c r="E836" s="5" t="inlineStr">
        <is>
          <t>Directory</t>
        </is>
      </c>
      <c r="F836" s="5" t="inlineStr">
        <is>
          <t>2026-09-17</t>
        </is>
      </c>
      <c r="G836" s="5" t="inlineStr">
        <is>
          <t>address, phone</t>
        </is>
      </c>
      <c r="H836" s="5" t="inlineStr">
        <is>
          <t>Requires Verification</t>
        </is>
      </c>
    </row>
    <row r="837">
      <c r="A837" s="10" t="inlineStr">
        <is>
          <t>UK-000637</t>
        </is>
      </c>
      <c r="B837" s="10" t="inlineStr">
        <is>
          <t>Mount Superstore</t>
        </is>
      </c>
      <c r="C837" s="10" t="inlineStr">
        <is>
          <t>Feltham</t>
        </is>
      </c>
      <c r="D837" s="10" t="inlineStr">
        <is>
          <t>https://feltham.cylex-uk.co.uk/company/mount-superstore-28830856.html</t>
        </is>
      </c>
      <c r="E837" s="10" t="inlineStr">
        <is>
          <t>Directory</t>
        </is>
      </c>
      <c r="F837" s="10" t="inlineStr">
        <is>
          <t>2026-09-17</t>
        </is>
      </c>
      <c r="G837" s="10" t="inlineStr">
        <is>
          <t>business name, category</t>
        </is>
      </c>
      <c r="H837" s="10" t="inlineStr">
        <is>
          <t>Requires Verification</t>
        </is>
      </c>
    </row>
    <row r="838">
      <c r="A838" s="5" t="inlineStr">
        <is>
          <t>WY-0123</t>
        </is>
      </c>
      <c r="B838" s="5" t="inlineStr">
        <is>
          <t>Mount Vapes</t>
        </is>
      </c>
      <c r="C838" s="5" t="inlineStr">
        <is>
          <t>Halifax</t>
        </is>
      </c>
      <c r="D838" s="5" t="inlineStr">
        <is>
          <t>https://mountvapes.co.uk/</t>
        </is>
      </c>
      <c r="E838" s="5" t="inlineStr">
        <is>
          <t>Official Website</t>
        </is>
      </c>
      <c r="F838" s="5" t="inlineStr">
        <is>
          <t>2026-09-16</t>
        </is>
      </c>
      <c r="G838" s="5" t="inlineStr">
        <is>
          <t>website URL seen in search results (fetch blocked)</t>
        </is>
      </c>
      <c r="H838" s="5" t="inlineStr">
        <is>
          <t>Requires Verification</t>
        </is>
      </c>
    </row>
    <row r="839">
      <c r="A839" s="10" t="inlineStr">
        <is>
          <t>WY-0123</t>
        </is>
      </c>
      <c r="B839" s="10" t="inlineStr">
        <is>
          <t>Mount Vapes</t>
        </is>
      </c>
      <c r="C839" s="10" t="inlineStr">
        <is>
          <t>Halifax</t>
        </is>
      </c>
      <c r="D839" s="10" t="inlineStr">
        <is>
          <t>https://vapeshops.puffingbird.com/yorkshire-and-the-humber/halifax/mount-vapes</t>
        </is>
      </c>
      <c r="E839" s="10" t="inlineStr">
        <is>
          <t>Directory</t>
        </is>
      </c>
      <c r="F839" s="10" t="inlineStr">
        <is>
          <t>2026-09-16</t>
        </is>
      </c>
      <c r="G839" s="10" t="inlineStr">
        <is>
          <t>location area (Boothtown, Halifax)</t>
        </is>
      </c>
      <c r="H839" s="10" t="inlineStr">
        <is>
          <t>Requires Verification</t>
        </is>
      </c>
    </row>
    <row r="840">
      <c r="A840" s="5" t="inlineStr">
        <is>
          <t>WY-0123</t>
        </is>
      </c>
      <c r="B840" s="5" t="inlineStr">
        <is>
          <t>Mount Vapes</t>
        </is>
      </c>
      <c r="C840" s="5" t="inlineStr">
        <is>
          <t>Halifax</t>
        </is>
      </c>
      <c r="D840" s="5" t="inlineStr">
        <is>
          <t>https://www.yelp.com/biz/mount-vapes-halifax-halifax</t>
        </is>
      </c>
      <c r="E840" s="5" t="inlineStr">
        <is>
          <t>Directory</t>
        </is>
      </c>
      <c r="F840" s="5" t="inlineStr">
        <is>
          <t>2026-09-16</t>
        </is>
      </c>
      <c r="G840" s="5" t="inlineStr">
        <is>
          <t>postcode, phone</t>
        </is>
      </c>
      <c r="H840" s="5" t="inlineStr">
        <is>
          <t>Requires Verification</t>
        </is>
      </c>
    </row>
    <row r="841">
      <c r="A841" s="10" t="inlineStr">
        <is>
          <t>UK-000374</t>
        </is>
      </c>
      <c r="B841" s="10" t="inlineStr">
        <is>
          <t>Mr Ciggies</t>
        </is>
      </c>
      <c r="C841" s="10" t="inlineStr">
        <is>
          <t>Stalybridge</t>
        </is>
      </c>
      <c r="D841" s="10" t="inlineStr">
        <is>
          <t>https://denton-tameside.cylex-uk.co.uk/vape-shops/</t>
        </is>
      </c>
      <c r="E841" s="10" t="inlineStr">
        <is>
          <t>Directory</t>
        </is>
      </c>
      <c r="F841" s="10" t="inlineStr">
        <is>
          <t>2026-09-17</t>
        </is>
      </c>
      <c r="G841" s="10" t="inlineStr">
        <is>
          <t>address, postcode</t>
        </is>
      </c>
      <c r="H841" s="10" t="inlineStr">
        <is>
          <t>Requires Verification</t>
        </is>
      </c>
    </row>
    <row r="842">
      <c r="A842" s="5" t="inlineStr">
        <is>
          <t>UK-000805</t>
        </is>
      </c>
      <c r="B842" s="5" t="inlineStr">
        <is>
          <t>Mr MotiVapor</t>
        </is>
      </c>
      <c r="C842" s="5" t="inlineStr">
        <is>
          <t>Bathgate</t>
        </is>
      </c>
      <c r="D842" s="5" t="inlineStr">
        <is>
          <t>https://bathgate.cylex-uk.co.uk/vape-shops/</t>
        </is>
      </c>
      <c r="E842" s="5" t="inlineStr">
        <is>
          <t>Directory</t>
        </is>
      </c>
      <c r="F842" s="5" t="inlineStr">
        <is>
          <t>2026-09-17</t>
        </is>
      </c>
      <c r="G842" s="5" t="inlineStr">
        <is>
          <t>name, town (snippet)</t>
        </is>
      </c>
      <c r="H842" s="5" t="inlineStr">
        <is>
          <t>Requires Verification</t>
        </is>
      </c>
    </row>
    <row r="843">
      <c r="A843" s="10" t="inlineStr">
        <is>
          <t>UK-000638</t>
        </is>
      </c>
      <c r="B843" s="10" t="inlineStr">
        <is>
          <t>Mr Vape</t>
        </is>
      </c>
      <c r="C843" s="10" t="inlineStr">
        <is>
          <t>London</t>
        </is>
      </c>
      <c r="D843" s="10" t="inlineStr">
        <is>
          <t>https://www.yell.com/s/tobacconists-streatham-south+west+london.html</t>
        </is>
      </c>
      <c r="E843" s="10" t="inlineStr">
        <is>
          <t>Yell</t>
        </is>
      </c>
      <c r="F843" s="10" t="inlineStr">
        <is>
          <t>2026-09-17</t>
        </is>
      </c>
      <c r="G843" s="10" t="inlineStr">
        <is>
          <t>business name, address</t>
        </is>
      </c>
      <c r="H843" s="10" t="inlineStr">
        <is>
          <t>Requires Verification</t>
        </is>
      </c>
    </row>
    <row r="844">
      <c r="A844" s="5" t="inlineStr">
        <is>
          <t>UK-000806</t>
        </is>
      </c>
      <c r="B844" s="5" t="inlineStr">
        <is>
          <t>Muirhead Convenience</t>
        </is>
      </c>
      <c r="C844" s="5" t="inlineStr">
        <is>
          <t>Dunfermline</t>
        </is>
      </c>
      <c r="D844" s="5" t="inlineStr">
        <is>
          <t>https://dunfermline.cylex-uk.co.uk/off-licence.html</t>
        </is>
      </c>
      <c r="E844" s="5" t="inlineStr">
        <is>
          <t>Directory</t>
        </is>
      </c>
      <c r="F844" s="5" t="inlineStr">
        <is>
          <t>2026-09-17</t>
        </is>
      </c>
      <c r="G844" s="5" t="inlineStr">
        <is>
          <t>name, address, postcode, phone (snippet)</t>
        </is>
      </c>
      <c r="H844" s="5" t="inlineStr">
        <is>
          <t>Requires Verification</t>
        </is>
      </c>
    </row>
    <row r="845">
      <c r="A845" s="10" t="inlineStr">
        <is>
          <t>WY-0124</t>
        </is>
      </c>
      <c r="B845" s="10" t="inlineStr">
        <is>
          <t>Mytholmroyd Post Office</t>
        </is>
      </c>
      <c r="C845" s="10" t="inlineStr">
        <is>
          <t>Mytholmroyd</t>
        </is>
      </c>
      <c r="D845" s="10" t="inlineStr">
        <is>
          <t>https://www.postoffice.co.uk/branch-finder/6314589/mytholmroyd</t>
        </is>
      </c>
      <c r="E845" s="10" t="inlineStr">
        <is>
          <t>Directory</t>
        </is>
      </c>
      <c r="F845" s="10" t="inlineStr">
        <is>
          <t>2026-09-16</t>
        </is>
      </c>
      <c r="G845" s="10" t="inlineStr">
        <is>
          <t>address, postcode, hours</t>
        </is>
      </c>
      <c r="H845" s="10" t="inlineStr">
        <is>
          <t>Requires Verification</t>
        </is>
      </c>
    </row>
    <row r="846">
      <c r="A846" s="5" t="inlineStr">
        <is>
          <t>WY-0124</t>
        </is>
      </c>
      <c r="B846" s="5" t="inlineStr">
        <is>
          <t>Mytholmroyd Post Office</t>
        </is>
      </c>
      <c r="C846" s="5" t="inlineStr">
        <is>
          <t>Mytholmroyd</t>
        </is>
      </c>
      <c r="D846" s="5" t="inlineStr">
        <is>
          <t>https://findit.halifaxcourier.co.uk/company/1235285678424065</t>
        </is>
      </c>
      <c r="E846" s="5" t="inlineStr">
        <is>
          <t>Directory</t>
        </is>
      </c>
      <c r="F846" s="5" t="inlineStr">
        <is>
          <t>2026-09-16</t>
        </is>
      </c>
      <c r="G846" s="5" t="inlineStr">
        <is>
          <t>address confirmation</t>
        </is>
      </c>
      <c r="H846" s="5" t="inlineStr">
        <is>
          <t>Requires Verification</t>
        </is>
      </c>
    </row>
    <row r="847">
      <c r="A847" s="10" t="inlineStr">
        <is>
          <t>UK-000375</t>
        </is>
      </c>
      <c r="B847" s="10" t="inlineStr">
        <is>
          <t>NJ Vapes (Urmston, Trafford)</t>
        </is>
      </c>
      <c r="C847" s="10" t="inlineStr">
        <is>
          <t>Urmston</t>
        </is>
      </c>
      <c r="D847" s="10" t="inlineStr">
        <is>
          <t>https://www.waze.com/live-map/directions?from=place.ChIJTwimv2Cte0gR0NgFFiLEShA</t>
        </is>
      </c>
      <c r="E847" s="10" t="inlineStr">
        <is>
          <t>Directory</t>
        </is>
      </c>
      <c r="F847" s="10" t="inlineStr">
        <is>
          <t>2026-09-17</t>
        </is>
      </c>
      <c r="G847" s="10" t="inlineStr">
        <is>
          <t>business name, address, postcode, phone</t>
        </is>
      </c>
      <c r="H847" s="10" t="inlineStr">
        <is>
          <t>Requires Verification</t>
        </is>
      </c>
    </row>
    <row r="848">
      <c r="A848" s="5" t="inlineStr">
        <is>
          <t>UK-000495</t>
        </is>
      </c>
      <c r="B848" s="5" t="inlineStr">
        <is>
          <t>Nanostix Birmingham</t>
        </is>
      </c>
      <c r="C848" s="5" t="inlineStr">
        <is>
          <t>Birmingham</t>
        </is>
      </c>
      <c r="D848" s="5" t="inlineStr">
        <is>
          <t>https://m.yelp.com/search?cflt=vapeshops&amp;find_loc=361-365+Moseley+Rd%2C+Birmingham+B12+9DE</t>
        </is>
      </c>
      <c r="E848" s="5" t="inlineStr">
        <is>
          <t>Directory</t>
        </is>
      </c>
      <c r="F848" s="5" t="inlineStr">
        <is>
          <t>2026-09-17</t>
        </is>
      </c>
      <c r="G848" s="5" t="inlineStr">
        <is>
          <t>address, postcode</t>
        </is>
      </c>
      <c r="H848" s="5" t="inlineStr">
        <is>
          <t>Requires Verification</t>
        </is>
      </c>
    </row>
    <row r="849">
      <c r="A849" s="10" t="inlineStr">
        <is>
          <t>UK-000376</t>
        </is>
      </c>
      <c r="B849" s="10" t="inlineStr">
        <is>
          <t>Neon Vaperz CBD (Salford)</t>
        </is>
      </c>
      <c r="C849" s="10" t="inlineStr">
        <is>
          <t>Salford</t>
        </is>
      </c>
      <c r="D849" s="10" t="inlineStr">
        <is>
          <t>https://salford-city-of-salford.cylex-uk.co.uk/vape-shops/</t>
        </is>
      </c>
      <c r="E849" s="10" t="inlineStr">
        <is>
          <t>Directory</t>
        </is>
      </c>
      <c r="F849" s="10" t="inlineStr">
        <is>
          <t>2026-09-17</t>
        </is>
      </c>
      <c r="G849" s="10" t="inlineStr">
        <is>
          <t>business name, address, postcode, phone</t>
        </is>
      </c>
      <c r="H849" s="10" t="inlineStr">
        <is>
          <t>Requires Verification</t>
        </is>
      </c>
    </row>
    <row r="850">
      <c r="A850" s="5" t="inlineStr">
        <is>
          <t>UK-000377</t>
        </is>
      </c>
      <c r="B850" s="5" t="inlineStr">
        <is>
          <t>News And Booze Off Licence And Convenience Store</t>
        </is>
      </c>
      <c r="C850" s="5" t="inlineStr">
        <is>
          <t>Hazel Grove</t>
        </is>
      </c>
      <c r="D850" s="5" t="inlineStr">
        <is>
          <t>https://directory.dailypost.co.uk/company/1252107804860416</t>
        </is>
      </c>
      <c r="E850" s="5" t="inlineStr">
        <is>
          <t>Directory</t>
        </is>
      </c>
      <c r="F850" s="5" t="inlineStr">
        <is>
          <t>2026-09-17</t>
        </is>
      </c>
      <c r="G850" s="5" t="inlineStr">
        <is>
          <t>address, postcode</t>
        </is>
      </c>
      <c r="H850" s="5" t="inlineStr">
        <is>
          <t>Requires Verification</t>
        </is>
      </c>
    </row>
    <row r="851">
      <c r="A851" s="10" t="inlineStr">
        <is>
          <t>UK-000807</t>
        </is>
      </c>
      <c r="B851" s="10" t="inlineStr">
        <is>
          <t>News and Booze Convenience Store</t>
        </is>
      </c>
      <c r="C851" s="10" t="inlineStr">
        <is>
          <t>Birkenhead</t>
        </is>
      </c>
      <c r="D851" s="10" t="inlineStr">
        <is>
          <t>https://inpost.co.uk/shops/uk00253480-birkenhead-news-and-booze-convenience-store-ch41-4da</t>
        </is>
      </c>
      <c r="E851" s="10" t="inlineStr">
        <is>
          <t>Directory</t>
        </is>
      </c>
      <c r="F851" s="10" t="inlineStr">
        <is>
          <t>2026-09-17</t>
        </is>
      </c>
      <c r="G851" s="10" t="inlineStr">
        <is>
          <t>business name, Grange Road West address, postcode</t>
        </is>
      </c>
      <c r="H851" s="10" t="inlineStr">
        <is>
          <t>Requires Verification</t>
        </is>
      </c>
    </row>
    <row r="852">
      <c r="A852" s="5" t="inlineStr">
        <is>
          <t>UK-000266</t>
        </is>
      </c>
      <c r="B852" s="5" t="inlineStr">
        <is>
          <t>Ninnsi</t>
        </is>
      </c>
      <c r="C852" s="5" t="inlineStr">
        <is>
          <t>Kingston upon Hull</t>
        </is>
      </c>
      <c r="D852" s="5" t="inlineStr">
        <is>
          <t>https://ninnsi.co.uk/</t>
        </is>
      </c>
      <c r="E852" s="5" t="inlineStr">
        <is>
          <t>Official Website</t>
        </is>
      </c>
      <c r="F852" s="5" t="inlineStr">
        <is>
          <t>2026-09-16</t>
        </is>
      </c>
      <c r="G852" s="5" t="inlineStr">
        <is>
          <t>name, oriental store, Hull (via search results)</t>
        </is>
      </c>
      <c r="H852" s="5" t="inlineStr">
        <is>
          <t>Partially Verified</t>
        </is>
      </c>
    </row>
    <row r="853">
      <c r="A853" s="10" t="inlineStr">
        <is>
          <t>WY-0125</t>
        </is>
      </c>
      <c r="B853" s="10" t="inlineStr">
        <is>
          <t>Nisa Local Knottingley</t>
        </is>
      </c>
      <c r="C853" s="10" t="inlineStr">
        <is>
          <t>Knottingley</t>
        </is>
      </c>
      <c r="D853" s="10" t="inlineStr">
        <is>
          <t>https://www.192.com/atoz/business/knottingley-wf11/convenience-stores/nisa-local/d0b6a47364fa16c413905a4073529e9cdcb620e7/ugc/</t>
        </is>
      </c>
      <c r="E853" s="10" t="inlineStr">
        <is>
          <t>Directory</t>
        </is>
      </c>
      <c r="F853" s="10" t="inlineStr">
        <is>
          <t>2026-09-16</t>
        </is>
      </c>
      <c r="G853" s="10" t="inlineStr">
        <is>
          <t>address 12-14 Pinewood Place WF11 0QH</t>
        </is>
      </c>
      <c r="H853" s="10" t="inlineStr">
        <is>
          <t>Requires Verification</t>
        </is>
      </c>
    </row>
    <row r="854">
      <c r="A854" s="5" t="inlineStr">
        <is>
          <t>WY-0125</t>
        </is>
      </c>
      <c r="B854" s="5" t="inlineStr">
        <is>
          <t>Nisa Local Knottingley</t>
        </is>
      </c>
      <c r="C854" s="5" t="inlineStr">
        <is>
          <t>Knottingley</t>
        </is>
      </c>
      <c r="D854" s="5" t="inlineStr">
        <is>
          <t>https://firmania.co.uk/knottingley/nisa-local-3062274</t>
        </is>
      </c>
      <c r="E854" s="5" t="inlineStr">
        <is>
          <t>Directory</t>
        </is>
      </c>
      <c r="F854" s="5" t="inlineStr">
        <is>
          <t>2026-09-16</t>
        </is>
      </c>
      <c r="G854" s="5" t="inlineStr">
        <is>
          <t>phone 01977 607202</t>
        </is>
      </c>
      <c r="H854" s="5" t="inlineStr">
        <is>
          <t>Requires Verification</t>
        </is>
      </c>
    </row>
    <row r="855">
      <c r="A855" s="10" t="inlineStr">
        <is>
          <t>WY-0125</t>
        </is>
      </c>
      <c r="B855" s="10" t="inlineStr">
        <is>
          <t>Nisa Local Knottingley</t>
        </is>
      </c>
      <c r="C855" s="10" t="inlineStr">
        <is>
          <t>Knottingley</t>
        </is>
      </c>
      <c r="D855" s="10" t="inlineStr">
        <is>
          <t>https://www.nisalocally.co.uk/stores/west-yorkshire/knottingley</t>
        </is>
      </c>
      <c r="E855" s="10" t="inlineStr">
        <is>
          <t>Official Website</t>
        </is>
      </c>
      <c r="F855" s="10" t="inlineStr">
        <is>
          <t>2026-09-16</t>
        </is>
      </c>
      <c r="G855" s="10" t="inlineStr">
        <is>
          <t>store finder presence (seen in search results; fetch blocked)</t>
        </is>
      </c>
      <c r="H855" s="10" t="inlineStr">
        <is>
          <t>Requires Verification</t>
        </is>
      </c>
    </row>
    <row r="856">
      <c r="A856" s="5" t="inlineStr">
        <is>
          <t>WY-0125</t>
        </is>
      </c>
      <c r="B856" s="5" t="inlineStr">
        <is>
          <t>Nisa Local Knottingley</t>
        </is>
      </c>
      <c r="C856" s="5" t="inlineStr">
        <is>
          <t>Knottingley</t>
        </is>
      </c>
      <c r="D856" s="5" t="inlineStr">
        <is>
          <t>https://www.facebook.com/NisaLocalPinewoodPlaceKnottingley/</t>
        </is>
      </c>
      <c r="E856" s="5" t="inlineStr">
        <is>
          <t>Facebook</t>
        </is>
      </c>
      <c r="F856" s="5" t="inlineStr">
        <is>
          <t>2026-09-16</t>
        </is>
      </c>
      <c r="G856" s="5" t="inlineStr">
        <is>
          <t>social (facebook)</t>
        </is>
      </c>
      <c r="H856" s="5" t="inlineStr">
        <is>
          <t>Requires Verification</t>
        </is>
      </c>
    </row>
    <row r="857">
      <c r="A857" s="10" t="inlineStr">
        <is>
          <t>UK-000639</t>
        </is>
      </c>
      <c r="B857" s="10" t="inlineStr">
        <is>
          <t>Nita Cash and Carry</t>
        </is>
      </c>
      <c r="C857" s="10" t="inlineStr">
        <is>
          <t>Wembley</t>
        </is>
      </c>
      <c r="D857" s="10" t="inlineStr">
        <is>
          <t>https://www.yell.com/biz/nita-cash-and-carry-wembley-518432/</t>
        </is>
      </c>
      <c r="E857" s="10" t="inlineStr">
        <is>
          <t>Yell</t>
        </is>
      </c>
      <c r="F857" s="10" t="inlineStr">
        <is>
          <t>2026-09-17</t>
        </is>
      </c>
      <c r="G857" s="10" t="inlineStr">
        <is>
          <t>business name, address</t>
        </is>
      </c>
      <c r="H857" s="10" t="inlineStr">
        <is>
          <t>Requires Verification</t>
        </is>
      </c>
    </row>
    <row r="858">
      <c r="A858" s="5" t="inlineStr">
        <is>
          <t>UK-000640</t>
        </is>
      </c>
      <c r="B858" s="5" t="inlineStr">
        <is>
          <t>No 5 Dining &amp; Lounge</t>
        </is>
      </c>
      <c r="C858" s="5" t="inlineStr">
        <is>
          <t>Hornsey</t>
        </is>
      </c>
      <c r="D858" s="5" t="inlineStr">
        <is>
          <t>https://www.yell.com/biz/no-5-dining-and-lounge-london-10473466/</t>
        </is>
      </c>
      <c r="E858" s="5" t="inlineStr">
        <is>
          <t>Yell</t>
        </is>
      </c>
      <c r="F858" s="5" t="inlineStr">
        <is>
          <t>2026-09-17</t>
        </is>
      </c>
      <c r="G858" s="5" t="inlineStr">
        <is>
          <t>name, address, postcode</t>
        </is>
      </c>
      <c r="H858" s="5" t="inlineStr">
        <is>
          <t>Requires Verification</t>
        </is>
      </c>
    </row>
    <row r="859">
      <c r="A859" s="10" t="inlineStr">
        <is>
          <t>UK-000808</t>
        </is>
      </c>
      <c r="B859" s="10" t="inlineStr">
        <is>
          <t>North Hill Food &amp; Wines</t>
        </is>
      </c>
      <c r="C859" s="10" t="inlineStr">
        <is>
          <t>Liverpool</t>
        </is>
      </c>
      <c r="D859" s="10" t="inlineStr">
        <is>
          <t>https://liverpool.cylex-uk.co.uk/off-licence-4.html</t>
        </is>
      </c>
      <c r="E859" s="10" t="inlineStr">
        <is>
          <t>Directory</t>
        </is>
      </c>
      <c r="F859" s="10" t="inlineStr">
        <is>
          <t>2026-09-17</t>
        </is>
      </c>
      <c r="G859" s="10" t="inlineStr">
        <is>
          <t>name, address, postcode, phone</t>
        </is>
      </c>
      <c r="H859" s="10" t="inlineStr">
        <is>
          <t>Requires Verification</t>
        </is>
      </c>
    </row>
    <row r="860">
      <c r="A860" s="5" t="inlineStr">
        <is>
          <t>WY-0126</t>
        </is>
      </c>
      <c r="B860" s="5" t="inlineStr">
        <is>
          <t>Northowram Post Office</t>
        </is>
      </c>
      <c r="C860" s="5" t="inlineStr">
        <is>
          <t>Halifax</t>
        </is>
      </c>
      <c r="D860" s="5" t="inlineStr">
        <is>
          <t>https://www.postoffice.co.uk/branch-finder/6204589/northowram</t>
        </is>
      </c>
      <c r="E860" s="5" t="inlineStr">
        <is>
          <t>Directory</t>
        </is>
      </c>
      <c r="F860" s="5" t="inlineStr">
        <is>
          <t>2026-09-16</t>
        </is>
      </c>
      <c r="G860" s="5" t="inlineStr">
        <is>
          <t>address, postcode, hours</t>
        </is>
      </c>
      <c r="H860" s="5" t="inlineStr">
        <is>
          <t>Requires Verification</t>
        </is>
      </c>
    </row>
    <row r="861">
      <c r="A861" s="10" t="inlineStr">
        <is>
          <t>WY-0126</t>
        </is>
      </c>
      <c r="B861" s="10" t="inlineStr">
        <is>
          <t>Northowram Post Office</t>
        </is>
      </c>
      <c r="C861" s="10" t="inlineStr">
        <is>
          <t>Halifax</t>
        </is>
      </c>
      <c r="D861" s="10" t="inlineStr">
        <is>
          <t>https://www.royalmail.com/services-near-you/post-office/northowram-hx3-7dx</t>
        </is>
      </c>
      <c r="E861" s="10" t="inlineStr">
        <is>
          <t>Directory</t>
        </is>
      </c>
      <c r="F861" s="10" t="inlineStr">
        <is>
          <t>2026-09-16</t>
        </is>
      </c>
      <c r="G861" s="10" t="inlineStr">
        <is>
          <t>listing confirmation</t>
        </is>
      </c>
      <c r="H861" s="10" t="inlineStr">
        <is>
          <t>Requires Verification</t>
        </is>
      </c>
    </row>
    <row r="862">
      <c r="A862" s="5" t="inlineStr">
        <is>
          <t>WY-0127</t>
        </is>
      </c>
      <c r="B862" s="5" t="inlineStr">
        <is>
          <t>Notay Convenience Store (Premier)</t>
        </is>
      </c>
      <c r="C862" s="5" t="inlineStr">
        <is>
          <t>Batley</t>
        </is>
      </c>
      <c r="D862" s="5" t="inlineStr">
        <is>
          <t>https://www.premier-stores.co.uk/our-stores/notay-convenience-store</t>
        </is>
      </c>
      <c r="E862" s="5" t="inlineStr">
        <is>
          <t>Official Website</t>
        </is>
      </c>
      <c r="F862" s="5" t="inlineStr">
        <is>
          <t>2026-09-16</t>
        </is>
      </c>
      <c r="G862" s="5" t="inlineStr">
        <is>
          <t>store listing, address, phone (symbol group locator)</t>
        </is>
      </c>
      <c r="H862" s="5" t="inlineStr">
        <is>
          <t>Requires Verification</t>
        </is>
      </c>
    </row>
    <row r="863">
      <c r="A863" s="10" t="inlineStr">
        <is>
          <t>WY-0128</t>
        </is>
      </c>
      <c r="B863" s="10" t="inlineStr">
        <is>
          <t>Off Licence and Convenience Store (Cutsyke)</t>
        </is>
      </c>
      <c r="C863" s="10" t="inlineStr">
        <is>
          <t>Castleford</t>
        </is>
      </c>
      <c r="D863" s="10" t="inlineStr">
        <is>
          <t>https://ratings.food.gov.uk/business/1268724/off-licence-and-convenience-store-castleford</t>
        </is>
      </c>
      <c r="E863" s="10" t="inlineStr">
        <is>
          <t>Other</t>
        </is>
      </c>
      <c r="F863" s="10" t="inlineStr">
        <is>
          <t>2026-09-16</t>
        </is>
      </c>
      <c r="G863" s="10" t="inlineStr">
        <is>
          <t>name, address 2 Leeds Road, Cutsyke, WF10 5HA</t>
        </is>
      </c>
      <c r="H863" s="10" t="inlineStr">
        <is>
          <t>Requires Verification</t>
        </is>
      </c>
    </row>
    <row r="864">
      <c r="A864" s="5" t="inlineStr">
        <is>
          <t>UK-000378</t>
        </is>
      </c>
      <c r="B864" s="5" t="inlineStr">
        <is>
          <t>Oldham Cash and Carry</t>
        </is>
      </c>
      <c r="C864" s="5" t="inlineStr">
        <is>
          <t>Oldham</t>
        </is>
      </c>
      <c r="D864" s="5" t="inlineStr">
        <is>
          <t>https://find-and-update.company-information.service.gov.uk/company/17379179</t>
        </is>
      </c>
      <c r="E864" s="5" t="inlineStr">
        <is>
          <t>Companies House</t>
        </is>
      </c>
      <c r="F864" s="5" t="inlineStr">
        <is>
          <t>2026-09-17</t>
        </is>
      </c>
      <c r="G864" s="5" t="inlineStr">
        <is>
          <t>legal name, registered office, postcode, company number</t>
        </is>
      </c>
      <c r="H864" s="5" t="inlineStr">
        <is>
          <t>Partially Verified</t>
        </is>
      </c>
    </row>
    <row r="865">
      <c r="A865" s="10" t="inlineStr">
        <is>
          <t>UK-000641</t>
        </is>
      </c>
      <c r="B865" s="10" t="inlineStr">
        <is>
          <t>Onur Supermarket</t>
        </is>
      </c>
      <c r="C865" s="10" t="inlineStr">
        <is>
          <t>Stratford</t>
        </is>
      </c>
      <c r="D865" s="10" t="inlineStr">
        <is>
          <t>https://london.cylex-uk.co.uk/stratford/retail%20shops.html</t>
        </is>
      </c>
      <c r="E865" s="10" t="inlineStr">
        <is>
          <t>Directory</t>
        </is>
      </c>
      <c r="F865" s="10" t="inlineStr">
        <is>
          <t>2026-09-17</t>
        </is>
      </c>
      <c r="G865" s="10" t="inlineStr">
        <is>
          <t>name, address, postcode</t>
        </is>
      </c>
      <c r="H865" s="10" t="inlineStr">
        <is>
          <t>Requires Verification</t>
        </is>
      </c>
    </row>
    <row r="866">
      <c r="A866" s="5" t="inlineStr">
        <is>
          <t>UK-000496</t>
        </is>
      </c>
      <c r="B866" s="5" t="inlineStr">
        <is>
          <t>Oscars Newsagents (Select Xpress)</t>
        </is>
      </c>
      <c r="C866" s="5" t="inlineStr">
        <is>
          <t>Walsall</t>
        </is>
      </c>
      <c r="D866" s="5" t="inlineStr">
        <is>
          <t>https://addressesandpostcodes.co.uk/address/EzQAh1vR/oscars-newsagents-133-high-street-bloxwich-walsall-ws3-3le.html</t>
        </is>
      </c>
      <c r="E866" s="5" t="inlineStr">
        <is>
          <t>Directory</t>
        </is>
      </c>
      <c r="F866" s="5" t="inlineStr">
        <is>
          <t>2026-09-17</t>
        </is>
      </c>
      <c r="G866" s="5" t="inlineStr">
        <is>
          <t>name, address, postcode</t>
        </is>
      </c>
      <c r="H866" s="5" t="inlineStr">
        <is>
          <t>Requires Verification</t>
        </is>
      </c>
    </row>
    <row r="867">
      <c r="A867" s="10" t="inlineStr">
        <is>
          <t>UK-000496</t>
        </is>
      </c>
      <c r="B867" s="10" t="inlineStr">
        <is>
          <t>Oscars Newsagents (Select Xpress)</t>
        </is>
      </c>
      <c r="C867" s="10" t="inlineStr">
        <is>
          <t>Walsall</t>
        </is>
      </c>
      <c r="D867" s="10" t="inlineStr">
        <is>
          <t>https://www.192.com/atoz/business/walsall-ws3/newsagents/oscars-news-limited/5a1a194560784220ccadea129ae332941c7a96f7/comp/</t>
        </is>
      </c>
      <c r="E867" s="10" t="inlineStr">
        <is>
          <t>Directory</t>
        </is>
      </c>
      <c r="F867" s="10" t="inlineStr">
        <is>
          <t>2026-09-17</t>
        </is>
      </c>
      <c r="G867" s="10" t="inlineStr">
        <is>
          <t>legal name</t>
        </is>
      </c>
      <c r="H867" s="10" t="inlineStr">
        <is>
          <t>Requires Verification</t>
        </is>
      </c>
    </row>
    <row r="868">
      <c r="A868" s="5" t="inlineStr">
        <is>
          <t>WY-0129</t>
        </is>
      </c>
      <c r="B868" s="5" t="inlineStr">
        <is>
          <t>Outwood Express</t>
        </is>
      </c>
      <c r="C868" s="5" t="inlineStr">
        <is>
          <t>Wakefield</t>
        </is>
      </c>
      <c r="D868" s="5" t="inlineStr">
        <is>
          <t>https://www.yell.com/biz/outwood-express-wakefield-10165328/</t>
        </is>
      </c>
      <c r="E868" s="5" t="inlineStr">
        <is>
          <t>Yell</t>
        </is>
      </c>
      <c r="F868" s="5" t="inlineStr">
        <is>
          <t>2026-09-16</t>
        </is>
      </c>
      <c r="G868" s="5" t="inlineStr">
        <is>
          <t>existence, Outwood/Wakefield location</t>
        </is>
      </c>
      <c r="H868" s="5" t="inlineStr">
        <is>
          <t>Requires Verification</t>
        </is>
      </c>
    </row>
    <row r="869">
      <c r="A869" s="10" t="inlineStr">
        <is>
          <t>UK-000809</t>
        </is>
      </c>
      <c r="B869" s="10" t="inlineStr">
        <is>
          <t>PCY Oriental</t>
        </is>
      </c>
      <c r="C869" s="10" t="inlineStr">
        <is>
          <t>Edinburgh</t>
        </is>
      </c>
      <c r="D869" s="10" t="inlineStr">
        <is>
          <t>https://edinburgh.cylex-uk.co.uk/company/pcy-oriental-27594347.html</t>
        </is>
      </c>
      <c r="E869" s="10" t="inlineStr">
        <is>
          <t>Directory</t>
        </is>
      </c>
      <c r="F869" s="10" t="inlineStr">
        <is>
          <t>2026-09-17</t>
        </is>
      </c>
      <c r="G869" s="10" t="inlineStr">
        <is>
          <t>name, area, product range (snippet)</t>
        </is>
      </c>
      <c r="H869" s="10" t="inlineStr">
        <is>
          <t>Requires Verification</t>
        </is>
      </c>
    </row>
    <row r="870">
      <c r="A870" s="5" t="inlineStr">
        <is>
          <t>UK-000497</t>
        </is>
      </c>
      <c r="B870" s="5" t="inlineStr">
        <is>
          <t>Padda Store</t>
        </is>
      </c>
      <c r="C870" s="5" t="inlineStr">
        <is>
          <t>Oldbury</t>
        </is>
      </c>
      <c r="D870" s="5" t="inlineStr">
        <is>
          <t>https://www.yell.com/s/off+licences+and+wine+merchants-oldbury-west+midlands.html</t>
        </is>
      </c>
      <c r="E870" s="5" t="inlineStr">
        <is>
          <t>Yell</t>
        </is>
      </c>
      <c r="F870" s="5" t="inlineStr">
        <is>
          <t>2026-09-17</t>
        </is>
      </c>
      <c r="G870" s="5" t="inlineStr">
        <is>
          <t>business name, address, phone (listing snippet)</t>
        </is>
      </c>
      <c r="H870" s="5" t="inlineStr">
        <is>
          <t>Requires Verification</t>
        </is>
      </c>
    </row>
    <row r="871">
      <c r="A871" s="10" t="inlineStr">
        <is>
          <t>WY-0130</t>
        </is>
      </c>
      <c r="B871" s="10" t="inlineStr">
        <is>
          <t>Pakeezah Superstore</t>
        </is>
      </c>
      <c r="C871" s="10" t="inlineStr">
        <is>
          <t>Bradford</t>
        </is>
      </c>
      <c r="D871" s="10" t="inlineStr">
        <is>
          <t>https://www.thomsonlocal.com/search/supermarkets/bradford-keighley-skipton/pakeezah/1241547/01274739500</t>
        </is>
      </c>
      <c r="E871" s="10" t="inlineStr">
        <is>
          <t>Directory</t>
        </is>
      </c>
      <c r="F871" s="10" t="inlineStr">
        <is>
          <t>2026-09-16</t>
        </is>
      </c>
      <c r="G871" s="10" t="inlineStr">
        <is>
          <t>phone 01274 739500 (search result)</t>
        </is>
      </c>
      <c r="H871" s="10" t="inlineStr">
        <is>
          <t>Partially Verified</t>
        </is>
      </c>
    </row>
    <row r="872">
      <c r="A872" s="5" t="inlineStr">
        <is>
          <t>WY-0130</t>
        </is>
      </c>
      <c r="B872" s="5" t="inlineStr">
        <is>
          <t>Pakeezah Superstore</t>
        </is>
      </c>
      <c r="C872" s="5" t="inlineStr">
        <is>
          <t>Bradford</t>
        </is>
      </c>
      <c r="D872" s="5" t="inlineStr">
        <is>
          <t>https://www.yelp.com/biz/pakeezah-superstore-bradford</t>
        </is>
      </c>
      <c r="E872" s="5" t="inlineStr">
        <is>
          <t>Directory</t>
        </is>
      </c>
      <c r="F872" s="5" t="inlineStr">
        <is>
          <t>2026-09-16</t>
        </is>
      </c>
      <c r="G872" s="5" t="inlineStr">
        <is>
          <t>address 91 Edderthorpe Street BD3 9UD (search snippet)</t>
        </is>
      </c>
      <c r="H872" s="5" t="inlineStr">
        <is>
          <t>Partially Verified</t>
        </is>
      </c>
    </row>
    <row r="873">
      <c r="A873" s="10" t="inlineStr">
        <is>
          <t>WY-0130</t>
        </is>
      </c>
      <c r="B873" s="10" t="inlineStr">
        <is>
          <t>Pakeezah Superstore</t>
        </is>
      </c>
      <c r="C873" s="10" t="inlineStr">
        <is>
          <t>Bradford</t>
        </is>
      </c>
      <c r="D873" s="10" t="inlineStr">
        <is>
          <t>https://www.hotfrog.co.uk/company/1097305308241920/pakeezah-superstore/bradford/beverages</t>
        </is>
      </c>
      <c r="E873" s="10" t="inlineStr">
        <is>
          <t>Directory</t>
        </is>
      </c>
      <c r="F873" s="10" t="inlineStr">
        <is>
          <t>2026-09-16</t>
        </is>
      </c>
      <c r="G873" s="10" t="inlineStr">
        <is>
          <t>email</t>
        </is>
      </c>
      <c r="H873" s="10" t="inlineStr">
        <is>
          <t>Partially Verified</t>
        </is>
      </c>
    </row>
    <row r="874">
      <c r="A874" s="5" t="inlineStr">
        <is>
          <t>UK-000642</t>
        </is>
      </c>
      <c r="B874" s="5" t="inlineStr">
        <is>
          <t>Park Vintners</t>
        </is>
      </c>
      <c r="C874" s="5" t="inlineStr">
        <is>
          <t>London</t>
        </is>
      </c>
      <c r="D874" s="5" t="inlineStr">
        <is>
          <t>https://www.yell.com/biz/park-vintners-london-6513692/</t>
        </is>
      </c>
      <c r="E874" s="5" t="inlineStr">
        <is>
          <t>Yell</t>
        </is>
      </c>
      <c r="F874" s="5" t="inlineStr">
        <is>
          <t>2026-09-17</t>
        </is>
      </c>
      <c r="G874" s="5" t="inlineStr">
        <is>
          <t>business name, address</t>
        </is>
      </c>
      <c r="H874" s="5" t="inlineStr">
        <is>
          <t>Requires Verification</t>
        </is>
      </c>
    </row>
    <row r="875">
      <c r="A875" s="10" t="inlineStr">
        <is>
          <t>UK-000498</t>
        </is>
      </c>
      <c r="B875" s="10" t="inlineStr">
        <is>
          <t>Paul's Convenience &amp; Off Licence Store</t>
        </is>
      </c>
      <c r="C875" s="10" t="inlineStr">
        <is>
          <t>Rowley Regis</t>
        </is>
      </c>
      <c r="D875" s="10" t="inlineStr">
        <is>
          <t>https://www.192.com/atoz/business/rowley--regis/convenience--stores/</t>
        </is>
      </c>
      <c r="E875" s="10" t="inlineStr">
        <is>
          <t>Directory</t>
        </is>
      </c>
      <c r="F875" s="10" t="inlineStr">
        <is>
          <t>2026-09-17</t>
        </is>
      </c>
      <c r="G875" s="10" t="inlineStr">
        <is>
          <t>business name, address, phone (listing snippet)</t>
        </is>
      </c>
      <c r="H875" s="10" t="inlineStr">
        <is>
          <t>Requires Verification</t>
        </is>
      </c>
    </row>
    <row r="876">
      <c r="A876" s="5" t="inlineStr">
        <is>
          <t>UK-000643</t>
        </is>
      </c>
      <c r="B876" s="5" t="inlineStr">
        <is>
          <t>Pearl Supermarket</t>
        </is>
      </c>
      <c r="C876" s="5" t="inlineStr">
        <is>
          <t>Wembley</t>
        </is>
      </c>
      <c r="D876" s="5" t="inlineStr">
        <is>
          <t>https://www.yell.com/biz/pearl-supermarket-wembley-5970807/</t>
        </is>
      </c>
      <c r="E876" s="5" t="inlineStr">
        <is>
          <t>Yell</t>
        </is>
      </c>
      <c r="F876" s="5" t="inlineStr">
        <is>
          <t>2026-09-17</t>
        </is>
      </c>
      <c r="G876" s="5" t="inlineStr">
        <is>
          <t>business name, town</t>
        </is>
      </c>
      <c r="H876" s="5" t="inlineStr">
        <is>
          <t>Requires Verification</t>
        </is>
      </c>
    </row>
    <row r="877">
      <c r="A877" s="10" t="inlineStr">
        <is>
          <t>UK-000644</t>
        </is>
      </c>
      <c r="B877" s="10" t="inlineStr">
        <is>
          <t>Peckham Afro Foods Ltd</t>
        </is>
      </c>
      <c r="C877" s="10" t="inlineStr">
        <is>
          <t>London</t>
        </is>
      </c>
      <c r="D877" s="10" t="inlineStr">
        <is>
          <t>https://www.yell.com/biz/peckham-afro-foods-ltd-london-10823812/</t>
        </is>
      </c>
      <c r="E877" s="10" t="inlineStr">
        <is>
          <t>Yell</t>
        </is>
      </c>
      <c r="F877" s="10" t="inlineStr">
        <is>
          <t>2026-09-17</t>
        </is>
      </c>
      <c r="G877" s="10" t="inlineStr">
        <is>
          <t>business name, address</t>
        </is>
      </c>
      <c r="H877" s="10" t="inlineStr">
        <is>
          <t>Requires Verification</t>
        </is>
      </c>
    </row>
    <row r="878">
      <c r="A878" s="5" t="inlineStr">
        <is>
          <t>UK-000379</t>
        </is>
      </c>
      <c r="B878" s="5" t="inlineStr">
        <is>
          <t>Peerless Stores Limited</t>
        </is>
      </c>
      <c r="C878" s="5" t="inlineStr">
        <is>
          <t>Wigan</t>
        </is>
      </c>
      <c r="D878" s="5" t="inlineStr">
        <is>
          <t>https://businessdirectory.wigan.gov.uk/business/peerless-stores-limited</t>
        </is>
      </c>
      <c r="E878" s="5" t="inlineStr">
        <is>
          <t>Other</t>
        </is>
      </c>
      <c r="F878" s="5" t="inlineStr">
        <is>
          <t>2026-09-17</t>
        </is>
      </c>
      <c r="G878" s="5" t="inlineStr">
        <is>
          <t>business name, address, postcode, phone (via search results)</t>
        </is>
      </c>
      <c r="H878" s="5" t="inlineStr">
        <is>
          <t>Requires Verification</t>
        </is>
      </c>
    </row>
    <row r="879">
      <c r="A879" s="10" t="inlineStr">
        <is>
          <t>UK-000645</t>
        </is>
      </c>
      <c r="B879" s="10" t="inlineStr">
        <is>
          <t>Pembridge Food and Wine</t>
        </is>
      </c>
      <c r="C879" s="10" t="inlineStr">
        <is>
          <t>London</t>
        </is>
      </c>
      <c r="D879" s="10" t="inlineStr">
        <is>
          <t>https://www.yell.com/biz/pembridge-food-and-wine-london-10600754/</t>
        </is>
      </c>
      <c r="E879" s="10" t="inlineStr">
        <is>
          <t>Yell</t>
        </is>
      </c>
      <c r="F879" s="10" t="inlineStr">
        <is>
          <t>2026-09-17</t>
        </is>
      </c>
      <c r="G879" s="10" t="inlineStr">
        <is>
          <t>business name, address, postcode, phone</t>
        </is>
      </c>
      <c r="H879" s="10" t="inlineStr">
        <is>
          <t>Requires Verification</t>
        </is>
      </c>
    </row>
    <row r="880">
      <c r="A880" s="5" t="inlineStr">
        <is>
          <t>UK-000645</t>
        </is>
      </c>
      <c r="B880" s="5" t="inlineStr">
        <is>
          <t>Pembridge Food and Wine</t>
        </is>
      </c>
      <c r="C880" s="5" t="inlineStr">
        <is>
          <t>London</t>
        </is>
      </c>
      <c r="D880" s="5" t="inlineStr">
        <is>
          <t>https://find-and-update.company-information.service.gov.uk/company/12479860</t>
        </is>
      </c>
      <c r="E880" s="5" t="inlineStr">
        <is>
          <t>Companies House</t>
        </is>
      </c>
      <c r="F880" s="5" t="inlineStr">
        <is>
          <t>2026-09-17</t>
        </is>
      </c>
      <c r="G880" s="5" t="inlineStr">
        <is>
          <t>legal entity candidate</t>
        </is>
      </c>
      <c r="H880" s="5" t="inlineStr">
        <is>
          <t>Requires Verification</t>
        </is>
      </c>
    </row>
    <row r="881">
      <c r="A881" s="10" t="inlineStr">
        <is>
          <t>WY-0131</t>
        </is>
      </c>
      <c r="B881" s="10" t="inlineStr">
        <is>
          <t>Phantom Vape Store</t>
        </is>
      </c>
      <c r="C881" s="10" t="inlineStr">
        <is>
          <t>Dewsbury</t>
        </is>
      </c>
      <c r="D881" s="10" t="inlineStr">
        <is>
          <t>https://www.phantomvapes.co.uk/vape-shop-dewsbury</t>
        </is>
      </c>
      <c r="E881" s="10" t="inlineStr">
        <is>
          <t>Official Website</t>
        </is>
      </c>
      <c r="F881" s="10" t="inlineStr">
        <is>
          <t>2026-09-16</t>
        </is>
      </c>
      <c r="G881" s="10" t="inlineStr">
        <is>
          <t>address, postcode (from search result snippet of own site)</t>
        </is>
      </c>
      <c r="H881" s="10" t="inlineStr">
        <is>
          <t>Requires Verification</t>
        </is>
      </c>
    </row>
    <row r="882">
      <c r="A882" s="5" t="inlineStr">
        <is>
          <t>WY-0131</t>
        </is>
      </c>
      <c r="B882" s="5" t="inlineStr">
        <is>
          <t>Phantom Vape Store</t>
        </is>
      </c>
      <c r="C882" s="5" t="inlineStr">
        <is>
          <t>Dewsbury</t>
        </is>
      </c>
      <c r="D882" s="5" t="inlineStr">
        <is>
          <t>https://www.facebook.com/61578393599194/</t>
        </is>
      </c>
      <c r="E882" s="5" t="inlineStr">
        <is>
          <t>Facebook</t>
        </is>
      </c>
      <c r="F882" s="5" t="inlineStr">
        <is>
          <t>2026-09-16</t>
        </is>
      </c>
      <c r="G882" s="5" t="inlineStr">
        <is>
          <t>social (facebook)</t>
        </is>
      </c>
      <c r="H882" s="5" t="inlineStr">
        <is>
          <t>Requires Verification</t>
        </is>
      </c>
    </row>
    <row r="883">
      <c r="A883" s="10" t="inlineStr">
        <is>
          <t>WY-0132</t>
        </is>
      </c>
      <c r="B883" s="10" t="inlineStr">
        <is>
          <t>Phoenix Filling Station</t>
        </is>
      </c>
      <c r="C883" s="10" t="inlineStr">
        <is>
          <t>Bradford</t>
        </is>
      </c>
      <c r="D883" s="10" t="inlineStr">
        <is>
          <t>https://find-and-update.company-information.service.gov.uk/company/11511613</t>
        </is>
      </c>
      <c r="E883" s="10" t="inlineStr">
        <is>
          <t>Companies House</t>
        </is>
      </c>
      <c r="F883" s="10" t="inlineStr">
        <is>
          <t>2026-09-16</t>
        </is>
      </c>
      <c r="G883" s="10" t="inlineStr">
        <is>
          <t>company Phoenix Filling Station Ltd 11511613 (search result; direct fetch blocked)</t>
        </is>
      </c>
      <c r="H883" s="10" t="inlineStr">
        <is>
          <t>Partially Verified</t>
        </is>
      </c>
    </row>
    <row r="884">
      <c r="A884" s="5" t="inlineStr">
        <is>
          <t>WY-0132</t>
        </is>
      </c>
      <c r="B884" s="5" t="inlineStr">
        <is>
          <t>Phoenix Filling Station</t>
        </is>
      </c>
      <c r="C884" s="5" t="inlineStr">
        <is>
          <t>Bradford</t>
        </is>
      </c>
      <c r="D884" s="5" t="inlineStr">
        <is>
          <t>https://www.mylocalservices.co.uk/Phoenix+Filling+Station-Bradford-2646217.html</t>
        </is>
      </c>
      <c r="E884" s="5" t="inlineStr">
        <is>
          <t>Directory</t>
        </is>
      </c>
      <c r="F884" s="5" t="inlineStr">
        <is>
          <t>2026-09-16</t>
        </is>
      </c>
      <c r="G884" s="5" t="inlineStr">
        <is>
          <t>address 93 Listerhills Road BD7 1JT, phone, 24hr (search snippet)</t>
        </is>
      </c>
      <c r="H884" s="5" t="inlineStr">
        <is>
          <t>Partially Verified</t>
        </is>
      </c>
    </row>
    <row r="885">
      <c r="A885" s="10" t="inlineStr">
        <is>
          <t>WY-0132</t>
        </is>
      </c>
      <c r="B885" s="10" t="inlineStr">
        <is>
          <t>Phoenix Filling Station</t>
        </is>
      </c>
      <c r="C885" s="10" t="inlineStr">
        <is>
          <t>Bradford</t>
        </is>
      </c>
      <c r="D885" s="10" t="inlineStr">
        <is>
          <t>https://map.bp.com/en-GB/GB/petrol-station/bradford/phoenix-filling-station/1855207019</t>
        </is>
      </c>
      <c r="E885" s="10" t="inlineStr">
        <is>
          <t>Other</t>
        </is>
      </c>
      <c r="F885" s="10" t="inlineStr">
        <is>
          <t>2026-09-16</t>
        </is>
      </c>
      <c r="G885" s="10" t="inlineStr">
        <is>
          <t>BP brand confirmation (search result)</t>
        </is>
      </c>
      <c r="H885" s="10" t="inlineStr">
        <is>
          <t>Partially Verified</t>
        </is>
      </c>
    </row>
    <row r="886">
      <c r="A886" s="5" t="inlineStr">
        <is>
          <t>UK-000499</t>
        </is>
      </c>
      <c r="B886" s="5" t="inlineStr">
        <is>
          <t>Phone Care &amp; Vape</t>
        </is>
      </c>
      <c r="C886" s="5" t="inlineStr">
        <is>
          <t>Walsall</t>
        </is>
      </c>
      <c r="D886" s="5" t="inlineStr">
        <is>
          <t>https://find-open.co.uk/walsall/phone-care-vape-2811202</t>
        </is>
      </c>
      <c r="E886" s="5" t="inlineStr">
        <is>
          <t>Directory</t>
        </is>
      </c>
      <c r="F886" s="5" t="inlineStr">
        <is>
          <t>2026-09-17</t>
        </is>
      </c>
      <c r="G886" s="5" t="inlineStr">
        <is>
          <t>address, postcode, phone, hours</t>
        </is>
      </c>
      <c r="H886" s="5" t="inlineStr">
        <is>
          <t>Requires Verification</t>
        </is>
      </c>
    </row>
    <row r="887">
      <c r="A887" s="10" t="inlineStr">
        <is>
          <t>UK-000499</t>
        </is>
      </c>
      <c r="B887" s="10" t="inlineStr">
        <is>
          <t>Phone Care &amp; Vape</t>
        </is>
      </c>
      <c r="C887" s="10" t="inlineStr">
        <is>
          <t>Walsall</t>
        </is>
      </c>
      <c r="D887" s="10" t="inlineStr">
        <is>
          <t>https://locations.uk.express.dhl.com/west-midlands/staffordshire/606-bloxwich-road</t>
        </is>
      </c>
      <c r="E887" s="10" t="inlineStr">
        <is>
          <t>Other</t>
        </is>
      </c>
      <c r="F887" s="10" t="inlineStr">
        <is>
          <t>2026-09-17</t>
        </is>
      </c>
      <c r="G887" s="10" t="inlineStr">
        <is>
          <t>address confirmation</t>
        </is>
      </c>
      <c r="H887" s="10" t="inlineStr">
        <is>
          <t>Requires Verification</t>
        </is>
      </c>
    </row>
    <row r="888">
      <c r="A888" s="5" t="inlineStr">
        <is>
          <t>UK-000500</t>
        </is>
      </c>
      <c r="B888" s="5" t="inlineStr">
        <is>
          <t>Phone Fix &amp; Vape Ltd</t>
        </is>
      </c>
      <c r="C888" s="5" t="inlineStr">
        <is>
          <t>Birmingham</t>
        </is>
      </c>
      <c r="D888" s="5" t="inlineStr">
        <is>
          <t>https://directory.shropshirestar.co.uk/company/1231398485651457</t>
        </is>
      </c>
      <c r="E888" s="5" t="inlineStr">
        <is>
          <t>Directory</t>
        </is>
      </c>
      <c r="F888" s="5" t="inlineStr">
        <is>
          <t>2026-09-17</t>
        </is>
      </c>
      <c r="G888" s="5" t="inlineStr">
        <is>
          <t>address, postcode</t>
        </is>
      </c>
      <c r="H888" s="5" t="inlineStr">
        <is>
          <t>Requires Verification</t>
        </is>
      </c>
    </row>
    <row r="889">
      <c r="A889" s="10" t="inlineStr">
        <is>
          <t>UK-000501</t>
        </is>
      </c>
      <c r="B889" s="10" t="inlineStr">
        <is>
          <t>Phones &amp; Vapes Kings Heath</t>
        </is>
      </c>
      <c r="C889" s="10" t="inlineStr">
        <is>
          <t>Birmingham</t>
        </is>
      </c>
      <c r="D889" s="10" t="inlineStr">
        <is>
          <t>https://firmania.co.uk/birmingham/phones-vapes-kings-heath-4615006</t>
        </is>
      </c>
      <c r="E889" s="10" t="inlineStr">
        <is>
          <t>Directory</t>
        </is>
      </c>
      <c r="F889" s="10" t="inlineStr">
        <is>
          <t>2026-09-17</t>
        </is>
      </c>
      <c r="G889" s="10" t="inlineStr">
        <is>
          <t>address, postcode, phone</t>
        </is>
      </c>
      <c r="H889" s="10" t="inlineStr">
        <is>
          <t>Requires Verification</t>
        </is>
      </c>
    </row>
    <row r="890">
      <c r="A890" s="5" t="inlineStr">
        <is>
          <t>UK-000267</t>
        </is>
      </c>
      <c r="B890" s="5" t="inlineStr">
        <is>
          <t>Platinum Vape Hull</t>
        </is>
      </c>
      <c r="C890" s="5" t="inlineStr">
        <is>
          <t>Kingston upon Hull</t>
        </is>
      </c>
      <c r="D890" s="5" t="inlineStr">
        <is>
          <t>https://www.facebook.com/PlatinumVapehull/</t>
        </is>
      </c>
      <c r="E890" s="5" t="inlineStr">
        <is>
          <t>Facebook</t>
        </is>
      </c>
      <c r="F890" s="5" t="inlineStr">
        <is>
          <t>2026-09-16</t>
        </is>
      </c>
      <c r="G890" s="5" t="inlineStr">
        <is>
          <t>name, product range (via search results)</t>
        </is>
      </c>
      <c r="H890" s="5" t="inlineStr">
        <is>
          <t>Requires Verification</t>
        </is>
      </c>
    </row>
    <row r="891">
      <c r="A891" s="10" t="inlineStr">
        <is>
          <t>WY-0133</t>
        </is>
      </c>
      <c r="B891" s="10" t="inlineStr">
        <is>
          <t>Premier (Bingley Convenience Store)</t>
        </is>
      </c>
      <c r="C891" s="10" t="inlineStr">
        <is>
          <t>Bingley</t>
        </is>
      </c>
      <c r="D891" s="10" t="inlineStr">
        <is>
          <t>https://www.yorkshire.com/bingley/shopping/corner-shops/premier-bingley-convenience-store</t>
        </is>
      </c>
      <c r="E891" s="10" t="inlineStr">
        <is>
          <t>Directory</t>
        </is>
      </c>
      <c r="F891" s="10" t="inlineStr">
        <is>
          <t>2026-09-16</t>
        </is>
      </c>
      <c r="G891" s="10" t="inlineStr">
        <is>
          <t>name and Bingley location (search result)</t>
        </is>
      </c>
      <c r="H891" s="10" t="inlineStr">
        <is>
          <t>Requires Verification</t>
        </is>
      </c>
    </row>
    <row r="892">
      <c r="A892" s="5" t="inlineStr">
        <is>
          <t>WY-0134</t>
        </is>
      </c>
      <c r="B892" s="5" t="inlineStr">
        <is>
          <t>Premier Hemsworth</t>
        </is>
      </c>
      <c r="C892" s="5" t="inlineStr">
        <is>
          <t>Hemsworth</t>
        </is>
      </c>
      <c r="D892" s="5" t="inlineStr">
        <is>
          <t>https://hemsworth.ukintouch.com/convenience-store/premier-hemsworth/</t>
        </is>
      </c>
      <c r="E892" s="5" t="inlineStr">
        <is>
          <t>Directory</t>
        </is>
      </c>
      <c r="F892" s="5" t="inlineStr">
        <is>
          <t>2026-09-16</t>
        </is>
      </c>
      <c r="G892" s="5" t="inlineStr">
        <is>
          <t>name, address 51-55 Barnsley Road, Hemsworth WF9 4QZ</t>
        </is>
      </c>
      <c r="H892" s="5" t="inlineStr">
        <is>
          <t>Requires Verification</t>
        </is>
      </c>
    </row>
    <row r="893">
      <c r="A893" s="10" t="inlineStr">
        <is>
          <t>WY-0135</t>
        </is>
      </c>
      <c r="B893" s="10" t="inlineStr">
        <is>
          <t>Premier Wholesale Cash &amp; Carry</t>
        </is>
      </c>
      <c r="C893" s="10" t="inlineStr">
        <is>
          <t>Huddersfield</t>
        </is>
      </c>
      <c r="D893" s="10" t="inlineStr">
        <is>
          <t>https://www.yell.com/biz/premier-wholesale-cash-and-carry-huddersfield-943025/</t>
        </is>
      </c>
      <c r="E893" s="10" t="inlineStr">
        <is>
          <t>Yell</t>
        </is>
      </c>
      <c r="F893" s="10" t="inlineStr">
        <is>
          <t>2026-09-16</t>
        </is>
      </c>
      <c r="G893" s="10" t="inlineStr">
        <is>
          <t>name, address, postcode</t>
        </is>
      </c>
      <c r="H893" s="10" t="inlineStr">
        <is>
          <t>Requires Verification</t>
        </is>
      </c>
    </row>
    <row r="894">
      <c r="A894" s="5" t="inlineStr">
        <is>
          <t>UK-000810</t>
        </is>
      </c>
      <c r="B894" s="5" t="inlineStr">
        <is>
          <t>Prime Convenience Store St Helens</t>
        </is>
      </c>
      <c r="C894" s="5" t="inlineStr">
        <is>
          <t>St Helens</t>
        </is>
      </c>
      <c r="D894" s="5" t="inlineStr">
        <is>
          <t>https://find-and-update.company-information.service.gov.uk/company/15581396</t>
        </is>
      </c>
      <c r="E894" s="5" t="inlineStr">
        <is>
          <t>Companies House</t>
        </is>
      </c>
      <c r="F894" s="5" t="inlineStr">
        <is>
          <t>2026-09-17</t>
        </is>
      </c>
      <c r="G894" s="5" t="inlineStr">
        <is>
          <t>registered company name, number, Church Street address, postcode</t>
        </is>
      </c>
      <c r="H894" s="5" t="inlineStr">
        <is>
          <t>Requires Verification</t>
        </is>
      </c>
    </row>
    <row r="895">
      <c r="A895" s="10" t="inlineStr">
        <is>
          <t>UK-000646</t>
        </is>
      </c>
      <c r="B895" s="10" t="inlineStr">
        <is>
          <t>Prince Cash &amp; Carry Ltd</t>
        </is>
      </c>
      <c r="C895" s="10" t="inlineStr">
        <is>
          <t>Southall</t>
        </is>
      </c>
      <c r="D895" s="10" t="inlineStr">
        <is>
          <t>https://www.princecashandcarry.com/</t>
        </is>
      </c>
      <c r="E895" s="10" t="inlineStr">
        <is>
          <t>Official Website</t>
        </is>
      </c>
      <c r="F895" s="10" t="inlineStr">
        <is>
          <t>2026-09-17</t>
        </is>
      </c>
      <c r="G895" s="10" t="inlineStr">
        <is>
          <t>website, address</t>
        </is>
      </c>
      <c r="H895" s="10" t="inlineStr">
        <is>
          <t>Verified (website + Companies House)</t>
        </is>
      </c>
    </row>
    <row r="896">
      <c r="A896" s="5" t="inlineStr">
        <is>
          <t>UK-000646</t>
        </is>
      </c>
      <c r="B896" s="5" t="inlineStr">
        <is>
          <t>Prince Cash &amp; Carry Ltd</t>
        </is>
      </c>
      <c r="C896" s="5" t="inlineStr">
        <is>
          <t>Southall</t>
        </is>
      </c>
      <c r="D896" s="5" t="inlineStr">
        <is>
          <t>https://find-and-update.company-information.service.gov.uk/company/06811397</t>
        </is>
      </c>
      <c r="E896" s="5" t="inlineStr">
        <is>
          <t>Companies House</t>
        </is>
      </c>
      <c r="F896" s="5" t="inlineStr">
        <is>
          <t>2026-09-17</t>
        </is>
      </c>
      <c r="G896" s="5" t="inlineStr">
        <is>
          <t>company number, registered name</t>
        </is>
      </c>
      <c r="H896" s="5" t="inlineStr">
        <is>
          <t>Verified (website + Companies House)</t>
        </is>
      </c>
    </row>
    <row r="897">
      <c r="A897" s="10" t="inlineStr">
        <is>
          <t>UK-000646</t>
        </is>
      </c>
      <c r="B897" s="10" t="inlineStr">
        <is>
          <t>Prince Cash &amp; Carry Ltd</t>
        </is>
      </c>
      <c r="C897" s="10" t="inlineStr">
        <is>
          <t>Southall</t>
        </is>
      </c>
      <c r="D897" s="10" t="inlineStr">
        <is>
          <t>https://www.yell.com/biz/prince-cash-and-carry-ltd-southall-6411736/</t>
        </is>
      </c>
      <c r="E897" s="10" t="inlineStr">
        <is>
          <t>Yell</t>
        </is>
      </c>
      <c r="F897" s="10" t="inlineStr">
        <is>
          <t>2026-09-17</t>
        </is>
      </c>
      <c r="G897" s="10" t="inlineStr">
        <is>
          <t>address, phone</t>
        </is>
      </c>
      <c r="H897" s="10" t="inlineStr">
        <is>
          <t>Verified (website + Companies House)</t>
        </is>
      </c>
    </row>
    <row r="898">
      <c r="A898" s="5" t="inlineStr">
        <is>
          <t>UK-000502</t>
        </is>
      </c>
      <c r="B898" s="5" t="inlineStr">
        <is>
          <t>Princes End Convenience Store</t>
        </is>
      </c>
      <c r="C898" s="5" t="inlineStr">
        <is>
          <t>Tipton</t>
        </is>
      </c>
      <c r="D898" s="5" t="inlineStr">
        <is>
          <t>https://www.yell.com/biz/princes-end-convenience-store-tipton-9797719/</t>
        </is>
      </c>
      <c r="E898" s="5" t="inlineStr">
        <is>
          <t>Yell</t>
        </is>
      </c>
      <c r="F898" s="5" t="inlineStr">
        <is>
          <t>2026-09-17</t>
        </is>
      </c>
      <c r="G898" s="5" t="inlineStr">
        <is>
          <t>business name, Princes End/Tipton location (listing snippet)</t>
        </is>
      </c>
      <c r="H898" s="5" t="inlineStr">
        <is>
          <t>Requires Verification</t>
        </is>
      </c>
    </row>
    <row r="899">
      <c r="A899" s="10" t="inlineStr">
        <is>
          <t>WY-0136</t>
        </is>
      </c>
      <c r="B899" s="10" t="inlineStr">
        <is>
          <t>Quix Newsagents, Off Licence &amp; Convenience Store</t>
        </is>
      </c>
      <c r="C899" s="10" t="inlineStr">
        <is>
          <t>Shipley</t>
        </is>
      </c>
      <c r="D899" s="10" t="inlineStr">
        <is>
          <t>https://www.yorkshire.com/shipley/shopping/corner-shops/quix-newsagents-off-licence-convenience-store</t>
        </is>
      </c>
      <c r="E899" s="10" t="inlineStr">
        <is>
          <t>Directory</t>
        </is>
      </c>
      <c r="F899" s="10" t="inlineStr">
        <is>
          <t>2026-09-16</t>
        </is>
      </c>
      <c r="G899" s="10" t="inlineStr">
        <is>
          <t>name and Shipley location (search result)</t>
        </is>
      </c>
      <c r="H899" s="10" t="inlineStr">
        <is>
          <t>Requires Verification</t>
        </is>
      </c>
    </row>
    <row r="900">
      <c r="A900" s="5" t="inlineStr">
        <is>
          <t>WY-0137</t>
        </is>
      </c>
      <c r="B900" s="5" t="inlineStr">
        <is>
          <t>Rahien Mini Market</t>
        </is>
      </c>
      <c r="C900" s="5" t="inlineStr">
        <is>
          <t>Leeds</t>
        </is>
      </c>
      <c r="D900" s="5" t="inlineStr">
        <is>
          <t>https://www.yorkshire.com/headingley/shopping/markets/rahien-mini-market</t>
        </is>
      </c>
      <c r="E900" s="5" t="inlineStr">
        <is>
          <t>Directory</t>
        </is>
      </c>
      <c r="F900" s="5" t="inlineStr">
        <is>
          <t>2026-09-16</t>
        </is>
      </c>
      <c r="G900" s="5" t="inlineStr">
        <is>
          <t>name, Queen's Road location (via search results)</t>
        </is>
      </c>
      <c r="H900" s="5" t="inlineStr">
        <is>
          <t>Requires Verification</t>
        </is>
      </c>
    </row>
    <row r="901">
      <c r="A901" s="10" t="inlineStr">
        <is>
          <t>UK-000647</t>
        </is>
      </c>
      <c r="B901" s="10" t="inlineStr">
        <is>
          <t>Rakkas</t>
        </is>
      </c>
      <c r="C901" s="10" t="inlineStr">
        <is>
          <t>Harringay</t>
        </is>
      </c>
      <c r="D901" s="10" t="inlineStr">
        <is>
          <t>https://www.yelp.co.uk/biz/rakkas-london</t>
        </is>
      </c>
      <c r="E901" s="10" t="inlineStr">
        <is>
          <t>Directory</t>
        </is>
      </c>
      <c r="F901" s="10" t="inlineStr">
        <is>
          <t>2026-09-17</t>
        </is>
      </c>
      <c r="G901" s="10" t="inlineStr">
        <is>
          <t>name, address, postcode</t>
        </is>
      </c>
      <c r="H901" s="10" t="inlineStr">
        <is>
          <t>Requires Verification</t>
        </is>
      </c>
    </row>
    <row r="902">
      <c r="A902" s="5" t="inlineStr">
        <is>
          <t>UK-000268</t>
        </is>
      </c>
      <c r="B902" s="5" t="inlineStr">
        <is>
          <t>Rawal Lounge Sheffield</t>
        </is>
      </c>
      <c r="C902" s="5" t="inlineStr">
        <is>
          <t>Sheffield</t>
        </is>
      </c>
      <c r="D902" s="5" t="inlineStr">
        <is>
          <t>https://www.instagram.com/rawallounge_sheffield/</t>
        </is>
      </c>
      <c r="E902" s="5" t="inlineStr">
        <is>
          <t>Instagram</t>
        </is>
      </c>
      <c r="F902" s="5" t="inlineStr">
        <is>
          <t>2026-09-16</t>
        </is>
      </c>
      <c r="G902" s="5" t="inlineStr">
        <is>
          <t>name, address, postcode, email</t>
        </is>
      </c>
      <c r="H902" s="5" t="inlineStr">
        <is>
          <t>Requires Verification</t>
        </is>
      </c>
    </row>
    <row r="903">
      <c r="A903" s="10" t="inlineStr">
        <is>
          <t>UK-000503</t>
        </is>
      </c>
      <c r="B903" s="10" t="inlineStr">
        <is>
          <t>Red Hot Vaping</t>
        </is>
      </c>
      <c r="C903" s="10" t="inlineStr">
        <is>
          <t>Wednesbury</t>
        </is>
      </c>
      <c r="D903" s="10" t="inlineStr">
        <is>
          <t>https://vapeshops.puffingbird.com/england/wednesbury</t>
        </is>
      </c>
      <c r="E903" s="10" t="inlineStr">
        <is>
          <t>Directory</t>
        </is>
      </c>
      <c r="F903" s="10" t="inlineStr">
        <is>
          <t>2026-09-17</t>
        </is>
      </c>
      <c r="G903" s="10" t="inlineStr">
        <is>
          <t>business name, Wednesbury location (directory snippet)</t>
        </is>
      </c>
      <c r="H903" s="10" t="inlineStr">
        <is>
          <t>Requires Verification</t>
        </is>
      </c>
    </row>
    <row r="904">
      <c r="A904" s="5" t="inlineStr">
        <is>
          <t>UK-000648</t>
        </is>
      </c>
      <c r="B904" s="5" t="inlineStr">
        <is>
          <t>Red Lion Wine</t>
        </is>
      </c>
      <c r="C904" s="5" t="inlineStr">
        <is>
          <t>London</t>
        </is>
      </c>
      <c r="D904" s="5" t="inlineStr">
        <is>
          <t>https://www.yell.com/s/off+licences+and+wine+merchants-lewisham-south+east+london.html</t>
        </is>
      </c>
      <c r="E904" s="5" t="inlineStr">
        <is>
          <t>Yell</t>
        </is>
      </c>
      <c r="F904" s="5" t="inlineStr">
        <is>
          <t>2026-09-17</t>
        </is>
      </c>
      <c r="G904" s="5" t="inlineStr">
        <is>
          <t>business name, address, phone</t>
        </is>
      </c>
      <c r="H904" s="5" t="inlineStr">
        <is>
          <t>Requires Verification</t>
        </is>
      </c>
    </row>
    <row r="905">
      <c r="A905" s="10" t="inlineStr">
        <is>
          <t>UK-000504</t>
        </is>
      </c>
      <c r="B905" s="10" t="inlineStr">
        <is>
          <t>Regimental Vape</t>
        </is>
      </c>
      <c r="C905" s="10" t="inlineStr">
        <is>
          <t>Wolverhampton</t>
        </is>
      </c>
      <c r="D905" s="10" t="inlineStr">
        <is>
          <t>https://www.regimentalvape.co.uk/contact</t>
        </is>
      </c>
      <c r="E905" s="10" t="inlineStr">
        <is>
          <t>Official Website</t>
        </is>
      </c>
      <c r="F905" s="10" t="inlineStr">
        <is>
          <t>2026-09-17</t>
        </is>
      </c>
      <c r="G905" s="10" t="inlineStr">
        <is>
          <t>phone, area</t>
        </is>
      </c>
      <c r="H905" s="10" t="inlineStr">
        <is>
          <t>Verified (website + Companies House)</t>
        </is>
      </c>
    </row>
    <row r="906">
      <c r="A906" s="5" t="inlineStr">
        <is>
          <t>UK-000504</t>
        </is>
      </c>
      <c r="B906" s="5" t="inlineStr">
        <is>
          <t>Regimental Vape</t>
        </is>
      </c>
      <c r="C906" s="5" t="inlineStr">
        <is>
          <t>Wolverhampton</t>
        </is>
      </c>
      <c r="D906" s="5" t="inlineStr">
        <is>
          <t>https://www.yoys.co.uk/phone,44-1902903456,vaporizer-store,Wednesfield,PL5968461.html</t>
        </is>
      </c>
      <c r="E906" s="5" t="inlineStr">
        <is>
          <t>Directory</t>
        </is>
      </c>
      <c r="F906" s="5" t="inlineStr">
        <is>
          <t>2026-09-17</t>
        </is>
      </c>
      <c r="G906" s="5" t="inlineStr">
        <is>
          <t>address, postcode, phone</t>
        </is>
      </c>
      <c r="H906" s="5" t="inlineStr">
        <is>
          <t>Verified (website + Companies House)</t>
        </is>
      </c>
    </row>
    <row r="907">
      <c r="A907" s="10" t="inlineStr">
        <is>
          <t>UK-000504</t>
        </is>
      </c>
      <c r="B907" s="10" t="inlineStr">
        <is>
          <t>Regimental Vape</t>
        </is>
      </c>
      <c r="C907" s="10" t="inlineStr">
        <is>
          <t>Wolverhampton</t>
        </is>
      </c>
      <c r="D907" s="10" t="inlineStr">
        <is>
          <t>https://find-and-update.company-information.service.gov.uk/company/12283647</t>
        </is>
      </c>
      <c r="E907" s="10" t="inlineStr">
        <is>
          <t>Companies House</t>
        </is>
      </c>
      <c r="F907" s="10" t="inlineStr">
        <is>
          <t>2026-09-17</t>
        </is>
      </c>
      <c r="G907" s="10" t="inlineStr">
        <is>
          <t>company number</t>
        </is>
      </c>
      <c r="H907" s="10" t="inlineStr">
        <is>
          <t>Verified (website + Companies House)</t>
        </is>
      </c>
    </row>
    <row r="908">
      <c r="A908" s="5" t="inlineStr">
        <is>
          <t>UK-000269</t>
        </is>
      </c>
      <c r="B908" s="5" t="inlineStr">
        <is>
          <t>Retreat Sheesha Lounge</t>
        </is>
      </c>
      <c r="C908" s="5" t="inlineStr">
        <is>
          <t>Kingston upon Hull</t>
        </is>
      </c>
      <c r="D908" s="5" t="inlineStr">
        <is>
          <t>https://www.tripadvisor.co.uk/Restaurant_Review-g186317-d4522051-Reviews-Retreat_Sheesha_Lounge-Kingston_upon_Hull_East_Riding_of_Yorkshire_England.html</t>
        </is>
      </c>
      <c r="E908" s="5" t="inlineStr">
        <is>
          <t>Directory</t>
        </is>
      </c>
      <c r="F908" s="5" t="inlineStr">
        <is>
          <t>2026-09-16</t>
        </is>
      </c>
      <c r="G908" s="5" t="inlineStr">
        <is>
          <t>name, Hull location (via search results)</t>
        </is>
      </c>
      <c r="H908" s="5" t="inlineStr">
        <is>
          <t>Requires Verification</t>
        </is>
      </c>
    </row>
    <row r="909">
      <c r="A909" s="10" t="inlineStr">
        <is>
          <t>WY-0138</t>
        </is>
      </c>
      <c r="B909" s="10" t="inlineStr">
        <is>
          <t>Revo Vapes</t>
        </is>
      </c>
      <c r="C909" s="10" t="inlineStr">
        <is>
          <t>Morley</t>
        </is>
      </c>
      <c r="D909" s="10" t="inlineStr">
        <is>
          <t>https://revo-vapes.wheree.com/</t>
        </is>
      </c>
      <c r="E909" s="10" t="inlineStr">
        <is>
          <t>Directory</t>
        </is>
      </c>
      <c r="F909" s="10" t="inlineStr">
        <is>
          <t>2026-09-16</t>
        </is>
      </c>
      <c r="G909" s="10" t="inlineStr">
        <is>
          <t>name, full address (via search results)</t>
        </is>
      </c>
      <c r="H909" s="10" t="inlineStr">
        <is>
          <t>Requires Verification</t>
        </is>
      </c>
    </row>
    <row r="910">
      <c r="A910" s="5" t="inlineStr">
        <is>
          <t>UK-000270</t>
        </is>
      </c>
      <c r="B910" s="5" t="inlineStr">
        <is>
          <t>Revolution Vape</t>
        </is>
      </c>
      <c r="C910" s="5" t="inlineStr">
        <is>
          <t>Rotherham</t>
        </is>
      </c>
      <c r="D910" s="5" t="inlineStr">
        <is>
          <t>https://wath-upon-dearne.cylex-uk.co.uk/company/revolution-vape-19882113.html</t>
        </is>
      </c>
      <c r="E910" s="5" t="inlineStr">
        <is>
          <t>Directory</t>
        </is>
      </c>
      <c r="F910" s="5" t="inlineStr">
        <is>
          <t>2026-09-16</t>
        </is>
      </c>
      <c r="G910" s="5" t="inlineStr">
        <is>
          <t>name, address, postcode</t>
        </is>
      </c>
      <c r="H910" s="5" t="inlineStr">
        <is>
          <t>Requires Verification</t>
        </is>
      </c>
    </row>
    <row r="911">
      <c r="A911" s="10" t="inlineStr">
        <is>
          <t>UK-000505</t>
        </is>
      </c>
      <c r="B911" s="10" t="inlineStr">
        <is>
          <t>Rhythm 'N' Vape Sedgley</t>
        </is>
      </c>
      <c r="C911" s="10" t="inlineStr">
        <is>
          <t>Dudley</t>
        </is>
      </c>
      <c r="D911" s="10" t="inlineStr">
        <is>
          <t>https://www.yelp.com/search?cflt=vapeshops&amp;find_loc=Dudley%2C+West+Midlands</t>
        </is>
      </c>
      <c r="E911" s="10" t="inlineStr">
        <is>
          <t>Directory</t>
        </is>
      </c>
      <c r="F911" s="10" t="inlineStr">
        <is>
          <t>2026-09-17</t>
        </is>
      </c>
      <c r="G911" s="10" t="inlineStr">
        <is>
          <t>business name, address (search snippet)</t>
        </is>
      </c>
      <c r="H911" s="10" t="inlineStr">
        <is>
          <t>Requires Verification</t>
        </is>
      </c>
    </row>
    <row r="912">
      <c r="A912" s="5" t="inlineStr">
        <is>
          <t>UK-000271</t>
        </is>
      </c>
      <c r="B912" s="5" t="inlineStr">
        <is>
          <t>RicherVapes</t>
        </is>
      </c>
      <c r="C912" s="5" t="inlineStr">
        <is>
          <t>York</t>
        </is>
      </c>
      <c r="D912" s="5" t="inlineStr">
        <is>
          <t>https://richervapes.com/pages/come-and-visit-us</t>
        </is>
      </c>
      <c r="E912" s="5" t="inlineStr">
        <is>
          <t>Official Website</t>
        </is>
      </c>
      <c r="F912" s="5" t="inlineStr">
        <is>
          <t>2026-09-16</t>
        </is>
      </c>
      <c r="G912" s="5" t="inlineStr">
        <is>
          <t>address, postcode, phone, email (search snippet)</t>
        </is>
      </c>
      <c r="H912" s="5" t="inlineStr">
        <is>
          <t>Requires Verification</t>
        </is>
      </c>
    </row>
    <row r="913">
      <c r="A913" s="10" t="inlineStr">
        <is>
          <t>UK-000271</t>
        </is>
      </c>
      <c r="B913" s="10" t="inlineStr">
        <is>
          <t>RicherVapes</t>
        </is>
      </c>
      <c r="C913" s="10" t="inlineStr">
        <is>
          <t>York</t>
        </is>
      </c>
      <c r="D913" s="10" t="inlineStr">
        <is>
          <t>https://www.yell.com/biz/richer-vapes-york-8974674/</t>
        </is>
      </c>
      <c r="E913" s="10" t="inlineStr">
        <is>
          <t>Yell</t>
        </is>
      </c>
      <c r="F913" s="10" t="inlineStr">
        <is>
          <t>2026-09-16</t>
        </is>
      </c>
      <c r="G913" s="10" t="inlineStr">
        <is>
          <t>listing confirmation</t>
        </is>
      </c>
      <c r="H913" s="10" t="inlineStr">
        <is>
          <t>Requires Verification</t>
        </is>
      </c>
    </row>
    <row r="914">
      <c r="A914" s="5" t="inlineStr">
        <is>
          <t>UK-000271</t>
        </is>
      </c>
      <c r="B914" s="5" t="inlineStr">
        <is>
          <t>RicherVapes</t>
        </is>
      </c>
      <c r="C914" s="5" t="inlineStr">
        <is>
          <t>York</t>
        </is>
      </c>
      <c r="D914" s="5" t="inlineStr">
        <is>
          <t>https://ecigdirectory.co.uk/vape-shop/listing/richervapes-york</t>
        </is>
      </c>
      <c r="E914" s="5" t="inlineStr">
        <is>
          <t>Directory</t>
        </is>
      </c>
      <c r="F914" s="5" t="inlineStr">
        <is>
          <t>2026-09-16</t>
        </is>
      </c>
      <c r="G914" s="5" t="inlineStr">
        <is>
          <t>independent vape shop, York</t>
        </is>
      </c>
      <c r="H914" s="5" t="inlineStr">
        <is>
          <t>Requires Verification</t>
        </is>
      </c>
    </row>
    <row r="915">
      <c r="A915" s="10" t="inlineStr">
        <is>
          <t>UK-000272</t>
        </is>
      </c>
      <c r="B915" s="10" t="inlineStr">
        <is>
          <t>Ripon News</t>
        </is>
      </c>
      <c r="C915" s="10" t="inlineStr">
        <is>
          <t>Ripon</t>
        </is>
      </c>
      <c r="D915" s="10" t="inlineStr">
        <is>
          <t>https://www.scoot.co.uk/England/North-Yorkshire/Ripon/Ripon-News-CFRK298.html</t>
        </is>
      </c>
      <c r="E915" s="10" t="inlineStr">
        <is>
          <t>Directory</t>
        </is>
      </c>
      <c r="F915" s="10" t="inlineStr">
        <is>
          <t>2026-09-16</t>
        </is>
      </c>
      <c r="G915" s="10" t="inlineStr">
        <is>
          <t>address, postcode, phone</t>
        </is>
      </c>
      <c r="H915" s="10" t="inlineStr">
        <is>
          <t>Requires Verification</t>
        </is>
      </c>
    </row>
    <row r="916">
      <c r="A916" s="5" t="inlineStr">
        <is>
          <t>UK-000811</t>
        </is>
      </c>
      <c r="B916" s="5" t="inlineStr">
        <is>
          <t>Roots, Fruits &amp; Flowers</t>
        </is>
      </c>
      <c r="C916" s="5" t="inlineStr">
        <is>
          <t>Glasgow</t>
        </is>
      </c>
      <c r="D916" s="5" t="inlineStr">
        <is>
          <t>https://www.rootsfruitsandflowers.com/pages/contact-opening-hours</t>
        </is>
      </c>
      <c r="E916" s="5" t="inlineStr">
        <is>
          <t>Official Website</t>
        </is>
      </c>
      <c r="F916" s="5" t="inlineStr">
        <is>
          <t>2026-09-17</t>
        </is>
      </c>
      <c r="G916" s="5" t="inlineStr">
        <is>
          <t>address, postcode, phone</t>
        </is>
      </c>
      <c r="H916" s="5" t="inlineStr">
        <is>
          <t>Requires Verification</t>
        </is>
      </c>
    </row>
    <row r="917">
      <c r="A917" s="10" t="inlineStr">
        <is>
          <t>UK-000811</t>
        </is>
      </c>
      <c r="B917" s="10" t="inlineStr">
        <is>
          <t>Roots, Fruits &amp; Flowers</t>
        </is>
      </c>
      <c r="C917" s="10" t="inlineStr">
        <is>
          <t>Glasgow</t>
        </is>
      </c>
      <c r="D917" s="10" t="inlineStr">
        <is>
          <t>https://find-and-update.company-information.service.gov.uk/company/SC380017/officers</t>
        </is>
      </c>
      <c r="E917" s="10" t="inlineStr">
        <is>
          <t>Companies House</t>
        </is>
      </c>
      <c r="F917" s="10" t="inlineStr">
        <is>
          <t>2026-09-17</t>
        </is>
      </c>
      <c r="G917" s="10" t="inlineStr">
        <is>
          <t>registered company name, number</t>
        </is>
      </c>
      <c r="H917" s="10" t="inlineStr">
        <is>
          <t>Requires Verification</t>
        </is>
      </c>
    </row>
    <row r="918">
      <c r="A918" s="5" t="inlineStr">
        <is>
          <t>UK-000506</t>
        </is>
      </c>
      <c r="B918" s="5" t="inlineStr">
        <is>
          <t>Rowley News</t>
        </is>
      </c>
      <c r="C918" s="5" t="inlineStr">
        <is>
          <t>Rowley Regis</t>
        </is>
      </c>
      <c r="D918" s="5" t="inlineStr">
        <is>
          <t>https://rowley-regis.cylex-uk.co.uk/company/rowley-news-13010899.html</t>
        </is>
      </c>
      <c r="E918" s="5" t="inlineStr">
        <is>
          <t>Directory</t>
        </is>
      </c>
      <c r="F918" s="5" t="inlineStr">
        <is>
          <t>2026-09-17</t>
        </is>
      </c>
      <c r="G918" s="5" t="inlineStr">
        <is>
          <t>business name, Rowley Regis location (directory snippet)</t>
        </is>
      </c>
      <c r="H918" s="5" t="inlineStr">
        <is>
          <t>Requires Verification</t>
        </is>
      </c>
    </row>
    <row r="919">
      <c r="A919" s="10" t="inlineStr">
        <is>
          <t>UK-000507</t>
        </is>
      </c>
      <c r="B919" s="10" t="inlineStr">
        <is>
          <t>Royal Liquors</t>
        </is>
      </c>
      <c r="C919" s="10" t="inlineStr">
        <is>
          <t>Oldbury</t>
        </is>
      </c>
      <c r="D919" s="10" t="inlineStr">
        <is>
          <t>https://www.yell.com/s/off+licences+and+wine+merchants-oldbury-west+midlands.html</t>
        </is>
      </c>
      <c r="E919" s="10" t="inlineStr">
        <is>
          <t>Yell</t>
        </is>
      </c>
      <c r="F919" s="10" t="inlineStr">
        <is>
          <t>2026-09-17</t>
        </is>
      </c>
      <c r="G919" s="10" t="inlineStr">
        <is>
          <t>business name, address, phone (listing snippet)</t>
        </is>
      </c>
      <c r="H919" s="10" t="inlineStr">
        <is>
          <t>Requires Verification</t>
        </is>
      </c>
    </row>
    <row r="920">
      <c r="A920" s="5" t="inlineStr">
        <is>
          <t>UK-000649</t>
        </is>
      </c>
      <c r="B920" s="5" t="inlineStr">
        <is>
          <t>Rushey Green Food &amp; Wine</t>
        </is>
      </c>
      <c r="C920" s="5" t="inlineStr">
        <is>
          <t>London</t>
        </is>
      </c>
      <c r="D920" s="5" t="inlineStr">
        <is>
          <t>https://www.yell.com/s/off+licences+and+wine+merchants-lewisham-south+east+london.html</t>
        </is>
      </c>
      <c r="E920" s="5" t="inlineStr">
        <is>
          <t>Yell</t>
        </is>
      </c>
      <c r="F920" s="5" t="inlineStr">
        <is>
          <t>2026-09-17</t>
        </is>
      </c>
      <c r="G920" s="5" t="inlineStr">
        <is>
          <t>business name, address, phone</t>
        </is>
      </c>
      <c r="H920" s="5" t="inlineStr">
        <is>
          <t>Requires Verification</t>
        </is>
      </c>
    </row>
    <row r="921">
      <c r="A921" s="10" t="inlineStr">
        <is>
          <t>WY-0139</t>
        </is>
      </c>
      <c r="B921" s="10" t="inlineStr">
        <is>
          <t>Ryans The Tobacconist</t>
        </is>
      </c>
      <c r="C921" s="10" t="inlineStr">
        <is>
          <t>Leeds</t>
        </is>
      </c>
      <c r="D921" s="10" t="inlineStr">
        <is>
          <t>https://www.ryanstobacconist.co.uk/contact-us</t>
        </is>
      </c>
      <c r="E921" s="10" t="inlineStr">
        <is>
          <t>Official Website</t>
        </is>
      </c>
      <c r="F921" s="10" t="inlineStr">
        <is>
          <t>2026-09-16</t>
        </is>
      </c>
      <c r="G921" s="10" t="inlineStr">
        <is>
          <t>address, phone, email (via search results; direct fetch blocked by proxy)</t>
        </is>
      </c>
      <c r="H921" s="10" t="inlineStr">
        <is>
          <t>Requires Verification</t>
        </is>
      </c>
    </row>
    <row r="922">
      <c r="A922" s="5" t="inlineStr">
        <is>
          <t>WY-0139</t>
        </is>
      </c>
      <c r="B922" s="5" t="inlineStr">
        <is>
          <t>Ryans The Tobacconist</t>
        </is>
      </c>
      <c r="C922" s="5" t="inlineStr">
        <is>
          <t>Leeds</t>
        </is>
      </c>
      <c r="D922" s="5" t="inlineStr">
        <is>
          <t>https://wegetyoufound.co.uk/listings/ryans/leeds/tobacco-shop</t>
        </is>
      </c>
      <c r="E922" s="5" t="inlineStr">
        <is>
          <t>Directory</t>
        </is>
      </c>
      <c r="F922" s="5" t="inlineStr">
        <is>
          <t>2026-09-16</t>
        </is>
      </c>
      <c r="G922" s="5" t="inlineStr">
        <is>
          <t>address, phone cross-check (via search results)</t>
        </is>
      </c>
      <c r="H922" s="5" t="inlineStr">
        <is>
          <t>Requires Verification</t>
        </is>
      </c>
    </row>
    <row r="923">
      <c r="A923" s="10" t="inlineStr">
        <is>
          <t>UK-000273</t>
        </is>
      </c>
      <c r="B923" s="10" t="inlineStr">
        <is>
          <t>Ryedale Vapour</t>
        </is>
      </c>
      <c r="C923" s="10" t="inlineStr">
        <is>
          <t>Malton</t>
        </is>
      </c>
      <c r="D923" s="10" t="inlineStr">
        <is>
          <t>https://www.yelp.com/search?cflt=vapeshops&amp;find_loc=Malton+YO17</t>
        </is>
      </c>
      <c r="E923" s="10" t="inlineStr">
        <is>
          <t>Directory</t>
        </is>
      </c>
      <c r="F923" s="10" t="inlineStr">
        <is>
          <t>2026-09-16</t>
        </is>
      </c>
      <c r="G923" s="10" t="inlineStr">
        <is>
          <t>address, postcode, phone</t>
        </is>
      </c>
      <c r="H923" s="10" t="inlineStr">
        <is>
          <t>Requires Verification</t>
        </is>
      </c>
    </row>
    <row r="924">
      <c r="A924" s="5" t="inlineStr">
        <is>
          <t>UK-000274</t>
        </is>
      </c>
      <c r="B924" s="5" t="inlineStr">
        <is>
          <t>S.J. Convenience Store</t>
        </is>
      </c>
      <c r="C924" s="5" t="inlineStr">
        <is>
          <t>Kingston upon Hull</t>
        </is>
      </c>
      <c r="D924" s="5" t="inlineStr">
        <is>
          <t>https://www.yorkshire.com/hull/shopping/corner-shops/sj-convenience-store</t>
        </is>
      </c>
      <c r="E924" s="5" t="inlineStr">
        <is>
          <t>Directory</t>
        </is>
      </c>
      <c r="F924" s="5" t="inlineStr">
        <is>
          <t>2026-09-16</t>
        </is>
      </c>
      <c r="G924" s="5" t="inlineStr">
        <is>
          <t>name, Hull location (via search results)</t>
        </is>
      </c>
      <c r="H924" s="5" t="inlineStr">
        <is>
          <t>Requires Verification</t>
        </is>
      </c>
    </row>
    <row r="925">
      <c r="A925" s="10" t="inlineStr">
        <is>
          <t>UK-000650</t>
        </is>
      </c>
      <c r="B925" s="10" t="inlineStr">
        <is>
          <t>S.S. Supermarket</t>
        </is>
      </c>
      <c r="C925" s="10" t="inlineStr">
        <is>
          <t>Ilford</t>
        </is>
      </c>
      <c r="D925" s="10" t="inlineStr">
        <is>
          <t>https://ilford.cylex-uk.co.uk/company/s-s-supermarket-13379555.html</t>
        </is>
      </c>
      <c r="E925" s="10" t="inlineStr">
        <is>
          <t>Directory</t>
        </is>
      </c>
      <c r="F925" s="10" t="inlineStr">
        <is>
          <t>2026-09-17</t>
        </is>
      </c>
      <c r="G925" s="10" t="inlineStr">
        <is>
          <t>name, address, postcode</t>
        </is>
      </c>
      <c r="H925" s="10" t="inlineStr">
        <is>
          <t>Requires Verification</t>
        </is>
      </c>
    </row>
    <row r="926">
      <c r="A926" s="5" t="inlineStr">
        <is>
          <t>UK-000651</t>
        </is>
      </c>
      <c r="B926" s="5" t="inlineStr">
        <is>
          <t>SD Off License</t>
        </is>
      </c>
      <c r="C926" s="5" t="inlineStr">
        <is>
          <t>London</t>
        </is>
      </c>
      <c r="D926" s="5" t="inlineStr">
        <is>
          <t>https://www.yell.com/s/off+licences-tooting-south+west+london.html</t>
        </is>
      </c>
      <c r="E926" s="5" t="inlineStr">
        <is>
          <t>Yell</t>
        </is>
      </c>
      <c r="F926" s="5" t="inlineStr">
        <is>
          <t>2026-09-17</t>
        </is>
      </c>
      <c r="G926" s="5" t="inlineStr">
        <is>
          <t>business name, address, phone</t>
        </is>
      </c>
      <c r="H926" s="5" t="inlineStr">
        <is>
          <t>Requires Verification</t>
        </is>
      </c>
    </row>
    <row r="927">
      <c r="A927" s="10" t="inlineStr">
        <is>
          <t>WY-0140</t>
        </is>
      </c>
      <c r="B927" s="10" t="inlineStr">
        <is>
          <t>SMKD</t>
        </is>
      </c>
      <c r="C927" s="10" t="inlineStr">
        <is>
          <t>Bradford</t>
        </is>
      </c>
      <c r="D927" s="10" t="inlineStr">
        <is>
          <t>https://smkd.com/vape-shop-locator/</t>
        </is>
      </c>
      <c r="E927" s="10" t="inlineStr">
        <is>
          <t>Official Website</t>
        </is>
      </c>
      <c r="F927" s="10" t="inlineStr">
        <is>
          <t>2026-09-16</t>
        </is>
      </c>
      <c r="G927" s="10" t="inlineStr">
        <is>
          <t>chain closure notice, delivery service, former store list (via search extraction)</t>
        </is>
      </c>
      <c r="H927" s="10" t="inlineStr">
        <is>
          <t>Partially Verified</t>
        </is>
      </c>
    </row>
    <row r="928">
      <c r="A928" s="5" t="inlineStr">
        <is>
          <t>WY-0140</t>
        </is>
      </c>
      <c r="B928" s="5" t="inlineStr">
        <is>
          <t>SMKD</t>
        </is>
      </c>
      <c r="C928" s="5" t="inlineStr">
        <is>
          <t>Bradford</t>
        </is>
      </c>
      <c r="D928" s="5" t="inlineStr">
        <is>
          <t>https://directory.examiner.co.uk/company/cfb3229ef740d2d8ba8f8c8580c80041</t>
        </is>
      </c>
      <c r="E928" s="5" t="inlineStr">
        <is>
          <t>Directory</t>
        </is>
      </c>
      <c r="F928" s="5" t="inlineStr">
        <is>
          <t>2026-09-16</t>
        </is>
      </c>
      <c r="G928" s="5" t="inlineStr">
        <is>
          <t>SMKD Vape Limited trading address Unit 7 Bradford Chamber Business Park BD4 8BX</t>
        </is>
      </c>
      <c r="H928" s="5" t="inlineStr">
        <is>
          <t>Partially Verified</t>
        </is>
      </c>
    </row>
    <row r="929">
      <c r="A929" s="10" t="inlineStr">
        <is>
          <t>WY-0140</t>
        </is>
      </c>
      <c r="B929" s="10" t="inlineStr">
        <is>
          <t>SMKD</t>
        </is>
      </c>
      <c r="C929" s="10" t="inlineStr">
        <is>
          <t>Bradford</t>
        </is>
      </c>
      <c r="D929" s="10" t="inlineStr">
        <is>
          <t>https://smkd.com/vape-shop-locator/huddersfield-vape-shop-high-street/</t>
        </is>
      </c>
      <c r="E929" s="10" t="inlineStr">
        <is>
          <t>Official Website</t>
        </is>
      </c>
      <c r="F929" s="10" t="inlineStr">
        <is>
          <t>2026-09-16</t>
        </is>
      </c>
      <c r="G929" s="10" t="inlineStr">
        <is>
          <t>phone 01274 270303, email info@smkd.com, closure status (via search extraction)</t>
        </is>
      </c>
      <c r="H929" s="10" t="inlineStr">
        <is>
          <t>Partially Verified</t>
        </is>
      </c>
    </row>
    <row r="930">
      <c r="A930" s="5" t="inlineStr">
        <is>
          <t>WY-0140</t>
        </is>
      </c>
      <c r="B930" s="5" t="inlineStr">
        <is>
          <t>SMKD</t>
        </is>
      </c>
      <c r="C930" s="5" t="inlineStr">
        <is>
          <t>Bradford</t>
        </is>
      </c>
      <c r="D930" s="5" t="inlineStr">
        <is>
          <t>https://www.facebook.com/SmkdVapeShop/</t>
        </is>
      </c>
      <c r="E930" s="5" t="inlineStr">
        <is>
          <t>Facebook</t>
        </is>
      </c>
      <c r="F930" s="5" t="inlineStr">
        <is>
          <t>2026-09-16</t>
        </is>
      </c>
      <c r="G930" s="5" t="inlineStr">
        <is>
          <t>social (facebook)</t>
        </is>
      </c>
      <c r="H930" s="5" t="inlineStr">
        <is>
          <t>Partially Verified</t>
        </is>
      </c>
    </row>
    <row r="931">
      <c r="A931" s="10" t="inlineStr">
        <is>
          <t>WY-0141</t>
        </is>
      </c>
      <c r="B931" s="10" t="inlineStr">
        <is>
          <t>SPAR Huddersfield Road</t>
        </is>
      </c>
      <c r="C931" s="10" t="inlineStr">
        <is>
          <t>Elland</t>
        </is>
      </c>
      <c r="D931" s="10" t="inlineStr">
        <is>
          <t>https://www.spar.co.uk/store-locator/hal32443-spar-huddersfield-road</t>
        </is>
      </c>
      <c r="E931" s="10" t="inlineStr">
        <is>
          <t>Official Website</t>
        </is>
      </c>
      <c r="F931" s="10" t="inlineStr">
        <is>
          <t>2026-09-16</t>
        </is>
      </c>
      <c r="G931" s="10" t="inlineStr">
        <is>
          <t>store existence, street, town (via search snippet)</t>
        </is>
      </c>
      <c r="H931" s="10" t="inlineStr">
        <is>
          <t>Requires Verification</t>
        </is>
      </c>
    </row>
    <row r="932">
      <c r="A932" s="5" t="inlineStr">
        <is>
          <t>WY-0141</t>
        </is>
      </c>
      <c r="B932" s="5" t="inlineStr">
        <is>
          <t>SPAR Huddersfield Road</t>
        </is>
      </c>
      <c r="C932" s="5" t="inlineStr">
        <is>
          <t>Elland</t>
        </is>
      </c>
      <c r="D932" s="5" t="inlineStr">
        <is>
          <t>https://www.openingtimesin.uk/spar-elland</t>
        </is>
      </c>
      <c r="E932" s="5" t="inlineStr">
        <is>
          <t>Directory</t>
        </is>
      </c>
      <c r="F932" s="5" t="inlineStr">
        <is>
          <t>2026-09-16</t>
        </is>
      </c>
      <c r="G932" s="5" t="inlineStr">
        <is>
          <t>listing confirmation</t>
        </is>
      </c>
      <c r="H932" s="5" t="inlineStr">
        <is>
          <t>Requires Verification</t>
        </is>
      </c>
    </row>
    <row r="933">
      <c r="A933" s="10" t="inlineStr">
        <is>
          <t>WY-0141</t>
        </is>
      </c>
      <c r="B933" s="10" t="inlineStr">
        <is>
          <t>SPAR Huddersfield Road</t>
        </is>
      </c>
      <c r="C933" s="10" t="inlineStr">
        <is>
          <t>Elland</t>
        </is>
      </c>
      <c r="D933" s="10" t="inlineStr">
        <is>
          <t>https://www.mylocalservices.co.uk/SPAR+Huddersfield+Road-Elland-3135599.html</t>
        </is>
      </c>
      <c r="E933" s="10" t="inlineStr">
        <is>
          <t>Directory</t>
        </is>
      </c>
      <c r="F933" s="10" t="inlineStr">
        <is>
          <t>2026-09-16</t>
        </is>
      </c>
      <c r="G933" s="10" t="inlineStr">
        <is>
          <t>phone</t>
        </is>
      </c>
      <c r="H933" s="10" t="inlineStr">
        <is>
          <t>Requires Verification</t>
        </is>
      </c>
    </row>
    <row r="934">
      <c r="A934" s="5" t="inlineStr">
        <is>
          <t>WY-0142</t>
        </is>
      </c>
      <c r="B934" s="5" t="inlineStr">
        <is>
          <t>SPAR Outwood</t>
        </is>
      </c>
      <c r="C934" s="5" t="inlineStr">
        <is>
          <t>Wakefield</t>
        </is>
      </c>
      <c r="D934" s="5" t="inlineStr">
        <is>
          <t>https://www.spar.co.uk/store-locator/afb49926-spar-outwood</t>
        </is>
      </c>
      <c r="E934" s="5" t="inlineStr">
        <is>
          <t>Official Website</t>
        </is>
      </c>
      <c r="F934" s="5" t="inlineStr">
        <is>
          <t>2026-09-16</t>
        </is>
      </c>
      <c r="G934" s="5" t="inlineStr">
        <is>
          <t>store existence (seen in search results; fetch blocked)</t>
        </is>
      </c>
      <c r="H934" s="5" t="inlineStr">
        <is>
          <t>Requires Verification</t>
        </is>
      </c>
    </row>
    <row r="935">
      <c r="A935" s="10" t="inlineStr">
        <is>
          <t>WY-0142</t>
        </is>
      </c>
      <c r="B935" s="10" t="inlineStr">
        <is>
          <t>SPAR Outwood</t>
        </is>
      </c>
      <c r="C935" s="10" t="inlineStr">
        <is>
          <t>Wakefield</t>
        </is>
      </c>
      <c r="D935" s="10" t="inlineStr">
        <is>
          <t>https://www.192.com/atoz/business/wakefield-wf1/convenience-stores/spar-outwood/9bb09a8d82ab0999cf3197b0d056b3add8363126/ugc/</t>
        </is>
      </c>
      <c r="E935" s="10" t="inlineStr">
        <is>
          <t>Directory</t>
        </is>
      </c>
      <c r="F935" s="10" t="inlineStr">
        <is>
          <t>2026-09-16</t>
        </is>
      </c>
      <c r="G935" s="10" t="inlineStr">
        <is>
          <t>postcode WF1 2LE</t>
        </is>
      </c>
      <c r="H935" s="10" t="inlineStr">
        <is>
          <t>Requires Verification</t>
        </is>
      </c>
    </row>
    <row r="936">
      <c r="A936" s="5" t="inlineStr">
        <is>
          <t>WY-0142</t>
        </is>
      </c>
      <c r="B936" s="5" t="inlineStr">
        <is>
          <t>SPAR Outwood</t>
        </is>
      </c>
      <c r="C936" s="5" t="inlineStr">
        <is>
          <t>Wakefield</t>
        </is>
      </c>
      <c r="D936" s="5" t="inlineStr">
        <is>
          <t>https://wanderboat.ai/local-businesses/united-kingdom/wakefield/spar-outwood/qcZcqHRZSsicOkt2edjr5Q</t>
        </is>
      </c>
      <c r="E936" s="5" t="inlineStr">
        <is>
          <t>Other</t>
        </is>
      </c>
      <c r="F936" s="5" t="inlineStr">
        <is>
          <t>2026-09-16</t>
        </is>
      </c>
      <c r="G936" s="5" t="inlineStr">
        <is>
          <t>address Potovens Ln, Outwood, WF1 2LE</t>
        </is>
      </c>
      <c r="H936" s="5" t="inlineStr">
        <is>
          <t>Requires Verification</t>
        </is>
      </c>
    </row>
    <row r="937">
      <c r="A937" s="10" t="inlineStr">
        <is>
          <t>UK-000508</t>
        </is>
      </c>
      <c r="B937" s="10" t="inlineStr">
        <is>
          <t>SR Catering Ltd</t>
        </is>
      </c>
      <c r="C937" s="10" t="inlineStr">
        <is>
          <t>Wolverhampton</t>
        </is>
      </c>
      <c r="D937" s="10" t="inlineStr">
        <is>
          <t>https://www.yell.com/biz/s-r-catering-ltd-wolverhampton-8307855/</t>
        </is>
      </c>
      <c r="E937" s="10" t="inlineStr">
        <is>
          <t>Yell</t>
        </is>
      </c>
      <c r="F937" s="10" t="inlineStr">
        <is>
          <t>2026-09-17</t>
        </is>
      </c>
      <c r="G937" s="10" t="inlineStr">
        <is>
          <t>address, postcode, phone</t>
        </is>
      </c>
      <c r="H937" s="10" t="inlineStr">
        <is>
          <t>Verified (website + Companies House)</t>
        </is>
      </c>
    </row>
    <row r="938">
      <c r="A938" s="5" t="inlineStr">
        <is>
          <t>UK-000508</t>
        </is>
      </c>
      <c r="B938" s="5" t="inlineStr">
        <is>
          <t>SR Catering Ltd</t>
        </is>
      </c>
      <c r="C938" s="5" t="inlineStr">
        <is>
          <t>Wolverhampton</t>
        </is>
      </c>
      <c r="D938" s="5" t="inlineStr">
        <is>
          <t>https://find-and-update.company-information.service.gov.uk/company/08536715</t>
        </is>
      </c>
      <c r="E938" s="5" t="inlineStr">
        <is>
          <t>Companies House</t>
        </is>
      </c>
      <c r="F938" s="5" t="inlineStr">
        <is>
          <t>2026-09-17</t>
        </is>
      </c>
      <c r="G938" s="5" t="inlineStr">
        <is>
          <t>company number</t>
        </is>
      </c>
      <c r="H938" s="5" t="inlineStr">
        <is>
          <t>Verified (website + Companies House)</t>
        </is>
      </c>
    </row>
    <row r="939">
      <c r="A939" s="10" t="inlineStr">
        <is>
          <t>UK-000652</t>
        </is>
      </c>
      <c r="B939" s="10" t="inlineStr">
        <is>
          <t>SW9 Vapes</t>
        </is>
      </c>
      <c r="C939" s="10" t="inlineStr">
        <is>
          <t>London</t>
        </is>
      </c>
      <c r="D939" s="10" t="inlineStr">
        <is>
          <t>https://www.yell.com/biz/sw9-vapes-london-9756375/</t>
        </is>
      </c>
      <c r="E939" s="10" t="inlineStr">
        <is>
          <t>Yell</t>
        </is>
      </c>
      <c r="F939" s="10" t="inlineStr">
        <is>
          <t>2026-09-17</t>
        </is>
      </c>
      <c r="G939" s="10" t="inlineStr">
        <is>
          <t>business name, address</t>
        </is>
      </c>
      <c r="H939" s="10" t="inlineStr">
        <is>
          <t>Requires Verification</t>
        </is>
      </c>
    </row>
    <row r="940">
      <c r="A940" s="5" t="inlineStr">
        <is>
          <t>UK-000275</t>
        </is>
      </c>
      <c r="B940" s="5" t="inlineStr">
        <is>
          <t>Sako Polish Shop Doncaster</t>
        </is>
      </c>
      <c r="C940" s="5" t="inlineStr">
        <is>
          <t>Doncaster</t>
        </is>
      </c>
      <c r="D940" s="5" t="inlineStr">
        <is>
          <t>https://bippermedia.com/uk/st/england/south-yorkshire/doncaster/grocery-store/sako-polish-shop-doncaster-doncaster/</t>
        </is>
      </c>
      <c r="E940" s="5" t="inlineStr">
        <is>
          <t>Directory</t>
        </is>
      </c>
      <c r="F940" s="5" t="inlineStr">
        <is>
          <t>2026-09-16</t>
        </is>
      </c>
      <c r="G940" s="5" t="inlineStr">
        <is>
          <t>name, address, description</t>
        </is>
      </c>
      <c r="H940" s="5" t="inlineStr">
        <is>
          <t>Requires Verification</t>
        </is>
      </c>
    </row>
    <row r="941">
      <c r="A941" s="10" t="inlineStr">
        <is>
          <t>UK-000653</t>
        </is>
      </c>
      <c r="B941" s="10" t="inlineStr">
        <is>
          <t>Salon Wine Store</t>
        </is>
      </c>
      <c r="C941" s="10" t="inlineStr">
        <is>
          <t>London</t>
        </is>
      </c>
      <c r="D941" s="10" t="inlineStr">
        <is>
          <t>https://www.yell.com/s/off+licences-sw9.html</t>
        </is>
      </c>
      <c r="E941" s="10" t="inlineStr">
        <is>
          <t>Yell</t>
        </is>
      </c>
      <c r="F941" s="10" t="inlineStr">
        <is>
          <t>2026-09-17</t>
        </is>
      </c>
      <c r="G941" s="10" t="inlineStr">
        <is>
          <t>business name, address</t>
        </is>
      </c>
      <c r="H941" s="10" t="inlineStr">
        <is>
          <t>Requires Verification</t>
        </is>
      </c>
    </row>
    <row r="942">
      <c r="A942" s="5" t="inlineStr">
        <is>
          <t>UK-000654</t>
        </is>
      </c>
      <c r="B942" s="5" t="inlineStr">
        <is>
          <t>Sameer Bazaar Cash &amp; Carry</t>
        </is>
      </c>
      <c r="C942" s="5" t="inlineStr">
        <is>
          <t>Upton Park</t>
        </is>
      </c>
      <c r="D942" s="5" t="inlineStr">
        <is>
          <t>https://london.cylex-uk.co.uk/upton-park/grocery%20stores.html</t>
        </is>
      </c>
      <c r="E942" s="5" t="inlineStr">
        <is>
          <t>Directory</t>
        </is>
      </c>
      <c r="F942" s="5" t="inlineStr">
        <is>
          <t>2026-09-17</t>
        </is>
      </c>
      <c r="G942" s="5" t="inlineStr">
        <is>
          <t>name, address, postcode</t>
        </is>
      </c>
      <c r="H942" s="5" t="inlineStr">
        <is>
          <t>Requires Verification</t>
        </is>
      </c>
    </row>
    <row r="943">
      <c r="A943" s="10" t="inlineStr">
        <is>
          <t>UK-000509</t>
        </is>
      </c>
      <c r="B943" s="10" t="inlineStr">
        <is>
          <t>Samis Wholesale Cash &amp; Carry</t>
        </is>
      </c>
      <c r="C943" s="10" t="inlineStr">
        <is>
          <t>Birmingham</t>
        </is>
      </c>
      <c r="D943" s="10" t="inlineStr">
        <is>
          <t>https://www.192.com/atoz/business/birmingham-b19/cash-and-carry-wholesalers/samis-wholesale-cash-carry/6080ff65ef1c18fecbf50d53bfba449b89d2db3f/ml/</t>
        </is>
      </c>
      <c r="E943" s="10" t="inlineStr">
        <is>
          <t>Directory</t>
        </is>
      </c>
      <c r="F943" s="10" t="inlineStr">
        <is>
          <t>2026-09-17</t>
        </is>
      </c>
      <c r="G943" s="10" t="inlineStr">
        <is>
          <t>address, postcode</t>
        </is>
      </c>
      <c r="H943" s="10" t="inlineStr">
        <is>
          <t>Requires Verification</t>
        </is>
      </c>
    </row>
    <row r="944">
      <c r="A944" s="5" t="inlineStr">
        <is>
          <t>UK-000510</t>
        </is>
      </c>
      <c r="B944" s="5" t="inlineStr">
        <is>
          <t>Sandhu Grocers</t>
        </is>
      </c>
      <c r="C944" s="5" t="inlineStr">
        <is>
          <t>Oldbury</t>
        </is>
      </c>
      <c r="D944" s="5" t="inlineStr">
        <is>
          <t>https://www.yell.com/s/off+licences+and+wine+merchants-oldbury-west+midlands.html</t>
        </is>
      </c>
      <c r="E944" s="5" t="inlineStr">
        <is>
          <t>Yell</t>
        </is>
      </c>
      <c r="F944" s="5" t="inlineStr">
        <is>
          <t>2026-09-17</t>
        </is>
      </c>
      <c r="G944" s="5" t="inlineStr">
        <is>
          <t>business name, address, phone (listing snippet)</t>
        </is>
      </c>
      <c r="H944" s="5" t="inlineStr">
        <is>
          <t>Requires Verification</t>
        </is>
      </c>
    </row>
    <row r="945">
      <c r="A945" s="10" t="inlineStr">
        <is>
          <t>UK-000655</t>
        </is>
      </c>
      <c r="B945" s="10" t="inlineStr">
        <is>
          <t>Sautter Cigars</t>
        </is>
      </c>
      <c r="C945" s="10" t="inlineStr">
        <is>
          <t>London</t>
        </is>
      </c>
      <c r="D945" s="10" t="inlineStr">
        <is>
          <t>https://www.smokepipeshops.com/sautter-cigars/</t>
        </is>
      </c>
      <c r="E945" s="10" t="inlineStr">
        <is>
          <t>Directory</t>
        </is>
      </c>
      <c r="F945" s="10" t="inlineStr">
        <is>
          <t>2026-09-17</t>
        </is>
      </c>
      <c r="G945" s="10" t="inlineStr">
        <is>
          <t>business name, address, postcode, phone, website</t>
        </is>
      </c>
      <c r="H945" s="10" t="inlineStr">
        <is>
          <t>Requires Verification</t>
        </is>
      </c>
    </row>
    <row r="946">
      <c r="A946" s="5" t="inlineStr">
        <is>
          <t>WY-0143</t>
        </is>
      </c>
      <c r="B946" s="5" t="inlineStr">
        <is>
          <t>SaveCo Cash &amp; Carry Bradford</t>
        </is>
      </c>
      <c r="C946" s="5" t="inlineStr">
        <is>
          <t>Bradford</t>
        </is>
      </c>
      <c r="D946" s="5" t="inlineStr">
        <is>
          <t>https://halalhmc.org/outlets/the-meat-company-bradford-ltd-t-a-saveco-cash-carry/</t>
        </is>
      </c>
      <c r="E946" s="5" t="inlineStr">
        <is>
          <t>Other</t>
        </is>
      </c>
      <c r="F946" s="5" t="inlineStr">
        <is>
          <t>2026-09-16</t>
        </is>
      </c>
      <c r="G946" s="5" t="inlineStr">
        <is>
          <t>legal name The Meat Company Bradford Ltd t/a SaveCo (search snippet)</t>
        </is>
      </c>
      <c r="H946" s="5" t="inlineStr">
        <is>
          <t>Requires Verification</t>
        </is>
      </c>
    </row>
    <row r="947">
      <c r="A947" s="10" t="inlineStr">
        <is>
          <t>WY-0143</t>
        </is>
      </c>
      <c r="B947" s="10" t="inlineStr">
        <is>
          <t>SaveCo Cash &amp; Carry Bradford</t>
        </is>
      </c>
      <c r="C947" s="10" t="inlineStr">
        <is>
          <t>Bradford</t>
        </is>
      </c>
      <c r="D947" s="10" t="inlineStr">
        <is>
          <t>https://www.yell.com/biz/saveco-cash-and-carry-bradford-9304267/</t>
        </is>
      </c>
      <c r="E947" s="10" t="inlineStr">
        <is>
          <t>Yell</t>
        </is>
      </c>
      <c r="F947" s="10" t="inlineStr">
        <is>
          <t>2026-09-16</t>
        </is>
      </c>
      <c r="G947" s="10" t="inlineStr">
        <is>
          <t>address Thornbury Road BD3 8HE, phone (search snippet)</t>
        </is>
      </c>
      <c r="H947" s="10" t="inlineStr">
        <is>
          <t>Requires Verification</t>
        </is>
      </c>
    </row>
    <row r="948">
      <c r="A948" s="5" t="inlineStr">
        <is>
          <t>WY-0143</t>
        </is>
      </c>
      <c r="B948" s="5" t="inlineStr">
        <is>
          <t>SaveCo Cash &amp; Carry Bradford</t>
        </is>
      </c>
      <c r="C948" s="5" t="inlineStr">
        <is>
          <t>Bradford</t>
        </is>
      </c>
      <c r="D948" s="5" t="inlineStr">
        <is>
          <t>https://savecobradford.co.uk/</t>
        </is>
      </c>
      <c r="E948" s="5" t="inlineStr">
        <is>
          <t>Official Website</t>
        </is>
      </c>
      <c r="F948" s="5" t="inlineStr">
        <is>
          <t>2026-09-16</t>
        </is>
      </c>
      <c r="G948" s="5" t="inlineStr">
        <is>
          <t>official webshop, product range (search snippet; fetch blocked)</t>
        </is>
      </c>
      <c r="H948" s="5" t="inlineStr">
        <is>
          <t>Requires Verification</t>
        </is>
      </c>
    </row>
    <row r="949">
      <c r="A949" s="10" t="inlineStr">
        <is>
          <t>WY-0143</t>
        </is>
      </c>
      <c r="B949" s="10" t="inlineStr">
        <is>
          <t>SaveCo Cash &amp; Carry Bradford</t>
        </is>
      </c>
      <c r="C949" s="10" t="inlineStr">
        <is>
          <t>Bradford</t>
        </is>
      </c>
      <c r="D949" s="10" t="inlineStr">
        <is>
          <t>https://www.facebook.com/savecobradford/</t>
        </is>
      </c>
      <c r="E949" s="10" t="inlineStr">
        <is>
          <t>Facebook</t>
        </is>
      </c>
      <c r="F949" s="10" t="inlineStr">
        <is>
          <t>2026-09-16</t>
        </is>
      </c>
      <c r="G949" s="10" t="inlineStr">
        <is>
          <t>social (facebook)</t>
        </is>
      </c>
      <c r="H949" s="10" t="inlineStr">
        <is>
          <t>Requires Verification</t>
        </is>
      </c>
    </row>
    <row r="950">
      <c r="A950" s="5" t="inlineStr">
        <is>
          <t>UK-000511</t>
        </is>
      </c>
      <c r="B950" s="5" t="inlineStr">
        <is>
          <t>Savemore Cash &amp; Carry</t>
        </is>
      </c>
      <c r="C950" s="5" t="inlineStr">
        <is>
          <t>Wolverhampton</t>
        </is>
      </c>
      <c r="D950" s="5" t="inlineStr">
        <is>
          <t>https://www.facebook.com/61569850526377/posts/save-more-cash-carry-unit-3-executive-house-patrick-gregory-road-wv11-3duhello-s/122134189754661684/</t>
        </is>
      </c>
      <c r="E950" s="5" t="inlineStr">
        <is>
          <t>Facebook</t>
        </is>
      </c>
      <c r="F950" s="5" t="inlineStr">
        <is>
          <t>2026-09-17</t>
        </is>
      </c>
      <c r="G950" s="5" t="inlineStr">
        <is>
          <t>address, postcode</t>
        </is>
      </c>
      <c r="H950" s="5" t="inlineStr">
        <is>
          <t>Requires Verification</t>
        </is>
      </c>
    </row>
    <row r="951">
      <c r="A951" s="10" t="inlineStr">
        <is>
          <t>UK-000511</t>
        </is>
      </c>
      <c r="B951" s="10" t="inlineStr">
        <is>
          <t>Savemore Cash &amp; Carry</t>
        </is>
      </c>
      <c r="C951" s="10" t="inlineStr">
        <is>
          <t>Wolverhampton</t>
        </is>
      </c>
      <c r="D951" s="10" t="inlineStr">
        <is>
          <t>https://ratings.food.gov.uk/business/1836998/savemore-cash-carry-wolverhampton</t>
        </is>
      </c>
      <c r="E951" s="10" t="inlineStr">
        <is>
          <t>Other</t>
        </is>
      </c>
      <c r="F951" s="10" t="inlineStr">
        <is>
          <t>2026-09-17</t>
        </is>
      </c>
      <c r="G951" s="10" t="inlineStr">
        <is>
          <t>business confirmation</t>
        </is>
      </c>
      <c r="H951" s="10" t="inlineStr">
        <is>
          <t>Requires Verification</t>
        </is>
      </c>
    </row>
    <row r="952">
      <c r="A952" s="5" t="inlineStr">
        <is>
          <t>UK-000512</t>
        </is>
      </c>
      <c r="B952" s="5" t="inlineStr">
        <is>
          <t>Savers Express</t>
        </is>
      </c>
      <c r="C952" s="5" t="inlineStr">
        <is>
          <t>Cradley Heath</t>
        </is>
      </c>
      <c r="D952" s="5" t="inlineStr">
        <is>
          <t>https://cradley-heath.cylex-uk.co.uk/company/savers-express-19840611.html</t>
        </is>
      </c>
      <c r="E952" s="5" t="inlineStr">
        <is>
          <t>Directory</t>
        </is>
      </c>
      <c r="F952" s="5" t="inlineStr">
        <is>
          <t>2026-09-17</t>
        </is>
      </c>
      <c r="G952" s="5" t="inlineStr">
        <is>
          <t>business name, Cradley Heath location (directory snippet)</t>
        </is>
      </c>
      <c r="H952" s="5" t="inlineStr">
        <is>
          <t>Requires Verification</t>
        </is>
      </c>
    </row>
    <row r="953">
      <c r="A953" s="10" t="inlineStr">
        <is>
          <t>UK-000513</t>
        </is>
      </c>
      <c r="B953" s="10" t="inlineStr">
        <is>
          <t>Sekhon Supermarket Ltd</t>
        </is>
      </c>
      <c r="C953" s="10" t="inlineStr">
        <is>
          <t>Wolverhampton</t>
        </is>
      </c>
      <c r="D953" s="10" t="inlineStr">
        <is>
          <t>https://www.wolverhampton.co.uk/supermarkets/</t>
        </is>
      </c>
      <c r="E953" s="10" t="inlineStr">
        <is>
          <t>Directory</t>
        </is>
      </c>
      <c r="F953" s="10" t="inlineStr">
        <is>
          <t>2026-09-17</t>
        </is>
      </c>
      <c r="G953" s="10" t="inlineStr">
        <is>
          <t>name, address, postcode</t>
        </is>
      </c>
      <c r="H953" s="10" t="inlineStr">
        <is>
          <t>Requires Verification</t>
        </is>
      </c>
    </row>
    <row r="954">
      <c r="A954" s="5" t="inlineStr">
        <is>
          <t>UK-000276</t>
        </is>
      </c>
      <c r="B954" s="5" t="inlineStr">
        <is>
          <t>Selby Vapes</t>
        </is>
      </c>
      <c r="C954" s="5" t="inlineStr">
        <is>
          <t>Selby</t>
        </is>
      </c>
      <c r="D954" s="5" t="inlineStr">
        <is>
          <t>https://www.bizify.co.uk/vape-shops/york/YO8-8FB/selby-vapes</t>
        </is>
      </c>
      <c r="E954" s="5" t="inlineStr">
        <is>
          <t>Directory</t>
        </is>
      </c>
      <c r="F954" s="5" t="inlineStr">
        <is>
          <t>2026-09-16</t>
        </is>
      </c>
      <c r="G954" s="5" t="inlineStr">
        <is>
          <t>address, postcode</t>
        </is>
      </c>
      <c r="H954" s="5" t="inlineStr">
        <is>
          <t>Requires Verification</t>
        </is>
      </c>
    </row>
    <row r="955">
      <c r="A955" s="10" t="inlineStr">
        <is>
          <t>UK-000276</t>
        </is>
      </c>
      <c r="B955" s="10" t="inlineStr">
        <is>
          <t>Selby Vapes</t>
        </is>
      </c>
      <c r="C955" s="10" t="inlineStr">
        <is>
          <t>Selby</t>
        </is>
      </c>
      <c r="D955" s="10" t="inlineStr">
        <is>
          <t>https://ecigdirectory.co.uk/vape-shop/listing/selby-vapes-selby</t>
        </is>
      </c>
      <c r="E955" s="10" t="inlineStr">
        <is>
          <t>Directory</t>
        </is>
      </c>
      <c r="F955" s="10" t="inlineStr">
        <is>
          <t>2026-09-16</t>
        </is>
      </c>
      <c r="G955" s="10" t="inlineStr">
        <is>
          <t>phone, established 2020, opening days</t>
        </is>
      </c>
      <c r="H955" s="10" t="inlineStr">
        <is>
          <t>Requires Verification</t>
        </is>
      </c>
    </row>
    <row r="956">
      <c r="A956" s="5" t="inlineStr">
        <is>
          <t>WY-0144</t>
        </is>
      </c>
      <c r="B956" s="5" t="inlineStr">
        <is>
          <t>Select Newsagent</t>
        </is>
      </c>
      <c r="C956" s="5" t="inlineStr">
        <is>
          <t>Mirfield</t>
        </is>
      </c>
      <c r="D956" s="5" t="inlineStr">
        <is>
          <t>https://mirfield.cylex-uk.co.uk/company/select-newsagent-28742458.html</t>
        </is>
      </c>
      <c r="E956" s="5" t="inlineStr">
        <is>
          <t>Directory</t>
        </is>
      </c>
      <c r="F956" s="5" t="inlineStr">
        <is>
          <t>2026-09-16</t>
        </is>
      </c>
      <c r="G956" s="5" t="inlineStr">
        <is>
          <t>address, phone</t>
        </is>
      </c>
      <c r="H956" s="5" t="inlineStr">
        <is>
          <t>Requires Verification</t>
        </is>
      </c>
    </row>
    <row r="957">
      <c r="A957" s="10" t="inlineStr">
        <is>
          <t>WY-0144</t>
        </is>
      </c>
      <c r="B957" s="10" t="inlineStr">
        <is>
          <t>Select Newsagent</t>
        </is>
      </c>
      <c r="C957" s="10" t="inlineStr">
        <is>
          <t>Mirfield</t>
        </is>
      </c>
      <c r="D957" s="10" t="inlineStr">
        <is>
          <t>https://mirfield.ukintouch.com/convenience-store/select-newsagent/</t>
        </is>
      </c>
      <c r="E957" s="10" t="inlineStr">
        <is>
          <t>Directory</t>
        </is>
      </c>
      <c r="F957" s="10" t="inlineStr">
        <is>
          <t>2026-09-16</t>
        </is>
      </c>
      <c r="G957" s="10" t="inlineStr">
        <is>
          <t>cross-check address 18 Lee Green WF14 0AB</t>
        </is>
      </c>
      <c r="H957" s="10" t="inlineStr">
        <is>
          <t>Requires Verification</t>
        </is>
      </c>
    </row>
    <row r="958">
      <c r="A958" s="5" t="inlineStr">
        <is>
          <t>UK-000514</t>
        </is>
      </c>
      <c r="B958" s="5" t="inlineStr">
        <is>
          <t>Shade E-Vaping</t>
        </is>
      </c>
      <c r="C958" s="5" t="inlineStr">
        <is>
          <t>Dudley</t>
        </is>
      </c>
      <c r="D958" s="5" t="inlineStr">
        <is>
          <t>https://www.yelp.com/search?cflt=vapeshops&amp;find_loc=Dudley%2C+West+Midlands</t>
        </is>
      </c>
      <c r="E958" s="5" t="inlineStr">
        <is>
          <t>Directory</t>
        </is>
      </c>
      <c r="F958" s="5" t="inlineStr">
        <is>
          <t>2026-09-17</t>
        </is>
      </c>
      <c r="G958" s="5" t="inlineStr">
        <is>
          <t>business name, address (search snippet)</t>
        </is>
      </c>
      <c r="H958" s="5" t="inlineStr">
        <is>
          <t>Requires Verification</t>
        </is>
      </c>
    </row>
    <row r="959">
      <c r="A959" s="10" t="inlineStr">
        <is>
          <t>WY-0145</t>
        </is>
      </c>
      <c r="B959" s="10" t="inlineStr">
        <is>
          <t>Shans Supermarket</t>
        </is>
      </c>
      <c r="C959" s="10" t="inlineStr">
        <is>
          <t>Keighley</t>
        </is>
      </c>
      <c r="D959" s="10" t="inlineStr">
        <is>
          <t>https://www.yorkshire.com/keighley/shopping/supermarkets/shans-supermarket</t>
        </is>
      </c>
      <c r="E959" s="10" t="inlineStr">
        <is>
          <t>Directory</t>
        </is>
      </c>
      <c r="F959" s="10" t="inlineStr">
        <is>
          <t>2026-09-16</t>
        </is>
      </c>
      <c r="G959" s="10" t="inlineStr">
        <is>
          <t>location Alice Street, Keighley, description (search snippet)</t>
        </is>
      </c>
      <c r="H959" s="10" t="inlineStr">
        <is>
          <t>Requires Verification</t>
        </is>
      </c>
    </row>
    <row r="960">
      <c r="A960" s="5" t="inlineStr">
        <is>
          <t>WY-0145</t>
        </is>
      </c>
      <c r="B960" s="5" t="inlineStr">
        <is>
          <t>Shans Supermarket</t>
        </is>
      </c>
      <c r="C960" s="5" t="inlineStr">
        <is>
          <t>Keighley</t>
        </is>
      </c>
      <c r="D960" s="5" t="inlineStr">
        <is>
          <t>https://www.facebook.com/ShansSupermarket/</t>
        </is>
      </c>
      <c r="E960" s="5" t="inlineStr">
        <is>
          <t>Facebook</t>
        </is>
      </c>
      <c r="F960" s="5" t="inlineStr">
        <is>
          <t>2026-09-16</t>
        </is>
      </c>
      <c r="G960" s="5" t="inlineStr">
        <is>
          <t>active page, phone (search snippet)</t>
        </is>
      </c>
      <c r="H960" s="5" t="inlineStr">
        <is>
          <t>Requires Verification</t>
        </is>
      </c>
    </row>
    <row r="961">
      <c r="A961" s="10" t="inlineStr">
        <is>
          <t>WY-0146</t>
        </is>
      </c>
      <c r="B961" s="10" t="inlineStr">
        <is>
          <t>Sheepridge Off Licence</t>
        </is>
      </c>
      <c r="C961" s="10" t="inlineStr">
        <is>
          <t>Huddersfield</t>
        </is>
      </c>
      <c r="D961" s="10" t="inlineStr">
        <is>
          <t>https://www.192.com/atoz/business/huddersfield-hd1/convenience-stores/sheepridge-off-licence-limited/bfc32af555a5eed742b2bfb4d8a2acd75ab80d62/comp/</t>
        </is>
      </c>
      <c r="E961" s="10" t="inlineStr">
        <is>
          <t>Directory</t>
        </is>
      </c>
      <c r="F961" s="10" t="inlineStr">
        <is>
          <t>2026-09-16</t>
        </is>
      </c>
      <c r="G961" s="10" t="inlineStr">
        <is>
          <t>name, legal name, address, postcode</t>
        </is>
      </c>
      <c r="H961" s="10" t="inlineStr">
        <is>
          <t>Requires Verification</t>
        </is>
      </c>
    </row>
    <row r="962">
      <c r="A962" s="5" t="inlineStr">
        <is>
          <t>UK-000380</t>
        </is>
      </c>
      <c r="B962" s="5" t="inlineStr">
        <is>
          <t>Shesha Lounge (Cheetham Hill)</t>
        </is>
      </c>
      <c r="C962" s="5" t="inlineStr">
        <is>
          <t>Manchester</t>
        </is>
      </c>
      <c r="D962" s="5" t="inlineStr">
        <is>
          <t>https://www.yelp.co.uk/biz/shesha-lounge-manchester-2</t>
        </is>
      </c>
      <c r="E962" s="5" t="inlineStr">
        <is>
          <t>Directory</t>
        </is>
      </c>
      <c r="F962" s="5" t="inlineStr">
        <is>
          <t>2026-09-17</t>
        </is>
      </c>
      <c r="G962" s="5" t="inlineStr">
        <is>
          <t>business name, address, phone</t>
        </is>
      </c>
      <c r="H962" s="5" t="inlineStr">
        <is>
          <t>Requires Verification</t>
        </is>
      </c>
    </row>
    <row r="963">
      <c r="A963" s="10" t="inlineStr">
        <is>
          <t>UK-000381</t>
        </is>
      </c>
      <c r="B963" s="10" t="inlineStr">
        <is>
          <t>Shisha Club UK</t>
        </is>
      </c>
      <c r="C963" s="10" t="inlineStr">
        <is>
          <t>Oldham</t>
        </is>
      </c>
      <c r="D963" s="10" t="inlineStr">
        <is>
          <t>https://shisha-club-uk.ueniweb.com/</t>
        </is>
      </c>
      <c r="E963" s="10" t="inlineStr">
        <is>
          <t>Official Website</t>
        </is>
      </c>
      <c r="F963" s="10" t="inlineStr">
        <is>
          <t>2026-09-17</t>
        </is>
      </c>
      <c r="G963" s="10" t="inlineStr">
        <is>
          <t>address, postcode</t>
        </is>
      </c>
      <c r="H963" s="10" t="inlineStr">
        <is>
          <t>Requires Verification</t>
        </is>
      </c>
    </row>
    <row r="964">
      <c r="A964" s="5" t="inlineStr">
        <is>
          <t>UK-000656</t>
        </is>
      </c>
      <c r="B964" s="5" t="inlineStr">
        <is>
          <t>Shisha Town Market</t>
        </is>
      </c>
      <c r="C964" s="5" t="inlineStr">
        <is>
          <t>Edmonton</t>
        </is>
      </c>
      <c r="D964" s="5" t="inlineStr">
        <is>
          <t>https://www.yelp.co.uk/search?find_desc=Hookah+Store&amp;find_loc=London</t>
        </is>
      </c>
      <c r="E964" s="5" t="inlineStr">
        <is>
          <t>Directory</t>
        </is>
      </c>
      <c r="F964" s="5" t="inlineStr">
        <is>
          <t>2026-09-17</t>
        </is>
      </c>
      <c r="G964" s="5" t="inlineStr">
        <is>
          <t>name, address, postcode, phone</t>
        </is>
      </c>
      <c r="H964" s="5" t="inlineStr">
        <is>
          <t>Requires Verification</t>
        </is>
      </c>
    </row>
    <row r="965">
      <c r="A965" s="10" t="inlineStr">
        <is>
          <t>UK-000515</t>
        </is>
      </c>
      <c r="B965" s="10" t="inlineStr">
        <is>
          <t>Shisha-Wala</t>
        </is>
      </c>
      <c r="C965" s="10" t="inlineStr">
        <is>
          <t>Birmingham</t>
        </is>
      </c>
      <c r="D965" s="10" t="inlineStr">
        <is>
          <t>https://shisha-wala.co.uk/</t>
        </is>
      </c>
      <c r="E965" s="10" t="inlineStr">
        <is>
          <t>Official Website</t>
        </is>
      </c>
      <c r="F965" s="10" t="inlineStr">
        <is>
          <t>2026-09-17</t>
        </is>
      </c>
      <c r="G965" s="10" t="inlineStr">
        <is>
          <t>address, postcode, phone</t>
        </is>
      </c>
      <c r="H965" s="10" t="inlineStr">
        <is>
          <t>Requires Verification</t>
        </is>
      </c>
    </row>
    <row r="966">
      <c r="A966" s="5" t="inlineStr">
        <is>
          <t>WY-0147</t>
        </is>
      </c>
      <c r="B966" s="5" t="inlineStr">
        <is>
          <t>Shoesmiths Tobacconist</t>
        </is>
      </c>
      <c r="C966" s="5" t="inlineStr">
        <is>
          <t>Halifax</t>
        </is>
      </c>
      <c r="D966" s="5" t="inlineStr">
        <is>
          <t>https://www.bigreddirectory.com/shoesmiths-tobacconist-halifax</t>
        </is>
      </c>
      <c r="E966" s="5" t="inlineStr">
        <is>
          <t>Directory</t>
        </is>
      </c>
      <c r="F966" s="5" t="inlineStr">
        <is>
          <t>2026-09-16</t>
        </is>
      </c>
      <c r="G966" s="5" t="inlineStr">
        <is>
          <t>address, postcode, description</t>
        </is>
      </c>
      <c r="H966" s="5" t="inlineStr">
        <is>
          <t>Requires Verification</t>
        </is>
      </c>
    </row>
    <row r="967">
      <c r="A967" s="10" t="inlineStr">
        <is>
          <t>WY-0147</t>
        </is>
      </c>
      <c r="B967" s="10" t="inlineStr">
        <is>
          <t>Shoesmiths Tobacconist</t>
        </is>
      </c>
      <c r="C967" s="10" t="inlineStr">
        <is>
          <t>Halifax</t>
        </is>
      </c>
      <c r="D967" s="10" t="inlineStr">
        <is>
          <t>https://www.facebook.com/shoesmiths/</t>
        </is>
      </c>
      <c r="E967" s="10" t="inlineStr">
        <is>
          <t>Facebook</t>
        </is>
      </c>
      <c r="F967" s="10" t="inlineStr">
        <is>
          <t>2026-09-16</t>
        </is>
      </c>
      <c r="G967" s="10" t="inlineStr">
        <is>
          <t>Totally Wicked at Shoesmiths branding</t>
        </is>
      </c>
      <c r="H967" s="10" t="inlineStr">
        <is>
          <t>Requires Verification</t>
        </is>
      </c>
    </row>
    <row r="968">
      <c r="A968" s="5" t="inlineStr">
        <is>
          <t>WY-0147</t>
        </is>
      </c>
      <c r="B968" s="5" t="inlineStr">
        <is>
          <t>Shoesmiths Tobacconist</t>
        </is>
      </c>
      <c r="C968" s="5" t="inlineStr">
        <is>
          <t>Halifax</t>
        </is>
      </c>
      <c r="D968" s="5" t="inlineStr">
        <is>
          <t>https://ecigdirectory.co.uk/vape-shop/listing/smokers-dlite-halifax</t>
        </is>
      </c>
      <c r="E968" s="5" t="inlineStr">
        <is>
          <t>Directory</t>
        </is>
      </c>
      <c r="F968" s="5" t="inlineStr">
        <is>
          <t>2026-09-16</t>
        </is>
      </c>
      <c r="G968" s="5" t="inlineStr">
        <is>
          <t>Smokers D'Lite listed at same address</t>
        </is>
      </c>
      <c r="H968" s="5" t="inlineStr">
        <is>
          <t>Requires Verification</t>
        </is>
      </c>
    </row>
    <row r="969">
      <c r="A969" s="10" t="inlineStr">
        <is>
          <t>UK-000657</t>
        </is>
      </c>
      <c r="B969" s="10" t="inlineStr">
        <is>
          <t>Silverpoint Cash &amp; Carry Ltd</t>
        </is>
      </c>
      <c r="C969" s="10" t="inlineStr">
        <is>
          <t>Forest Gate</t>
        </is>
      </c>
      <c r="D969" s="10" t="inlineStr">
        <is>
          <t>https://www.yell.com/s/cash+and+carry-london+borough+of+newham.html</t>
        </is>
      </c>
      <c r="E969" s="10" t="inlineStr">
        <is>
          <t>Yell</t>
        </is>
      </c>
      <c r="F969" s="10" t="inlineStr">
        <is>
          <t>2026-09-17</t>
        </is>
      </c>
      <c r="G969" s="10" t="inlineStr">
        <is>
          <t>name, address, postcode</t>
        </is>
      </c>
      <c r="H969" s="10" t="inlineStr">
        <is>
          <t>Requires Verification</t>
        </is>
      </c>
    </row>
    <row r="970">
      <c r="A970" s="5" t="inlineStr">
        <is>
          <t>UK-000812</t>
        </is>
      </c>
      <c r="B970" s="5" t="inlineStr">
        <is>
          <t>Simply Vape</t>
        </is>
      </c>
      <c r="C970" s="5" t="inlineStr">
        <is>
          <t>Bootle</t>
        </is>
      </c>
      <c r="D970" s="5" t="inlineStr">
        <is>
          <t>https://www.yell.com/biz/simply-vape-bootle-9726011/</t>
        </is>
      </c>
      <c r="E970" s="5" t="inlineStr">
        <is>
          <t>Yell</t>
        </is>
      </c>
      <c r="F970" s="5" t="inlineStr">
        <is>
          <t>2026-09-17</t>
        </is>
      </c>
      <c r="G970" s="5" t="inlineStr">
        <is>
          <t>name, address, postcode</t>
        </is>
      </c>
      <c r="H970" s="5" t="inlineStr">
        <is>
          <t>Requires Verification</t>
        </is>
      </c>
    </row>
    <row r="971">
      <c r="A971" s="10" t="inlineStr">
        <is>
          <t>UK-000658</t>
        </is>
      </c>
      <c r="B971" s="10" t="inlineStr">
        <is>
          <t>Single Tree Foods Ltd</t>
        </is>
      </c>
      <c r="C971" s="10" t="inlineStr">
        <is>
          <t>Edmonton</t>
        </is>
      </c>
      <c r="D971" s="10" t="inlineStr">
        <is>
          <t>https://www.192.com/atoz/business/enfield/convenience--stores/</t>
        </is>
      </c>
      <c r="E971" s="10" t="inlineStr">
        <is>
          <t>Directory</t>
        </is>
      </c>
      <c r="F971" s="10" t="inlineStr">
        <is>
          <t>2026-09-17</t>
        </is>
      </c>
      <c r="G971" s="10" t="inlineStr">
        <is>
          <t>name, address, postcode</t>
        </is>
      </c>
      <c r="H971" s="10" t="inlineStr">
        <is>
          <t>Requires Verification</t>
        </is>
      </c>
    </row>
    <row r="972">
      <c r="A972" s="5" t="inlineStr">
        <is>
          <t>UK-000813</t>
        </is>
      </c>
      <c r="B972" s="5" t="inlineStr">
        <is>
          <t>Skaus Store &amp; Cafe</t>
        </is>
      </c>
      <c r="C972" s="5" t="inlineStr">
        <is>
          <t>Liverpool</t>
        </is>
      </c>
      <c r="D972" s="5" t="inlineStr">
        <is>
          <t>https://www.192.com/atoz/business/l18/convenience--stores/</t>
        </is>
      </c>
      <c r="E972" s="5" t="inlineStr">
        <is>
          <t>Directory</t>
        </is>
      </c>
      <c r="F972" s="5" t="inlineStr">
        <is>
          <t>2026-09-17</t>
        </is>
      </c>
      <c r="G972" s="5" t="inlineStr">
        <is>
          <t>name, address, postcode, phone</t>
        </is>
      </c>
      <c r="H972" s="5" t="inlineStr">
        <is>
          <t>Requires Verification</t>
        </is>
      </c>
    </row>
    <row r="973">
      <c r="A973" s="10" t="inlineStr">
        <is>
          <t>UK-000277</t>
        </is>
      </c>
      <c r="B973" s="10" t="inlineStr">
        <is>
          <t>Smoke &amp; Vape Barnsley</t>
        </is>
      </c>
      <c r="C973" s="10" t="inlineStr">
        <is>
          <t>Barnsley</t>
        </is>
      </c>
      <c r="D973" s="10" t="inlineStr">
        <is>
          <t>https://www.facebook.com/p/SMOKE-VAPE-Barnsley-61555973916748/</t>
        </is>
      </c>
      <c r="E973" s="10" t="inlineStr">
        <is>
          <t>Facebook</t>
        </is>
      </c>
      <c r="F973" s="10" t="inlineStr">
        <is>
          <t>2026-09-16</t>
        </is>
      </c>
      <c r="G973" s="10" t="inlineStr">
        <is>
          <t>name, address, phone</t>
        </is>
      </c>
      <c r="H973" s="10" t="inlineStr">
        <is>
          <t>Requires Verification</t>
        </is>
      </c>
    </row>
    <row r="974">
      <c r="A974" s="5" t="inlineStr">
        <is>
          <t>UK-000278</t>
        </is>
      </c>
      <c r="B974" s="5" t="inlineStr">
        <is>
          <t>Smoke Free Skipton</t>
        </is>
      </c>
      <c r="C974" s="5" t="inlineStr">
        <is>
          <t>Skipton</t>
        </is>
      </c>
      <c r="D974" s="5" t="inlineStr">
        <is>
          <t>https://ecigdirectory.co.uk/vape-shop/listing/smoke-free-skipton</t>
        </is>
      </c>
      <c r="E974" s="5" t="inlineStr">
        <is>
          <t>Directory</t>
        </is>
      </c>
      <c r="F974" s="5" t="inlineStr">
        <is>
          <t>2026-09-16</t>
        </is>
      </c>
      <c r="G974" s="5" t="inlineStr">
        <is>
          <t>name, address, postcode</t>
        </is>
      </c>
      <c r="H974" s="5" t="inlineStr">
        <is>
          <t>Requires Verification</t>
        </is>
      </c>
    </row>
    <row r="975">
      <c r="A975" s="10" t="inlineStr">
        <is>
          <t>UK-000659</t>
        </is>
      </c>
      <c r="B975" s="10" t="inlineStr">
        <is>
          <t>Smoke n Shisha</t>
        </is>
      </c>
      <c r="C975" s="10" t="inlineStr">
        <is>
          <t>London</t>
        </is>
      </c>
      <c r="D975" s="10" t="inlineStr">
        <is>
          <t>https://www.yell.com/s/tobacconists-praed+mews+w2+london+borough+of+westminster+london.html</t>
        </is>
      </c>
      <c r="E975" s="10" t="inlineStr">
        <is>
          <t>Yell</t>
        </is>
      </c>
      <c r="F975" s="10" t="inlineStr">
        <is>
          <t>2026-09-17</t>
        </is>
      </c>
      <c r="G975" s="10" t="inlineStr">
        <is>
          <t>business name, address, postcode</t>
        </is>
      </c>
      <c r="H975" s="10" t="inlineStr">
        <is>
          <t>Requires Verification</t>
        </is>
      </c>
    </row>
    <row r="976">
      <c r="A976" s="5" t="inlineStr">
        <is>
          <t>WY-0148</t>
        </is>
      </c>
      <c r="B976" s="5" t="inlineStr">
        <is>
          <t>Smoke-King Tobacconist</t>
        </is>
      </c>
      <c r="C976" s="5" t="inlineStr">
        <is>
          <t>Otley</t>
        </is>
      </c>
      <c r="D976" s="5" t="inlineStr">
        <is>
          <t>https://www.smoke-king.co.uk/pages/tobacconist-in-otley</t>
        </is>
      </c>
      <c r="E976" s="5" t="inlineStr">
        <is>
          <t>Official Website</t>
        </is>
      </c>
      <c r="F976" s="5" t="inlineStr">
        <is>
          <t>2026-09-16</t>
        </is>
      </c>
      <c r="G976" s="5" t="inlineStr">
        <is>
          <t>showroom address, hours (via search results; direct fetch blocked by proxy)</t>
        </is>
      </c>
      <c r="H976" s="5" t="inlineStr">
        <is>
          <t>Partially Verified</t>
        </is>
      </c>
    </row>
    <row r="977">
      <c r="A977" s="10" t="inlineStr">
        <is>
          <t>WY-0148</t>
        </is>
      </c>
      <c r="B977" s="10" t="inlineStr">
        <is>
          <t>Smoke-King Tobacconist</t>
        </is>
      </c>
      <c r="C977" s="10" t="inlineStr">
        <is>
          <t>Otley</t>
        </is>
      </c>
      <c r="D977" s="10" t="inlineStr">
        <is>
          <t>https://wegetyoufound.co.uk/listings/smoke-king-tobacconist/otley/tobacco-shop</t>
        </is>
      </c>
      <c r="E977" s="10" t="inlineStr">
        <is>
          <t>Directory</t>
        </is>
      </c>
      <c r="F977" s="10" t="inlineStr">
        <is>
          <t>2026-09-16</t>
        </is>
      </c>
      <c r="G977" s="10" t="inlineStr">
        <is>
          <t>address, phone (via search results)</t>
        </is>
      </c>
      <c r="H977" s="10" t="inlineStr">
        <is>
          <t>Partially Verified</t>
        </is>
      </c>
    </row>
    <row r="978">
      <c r="A978" s="5" t="inlineStr">
        <is>
          <t>WY-0148</t>
        </is>
      </c>
      <c r="B978" s="5" t="inlineStr">
        <is>
          <t>Smoke-King Tobacconist</t>
        </is>
      </c>
      <c r="C978" s="5" t="inlineStr">
        <is>
          <t>Otley</t>
        </is>
      </c>
      <c r="D978" s="5" t="inlineStr">
        <is>
          <t>https://wanderboat.ai/local-businesses/united-kingdom/leeds/smoke-king-tobacconist/la5qs7K8RkuEZuadULJ-Hg</t>
        </is>
      </c>
      <c r="E978" s="5" t="inlineStr">
        <is>
          <t>Directory</t>
        </is>
      </c>
      <c r="F978" s="5" t="inlineStr">
        <is>
          <t>2026-09-16</t>
        </is>
      </c>
      <c r="G978" s="5" t="inlineStr">
        <is>
          <t>full address cross-check (via search results)</t>
        </is>
      </c>
      <c r="H978" s="5" t="inlineStr">
        <is>
          <t>Partially Verified</t>
        </is>
      </c>
    </row>
    <row r="979">
      <c r="A979" s="10" t="inlineStr">
        <is>
          <t>WY-0148</t>
        </is>
      </c>
      <c r="B979" s="10" t="inlineStr">
        <is>
          <t>Smoke-King Tobacconist</t>
        </is>
      </c>
      <c r="C979" s="10" t="inlineStr">
        <is>
          <t>Otley</t>
        </is>
      </c>
      <c r="D979" s="10" t="inlineStr">
        <is>
          <t>https://www.smoke-king.co.uk/pages/contact</t>
        </is>
      </c>
      <c r="E979" s="10" t="inlineStr">
        <is>
          <t>Official Website</t>
        </is>
      </c>
      <c r="F979" s="10" t="inlineStr">
        <is>
          <t>2026-09-16</t>
        </is>
      </c>
      <c r="G979" s="10" t="inlineStr">
        <is>
          <t>email, social (facebook)</t>
        </is>
      </c>
      <c r="H979" s="10" t="inlineStr">
        <is>
          <t>Partially Verified</t>
        </is>
      </c>
    </row>
    <row r="980">
      <c r="A980" s="5" t="inlineStr">
        <is>
          <t>WY-0149</t>
        </is>
      </c>
      <c r="B980" s="5" t="inlineStr">
        <is>
          <t>Smokers D'Lite</t>
        </is>
      </c>
      <c r="C980" s="5" t="inlineStr">
        <is>
          <t>Leeds</t>
        </is>
      </c>
      <c r="D980" s="5" t="inlineStr">
        <is>
          <t>https://ecigdirectory.co.uk/vape-shop-leeds/</t>
        </is>
      </c>
      <c r="E980" s="5" t="inlineStr">
        <is>
          <t>Directory</t>
        </is>
      </c>
      <c r="F980" s="5" t="inlineStr">
        <is>
          <t>2026-09-16</t>
        </is>
      </c>
      <c r="G980" s="5" t="inlineStr">
        <is>
          <t>name, verified-shop status (via search results)</t>
        </is>
      </c>
      <c r="H980" s="5" t="inlineStr">
        <is>
          <t>Requires Verification</t>
        </is>
      </c>
    </row>
    <row r="981">
      <c r="A981" s="10" t="inlineStr">
        <is>
          <t>WY-0149</t>
        </is>
      </c>
      <c r="B981" s="10" t="inlineStr">
        <is>
          <t>Smokers D'Lite</t>
        </is>
      </c>
      <c r="C981" s="10" t="inlineStr">
        <is>
          <t>Leeds</t>
        </is>
      </c>
      <c r="D981" s="10" t="inlineStr">
        <is>
          <t>https://www.vaporl.com/vape-store-in-leeds-find-an-electronic-cigarette-near-by</t>
        </is>
      </c>
      <c r="E981" s="10" t="inlineStr">
        <is>
          <t>Directory</t>
        </is>
      </c>
      <c r="F981" s="10" t="inlineStr">
        <is>
          <t>2026-09-16</t>
        </is>
      </c>
      <c r="G981" s="10" t="inlineStr">
        <is>
          <t>Thorntons Arcade address (via search results)</t>
        </is>
      </c>
      <c r="H981" s="10" t="inlineStr">
        <is>
          <t>Requires Verification</t>
        </is>
      </c>
    </row>
    <row r="982">
      <c r="A982" s="5" t="inlineStr">
        <is>
          <t>UK-000814</t>
        </is>
      </c>
      <c r="B982" s="5" t="inlineStr">
        <is>
          <t>Smokers Lounge</t>
        </is>
      </c>
      <c r="C982" s="5" t="inlineStr">
        <is>
          <t>Glasgow</t>
        </is>
      </c>
      <c r="D982" s="5" t="inlineStr">
        <is>
          <t>https://www.yelp.co.uk/biz/smokers-lounge-glasgow</t>
        </is>
      </c>
      <c r="E982" s="5" t="inlineStr">
        <is>
          <t>Directory</t>
        </is>
      </c>
      <c r="F982" s="5" t="inlineStr">
        <is>
          <t>2026-09-17</t>
        </is>
      </c>
      <c r="G982" s="5" t="inlineStr">
        <is>
          <t>address, phone</t>
        </is>
      </c>
      <c r="H982" s="5" t="inlineStr">
        <is>
          <t>Requires Verification</t>
        </is>
      </c>
    </row>
    <row r="983">
      <c r="A983" s="10" t="inlineStr">
        <is>
          <t>UK-000814</t>
        </is>
      </c>
      <c r="B983" s="10" t="inlineStr">
        <is>
          <t>Smokers Lounge</t>
        </is>
      </c>
      <c r="C983" s="10" t="inlineStr">
        <is>
          <t>Glasgow</t>
        </is>
      </c>
      <c r="D983" s="10" t="inlineStr">
        <is>
          <t>https://glasgow.cylex-uk.co.uk/company/smokers-lounge-23733738.html</t>
        </is>
      </c>
      <c r="E983" s="10" t="inlineStr">
        <is>
          <t>Directory</t>
        </is>
      </c>
      <c r="F983" s="10" t="inlineStr">
        <is>
          <t>2026-09-17</t>
        </is>
      </c>
      <c r="G983" s="10" t="inlineStr">
        <is>
          <t>address, postcode</t>
        </is>
      </c>
      <c r="H983" s="10" t="inlineStr">
        <is>
          <t>Requires Verification</t>
        </is>
      </c>
    </row>
    <row r="984">
      <c r="A984" s="5" t="inlineStr">
        <is>
          <t>UK-000660</t>
        </is>
      </c>
      <c r="B984" s="5" t="inlineStr">
        <is>
          <t>Smoketronics Vape &amp; Coffee Shop</t>
        </is>
      </c>
      <c r="C984" s="5" t="inlineStr">
        <is>
          <t>Croydon</t>
        </is>
      </c>
      <c r="D984" s="5" t="inlineStr">
        <is>
          <t>https://www.allinlondon.co.uk/directory/tobacconists/213596-smoketronics</t>
        </is>
      </c>
      <c r="E984" s="5" t="inlineStr">
        <is>
          <t>Directory</t>
        </is>
      </c>
      <c r="F984" s="5" t="inlineStr">
        <is>
          <t>2026-09-17</t>
        </is>
      </c>
      <c r="G984" s="5" t="inlineStr">
        <is>
          <t>address, phone</t>
        </is>
      </c>
      <c r="H984" s="5" t="inlineStr">
        <is>
          <t>Requires Verification</t>
        </is>
      </c>
    </row>
    <row r="985">
      <c r="A985" s="10" t="inlineStr">
        <is>
          <t>UK-000660</t>
        </is>
      </c>
      <c r="B985" s="10" t="inlineStr">
        <is>
          <t>Smoketronics Vape &amp; Coffee Shop</t>
        </is>
      </c>
      <c r="C985" s="10" t="inlineStr">
        <is>
          <t>Croydon</t>
        </is>
      </c>
      <c r="D985" s="10" t="inlineStr">
        <is>
          <t>https://vapegeezer.co.uk/vape-shop-directory/listing/smoketronics-croydon/</t>
        </is>
      </c>
      <c r="E985" s="10" t="inlineStr">
        <is>
          <t>Directory</t>
        </is>
      </c>
      <c r="F985" s="10" t="inlineStr">
        <is>
          <t>2026-09-17</t>
        </is>
      </c>
      <c r="G985" s="10" t="inlineStr">
        <is>
          <t>trading name, category</t>
        </is>
      </c>
      <c r="H985" s="10" t="inlineStr">
        <is>
          <t>Requires Verification</t>
        </is>
      </c>
    </row>
    <row r="986">
      <c r="A986" s="5" t="inlineStr">
        <is>
          <t>UK-000815</t>
        </is>
      </c>
      <c r="B986" s="5" t="inlineStr">
        <is>
          <t>Sohal Licensed Grocers</t>
        </is>
      </c>
      <c r="C986" s="5" t="inlineStr">
        <is>
          <t>Glasgow</t>
        </is>
      </c>
      <c r="D986" s="5" t="inlineStr">
        <is>
          <t>https://www.yelp.co.uk/search?find_desc=Off+Licence&amp;find_loc=Springburn%2C+Glasgow</t>
        </is>
      </c>
      <c r="E986" s="5" t="inlineStr">
        <is>
          <t>Directory</t>
        </is>
      </c>
      <c r="F986" s="5" t="inlineStr">
        <is>
          <t>2026-09-17</t>
        </is>
      </c>
      <c r="G986" s="5" t="inlineStr">
        <is>
          <t>trading name, address, postcode</t>
        </is>
      </c>
      <c r="H986" s="5" t="inlineStr">
        <is>
          <t>Requires Verification</t>
        </is>
      </c>
    </row>
    <row r="987">
      <c r="A987" s="10" t="inlineStr">
        <is>
          <t>UK-000661</t>
        </is>
      </c>
      <c r="B987" s="10" t="inlineStr">
        <is>
          <t>Soho Food &amp; Wine</t>
        </is>
      </c>
      <c r="C987" s="10" t="inlineStr">
        <is>
          <t>London</t>
        </is>
      </c>
      <c r="D987" s="10" t="inlineStr">
        <is>
          <t>https://www.yell.com/biz/soho-food-and-wine-london-8165136/</t>
        </is>
      </c>
      <c r="E987" s="10" t="inlineStr">
        <is>
          <t>Yell</t>
        </is>
      </c>
      <c r="F987" s="10" t="inlineStr">
        <is>
          <t>2026-09-17</t>
        </is>
      </c>
      <c r="G987" s="10" t="inlineStr">
        <is>
          <t>business name, area (W1F)</t>
        </is>
      </c>
      <c r="H987" s="10" t="inlineStr">
        <is>
          <t>Requires Verification</t>
        </is>
      </c>
    </row>
    <row r="988">
      <c r="A988" s="5" t="inlineStr">
        <is>
          <t>WY-0150</t>
        </is>
      </c>
      <c r="B988" s="5" t="inlineStr">
        <is>
          <t>Somers of Keighley</t>
        </is>
      </c>
      <c r="C988" s="5" t="inlineStr">
        <is>
          <t>Keighley</t>
        </is>
      </c>
      <c r="D988" s="5" t="inlineStr">
        <is>
          <t>https://www.yelp.com/biz/somers-of-keighley-keighley</t>
        </is>
      </c>
      <c r="E988" s="5" t="inlineStr">
        <is>
          <t>Directory</t>
        </is>
      </c>
      <c r="F988" s="5" t="inlineStr">
        <is>
          <t>2026-09-16</t>
        </is>
      </c>
      <c r="G988" s="5" t="inlineStr">
        <is>
          <t>address 1 Bow Street BD21 3PB, phone (search snippet)</t>
        </is>
      </c>
      <c r="H988" s="5" t="inlineStr">
        <is>
          <t>Requires Verification</t>
        </is>
      </c>
    </row>
    <row r="989">
      <c r="A989" s="10" t="inlineStr">
        <is>
          <t>WY-0150</t>
        </is>
      </c>
      <c r="B989" s="10" t="inlineStr">
        <is>
          <t>Somers of Keighley</t>
        </is>
      </c>
      <c r="C989" s="10" t="inlineStr">
        <is>
          <t>Keighley</t>
        </is>
      </c>
      <c r="D989" s="10" t="inlineStr">
        <is>
          <t>https://keighley.cylex-uk.co.uk/company/somers-of-keighley-13656771.html</t>
        </is>
      </c>
      <c r="E989" s="10" t="inlineStr">
        <is>
          <t>Directory</t>
        </is>
      </c>
      <c r="F989" s="10" t="inlineStr">
        <is>
          <t>2026-09-16</t>
        </is>
      </c>
      <c r="G989" s="10" t="inlineStr">
        <is>
          <t>listing cross-check (search result)</t>
        </is>
      </c>
      <c r="H989" s="10" t="inlineStr">
        <is>
          <t>Requires Verification</t>
        </is>
      </c>
    </row>
    <row r="990">
      <c r="A990" s="5" t="inlineStr">
        <is>
          <t>WY-0150</t>
        </is>
      </c>
      <c r="B990" s="5" t="inlineStr">
        <is>
          <t>Somers of Keighley</t>
        </is>
      </c>
      <c r="C990" s="5" t="inlineStr">
        <is>
          <t>Keighley</t>
        </is>
      </c>
      <c r="D990" s="5" t="inlineStr">
        <is>
          <t>https://citikey.uk/display/somers-tobacconists-CHA11</t>
        </is>
      </c>
      <c r="E990" s="5" t="inlineStr">
        <is>
          <t>Directory</t>
        </is>
      </c>
      <c r="F990" s="5" t="inlineStr">
        <is>
          <t>2026-09-16</t>
        </is>
      </c>
      <c r="G990" s="5" t="inlineStr">
        <is>
          <t>trading name Somers Tobacconists, Bow Street BD21 3PB (search snippet)</t>
        </is>
      </c>
      <c r="H990" s="5" t="inlineStr">
        <is>
          <t>Requires Verification</t>
        </is>
      </c>
    </row>
    <row r="991">
      <c r="A991" s="10" t="inlineStr">
        <is>
          <t>WY-0151</t>
        </is>
      </c>
      <c r="B991" s="10" t="inlineStr">
        <is>
          <t>Soothill Convenience Store &amp; Off Licence</t>
        </is>
      </c>
      <c r="C991" s="10" t="inlineStr">
        <is>
          <t>Batley</t>
        </is>
      </c>
      <c r="D991" s="10" t="inlineStr">
        <is>
          <t>https://find-and-update.company-information.service.gov.uk/company/11966163/persons-with-significant-control</t>
        </is>
      </c>
      <c r="E991" s="10" t="inlineStr">
        <is>
          <t>Companies House</t>
        </is>
      </c>
      <c r="F991" s="10" t="inlineStr">
        <is>
          <t>2026-09-16</t>
        </is>
      </c>
      <c r="G991" s="10" t="inlineStr">
        <is>
          <t>registered company name, company number</t>
        </is>
      </c>
      <c r="H991" s="10" t="inlineStr">
        <is>
          <t>Requires Verification</t>
        </is>
      </c>
    </row>
    <row r="992">
      <c r="A992" s="5" t="inlineStr">
        <is>
          <t>WY-0151</t>
        </is>
      </c>
      <c r="B992" s="5" t="inlineStr">
        <is>
          <t>Soothill Convenience Store &amp; Off Licence</t>
        </is>
      </c>
      <c r="C992" s="5" t="inlineStr">
        <is>
          <t>Batley</t>
        </is>
      </c>
      <c r="D992" s="5" t="inlineStr">
        <is>
          <t>https://open.endole.co.uk/insight/company/11966163-soothill-convenience-store-off-licence-limited</t>
        </is>
      </c>
      <c r="E992" s="5" t="inlineStr">
        <is>
          <t>Directory</t>
        </is>
      </c>
      <c r="F992" s="5" t="inlineStr">
        <is>
          <t>2026-09-16</t>
        </is>
      </c>
      <c r="G992" s="5" t="inlineStr">
        <is>
          <t>company profile existence</t>
        </is>
      </c>
      <c r="H992" s="5" t="inlineStr">
        <is>
          <t>Requires Verification</t>
        </is>
      </c>
    </row>
    <row r="993">
      <c r="A993" s="10" t="inlineStr">
        <is>
          <t>UK-000816</t>
        </is>
      </c>
      <c r="B993" s="10" t="inlineStr">
        <is>
          <t>Southdene Newsagents</t>
        </is>
      </c>
      <c r="C993" s="10" t="inlineStr">
        <is>
          <t>Liverpool</t>
        </is>
      </c>
      <c r="D993" s="10" t="inlineStr">
        <is>
          <t>https://kirkby.cylex-uk.co.uk/convenience-stores/</t>
        </is>
      </c>
      <c r="E993" s="10" t="inlineStr">
        <is>
          <t>Directory</t>
        </is>
      </c>
      <c r="F993" s="10" t="inlineStr">
        <is>
          <t>2026-09-17</t>
        </is>
      </c>
      <c r="G993" s="10" t="inlineStr">
        <is>
          <t>name, address, postcode, phone</t>
        </is>
      </c>
      <c r="H993" s="10" t="inlineStr">
        <is>
          <t>Requires Verification</t>
        </is>
      </c>
    </row>
    <row r="994">
      <c r="A994" s="5" t="inlineStr">
        <is>
          <t>UK-000817</t>
        </is>
      </c>
      <c r="B994" s="5" t="inlineStr">
        <is>
          <t>Southside Drinks Company</t>
        </is>
      </c>
      <c r="C994" s="5" t="inlineStr">
        <is>
          <t>Glasgow</t>
        </is>
      </c>
      <c r="D994" s="5" t="inlineStr">
        <is>
          <t>https://tsa-property.co.uk/project/471-victoria-road-glasgow-g42-8rl/</t>
        </is>
      </c>
      <c r="E994" s="5" t="inlineStr">
        <is>
          <t>Directory</t>
        </is>
      </c>
      <c r="F994" s="5" t="inlineStr">
        <is>
          <t>2026-09-17</t>
        </is>
      </c>
      <c r="G994" s="5" t="inlineStr">
        <is>
          <t>trading name, address, postcode</t>
        </is>
      </c>
      <c r="H994" s="5" t="inlineStr">
        <is>
          <t>Requires Verification</t>
        </is>
      </c>
    </row>
    <row r="995">
      <c r="A995" s="10" t="inlineStr">
        <is>
          <t>UK-000662</t>
        </is>
      </c>
      <c r="B995" s="10" t="inlineStr">
        <is>
          <t>Spicebazar</t>
        </is>
      </c>
      <c r="C995" s="10" t="inlineStr">
        <is>
          <t>Ilford</t>
        </is>
      </c>
      <c r="D995" s="10" t="inlineStr">
        <is>
          <t>https://ilford.cylex-uk.co.uk/grocery-stores/</t>
        </is>
      </c>
      <c r="E995" s="10" t="inlineStr">
        <is>
          <t>Directory</t>
        </is>
      </c>
      <c r="F995" s="10" t="inlineStr">
        <is>
          <t>2026-09-17</t>
        </is>
      </c>
      <c r="G995" s="10" t="inlineStr">
        <is>
          <t>name, address, postcode</t>
        </is>
      </c>
      <c r="H995" s="10" t="inlineStr">
        <is>
          <t>Requires Verification</t>
        </is>
      </c>
    </row>
    <row r="996">
      <c r="A996" s="5" t="inlineStr">
        <is>
          <t>WY-0152</t>
        </is>
      </c>
      <c r="B996" s="5" t="inlineStr">
        <is>
          <t>Springfield Garage (Keighley)</t>
        </is>
      </c>
      <c r="C996" s="5" t="inlineStr">
        <is>
          <t>Keighley</t>
        </is>
      </c>
      <c r="D996" s="5" t="inlineStr">
        <is>
          <t>https://find-and-update.company-information.service.gov.uk/company/00871540</t>
        </is>
      </c>
      <c r="E996" s="5" t="inlineStr">
        <is>
          <t>Companies House</t>
        </is>
      </c>
      <c r="F996" s="5" t="inlineStr">
        <is>
          <t>2026-09-16</t>
        </is>
      </c>
      <c r="G996" s="5" t="inlineStr">
        <is>
          <t>company Springfield Garage (Keighley) Limited 00871540 (search result; direct fetch blocked)</t>
        </is>
      </c>
      <c r="H996" s="5" t="inlineStr">
        <is>
          <t>Partially Verified</t>
        </is>
      </c>
    </row>
    <row r="997">
      <c r="A997" s="10" t="inlineStr">
        <is>
          <t>WY-0152</t>
        </is>
      </c>
      <c r="B997" s="10" t="inlineStr">
        <is>
          <t>Springfield Garage (Keighley)</t>
        </is>
      </c>
      <c r="C997" s="10" t="inlineStr">
        <is>
          <t>Keighley</t>
        </is>
      </c>
      <c r="D997" s="10" t="inlineStr">
        <is>
          <t>https://www.mylocalservices.co.uk/Springfield+Garage-Keighley-2646735.html</t>
        </is>
      </c>
      <c r="E997" s="10" t="inlineStr">
        <is>
          <t>Directory</t>
        </is>
      </c>
      <c r="F997" s="10" t="inlineStr">
        <is>
          <t>2026-09-16</t>
        </is>
      </c>
      <c r="G997" s="10" t="inlineStr">
        <is>
          <t>address Oakworth Road BD21 1QQ, phone (search snippet)</t>
        </is>
      </c>
      <c r="H997" s="10" t="inlineStr">
        <is>
          <t>Partially Verified</t>
        </is>
      </c>
    </row>
    <row r="998">
      <c r="A998" s="5" t="inlineStr">
        <is>
          <t>WY-0152</t>
        </is>
      </c>
      <c r="B998" s="5" t="inlineStr">
        <is>
          <t>Springfield Garage (Keighley)</t>
        </is>
      </c>
      <c r="C998" s="5" t="inlineStr">
        <is>
          <t>Keighley</t>
        </is>
      </c>
      <c r="D998" s="5" t="inlineStr">
        <is>
          <t>https://www.fuelflash.eu/en/springfield-garage-keighley-ltd-keighley-united-kingdom-springfield-garage-_keighley_-ltd-oakworth-road-112600/</t>
        </is>
      </c>
      <c r="E998" s="5" t="inlineStr">
        <is>
          <t>Directory</t>
        </is>
      </c>
      <c r="F998" s="5" t="inlineStr">
        <is>
          <t>2026-09-16</t>
        </is>
      </c>
      <c r="G998" s="5" t="inlineStr">
        <is>
          <t>Gulf brand confirmation (search result)</t>
        </is>
      </c>
      <c r="H998" s="5" t="inlineStr">
        <is>
          <t>Partially Verified</t>
        </is>
      </c>
    </row>
    <row r="999">
      <c r="A999" s="10" t="inlineStr">
        <is>
          <t>UK-000382</t>
        </is>
      </c>
      <c r="B999" s="10" t="inlineStr">
        <is>
          <t>Springwater Off Licence</t>
        </is>
      </c>
      <c r="C999" s="10" t="inlineStr">
        <is>
          <t>Whitefield</t>
        </is>
      </c>
      <c r="D999" s="10" t="inlineStr">
        <is>
          <t>https://www.192.com/atoz/business/manchester/off--licence/</t>
        </is>
      </c>
      <c r="E999" s="10" t="inlineStr">
        <is>
          <t>Directory</t>
        </is>
      </c>
      <c r="F999" s="10" t="inlineStr">
        <is>
          <t>2026-09-17</t>
        </is>
      </c>
      <c r="G999" s="10" t="inlineStr">
        <is>
          <t>trading name, address, postcode, phone (via search results)</t>
        </is>
      </c>
      <c r="H999" s="10" t="inlineStr">
        <is>
          <t>Requires Verification</t>
        </is>
      </c>
    </row>
    <row r="1000">
      <c r="A1000" s="5" t="inlineStr">
        <is>
          <t>UK-000279</t>
        </is>
      </c>
      <c r="B1000" s="5" t="inlineStr">
        <is>
          <t>Sprouts Supermarket</t>
        </is>
      </c>
      <c r="C1000" s="5" t="inlineStr">
        <is>
          <t>Rotherham</t>
        </is>
      </c>
      <c r="D1000" s="5" t="inlineStr">
        <is>
          <t>https://www.thomsonlocal.com/search/supermarkets/rotherham/sprouts-supermarket/3066529/01709839980</t>
        </is>
      </c>
      <c r="E1000" s="5" t="inlineStr">
        <is>
          <t>Directory</t>
        </is>
      </c>
      <c r="F1000" s="5" t="inlineStr">
        <is>
          <t>2026-09-16</t>
        </is>
      </c>
      <c r="G1000" s="5" t="inlineStr">
        <is>
          <t>name, phone</t>
        </is>
      </c>
      <c r="H1000" s="5" t="inlineStr">
        <is>
          <t>Requires Verification</t>
        </is>
      </c>
    </row>
    <row r="1001">
      <c r="A1001" s="10" t="inlineStr">
        <is>
          <t>UK-000279</t>
        </is>
      </c>
      <c r="B1001" s="10" t="inlineStr">
        <is>
          <t>Sprouts Supermarket</t>
        </is>
      </c>
      <c r="C1001" s="10" t="inlineStr">
        <is>
          <t>Rotherham</t>
        </is>
      </c>
      <c r="D1001" s="10" t="inlineStr">
        <is>
          <t>https://rotherham.ukintouch.com/store/sprouts-supermarket/</t>
        </is>
      </c>
      <c r="E1001" s="10" t="inlineStr">
        <is>
          <t>Directory</t>
        </is>
      </c>
      <c r="F1001" s="10" t="inlineStr">
        <is>
          <t>2026-09-16</t>
        </is>
      </c>
      <c r="G1001" s="10" t="inlineStr">
        <is>
          <t>address 174 Wellgate, postcode S60 2PE</t>
        </is>
      </c>
      <c r="H1001" s="10" t="inlineStr">
        <is>
          <t>Requires Verification</t>
        </is>
      </c>
    </row>
    <row r="1002">
      <c r="A1002" s="5" t="inlineStr">
        <is>
          <t>WY-0153</t>
        </is>
      </c>
      <c r="B1002" s="5" t="inlineStr">
        <is>
          <t>Stainbeck Off Licence (Best-one)</t>
        </is>
      </c>
      <c r="C1002" s="5" t="inlineStr">
        <is>
          <t>Leeds</t>
        </is>
      </c>
      <c r="D1002" s="5" t="inlineStr">
        <is>
          <t>https://www.yorkshire.com/chapel-allerton/shopping/off-license</t>
        </is>
      </c>
      <c r="E1002" s="5" t="inlineStr">
        <is>
          <t>Directory</t>
        </is>
      </c>
      <c r="F1002" s="5" t="inlineStr">
        <is>
          <t>2026-09-16</t>
        </is>
      </c>
      <c r="G1002" s="5" t="inlineStr">
        <is>
          <t>name, area, Best-one affiliation (via search results)</t>
        </is>
      </c>
      <c r="H1002" s="5" t="inlineStr">
        <is>
          <t>Requires Verification</t>
        </is>
      </c>
    </row>
    <row r="1003">
      <c r="A1003" s="10" t="inlineStr">
        <is>
          <t>WY-0154</t>
        </is>
      </c>
      <c r="B1003" s="10" t="inlineStr">
        <is>
          <t>Star Express Off-Licence &amp; Convenience Store</t>
        </is>
      </c>
      <c r="C1003" s="10" t="inlineStr">
        <is>
          <t>Huddersfield</t>
        </is>
      </c>
      <c r="D1003" s="10" t="inlineStr">
        <is>
          <t>https://www.yorkshire.com/huddersfield/shopping/off-license/star-express-off-licence-convenience-store</t>
        </is>
      </c>
      <c r="E1003" s="10" t="inlineStr">
        <is>
          <t>Directory</t>
        </is>
      </c>
      <c r="F1003" s="10" t="inlineStr">
        <is>
          <t>2026-09-16</t>
        </is>
      </c>
      <c r="G1003" s="10" t="inlineStr">
        <is>
          <t>name, street, hours</t>
        </is>
      </c>
      <c r="H1003" s="10" t="inlineStr">
        <is>
          <t>Requires Verification</t>
        </is>
      </c>
    </row>
    <row r="1004">
      <c r="A1004" s="5" t="inlineStr">
        <is>
          <t>UK-000818</t>
        </is>
      </c>
      <c r="B1004" s="5" t="inlineStr">
        <is>
          <t>Star News</t>
        </is>
      </c>
      <c r="C1004" s="5" t="inlineStr">
        <is>
          <t>Liverpool</t>
        </is>
      </c>
      <c r="D1004" s="5" t="inlineStr">
        <is>
          <t>https://www.yell.com/biz/star-news-liverpool-1873832/</t>
        </is>
      </c>
      <c r="E1004" s="5" t="inlineStr">
        <is>
          <t>Yell</t>
        </is>
      </c>
      <c r="F1004" s="5" t="inlineStr">
        <is>
          <t>2026-09-17</t>
        </is>
      </c>
      <c r="G1004" s="5" t="inlineStr">
        <is>
          <t>name, postcode</t>
        </is>
      </c>
      <c r="H1004" s="5" t="inlineStr">
        <is>
          <t>Requires Verification</t>
        </is>
      </c>
    </row>
    <row r="1005">
      <c r="A1005" s="10" t="inlineStr">
        <is>
          <t>UK-000818</t>
        </is>
      </c>
      <c r="B1005" s="10" t="inlineStr">
        <is>
          <t>Star News</t>
        </is>
      </c>
      <c r="C1005" s="10" t="inlineStr">
        <is>
          <t>Liverpool</t>
        </is>
      </c>
      <c r="D1005" s="10" t="inlineStr">
        <is>
          <t>https://www.192.com/atoz/business/liverpool-l3/newsagents/stars-newshops/2c095cfc6084373192f5bb488963b4592a64baad/ml/</t>
        </is>
      </c>
      <c r="E1005" s="10" t="inlineStr">
        <is>
          <t>Directory</t>
        </is>
      </c>
      <c r="F1005" s="10" t="inlineStr">
        <is>
          <t>2026-09-17</t>
        </is>
      </c>
      <c r="G1005" s="10" t="inlineStr">
        <is>
          <t>name, postcode</t>
        </is>
      </c>
      <c r="H1005" s="10" t="inlineStr">
        <is>
          <t>Requires Verification</t>
        </is>
      </c>
    </row>
    <row r="1006">
      <c r="A1006" s="5" t="inlineStr">
        <is>
          <t>UK-000516</t>
        </is>
      </c>
      <c r="B1006" s="5" t="inlineStr">
        <is>
          <t>Star Supermarket</t>
        </is>
      </c>
      <c r="C1006" s="5" t="inlineStr">
        <is>
          <t>Smethwick</t>
        </is>
      </c>
      <c r="D1006" s="5" t="inlineStr">
        <is>
          <t>https://www.instagram.com/starsupermarket_birmingham/</t>
        </is>
      </c>
      <c r="E1006" s="5" t="inlineStr">
        <is>
          <t>Instagram</t>
        </is>
      </c>
      <c r="F1006" s="5" t="inlineStr">
        <is>
          <t>2026-09-17</t>
        </is>
      </c>
      <c r="G1006" s="5" t="inlineStr">
        <is>
          <t>business name, Tollgate Centre Smethwick location (profile snippet)</t>
        </is>
      </c>
      <c r="H1006" s="5" t="inlineStr">
        <is>
          <t>Requires Verification</t>
        </is>
      </c>
    </row>
    <row r="1007">
      <c r="A1007" s="10" t="inlineStr">
        <is>
          <t>UK-000516</t>
        </is>
      </c>
      <c r="B1007" s="10" t="inlineStr">
        <is>
          <t>Star Supermarket</t>
        </is>
      </c>
      <c r="C1007" s="10" t="inlineStr">
        <is>
          <t>Smethwick</t>
        </is>
      </c>
      <c r="D1007" s="10" t="inlineStr">
        <is>
          <t>https://www.yelp.com/search?find_desc=Asian+Supermarket&amp;find_loc=Smethwick%2C+West+Midlands</t>
        </is>
      </c>
      <c r="E1007" s="10" t="inlineStr">
        <is>
          <t>Directory</t>
        </is>
      </c>
      <c r="F1007" s="10" t="inlineStr">
        <is>
          <t>2026-09-17</t>
        </is>
      </c>
      <c r="G1007" s="10" t="inlineStr">
        <is>
          <t>business existence, area (search snippet)</t>
        </is>
      </c>
      <c r="H1007" s="10" t="inlineStr">
        <is>
          <t>Requires Verification</t>
        </is>
      </c>
    </row>
    <row r="1008">
      <c r="A1008" s="5" t="inlineStr">
        <is>
          <t>UK-000819</t>
        </is>
      </c>
      <c r="B1008" s="5" t="inlineStr">
        <is>
          <t>Steamworx Vape Room</t>
        </is>
      </c>
      <c r="C1008" s="5" t="inlineStr">
        <is>
          <t>Bootle</t>
        </is>
      </c>
      <c r="D1008" s="5" t="inlineStr">
        <is>
          <t>https://www.yell.com/biz/steamworx-vape-room-bootle-9782515/</t>
        </is>
      </c>
      <c r="E1008" s="5" t="inlineStr">
        <is>
          <t>Yell</t>
        </is>
      </c>
      <c r="F1008" s="5" t="inlineStr">
        <is>
          <t>2026-09-17</t>
        </is>
      </c>
      <c r="G1008" s="5" t="inlineStr">
        <is>
          <t>name, address, postcode</t>
        </is>
      </c>
      <c r="H1008" s="5" t="inlineStr">
        <is>
          <t>Requires Verification</t>
        </is>
      </c>
    </row>
    <row r="1009">
      <c r="A1009" s="10" t="inlineStr">
        <is>
          <t>UK-000517</t>
        </is>
      </c>
      <c r="B1009" s="10" t="inlineStr">
        <is>
          <t>Stirchley Food &amp; Wine</t>
        </is>
      </c>
      <c r="C1009" s="10" t="inlineStr">
        <is>
          <t>Birmingham</t>
        </is>
      </c>
      <c r="D1009" s="10" t="inlineStr">
        <is>
          <t>https://www.yelp.com/search?cflt=convenience&amp;find_loc=Stirchley%2C+Birmingham%2C+West+Midlands</t>
        </is>
      </c>
      <c r="E1009" s="10" t="inlineStr">
        <is>
          <t>Directory</t>
        </is>
      </c>
      <c r="F1009" s="10" t="inlineStr">
        <is>
          <t>2026-09-17</t>
        </is>
      </c>
      <c r="G1009" s="10" t="inlineStr">
        <is>
          <t>address, postcode, phone</t>
        </is>
      </c>
      <c r="H1009" s="10" t="inlineStr">
        <is>
          <t>Requires Verification</t>
        </is>
      </c>
    </row>
    <row r="1010">
      <c r="A1010" s="5" t="inlineStr">
        <is>
          <t>UK-000518</t>
        </is>
      </c>
      <c r="B1010" s="5" t="inlineStr">
        <is>
          <t>Stirchley Wines &amp; Spirits</t>
        </is>
      </c>
      <c r="C1010" s="5" t="inlineStr">
        <is>
          <t>Birmingham</t>
        </is>
      </c>
      <c r="D1010" s="5" t="inlineStr">
        <is>
          <t>https://www.stirchleywines.co.uk/contact/</t>
        </is>
      </c>
      <c r="E1010" s="5" t="inlineStr">
        <is>
          <t>Official Website</t>
        </is>
      </c>
      <c r="F1010" s="5" t="inlineStr">
        <is>
          <t>2026-09-17</t>
        </is>
      </c>
      <c r="G1010" s="5" t="inlineStr">
        <is>
          <t>address, postcode, phone</t>
        </is>
      </c>
      <c r="H1010" s="5" t="inlineStr">
        <is>
          <t>Requires Verification</t>
        </is>
      </c>
    </row>
    <row r="1011">
      <c r="A1011" s="10" t="inlineStr">
        <is>
          <t>UK-000518</t>
        </is>
      </c>
      <c r="B1011" s="10" t="inlineStr">
        <is>
          <t>Stirchley Wines &amp; Spirits</t>
        </is>
      </c>
      <c r="C1011" s="10" t="inlineStr">
        <is>
          <t>Birmingham</t>
        </is>
      </c>
      <c r="D1011" s="10" t="inlineStr">
        <is>
          <t>https://www.yell.com/biz/stirchley-wines-and-spirits-birmingham-1536986/</t>
        </is>
      </c>
      <c r="E1011" s="10" t="inlineStr">
        <is>
          <t>Yell</t>
        </is>
      </c>
      <c r="F1011" s="10" t="inlineStr">
        <is>
          <t>2026-09-17</t>
        </is>
      </c>
      <c r="G1011" s="10" t="inlineStr">
        <is>
          <t>address confirmation</t>
        </is>
      </c>
      <c r="H1011" s="10" t="inlineStr">
        <is>
          <t>Requires Verification</t>
        </is>
      </c>
    </row>
    <row r="1012">
      <c r="A1012" s="5" t="inlineStr">
        <is>
          <t>UK-000519</t>
        </is>
      </c>
      <c r="B1012" s="5" t="inlineStr">
        <is>
          <t>Stourbridge Gadgets And Vape House LTD</t>
        </is>
      </c>
      <c r="C1012" s="5" t="inlineStr">
        <is>
          <t>Stourbridge</t>
        </is>
      </c>
      <c r="D1012" s="5" t="inlineStr">
        <is>
          <t>https://www.facebook.com/stourbridgegadgetsandvapehouse/</t>
        </is>
      </c>
      <c r="E1012" s="5" t="inlineStr">
        <is>
          <t>Facebook</t>
        </is>
      </c>
      <c r="F1012" s="5" t="inlineStr">
        <is>
          <t>2026-09-17</t>
        </is>
      </c>
      <c r="G1012" s="5" t="inlineStr">
        <is>
          <t>business name, phone (page snippet)</t>
        </is>
      </c>
      <c r="H1012" s="5" t="inlineStr">
        <is>
          <t>Requires Verification</t>
        </is>
      </c>
    </row>
    <row r="1013">
      <c r="A1013" s="10" t="inlineStr">
        <is>
          <t>WY-0155</t>
        </is>
      </c>
      <c r="B1013" s="10" t="inlineStr">
        <is>
          <t>Stringers Service Station</t>
        </is>
      </c>
      <c r="C1013" s="10" t="inlineStr">
        <is>
          <t>Pontefract</t>
        </is>
      </c>
      <c r="D1013" s="10" t="inlineStr">
        <is>
          <t>https://www.petrolprices.com/locations/pontefract/grove-road/6837</t>
        </is>
      </c>
      <c r="E1013" s="10" t="inlineStr">
        <is>
          <t>Directory</t>
        </is>
      </c>
      <c r="F1013" s="10" t="inlineStr">
        <is>
          <t>2026-09-16</t>
        </is>
      </c>
      <c r="G1013" s="10" t="inlineStr">
        <is>
          <t>site listing, Murco branding, WF8 1PN</t>
        </is>
      </c>
      <c r="H1013" s="10" t="inlineStr">
        <is>
          <t>Requires Verification</t>
        </is>
      </c>
    </row>
    <row r="1014">
      <c r="A1014" s="5" t="inlineStr">
        <is>
          <t>WY-0155</t>
        </is>
      </c>
      <c r="B1014" s="5" t="inlineStr">
        <is>
          <t>Stringers Service Station</t>
        </is>
      </c>
      <c r="C1014" s="5" t="inlineStr">
        <is>
          <t>Pontefract</t>
        </is>
      </c>
      <c r="D1014" s="5" t="inlineStr">
        <is>
          <t>https://ratings.food.gov.uk/business/313271/stringers-service-station-pontefract</t>
        </is>
      </c>
      <c r="E1014" s="5" t="inlineStr">
        <is>
          <t>Other</t>
        </is>
      </c>
      <c r="F1014" s="5" t="inlineStr">
        <is>
          <t>2026-09-16</t>
        </is>
      </c>
      <c r="G1014" s="5" t="inlineStr">
        <is>
          <t>FSA listing, address 102 Southgate</t>
        </is>
      </c>
      <c r="H1014" s="5" t="inlineStr">
        <is>
          <t>Requires Verification</t>
        </is>
      </c>
    </row>
    <row r="1015">
      <c r="A1015" s="10" t="inlineStr">
        <is>
          <t>WY-0156</t>
        </is>
      </c>
      <c r="B1015" s="10" t="inlineStr">
        <is>
          <t>Suki's Cash &amp; Carry</t>
        </is>
      </c>
      <c r="C1015" s="10" t="inlineStr">
        <is>
          <t>Bradford</t>
        </is>
      </c>
      <c r="D1015" s="10" t="inlineStr">
        <is>
          <t>https://sukiscashandcarry.co.uk/</t>
        </is>
      </c>
      <c r="E1015" s="10" t="inlineStr">
        <is>
          <t>Official Website</t>
        </is>
      </c>
      <c r="F1015" s="10" t="inlineStr">
        <is>
          <t>2026-09-16</t>
        </is>
      </c>
      <c r="G1015" s="10" t="inlineStr">
        <is>
          <t>address Garnett Street BD3 9HN, product range (search snippet; fetch blocked)</t>
        </is>
      </c>
      <c r="H1015" s="10" t="inlineStr">
        <is>
          <t>Partially Verified</t>
        </is>
      </c>
    </row>
    <row r="1016">
      <c r="A1016" s="5" t="inlineStr">
        <is>
          <t>WY-0156</t>
        </is>
      </c>
      <c r="B1016" s="5" t="inlineStr">
        <is>
          <t>Suki's Cash &amp; Carry</t>
        </is>
      </c>
      <c r="C1016" s="5" t="inlineStr">
        <is>
          <t>Bradford</t>
        </is>
      </c>
      <c r="D1016" s="5" t="inlineStr">
        <is>
          <t>https://www.yell.com/biz/suki-cash-and-carry-bradford-917912/</t>
        </is>
      </c>
      <c r="E1016" s="5" t="inlineStr">
        <is>
          <t>Yell</t>
        </is>
      </c>
      <c r="F1016" s="5" t="inlineStr">
        <is>
          <t>2026-09-16</t>
        </is>
      </c>
      <c r="G1016" s="5" t="inlineStr">
        <is>
          <t>listing cross-check (search result)</t>
        </is>
      </c>
      <c r="H1016" s="5" t="inlineStr">
        <is>
          <t>Partially Verified</t>
        </is>
      </c>
    </row>
    <row r="1017">
      <c r="A1017" s="10" t="inlineStr">
        <is>
          <t>WY-0156</t>
        </is>
      </c>
      <c r="B1017" s="10" t="inlineStr">
        <is>
          <t>Suki's Cash &amp; Carry</t>
        </is>
      </c>
      <c r="C1017" s="10" t="inlineStr">
        <is>
          <t>Bradford</t>
        </is>
      </c>
      <c r="D1017" s="10" t="inlineStr">
        <is>
          <t>https://www.britaine.co.uk/suki-cash-carry-F120DC90718D447</t>
        </is>
      </c>
      <c r="E1017" s="10" t="inlineStr">
        <is>
          <t>Directory</t>
        </is>
      </c>
      <c r="F1017" s="10" t="inlineStr">
        <is>
          <t>2026-09-16</t>
        </is>
      </c>
      <c r="G1017" s="10" t="inlineStr">
        <is>
          <t>phone 01274 736093 (search snippet)</t>
        </is>
      </c>
      <c r="H1017" s="10" t="inlineStr">
        <is>
          <t>Partially Verified</t>
        </is>
      </c>
    </row>
    <row r="1018">
      <c r="A1018" s="5" t="inlineStr">
        <is>
          <t>WY-0156</t>
        </is>
      </c>
      <c r="B1018" s="5" t="inlineStr">
        <is>
          <t>Suki's Cash &amp; Carry</t>
        </is>
      </c>
      <c r="C1018" s="5" t="inlineStr">
        <is>
          <t>Bradford</t>
        </is>
      </c>
      <c r="D1018" s="5" t="inlineStr">
        <is>
          <t>https://sukiscashandcarry.co.uk/pages/contact-us</t>
        </is>
      </c>
      <c r="E1018" s="5" t="inlineStr">
        <is>
          <t>Official Website</t>
        </is>
      </c>
      <c r="F1018" s="5" t="inlineStr">
        <is>
          <t>2026-09-16</t>
        </is>
      </c>
      <c r="G1018" s="5" t="inlineStr">
        <is>
          <t>contact page (via search extraction)</t>
        </is>
      </c>
      <c r="H1018" s="5" t="inlineStr">
        <is>
          <t>Partially Verified</t>
        </is>
      </c>
    </row>
    <row r="1019">
      <c r="A1019" s="10" t="inlineStr">
        <is>
          <t>WY-0156</t>
        </is>
      </c>
      <c r="B1019" s="10" t="inlineStr">
        <is>
          <t>Suki's Cash &amp; Carry</t>
        </is>
      </c>
      <c r="C1019" s="10" t="inlineStr">
        <is>
          <t>Bradford</t>
        </is>
      </c>
      <c r="D1019" s="10" t="inlineStr">
        <is>
          <t>https://www.yelp.com/biz/sukis-cash-and-carry-wholesalers-bradford</t>
        </is>
      </c>
      <c r="E1019" s="10" t="inlineStr">
        <is>
          <t>Directory</t>
        </is>
      </c>
      <c r="F1019" s="10" t="inlineStr">
        <is>
          <t>2026-09-16</t>
        </is>
      </c>
      <c r="G1019" s="10" t="inlineStr">
        <is>
          <t>address, phone, hours</t>
        </is>
      </c>
      <c r="H1019" s="10" t="inlineStr">
        <is>
          <t>Partially Verified</t>
        </is>
      </c>
    </row>
    <row r="1020">
      <c r="A1020" s="5" t="inlineStr">
        <is>
          <t>WY-0156</t>
        </is>
      </c>
      <c r="B1020" s="5" t="inlineStr">
        <is>
          <t>Suki's Cash &amp; Carry</t>
        </is>
      </c>
      <c r="C1020" s="5" t="inlineStr">
        <is>
          <t>Bradford</t>
        </is>
      </c>
      <c r="D1020" s="5" t="inlineStr">
        <is>
          <t>https://www.facebook.com/sukiscashandcarry/</t>
        </is>
      </c>
      <c r="E1020" s="5" t="inlineStr">
        <is>
          <t>Facebook</t>
        </is>
      </c>
      <c r="F1020" s="5" t="inlineStr">
        <is>
          <t>2026-09-16</t>
        </is>
      </c>
      <c r="G1020" s="5" t="inlineStr">
        <is>
          <t>social (facebook, instagram)</t>
        </is>
      </c>
      <c r="H1020" s="5" t="inlineStr">
        <is>
          <t>Partially Verified</t>
        </is>
      </c>
    </row>
    <row r="1021">
      <c r="A1021" s="10" t="inlineStr">
        <is>
          <t>WY-0157</t>
        </is>
      </c>
      <c r="B1021" s="10" t="inlineStr">
        <is>
          <t>Sup Mirfield</t>
        </is>
      </c>
      <c r="C1021" s="10" t="inlineStr">
        <is>
          <t>Mirfield</t>
        </is>
      </c>
      <c r="D1021" s="10" t="inlineStr">
        <is>
          <t>https://www.facebook.com/supmirfield/</t>
        </is>
      </c>
      <c r="E1021" s="10" t="inlineStr">
        <is>
          <t>Facebook</t>
        </is>
      </c>
      <c r="F1021" s="10" t="inlineStr">
        <is>
          <t>2026-09-16</t>
        </is>
      </c>
      <c r="G1021" s="10" t="inlineStr">
        <is>
          <t>address, phone</t>
        </is>
      </c>
      <c r="H1021" s="10" t="inlineStr">
        <is>
          <t>Requires Verification</t>
        </is>
      </c>
    </row>
    <row r="1022">
      <c r="A1022" s="5" t="inlineStr">
        <is>
          <t>UK-000820</t>
        </is>
      </c>
      <c r="B1022" s="5" t="inlineStr">
        <is>
          <t>Super Vapes Coatbridge</t>
        </is>
      </c>
      <c r="C1022" s="5" t="inlineStr">
        <is>
          <t>Coatbridge</t>
        </is>
      </c>
      <c r="D1022" s="5" t="inlineStr">
        <is>
          <t>https://coatbridge.cylex-uk.co.uk/company/super-vapes-27202224.html</t>
        </is>
      </c>
      <c r="E1022" s="5" t="inlineStr">
        <is>
          <t>Directory</t>
        </is>
      </c>
      <c r="F1022" s="5" t="inlineStr">
        <is>
          <t>2026-09-17</t>
        </is>
      </c>
      <c r="G1022" s="5" t="inlineStr">
        <is>
          <t>address, postcode, phone</t>
        </is>
      </c>
      <c r="H1022" s="5" t="inlineStr">
        <is>
          <t>Requires Verification</t>
        </is>
      </c>
    </row>
    <row r="1023">
      <c r="A1023" s="10" t="inlineStr">
        <is>
          <t>UK-000383</t>
        </is>
      </c>
      <c r="B1023" s="10" t="inlineStr">
        <is>
          <t>Swinton Vape (Swinton Market, Salford)</t>
        </is>
      </c>
      <c r="C1023" s="10" t="inlineStr">
        <is>
          <t>Salford</t>
        </is>
      </c>
      <c r="D1023" s="10" t="inlineStr">
        <is>
          <t>https://ecigdirectory.co.uk/vape-shop/listing/swinton-vape</t>
        </is>
      </c>
      <c r="E1023" s="10" t="inlineStr">
        <is>
          <t>Directory</t>
        </is>
      </c>
      <c r="F1023" s="10" t="inlineStr">
        <is>
          <t>2026-09-17</t>
        </is>
      </c>
      <c r="G1023" s="10" t="inlineStr">
        <is>
          <t>business name, address, postcode</t>
        </is>
      </c>
      <c r="H1023" s="10" t="inlineStr">
        <is>
          <t>Requires Verification</t>
        </is>
      </c>
    </row>
    <row r="1024">
      <c r="A1024" s="5" t="inlineStr">
        <is>
          <t>UK-000821</t>
        </is>
      </c>
      <c r="B1024" s="5" t="inlineStr">
        <is>
          <t>T &amp; C Mills Newsagent</t>
        </is>
      </c>
      <c r="C1024" s="5" t="inlineStr">
        <is>
          <t>Liverpool</t>
        </is>
      </c>
      <c r="D1024" s="5" t="inlineStr">
        <is>
          <t>https://crosby-sefton.cylex-uk.co.uk/magazines.html</t>
        </is>
      </c>
      <c r="E1024" s="5" t="inlineStr">
        <is>
          <t>Directory</t>
        </is>
      </c>
      <c r="F1024" s="5" t="inlineStr">
        <is>
          <t>2026-09-17</t>
        </is>
      </c>
      <c r="G1024" s="5" t="inlineStr">
        <is>
          <t>St Johns Road address, postcode, phone</t>
        </is>
      </c>
      <c r="H1024" s="5" t="inlineStr">
        <is>
          <t>Requires Verification</t>
        </is>
      </c>
    </row>
    <row r="1025">
      <c r="A1025" s="10" t="inlineStr">
        <is>
          <t>UK-000384</t>
        </is>
      </c>
      <c r="B1025" s="10" t="inlineStr">
        <is>
          <t>TJ News &amp; Off Licence (Gorton)</t>
        </is>
      </c>
      <c r="C1025" s="10" t="inlineStr">
        <is>
          <t>Manchester</t>
        </is>
      </c>
      <c r="D1025" s="10" t="inlineStr">
        <is>
          <t>https://www.touchlocal.com/search/off-licences/gorton</t>
        </is>
      </c>
      <c r="E1025" s="10" t="inlineStr">
        <is>
          <t>Directory</t>
        </is>
      </c>
      <c r="F1025" s="10" t="inlineStr">
        <is>
          <t>2026-09-17</t>
        </is>
      </c>
      <c r="G1025" s="10" t="inlineStr">
        <is>
          <t>business name, postcode, phone</t>
        </is>
      </c>
      <c r="H1025" s="10" t="inlineStr">
        <is>
          <t>Requires Verification</t>
        </is>
      </c>
    </row>
    <row r="1026">
      <c r="A1026" s="5" t="inlineStr">
        <is>
          <t>UK-000280</t>
        </is>
      </c>
      <c r="B1026" s="5" t="inlineStr">
        <is>
          <t>TLC (Top Lines Catering Supplies)</t>
        </is>
      </c>
      <c r="C1026" s="5" t="inlineStr">
        <is>
          <t>Sheffield</t>
        </is>
      </c>
      <c r="D1026" s="5" t="inlineStr">
        <is>
          <t>https://www.tlcfoods.com/info/how-to-find-us</t>
        </is>
      </c>
      <c r="E1026" s="5" t="inlineStr">
        <is>
          <t>Official Website</t>
        </is>
      </c>
      <c r="F1026" s="5" t="inlineStr">
        <is>
          <t>2026-09-16</t>
        </is>
      </c>
      <c r="G1026" s="5" t="inlineStr">
        <is>
          <t>name, address, phone</t>
        </is>
      </c>
      <c r="H1026" s="5" t="inlineStr">
        <is>
          <t>Requires Verification</t>
        </is>
      </c>
    </row>
    <row r="1027">
      <c r="A1027" s="10" t="inlineStr">
        <is>
          <t>UK-000280</t>
        </is>
      </c>
      <c r="B1027" s="10" t="inlineStr">
        <is>
          <t>TLC (Top Lines Catering Supplies)</t>
        </is>
      </c>
      <c r="C1027" s="10" t="inlineStr">
        <is>
          <t>Sheffield</t>
        </is>
      </c>
      <c r="D1027" s="10" t="inlineStr">
        <is>
          <t>https://www.hotfrog.co.uk/company/1096961803157504/top-lines-catering-supplies/sheffield/foods</t>
        </is>
      </c>
      <c r="E1027" s="10" t="inlineStr">
        <is>
          <t>Directory</t>
        </is>
      </c>
      <c r="F1027" s="10" t="inlineStr">
        <is>
          <t>2026-09-16</t>
        </is>
      </c>
      <c r="G1027" s="10" t="inlineStr">
        <is>
          <t>legal name, address, postcode S9 3WX</t>
        </is>
      </c>
      <c r="H1027" s="10" t="inlineStr">
        <is>
          <t>Requires Verification</t>
        </is>
      </c>
    </row>
    <row r="1028">
      <c r="A1028" s="5" t="inlineStr">
        <is>
          <t>UK-000663</t>
        </is>
      </c>
      <c r="B1028" s="5" t="inlineStr">
        <is>
          <t>Tad's Coffee Offie</t>
        </is>
      </c>
      <c r="C1028" s="5" t="inlineStr">
        <is>
          <t>Bethnal Green</t>
        </is>
      </c>
      <c r="D1028" s="5" t="inlineStr">
        <is>
          <t>https://www.yell.com/s/off+licences-bethnal+green-east+london.html</t>
        </is>
      </c>
      <c r="E1028" s="5" t="inlineStr">
        <is>
          <t>Yell</t>
        </is>
      </c>
      <c r="F1028" s="5" t="inlineStr">
        <is>
          <t>2026-09-17</t>
        </is>
      </c>
      <c r="G1028" s="5" t="inlineStr">
        <is>
          <t>name, address, postcode, phone</t>
        </is>
      </c>
      <c r="H1028" s="5" t="inlineStr">
        <is>
          <t>Requires Verification</t>
        </is>
      </c>
    </row>
    <row r="1029">
      <c r="A1029" s="10" t="inlineStr">
        <is>
          <t>UK-000385</t>
        </is>
      </c>
      <c r="B1029" s="10" t="inlineStr">
        <is>
          <t>Tameside Ecigs</t>
        </is>
      </c>
      <c r="C1029" s="10" t="inlineStr">
        <is>
          <t>Ashton-under-Lyne</t>
        </is>
      </c>
      <c r="D1029" s="10" t="inlineStr">
        <is>
          <t>https://ecigdirectory.co.uk/vape-shop/listing/tameside-ecigs-ashton-under-lyne</t>
        </is>
      </c>
      <c r="E1029" s="10" t="inlineStr">
        <is>
          <t>Directory</t>
        </is>
      </c>
      <c r="F1029" s="10" t="inlineStr">
        <is>
          <t>2026-09-17</t>
        </is>
      </c>
      <c r="G1029" s="10" t="inlineStr">
        <is>
          <t>address, postcode</t>
        </is>
      </c>
      <c r="H1029" s="10" t="inlineStr">
        <is>
          <t>Requires Verification</t>
        </is>
      </c>
    </row>
    <row r="1030">
      <c r="A1030" s="5" t="inlineStr">
        <is>
          <t>UK-000281</t>
        </is>
      </c>
      <c r="B1030" s="5" t="inlineStr">
        <is>
          <t>Tang Hall Food &amp; Wine</t>
        </is>
      </c>
      <c r="C1030" s="5" t="inlineStr">
        <is>
          <t>York</t>
        </is>
      </c>
      <c r="D1030" s="5" t="inlineStr">
        <is>
          <t>https://www.yorkshire.com/york/shopping/off-license</t>
        </is>
      </c>
      <c r="E1030" s="5" t="inlineStr">
        <is>
          <t>Directory</t>
        </is>
      </c>
      <c r="F1030" s="5" t="inlineStr">
        <is>
          <t>2026-09-16</t>
        </is>
      </c>
      <c r="G1030" s="5" t="inlineStr">
        <is>
          <t>name, address, postcode</t>
        </is>
      </c>
      <c r="H1030" s="5" t="inlineStr">
        <is>
          <t>Requires Verification</t>
        </is>
      </c>
    </row>
    <row r="1031">
      <c r="A1031" s="10" t="inlineStr">
        <is>
          <t>UK-000822</t>
        </is>
      </c>
      <c r="B1031" s="10" t="inlineStr">
        <is>
          <t>Taste of Poland</t>
        </is>
      </c>
      <c r="C1031" s="10" t="inlineStr">
        <is>
          <t>Edinburgh</t>
        </is>
      </c>
      <c r="D1031" s="10" t="inlineStr">
        <is>
          <t>https://edinburgh.cylex-uk.co.uk/company/taste-of-poland-27505910.html</t>
        </is>
      </c>
      <c r="E1031" s="10" t="inlineStr">
        <is>
          <t>Directory</t>
        </is>
      </c>
      <c r="F1031" s="10" t="inlineStr">
        <is>
          <t>2026-09-17</t>
        </is>
      </c>
      <c r="G1031" s="10" t="inlineStr">
        <is>
          <t>name, area (snippet; phone truncated)</t>
        </is>
      </c>
      <c r="H1031" s="10" t="inlineStr">
        <is>
          <t>Requires Verification</t>
        </is>
      </c>
    </row>
    <row r="1032">
      <c r="A1032" s="5" t="inlineStr">
        <is>
          <t>UK-000664</t>
        </is>
      </c>
      <c r="B1032" s="5" t="inlineStr">
        <is>
          <t>Tech Repairs &amp; Ladbroke Vapes</t>
        </is>
      </c>
      <c r="C1032" s="5" t="inlineStr">
        <is>
          <t>London</t>
        </is>
      </c>
      <c r="D1032" s="5" t="inlineStr">
        <is>
          <t>https://www.yell.com/s/tobacconists-ladbroke+grove-west+london.html</t>
        </is>
      </c>
      <c r="E1032" s="5" t="inlineStr">
        <is>
          <t>Yell</t>
        </is>
      </c>
      <c r="F1032" s="5" t="inlineStr">
        <is>
          <t>2026-09-17</t>
        </is>
      </c>
      <c r="G1032" s="5" t="inlineStr">
        <is>
          <t>business name, address, postcode</t>
        </is>
      </c>
      <c r="H1032" s="5" t="inlineStr">
        <is>
          <t>Requires Verification</t>
        </is>
      </c>
    </row>
    <row r="1033">
      <c r="A1033" s="10" t="inlineStr">
        <is>
          <t>WY-0158</t>
        </is>
      </c>
      <c r="B1033" s="10" t="inlineStr">
        <is>
          <t>Thali Outlet</t>
        </is>
      </c>
      <c r="C1033" s="10" t="inlineStr">
        <is>
          <t>Leeds</t>
        </is>
      </c>
      <c r="D1033" s="10" t="inlineStr">
        <is>
          <t>https://www.thalioutlet.com/pages/contact</t>
        </is>
      </c>
      <c r="E1033" s="10" t="inlineStr">
        <is>
          <t>Official Website</t>
        </is>
      </c>
      <c r="F1033" s="10" t="inlineStr">
        <is>
          <t>2026-09-16</t>
        </is>
      </c>
      <c r="G1033" s="10" t="inlineStr">
        <is>
          <t>address, contact page (via search results; direct fetch blocked by proxy)</t>
        </is>
      </c>
      <c r="H1033" s="10" t="inlineStr">
        <is>
          <t>Requires Verification</t>
        </is>
      </c>
    </row>
    <row r="1034">
      <c r="A1034" s="5" t="inlineStr">
        <is>
          <t>WY-0158</t>
        </is>
      </c>
      <c r="B1034" s="5" t="inlineStr">
        <is>
          <t>Thali Outlet</t>
        </is>
      </c>
      <c r="C1034" s="5" t="inlineStr">
        <is>
          <t>Leeds</t>
        </is>
      </c>
      <c r="D1034" s="5" t="inlineStr">
        <is>
          <t>https://www.thomsonlocal.com/search/party-goods-novelties/leeds/thali-outlet/1678928/01133948000</t>
        </is>
      </c>
      <c r="E1034" s="5" t="inlineStr">
        <is>
          <t>Directory</t>
        </is>
      </c>
      <c r="F1034" s="5" t="inlineStr">
        <is>
          <t>2026-09-16</t>
        </is>
      </c>
      <c r="G1034" s="5" t="inlineStr">
        <is>
          <t>phone 0113 394 8000 (via search results)</t>
        </is>
      </c>
      <c r="H1034" s="5" t="inlineStr">
        <is>
          <t>Requires Verification</t>
        </is>
      </c>
    </row>
    <row r="1035">
      <c r="A1035" s="10" t="inlineStr">
        <is>
          <t>WY-0158</t>
        </is>
      </c>
      <c r="B1035" s="10" t="inlineStr">
        <is>
          <t>Thali Outlet</t>
        </is>
      </c>
      <c r="C1035" s="10" t="inlineStr">
        <is>
          <t>Leeds</t>
        </is>
      </c>
      <c r="D1035" s="10" t="inlineStr">
        <is>
          <t>https://gb.kompass.com/c/thali-outlet/gb08555459/</t>
        </is>
      </c>
      <c r="E1035" s="10" t="inlineStr">
        <is>
          <t>Directory</t>
        </is>
      </c>
      <c r="F1035" s="10" t="inlineStr">
        <is>
          <t>2026-09-16</t>
        </is>
      </c>
      <c r="G1035" s="10" t="inlineStr">
        <is>
          <t>legal name and company number (via search results)</t>
        </is>
      </c>
      <c r="H1035" s="10" t="inlineStr">
        <is>
          <t>Requires Verification</t>
        </is>
      </c>
    </row>
    <row r="1036">
      <c r="A1036" s="5" t="inlineStr">
        <is>
          <t>UK-000665</t>
        </is>
      </c>
      <c r="B1036" s="5" t="inlineStr">
        <is>
          <t>The Canary Wharf Vapour Co</t>
        </is>
      </c>
      <c r="C1036" s="5" t="inlineStr">
        <is>
          <t>Whitechapel</t>
        </is>
      </c>
      <c r="D1036" s="5" t="inlineStr">
        <is>
          <t>https://www.yelp.co.uk/search?cflt=vapeshops&amp;find_loc=Whitechapel+Rd%2C+London+E1</t>
        </is>
      </c>
      <c r="E1036" s="5" t="inlineStr">
        <is>
          <t>Directory</t>
        </is>
      </c>
      <c r="F1036" s="5" t="inlineStr">
        <is>
          <t>2026-09-17</t>
        </is>
      </c>
      <c r="G1036" s="5" t="inlineStr">
        <is>
          <t>name, address, postcode</t>
        </is>
      </c>
      <c r="H1036" s="5" t="inlineStr">
        <is>
          <t>Requires Verification</t>
        </is>
      </c>
    </row>
    <row r="1037">
      <c r="A1037" s="10" t="inlineStr">
        <is>
          <t>UK-000823</t>
        </is>
      </c>
      <c r="B1037" s="10" t="inlineStr">
        <is>
          <t>The Continental Food</t>
        </is>
      </c>
      <c r="C1037" s="10" t="inlineStr">
        <is>
          <t>Edinburgh</t>
        </is>
      </c>
      <c r="D1037" s="10" t="inlineStr">
        <is>
          <t>https://edinburgh.cylex-uk.co.uk/company/the-continental-food-19711581.html</t>
        </is>
      </c>
      <c r="E1037" s="10" t="inlineStr">
        <is>
          <t>Directory</t>
        </is>
      </c>
      <c r="F1037" s="10" t="inlineStr">
        <is>
          <t>2026-09-17</t>
        </is>
      </c>
      <c r="G1037" s="10" t="inlineStr">
        <is>
          <t>name, area (snippet; phone truncated)</t>
        </is>
      </c>
      <c r="H1037" s="10" t="inlineStr">
        <is>
          <t>Requires Verification</t>
        </is>
      </c>
    </row>
    <row r="1038">
      <c r="A1038" s="5" t="inlineStr">
        <is>
          <t>UK-000824</t>
        </is>
      </c>
      <c r="B1038" s="5" t="inlineStr">
        <is>
          <t>The Dairy Convenience Store</t>
        </is>
      </c>
      <c r="C1038" s="5" t="inlineStr">
        <is>
          <t>Liverpool</t>
        </is>
      </c>
      <c r="D1038" s="5" t="inlineStr">
        <is>
          <t>https://kirkby.cylex-uk.co.uk/convenience-stores/</t>
        </is>
      </c>
      <c r="E1038" s="5" t="inlineStr">
        <is>
          <t>Directory</t>
        </is>
      </c>
      <c r="F1038" s="5" t="inlineStr">
        <is>
          <t>2026-09-17</t>
        </is>
      </c>
      <c r="G1038" s="5" t="inlineStr">
        <is>
          <t>name, address, postcode</t>
        </is>
      </c>
      <c r="H1038" s="5" t="inlineStr">
        <is>
          <t>Requires Verification</t>
        </is>
      </c>
    </row>
    <row r="1039">
      <c r="A1039" s="10" t="inlineStr">
        <is>
          <t>UK-000520</t>
        </is>
      </c>
      <c r="B1039" s="10" t="inlineStr">
        <is>
          <t>The Juicy Joint</t>
        </is>
      </c>
      <c r="C1039" s="10" t="inlineStr">
        <is>
          <t>Birmingham</t>
        </is>
      </c>
      <c r="D1039" s="10" t="inlineStr">
        <is>
          <t>https://thejuicyjoint.co.uk/</t>
        </is>
      </c>
      <c r="E1039" s="10" t="inlineStr">
        <is>
          <t>Official Website</t>
        </is>
      </c>
      <c r="F1039" s="10" t="inlineStr">
        <is>
          <t>2026-09-17</t>
        </is>
      </c>
      <c r="G1039" s="10" t="inlineStr">
        <is>
          <t>address, postcode, phone</t>
        </is>
      </c>
      <c r="H1039" s="10" t="inlineStr">
        <is>
          <t>Requires Verification</t>
        </is>
      </c>
    </row>
    <row r="1040">
      <c r="A1040" s="5" t="inlineStr">
        <is>
          <t>UK-000282</t>
        </is>
      </c>
      <c r="B1040" s="5" t="inlineStr">
        <is>
          <t>The Little Shop of Vapes</t>
        </is>
      </c>
      <c r="C1040" s="5" t="inlineStr">
        <is>
          <t>Scarborough</t>
        </is>
      </c>
      <c r="D1040" s="5" t="inlineStr">
        <is>
          <t>https://scarborough.cylex-uk.co.uk/company/the-little-shop-of-vapes-26778046.html</t>
        </is>
      </c>
      <c r="E1040" s="5" t="inlineStr">
        <is>
          <t>Directory</t>
        </is>
      </c>
      <c r="F1040" s="5" t="inlineStr">
        <is>
          <t>2026-09-16</t>
        </is>
      </c>
      <c r="G1040" s="5" t="inlineStr">
        <is>
          <t>address, postcode, phone</t>
        </is>
      </c>
      <c r="H1040" s="5" t="inlineStr">
        <is>
          <t>Requires Verification</t>
        </is>
      </c>
    </row>
    <row r="1041">
      <c r="A1041" s="10" t="inlineStr">
        <is>
          <t>UK-000282</t>
        </is>
      </c>
      <c r="B1041" s="10" t="inlineStr">
        <is>
          <t>The Little Shop of Vapes</t>
        </is>
      </c>
      <c r="C1041" s="10" t="inlineStr">
        <is>
          <t>Scarborough</t>
        </is>
      </c>
      <c r="D1041" s="10" t="inlineStr">
        <is>
          <t>https://www.bizseek.co.uk/the-little-shop-of-vapes-01723-449978</t>
        </is>
      </c>
      <c r="E1041" s="10" t="inlineStr">
        <is>
          <t>Directory</t>
        </is>
      </c>
      <c r="F1041" s="10" t="inlineStr">
        <is>
          <t>2026-09-16</t>
        </is>
      </c>
      <c r="G1041" s="10" t="inlineStr">
        <is>
          <t>phone confirmation</t>
        </is>
      </c>
      <c r="H1041" s="10" t="inlineStr">
        <is>
          <t>Requires Verification</t>
        </is>
      </c>
    </row>
    <row r="1042">
      <c r="A1042" s="5" t="inlineStr">
        <is>
          <t>UK-000282</t>
        </is>
      </c>
      <c r="B1042" s="5" t="inlineStr">
        <is>
          <t>The Little Shop of Vapes</t>
        </is>
      </c>
      <c r="C1042" s="5" t="inlineStr">
        <is>
          <t>Scarborough</t>
        </is>
      </c>
      <c r="D1042" s="5" t="inlineStr">
        <is>
          <t>https://ecigdirectory.co.uk/vape-shop/listing/the-little-shop-of-vapes</t>
        </is>
      </c>
      <c r="E1042" s="5" t="inlineStr">
        <is>
          <t>Directory</t>
        </is>
      </c>
      <c r="F1042" s="5" t="inlineStr">
        <is>
          <t>2026-09-16</t>
        </is>
      </c>
      <c r="G1042" s="5" t="inlineStr">
        <is>
          <t>description</t>
        </is>
      </c>
      <c r="H1042" s="5" t="inlineStr">
        <is>
          <t>Requires Verification</t>
        </is>
      </c>
    </row>
    <row r="1043">
      <c r="A1043" s="10" t="inlineStr">
        <is>
          <t>UK-000386</t>
        </is>
      </c>
      <c r="B1043" s="10" t="inlineStr">
        <is>
          <t>The Local Ramsbottom</t>
        </is>
      </c>
      <c r="C1043" s="10" t="inlineStr">
        <is>
          <t>Bury</t>
        </is>
      </c>
      <c r="D1043" s="10" t="inlineStr">
        <is>
          <t>https://the-local-ramsbottom.wheree.com/</t>
        </is>
      </c>
      <c r="E1043" s="10" t="inlineStr">
        <is>
          <t>Directory</t>
        </is>
      </c>
      <c r="F1043" s="10" t="inlineStr">
        <is>
          <t>2026-09-17</t>
        </is>
      </c>
      <c r="G1043" s="10" t="inlineStr">
        <is>
          <t>trading name, address, postcode, phone (via search results)</t>
        </is>
      </c>
      <c r="H1043" s="10" t="inlineStr">
        <is>
          <t>Requires Verification</t>
        </is>
      </c>
    </row>
    <row r="1044">
      <c r="A1044" s="5" t="inlineStr">
        <is>
          <t>WY-0159</t>
        </is>
      </c>
      <c r="B1044" s="5" t="inlineStr">
        <is>
          <t>The Local: Elland</t>
        </is>
      </c>
      <c r="C1044" s="5" t="inlineStr">
        <is>
          <t>Elland</t>
        </is>
      </c>
      <c r="D1044" s="5" t="inlineStr">
        <is>
          <t>https://www.yorkshire.com/elland/shopping/off-license</t>
        </is>
      </c>
      <c r="E1044" s="5" t="inlineStr">
        <is>
          <t>Directory</t>
        </is>
      </c>
      <c r="F1044" s="5" t="inlineStr">
        <is>
          <t>2026-09-16</t>
        </is>
      </c>
      <c r="G1044" s="5" t="inlineStr">
        <is>
          <t>name, address, postcode, description</t>
        </is>
      </c>
      <c r="H1044" s="5" t="inlineStr">
        <is>
          <t>Requires Verification</t>
        </is>
      </c>
    </row>
    <row r="1045">
      <c r="A1045" s="10" t="inlineStr">
        <is>
          <t>UK-000666</t>
        </is>
      </c>
      <c r="B1045" s="10" t="inlineStr">
        <is>
          <t>The London Vape Company (Holloway)</t>
        </is>
      </c>
      <c r="C1045" s="10" t="inlineStr">
        <is>
          <t>Holloway</t>
        </is>
      </c>
      <c r="D1045" s="10" t="inlineStr">
        <is>
          <t>https://www.yell.com/s/vape+shops-holloway-north+london.html</t>
        </is>
      </c>
      <c r="E1045" s="10" t="inlineStr">
        <is>
          <t>Yell</t>
        </is>
      </c>
      <c r="F1045" s="10" t="inlineStr">
        <is>
          <t>2026-09-17</t>
        </is>
      </c>
      <c r="G1045" s="10" t="inlineStr">
        <is>
          <t>name, address, postcode</t>
        </is>
      </c>
      <c r="H1045" s="10" t="inlineStr">
        <is>
          <t>Requires Verification</t>
        </is>
      </c>
    </row>
    <row r="1046">
      <c r="A1046" s="5" t="inlineStr">
        <is>
          <t>UK-000521</t>
        </is>
      </c>
      <c r="B1046" s="5" t="inlineStr">
        <is>
          <t>The Maltings Convenience Store</t>
        </is>
      </c>
      <c r="C1046" s="5" t="inlineStr">
        <is>
          <t>Smethwick</t>
        </is>
      </c>
      <c r="D1046" s="5" t="inlineStr">
        <is>
          <t>https://www.192.com/atoz/business/smethwick/convenience--stores/</t>
        </is>
      </c>
      <c r="E1046" s="5" t="inlineStr">
        <is>
          <t>Directory</t>
        </is>
      </c>
      <c r="F1046" s="5" t="inlineStr">
        <is>
          <t>2026-09-17</t>
        </is>
      </c>
      <c r="G1046" s="5" t="inlineStr">
        <is>
          <t>business name, address (listing snippet)</t>
        </is>
      </c>
      <c r="H1046" s="5" t="inlineStr">
        <is>
          <t>Requires Verification</t>
        </is>
      </c>
    </row>
    <row r="1047">
      <c r="A1047" s="10" t="inlineStr">
        <is>
          <t>UK-000387</t>
        </is>
      </c>
      <c r="B1047" s="10" t="inlineStr">
        <is>
          <t>The Off Licence (Chorley Old Road)</t>
        </is>
      </c>
      <c r="C1047" s="10" t="inlineStr">
        <is>
          <t>Bolton</t>
        </is>
      </c>
      <c r="D1047" s="10" t="inlineStr">
        <is>
          <t>https://www.boltononline.org.uk/info/6391/</t>
        </is>
      </c>
      <c r="E1047" s="10" t="inlineStr">
        <is>
          <t>Directory</t>
        </is>
      </c>
      <c r="F1047" s="10" t="inlineStr">
        <is>
          <t>2026-09-17</t>
        </is>
      </c>
      <c r="G1047" s="10" t="inlineStr">
        <is>
          <t>trading name, address, postcode, phone (via search results)</t>
        </is>
      </c>
      <c r="H1047" s="10" t="inlineStr">
        <is>
          <t>Requires Verification</t>
        </is>
      </c>
    </row>
    <row r="1048">
      <c r="A1048" s="5" t="inlineStr">
        <is>
          <t>UK-000825</t>
        </is>
      </c>
      <c r="B1048" s="5" t="inlineStr">
        <is>
          <t>The Pipe Shop</t>
        </is>
      </c>
      <c r="C1048" s="5" t="inlineStr">
        <is>
          <t>Edinburgh</t>
        </is>
      </c>
      <c r="D1048" s="5" t="inlineStr">
        <is>
          <t>https://www.yell.com/biz/the-pipe-shop-ltd-edinburgh-689764/</t>
        </is>
      </c>
      <c r="E1048" s="5" t="inlineStr">
        <is>
          <t>Yell</t>
        </is>
      </c>
      <c r="F1048" s="5" t="inlineStr">
        <is>
          <t>2026-09-17</t>
        </is>
      </c>
      <c r="G1048" s="5" t="inlineStr">
        <is>
          <t>name, address, phone, established date (snippet)</t>
        </is>
      </c>
      <c r="H1048" s="5" t="inlineStr">
        <is>
          <t>Requires Verification</t>
        </is>
      </c>
    </row>
    <row r="1049">
      <c r="A1049" s="10" t="inlineStr">
        <is>
          <t>UK-000522</t>
        </is>
      </c>
      <c r="B1049" s="10" t="inlineStr">
        <is>
          <t>The Polish Shop Cash &amp; Carry Ltd</t>
        </is>
      </c>
      <c r="C1049" s="10" t="inlineStr">
        <is>
          <t>West Bromwich</t>
        </is>
      </c>
      <c r="D1049" s="10" t="inlineStr">
        <is>
          <t>https://www.yell.com/biz/the-polish-shop-cash-and-carry-ltd-west-bromwich-7882066/</t>
        </is>
      </c>
      <c r="E1049" s="10" t="inlineStr">
        <is>
          <t>Yell</t>
        </is>
      </c>
      <c r="F1049" s="10" t="inlineStr">
        <is>
          <t>2026-09-17</t>
        </is>
      </c>
      <c r="G1049" s="10" t="inlineStr">
        <is>
          <t>business name, West Bromwich B70 location (listing snippet)</t>
        </is>
      </c>
      <c r="H1049" s="10" t="inlineStr">
        <is>
          <t>Requires Verification</t>
        </is>
      </c>
    </row>
    <row r="1050">
      <c r="A1050" s="5" t="inlineStr">
        <is>
          <t>UK-000523</t>
        </is>
      </c>
      <c r="B1050" s="5" t="inlineStr">
        <is>
          <t>The Seafood Centre</t>
        </is>
      </c>
      <c r="C1050" s="5" t="inlineStr">
        <is>
          <t>Walsall</t>
        </is>
      </c>
      <c r="D1050" s="5" t="inlineStr">
        <is>
          <t>https://wholesalersbirmingham.co.uk/cash-and-carry-walsall/</t>
        </is>
      </c>
      <c r="E1050" s="5" t="inlineStr">
        <is>
          <t>Directory</t>
        </is>
      </c>
      <c r="F1050" s="5" t="inlineStr">
        <is>
          <t>2026-09-17</t>
        </is>
      </c>
      <c r="G1050" s="5" t="inlineStr">
        <is>
          <t>address, postcode</t>
        </is>
      </c>
      <c r="H1050" s="5" t="inlineStr">
        <is>
          <t>Requires Verification</t>
        </is>
      </c>
    </row>
    <row r="1051">
      <c r="A1051" s="10" t="inlineStr">
        <is>
          <t>UK-000388</t>
        </is>
      </c>
      <c r="B1051" s="10" t="inlineStr">
        <is>
          <t>The Shack Horwich</t>
        </is>
      </c>
      <c r="C1051" s="10" t="inlineStr">
        <is>
          <t>Bolton</t>
        </is>
      </c>
      <c r="D1051" s="10" t="inlineStr">
        <is>
          <t>https://vapeshops.puffingbird.com/england/bolton</t>
        </is>
      </c>
      <c r="E1051" s="10" t="inlineStr">
        <is>
          <t>Directory</t>
        </is>
      </c>
      <c r="F1051" s="10" t="inlineStr">
        <is>
          <t>2026-09-17</t>
        </is>
      </c>
      <c r="G1051" s="10" t="inlineStr">
        <is>
          <t>trading name, address, postcode (via search results)</t>
        </is>
      </c>
      <c r="H1051" s="10" t="inlineStr">
        <is>
          <t>Requires Verification</t>
        </is>
      </c>
    </row>
    <row r="1052">
      <c r="A1052" s="5" t="inlineStr">
        <is>
          <t>WY-0160</t>
        </is>
      </c>
      <c r="B1052" s="5" t="inlineStr">
        <is>
          <t>The Shisha Shop Bradford</t>
        </is>
      </c>
      <c r="C1052" s="5" t="inlineStr">
        <is>
          <t>Bradford</t>
        </is>
      </c>
      <c r="D1052" s="5" t="inlineStr">
        <is>
          <t>https://www.instagram.com/theshishashopbradford/</t>
        </is>
      </c>
      <c r="E1052" s="5" t="inlineStr">
        <is>
          <t>Instagram</t>
        </is>
      </c>
      <c r="F1052" s="5" t="inlineStr">
        <is>
          <t>2026-09-16</t>
        </is>
      </c>
      <c r="G1052" s="5" t="inlineStr">
        <is>
          <t>address 61 Leeds Road BD1 5DY, WhatsApp number, retail+wholesale offer (search snippet)</t>
        </is>
      </c>
      <c r="H1052" s="5" t="inlineStr">
        <is>
          <t>Requires Verification</t>
        </is>
      </c>
    </row>
    <row r="1053">
      <c r="A1053" s="10" t="inlineStr">
        <is>
          <t>UK-000283</t>
        </is>
      </c>
      <c r="B1053" s="10" t="inlineStr">
        <is>
          <t>The Vape Centre York</t>
        </is>
      </c>
      <c r="C1053" s="10" t="inlineStr">
        <is>
          <t>York</t>
        </is>
      </c>
      <c r="D1053" s="10" t="inlineStr">
        <is>
          <t>https://the-vape-centre-york.wheree.com/</t>
        </is>
      </c>
      <c r="E1053" s="10" t="inlineStr">
        <is>
          <t>Directory</t>
        </is>
      </c>
      <c r="F1053" s="10" t="inlineStr">
        <is>
          <t>2026-09-16</t>
        </is>
      </c>
      <c r="G1053" s="10" t="inlineStr">
        <is>
          <t>name, address, phone</t>
        </is>
      </c>
      <c r="H1053" s="10" t="inlineStr">
        <is>
          <t>Requires Verification</t>
        </is>
      </c>
    </row>
    <row r="1054">
      <c r="A1054" s="5" t="inlineStr">
        <is>
          <t>UK-000283</t>
        </is>
      </c>
      <c r="B1054" s="5" t="inlineStr">
        <is>
          <t>The Vape Centre York</t>
        </is>
      </c>
      <c r="C1054" s="5" t="inlineStr">
        <is>
          <t>York</t>
        </is>
      </c>
      <c r="D1054" s="5" t="inlineStr">
        <is>
          <t>https://york.cylex-uk.co.uk/company/the-vape-centre-york-wetherby-27216167.html</t>
        </is>
      </c>
      <c r="E1054" s="5" t="inlineStr">
        <is>
          <t>Directory</t>
        </is>
      </c>
      <c r="F1054" s="5" t="inlineStr">
        <is>
          <t>2026-09-16</t>
        </is>
      </c>
      <c r="G1054" s="5" t="inlineStr">
        <is>
          <t>listing confirmation</t>
        </is>
      </c>
      <c r="H1054" s="5" t="inlineStr">
        <is>
          <t>Requires Verification</t>
        </is>
      </c>
    </row>
    <row r="1055">
      <c r="A1055" s="10" t="inlineStr">
        <is>
          <t>WY-0161</t>
        </is>
      </c>
      <c r="B1055" s="10" t="inlineStr">
        <is>
          <t>The Vape Hub</t>
        </is>
      </c>
      <c r="C1055" s="10" t="inlineStr">
        <is>
          <t>Bradford</t>
        </is>
      </c>
      <c r="D1055" s="10" t="inlineStr">
        <is>
          <t>https://bradford.cylex-uk.co.uk/company/the-vape-hub-27487259.html</t>
        </is>
      </c>
      <c r="E1055" s="10" t="inlineStr">
        <is>
          <t>Directory</t>
        </is>
      </c>
      <c r="F1055" s="10" t="inlineStr">
        <is>
          <t>2026-09-16</t>
        </is>
      </c>
      <c r="G1055" s="10" t="inlineStr">
        <is>
          <t>address 105b Cooper Lane BD6 3PB, phone (search snippet)</t>
        </is>
      </c>
      <c r="H1055" s="10" t="inlineStr">
        <is>
          <t>Requires Verification</t>
        </is>
      </c>
    </row>
    <row r="1056">
      <c r="A1056" s="5" t="inlineStr">
        <is>
          <t>WY-0161</t>
        </is>
      </c>
      <c r="B1056" s="5" t="inlineStr">
        <is>
          <t>The Vape Hub</t>
        </is>
      </c>
      <c r="C1056" s="5" t="inlineStr">
        <is>
          <t>Bradford</t>
        </is>
      </c>
      <c r="D1056" s="5" t="inlineStr">
        <is>
          <t>https://www.yell.com/biz/the-vape-hub-bradford-10128282/</t>
        </is>
      </c>
      <c r="E1056" s="5" t="inlineStr">
        <is>
          <t>Yell</t>
        </is>
      </c>
      <c r="F1056" s="5" t="inlineStr">
        <is>
          <t>2026-09-16</t>
        </is>
      </c>
      <c r="G1056" s="5" t="inlineStr">
        <is>
          <t>listing cross-check (search snippet)</t>
        </is>
      </c>
      <c r="H1056" s="5" t="inlineStr">
        <is>
          <t>Requires Verification</t>
        </is>
      </c>
    </row>
    <row r="1057">
      <c r="A1057" s="10" t="inlineStr">
        <is>
          <t>WY-0161</t>
        </is>
      </c>
      <c r="B1057" s="10" t="inlineStr">
        <is>
          <t>The Vape Hub</t>
        </is>
      </c>
      <c r="C1057" s="10" t="inlineStr">
        <is>
          <t>Bradford</t>
        </is>
      </c>
      <c r="D1057" s="10" t="inlineStr">
        <is>
          <t>https://www.facebook.com/tvhbradford/</t>
        </is>
      </c>
      <c r="E1057" s="10" t="inlineStr">
        <is>
          <t>Facebook</t>
        </is>
      </c>
      <c r="F1057" s="10" t="inlineStr">
        <is>
          <t>2026-09-16</t>
        </is>
      </c>
      <c r="G1057" s="10" t="inlineStr">
        <is>
          <t>active Facebook page</t>
        </is>
      </c>
      <c r="H1057" s="10" t="inlineStr">
        <is>
          <t>Requires Verification</t>
        </is>
      </c>
    </row>
    <row r="1058">
      <c r="A1058" s="5" t="inlineStr">
        <is>
          <t>UK-000826</t>
        </is>
      </c>
      <c r="B1058" s="5" t="inlineStr">
        <is>
          <t>The Vape Hut</t>
        </is>
      </c>
      <c r="C1058" s="5" t="inlineStr">
        <is>
          <t>St Helens</t>
        </is>
      </c>
      <c r="D1058" s="5" t="inlineStr">
        <is>
          <t>https://newton-le-willows-merseyside.cylex-uk.co.uk/vape-shops/</t>
        </is>
      </c>
      <c r="E1058" s="5" t="inlineStr">
        <is>
          <t>Directory</t>
        </is>
      </c>
      <c r="F1058" s="5" t="inlineStr">
        <is>
          <t>2026-09-17</t>
        </is>
      </c>
      <c r="G1058" s="5" t="inlineStr">
        <is>
          <t>Church Road Haydock address, postcode, phone</t>
        </is>
      </c>
      <c r="H1058" s="5" t="inlineStr">
        <is>
          <t>Requires Verification</t>
        </is>
      </c>
    </row>
    <row r="1059">
      <c r="A1059" s="10" t="inlineStr">
        <is>
          <t>UK-000284</t>
        </is>
      </c>
      <c r="B1059" s="10" t="inlineStr">
        <is>
          <t>The Vape Lounge Scunthorpe</t>
        </is>
      </c>
      <c r="C1059" s="10" t="inlineStr">
        <is>
          <t>Scunthorpe</t>
        </is>
      </c>
      <c r="D1059" s="10" t="inlineStr">
        <is>
          <t>https://ecigdirectory.co.uk/vape-shop/listing/the-vape-lounge-scunthorpe</t>
        </is>
      </c>
      <c r="E1059" s="10" t="inlineStr">
        <is>
          <t>Directory</t>
        </is>
      </c>
      <c r="F1059" s="10" t="inlineStr">
        <is>
          <t>2026-09-16</t>
        </is>
      </c>
      <c r="G1059" s="10" t="inlineStr">
        <is>
          <t>name, Ashby High Street address, phone (via search results)</t>
        </is>
      </c>
      <c r="H1059" s="10" t="inlineStr">
        <is>
          <t>Requires Verification</t>
        </is>
      </c>
    </row>
    <row r="1060">
      <c r="A1060" s="5" t="inlineStr">
        <is>
          <t>UK-000285</t>
        </is>
      </c>
      <c r="B1060" s="5" t="inlineStr">
        <is>
          <t>The Vape Lounge Thirsk</t>
        </is>
      </c>
      <c r="C1060" s="5" t="inlineStr">
        <is>
          <t>Thirsk</t>
        </is>
      </c>
      <c r="D1060" s="5" t="inlineStr">
        <is>
          <t>https://directory.crewechronicle.co.uk/company/742362676371456</t>
        </is>
      </c>
      <c r="E1060" s="5" t="inlineStr">
        <is>
          <t>Directory</t>
        </is>
      </c>
      <c r="F1060" s="5" t="inlineStr">
        <is>
          <t>2026-09-16</t>
        </is>
      </c>
      <c r="G1060" s="5" t="inlineStr">
        <is>
          <t>address, postcode, phone</t>
        </is>
      </c>
      <c r="H1060" s="5" t="inlineStr">
        <is>
          <t>Requires Verification</t>
        </is>
      </c>
    </row>
    <row r="1061">
      <c r="A1061" s="10" t="inlineStr">
        <is>
          <t>UK-000285</t>
        </is>
      </c>
      <c r="B1061" s="10" t="inlineStr">
        <is>
          <t>The Vape Lounge Thirsk</t>
        </is>
      </c>
      <c r="C1061" s="10" t="inlineStr">
        <is>
          <t>Thirsk</t>
        </is>
      </c>
      <c r="D1061" s="10" t="inlineStr">
        <is>
          <t>https://ecigdirectory.co.uk/vape-shop/listing/the-vape-lounge-thirsk</t>
        </is>
      </c>
      <c r="E1061" s="10" t="inlineStr">
        <is>
          <t>Directory</t>
        </is>
      </c>
      <c r="F1061" s="10" t="inlineStr">
        <is>
          <t>2026-09-16</t>
        </is>
      </c>
      <c r="G1061" s="10" t="inlineStr">
        <is>
          <t>listing confirmation</t>
        </is>
      </c>
      <c r="H1061" s="10" t="inlineStr">
        <is>
          <t>Requires Verification</t>
        </is>
      </c>
    </row>
    <row r="1062">
      <c r="A1062" s="5" t="inlineStr">
        <is>
          <t>UK-000524</t>
        </is>
      </c>
      <c r="B1062" s="5" t="inlineStr">
        <is>
          <t>The Vape Shack - Acocks Green</t>
        </is>
      </c>
      <c r="C1062" s="5" t="inlineStr">
        <is>
          <t>Birmingham</t>
        </is>
      </c>
      <c r="D1062" s="5" t="inlineStr">
        <is>
          <t>https://www.bizseek.co.uk/vape-shack-acocks-green</t>
        </is>
      </c>
      <c r="E1062" s="5" t="inlineStr">
        <is>
          <t>Directory</t>
        </is>
      </c>
      <c r="F1062" s="5" t="inlineStr">
        <is>
          <t>2026-09-17</t>
        </is>
      </c>
      <c r="G1062" s="5" t="inlineStr">
        <is>
          <t>address, postcode, phone</t>
        </is>
      </c>
      <c r="H1062" s="5" t="inlineStr">
        <is>
          <t>Requires Verification</t>
        </is>
      </c>
    </row>
    <row r="1063">
      <c r="A1063" s="10" t="inlineStr">
        <is>
          <t>UK-000827</t>
        </is>
      </c>
      <c r="B1063" s="10" t="inlineStr">
        <is>
          <t>The Vape Shop (Huyton)</t>
        </is>
      </c>
      <c r="C1063" s="10" t="inlineStr">
        <is>
          <t>Liverpool</t>
        </is>
      </c>
      <c r="D1063" s="10" t="inlineStr">
        <is>
          <t>https://www.yell.com/s/tobacconists-huyton.html</t>
        </is>
      </c>
      <c r="E1063" s="10" t="inlineStr">
        <is>
          <t>Yell</t>
        </is>
      </c>
      <c r="F1063" s="10" t="inlineStr">
        <is>
          <t>2026-09-17</t>
        </is>
      </c>
      <c r="G1063" s="10" t="inlineStr">
        <is>
          <t>name, address, postcode, phone</t>
        </is>
      </c>
      <c r="H1063" s="10" t="inlineStr">
        <is>
          <t>Requires Verification</t>
        </is>
      </c>
    </row>
    <row r="1064">
      <c r="A1064" s="5" t="inlineStr">
        <is>
          <t>WY-0162</t>
        </is>
      </c>
      <c r="B1064" s="5" t="inlineStr">
        <is>
          <t>The Vape Shop Wakefield</t>
        </is>
      </c>
      <c r="C1064" s="5" t="inlineStr">
        <is>
          <t>Wakefield</t>
        </is>
      </c>
      <c r="D1064" s="5" t="inlineStr">
        <is>
          <t>https://www.facebook.com/vapeshopwakefield.uk/</t>
        </is>
      </c>
      <c r="E1064" s="5" t="inlineStr">
        <is>
          <t>Facebook</t>
        </is>
      </c>
      <c r="F1064" s="5" t="inlineStr">
        <is>
          <t>2026-09-16</t>
        </is>
      </c>
      <c r="G1064" s="5" t="inlineStr">
        <is>
          <t>existence, description</t>
        </is>
      </c>
      <c r="H1064" s="5" t="inlineStr">
        <is>
          <t>Requires Verification</t>
        </is>
      </c>
    </row>
    <row r="1065">
      <c r="A1065" s="10" t="inlineStr">
        <is>
          <t>WY-0162</t>
        </is>
      </c>
      <c r="B1065" s="10" t="inlineStr">
        <is>
          <t>The Vape Shop Wakefield</t>
        </is>
      </c>
      <c r="C1065" s="10" t="inlineStr">
        <is>
          <t>Wakefield</t>
        </is>
      </c>
      <c r="D1065" s="10" t="inlineStr">
        <is>
          <t>https://wakefield.cylex-uk.co.uk/company/the-vape-shop-26780276.html</t>
        </is>
      </c>
      <c r="E1065" s="10" t="inlineStr">
        <is>
          <t>Directory</t>
        </is>
      </c>
      <c r="F1065" s="10" t="inlineStr">
        <is>
          <t>2026-09-16</t>
        </is>
      </c>
      <c r="G1065" s="10" t="inlineStr">
        <is>
          <t>location Horbury Road, Wakefield</t>
        </is>
      </c>
      <c r="H1065" s="10" t="inlineStr">
        <is>
          <t>Requires Verification</t>
        </is>
      </c>
    </row>
    <row r="1066">
      <c r="A1066" s="5" t="inlineStr">
        <is>
          <t>UK-000389</t>
        </is>
      </c>
      <c r="B1066" s="5" t="inlineStr">
        <is>
          <t>The Vape Store (Sale, Trafford)</t>
        </is>
      </c>
      <c r="C1066" s="5" t="inlineStr">
        <is>
          <t>Sale</t>
        </is>
      </c>
      <c r="D1066" s="5" t="inlineStr">
        <is>
          <t>https://find-and-update.company-information.service.gov.uk/company/10937677</t>
        </is>
      </c>
      <c r="E1066" s="5" t="inlineStr">
        <is>
          <t>Companies House</t>
        </is>
      </c>
      <c r="F1066" s="5" t="inlineStr">
        <is>
          <t>2026-09-17</t>
        </is>
      </c>
      <c r="G1066" s="5" t="inlineStr">
        <is>
          <t>legal name, company number, registered office, incorporation date</t>
        </is>
      </c>
      <c r="H1066" s="5" t="inlineStr">
        <is>
          <t>Partially Verified</t>
        </is>
      </c>
    </row>
    <row r="1067">
      <c r="A1067" s="10" t="inlineStr">
        <is>
          <t>UK-000390</t>
        </is>
      </c>
      <c r="B1067" s="10" t="inlineStr">
        <is>
          <t>The Vape Store (Urmston, Trafford)</t>
        </is>
      </c>
      <c r="C1067" s="10" t="inlineStr">
        <is>
          <t>Urmston</t>
        </is>
      </c>
      <c r="D1067" s="10" t="inlineStr">
        <is>
          <t>https://www.localexposurenw.co.uk/extra/11387/the-vape-store-vaporiser-shop-in-urmston</t>
        </is>
      </c>
      <c r="E1067" s="10" t="inlineStr">
        <is>
          <t>Directory</t>
        </is>
      </c>
      <c r="F1067" s="10" t="inlineStr">
        <is>
          <t>2026-09-17</t>
        </is>
      </c>
      <c r="G1067" s="10" t="inlineStr">
        <is>
          <t>business name, address, postcode, phone</t>
        </is>
      </c>
      <c r="H1067" s="10" t="inlineStr">
        <is>
          <t>Requires Verification</t>
        </is>
      </c>
    </row>
    <row r="1068">
      <c r="A1068" s="5" t="inlineStr">
        <is>
          <t>UK-000391</t>
        </is>
      </c>
      <c r="B1068" s="5" t="inlineStr">
        <is>
          <t>The Vape Store Bolton</t>
        </is>
      </c>
      <c r="C1068" s="5" t="inlineStr">
        <is>
          <t>Bolton</t>
        </is>
      </c>
      <c r="D1068" s="5" t="inlineStr">
        <is>
          <t>https://find-and-update.company-information.service.gov.uk/company/10227451</t>
        </is>
      </c>
      <c r="E1068" s="5" t="inlineStr">
        <is>
          <t>Companies House</t>
        </is>
      </c>
      <c r="F1068" s="5" t="inlineStr">
        <is>
          <t>2026-09-17</t>
        </is>
      </c>
      <c r="G1068" s="5" t="inlineStr">
        <is>
          <t>registered company name, company number</t>
        </is>
      </c>
      <c r="H1068" s="5" t="inlineStr">
        <is>
          <t>Requires Verification</t>
        </is>
      </c>
    </row>
    <row r="1069">
      <c r="A1069" s="10" t="inlineStr">
        <is>
          <t>UK-000391</t>
        </is>
      </c>
      <c r="B1069" s="10" t="inlineStr">
        <is>
          <t>The Vape Store Bolton</t>
        </is>
      </c>
      <c r="C1069" s="10" t="inlineStr">
        <is>
          <t>Bolton</t>
        </is>
      </c>
      <c r="D1069" s="10" t="inlineStr">
        <is>
          <t>https://www.instagram.com/vapestorebolton/</t>
        </is>
      </c>
      <c r="E1069" s="10" t="inlineStr">
        <is>
          <t>Instagram</t>
        </is>
      </c>
      <c r="F1069" s="10" t="inlineStr">
        <is>
          <t>2026-09-17</t>
        </is>
      </c>
      <c r="G1069" s="10" t="inlineStr">
        <is>
          <t>trading name, social handle</t>
        </is>
      </c>
      <c r="H1069" s="10" t="inlineStr">
        <is>
          <t>Requires Verification</t>
        </is>
      </c>
    </row>
    <row r="1070">
      <c r="A1070" s="5" t="inlineStr">
        <is>
          <t>UK-000391</t>
        </is>
      </c>
      <c r="B1070" s="5" t="inlineStr">
        <is>
          <t>The Vape Store Bolton</t>
        </is>
      </c>
      <c r="C1070" s="5" t="inlineStr">
        <is>
          <t>Bolton</t>
        </is>
      </c>
      <c r="D1070" s="5" t="inlineStr">
        <is>
          <t>https://the-vape-store-bolton.wheree.com/</t>
        </is>
      </c>
      <c r="E1070" s="5" t="inlineStr">
        <is>
          <t>Directory</t>
        </is>
      </c>
      <c r="F1070" s="5" t="inlineStr">
        <is>
          <t>2026-09-17</t>
        </is>
      </c>
      <c r="G1070" s="5" t="inlineStr">
        <is>
          <t>Derby Street address, phone (via search results)</t>
        </is>
      </c>
      <c r="H1070" s="5" t="inlineStr">
        <is>
          <t>Requires Verification</t>
        </is>
      </c>
    </row>
    <row r="1071">
      <c r="A1071" s="10" t="inlineStr">
        <is>
          <t>UK-000392</t>
        </is>
      </c>
      <c r="B1071" s="10" t="inlineStr">
        <is>
          <t>The Vape Store Oldham</t>
        </is>
      </c>
      <c r="C1071" s="10" t="inlineStr">
        <is>
          <t>Oldham</t>
        </is>
      </c>
      <c r="D1071" s="10" t="inlineStr">
        <is>
          <t>https://www.facebook.com/Thevapestoreoldham1/</t>
        </is>
      </c>
      <c r="E1071" s="10" t="inlineStr">
        <is>
          <t>Facebook</t>
        </is>
      </c>
      <c r="F1071" s="10" t="inlineStr">
        <is>
          <t>2026-09-17</t>
        </is>
      </c>
      <c r="G1071" s="10" t="inlineStr">
        <is>
          <t>address, phone</t>
        </is>
      </c>
      <c r="H1071" s="10" t="inlineStr">
        <is>
          <t>Requires Verification</t>
        </is>
      </c>
    </row>
    <row r="1072">
      <c r="A1072" s="5" t="inlineStr">
        <is>
          <t>UK-000286</t>
        </is>
      </c>
      <c r="B1072" s="5" t="inlineStr">
        <is>
          <t>The Vape Supermarket</t>
        </is>
      </c>
      <c r="C1072" s="5" t="inlineStr">
        <is>
          <t>Barnsley</t>
        </is>
      </c>
      <c r="D1072" s="5" t="inlineStr">
        <is>
          <t>https://www.facebook.com/TheVapeSupermarket/</t>
        </is>
      </c>
      <c r="E1072" s="5" t="inlineStr">
        <is>
          <t>Facebook</t>
        </is>
      </c>
      <c r="F1072" s="5" t="inlineStr">
        <is>
          <t>2026-09-16</t>
        </is>
      </c>
      <c r="G1072" s="5" t="inlineStr">
        <is>
          <t>name, area, product range</t>
        </is>
      </c>
      <c r="H1072" s="5" t="inlineStr">
        <is>
          <t>Requires Verification</t>
        </is>
      </c>
    </row>
    <row r="1073">
      <c r="A1073" s="10" t="inlineStr">
        <is>
          <t>UK-000393</t>
        </is>
      </c>
      <c r="B1073" s="10" t="inlineStr">
        <is>
          <t>The Vape Tavern Stalybridge</t>
        </is>
      </c>
      <c r="C1073" s="10" t="inlineStr">
        <is>
          <t>Stalybridge</t>
        </is>
      </c>
      <c r="D1073" s="10" t="inlineStr">
        <is>
          <t>https://www.thevapetavernstalybridge.com/</t>
        </is>
      </c>
      <c r="E1073" s="10" t="inlineStr">
        <is>
          <t>Official Website</t>
        </is>
      </c>
      <c r="F1073" s="10" t="inlineStr">
        <is>
          <t>2026-09-17</t>
        </is>
      </c>
      <c r="G1073" s="10" t="inlineStr">
        <is>
          <t>trading name, town, website</t>
        </is>
      </c>
      <c r="H1073" s="10" t="inlineStr">
        <is>
          <t>Requires Verification</t>
        </is>
      </c>
    </row>
    <row r="1074">
      <c r="A1074" s="5" t="inlineStr">
        <is>
          <t>UK-000394</t>
        </is>
      </c>
      <c r="B1074" s="5" t="inlineStr">
        <is>
          <t>The Vape Volt Farnworth</t>
        </is>
      </c>
      <c r="C1074" s="5" t="inlineStr">
        <is>
          <t>Bolton</t>
        </is>
      </c>
      <c r="D1074" s="5" t="inlineStr">
        <is>
          <t>https://www.facebook.com/VapeVoltFarnworth/</t>
        </is>
      </c>
      <c r="E1074" s="5" t="inlineStr">
        <is>
          <t>Facebook</t>
        </is>
      </c>
      <c r="F1074" s="5" t="inlineStr">
        <is>
          <t>2026-09-17</t>
        </is>
      </c>
      <c r="G1074" s="5" t="inlineStr">
        <is>
          <t>trading name, address, postcode (via search results)</t>
        </is>
      </c>
      <c r="H1074" s="5" t="inlineStr">
        <is>
          <t>Requires Verification</t>
        </is>
      </c>
    </row>
    <row r="1075">
      <c r="A1075" s="10" t="inlineStr">
        <is>
          <t>UK-000667</t>
        </is>
      </c>
      <c r="B1075" s="10" t="inlineStr">
        <is>
          <t>The Vaper</t>
        </is>
      </c>
      <c r="C1075" s="10" t="inlineStr">
        <is>
          <t>London</t>
        </is>
      </c>
      <c r="D1075" s="10" t="inlineStr">
        <is>
          <t>https://www.yell.com/biz/the-vaper-london-8913915/</t>
        </is>
      </c>
      <c r="E1075" s="10" t="inlineStr">
        <is>
          <t>Yell</t>
        </is>
      </c>
      <c r="F1075" s="10" t="inlineStr">
        <is>
          <t>2026-09-17</t>
        </is>
      </c>
      <c r="G1075" s="10" t="inlineStr">
        <is>
          <t>business name, address</t>
        </is>
      </c>
      <c r="H1075" s="10" t="inlineStr">
        <is>
          <t>Requires Verification</t>
        </is>
      </c>
    </row>
    <row r="1076">
      <c r="A1076" s="5" t="inlineStr">
        <is>
          <t>UK-000287</t>
        </is>
      </c>
      <c r="B1076" s="5" t="inlineStr">
        <is>
          <t>The Vapers Guild</t>
        </is>
      </c>
      <c r="C1076" s="5" t="inlineStr">
        <is>
          <t>Kingston upon Hull</t>
        </is>
      </c>
      <c r="D1076" s="5" t="inlineStr">
        <is>
          <t>https://ecigdirectory.co.uk/vape-shop/listing/the-vapers-guild-hull</t>
        </is>
      </c>
      <c r="E1076" s="5" t="inlineStr">
        <is>
          <t>Directory</t>
        </is>
      </c>
      <c r="F1076" s="5" t="inlineStr">
        <is>
          <t>2026-09-16</t>
        </is>
      </c>
      <c r="G1076" s="5" t="inlineStr">
        <is>
          <t>name, description (via search results)</t>
        </is>
      </c>
      <c r="H1076" s="5" t="inlineStr">
        <is>
          <t>Requires Verification</t>
        </is>
      </c>
    </row>
    <row r="1077">
      <c r="A1077" s="10" t="inlineStr">
        <is>
          <t>UK-000828</t>
        </is>
      </c>
      <c r="B1077" s="10" t="inlineStr">
        <is>
          <t>The Vapour Shop Paisley</t>
        </is>
      </c>
      <c r="C1077" s="10" t="inlineStr">
        <is>
          <t>Paisley</t>
        </is>
      </c>
      <c r="D1077" s="10" t="inlineStr">
        <is>
          <t>https://m.yelp.com/biz/the-vapour-shop-paisley</t>
        </is>
      </c>
      <c r="E1077" s="10" t="inlineStr">
        <is>
          <t>Directory</t>
        </is>
      </c>
      <c r="F1077" s="10" t="inlineStr">
        <is>
          <t>2026-09-17</t>
        </is>
      </c>
      <c r="G1077" s="10" t="inlineStr">
        <is>
          <t>trading name, address</t>
        </is>
      </c>
      <c r="H1077" s="10" t="inlineStr">
        <is>
          <t>Requires Verification</t>
        </is>
      </c>
    </row>
    <row r="1078">
      <c r="A1078" s="5" t="inlineStr">
        <is>
          <t>UK-000395</t>
        </is>
      </c>
      <c r="B1078" s="5" t="inlineStr">
        <is>
          <t>The Village Convenience Store</t>
        </is>
      </c>
      <c r="C1078" s="5" t="inlineStr">
        <is>
          <t>Rochdale</t>
        </is>
      </c>
      <c r="D1078" s="5" t="inlineStr">
        <is>
          <t>https://heywood.cylex-uk.co.uk/company/the-village-convenience-store-14674727.html</t>
        </is>
      </c>
      <c r="E1078" s="5" t="inlineStr">
        <is>
          <t>Directory</t>
        </is>
      </c>
      <c r="F1078" s="5" t="inlineStr">
        <is>
          <t>2026-09-17</t>
        </is>
      </c>
      <c r="G1078" s="5" t="inlineStr">
        <is>
          <t>address, postcode</t>
        </is>
      </c>
      <c r="H1078" s="5" t="inlineStr">
        <is>
          <t>Requires Verification</t>
        </is>
      </c>
    </row>
    <row r="1079">
      <c r="A1079" s="10" t="inlineStr">
        <is>
          <t>WY-0163</t>
        </is>
      </c>
      <c r="B1079" s="10" t="inlineStr">
        <is>
          <t>The Vintage Vapour Co</t>
        </is>
      </c>
      <c r="C1079" s="10" t="inlineStr">
        <is>
          <t>Ossett</t>
        </is>
      </c>
      <c r="D1079" s="10" t="inlineStr">
        <is>
          <t>https://vapegeezer.co.uk/vape-shop-directory/locations/west-yorkshire/</t>
        </is>
      </c>
      <c r="E1079" s="10" t="inlineStr">
        <is>
          <t>Directory</t>
        </is>
      </c>
      <c r="F1079" s="10" t="inlineStr">
        <is>
          <t>2026-09-16</t>
        </is>
      </c>
      <c r="G1079" s="10" t="inlineStr">
        <is>
          <t>name, address 12 Town End, Ossett WF5 8BJ (via search snippet)</t>
        </is>
      </c>
      <c r="H1079" s="10" t="inlineStr">
        <is>
          <t>Requires Verification</t>
        </is>
      </c>
    </row>
    <row r="1080">
      <c r="A1080" s="5" t="inlineStr">
        <is>
          <t>UK-000668</t>
        </is>
      </c>
      <c r="B1080" s="5" t="inlineStr">
        <is>
          <t>The Vintner</t>
        </is>
      </c>
      <c r="C1080" s="5" t="inlineStr">
        <is>
          <t>London</t>
        </is>
      </c>
      <c r="D1080" s="5" t="inlineStr">
        <is>
          <t>https://www.yell.com/s/off+licences-fulham-london.html</t>
        </is>
      </c>
      <c r="E1080" s="5" t="inlineStr">
        <is>
          <t>Yell</t>
        </is>
      </c>
      <c r="F1080" s="5" t="inlineStr">
        <is>
          <t>2026-09-17</t>
        </is>
      </c>
      <c r="G1080" s="5" t="inlineStr">
        <is>
          <t>business name, address, postcode, phone</t>
        </is>
      </c>
      <c r="H1080" s="5" t="inlineStr">
        <is>
          <t>Requires Verification</t>
        </is>
      </c>
    </row>
    <row r="1081">
      <c r="A1081" s="10" t="inlineStr">
        <is>
          <t>UK-000829</t>
        </is>
      </c>
      <c r="B1081" s="10" t="inlineStr">
        <is>
          <t>The Wine Lodge</t>
        </is>
      </c>
      <c r="C1081" s="10" t="inlineStr">
        <is>
          <t>Liverpool</t>
        </is>
      </c>
      <c r="D1081" s="10" t="inlineStr">
        <is>
          <t>https://www.yell.com/biz/the-wine-lodge-liverpool-1268926/</t>
        </is>
      </c>
      <c r="E1081" s="10" t="inlineStr">
        <is>
          <t>Yell</t>
        </is>
      </c>
      <c r="F1081" s="10" t="inlineStr">
        <is>
          <t>2026-09-17</t>
        </is>
      </c>
      <c r="G1081" s="10" t="inlineStr">
        <is>
          <t>name, address, postcode, product range</t>
        </is>
      </c>
      <c r="H1081" s="10" t="inlineStr">
        <is>
          <t>Requires Verification</t>
        </is>
      </c>
    </row>
    <row r="1082">
      <c r="A1082" s="5" t="inlineStr">
        <is>
          <t>UK-000525</t>
        </is>
      </c>
      <c r="B1082" s="5" t="inlineStr">
        <is>
          <t>The Wine Shop</t>
        </is>
      </c>
      <c r="C1082" s="5" t="inlineStr">
        <is>
          <t>Wolverhampton</t>
        </is>
      </c>
      <c r="D1082" s="5" t="inlineStr">
        <is>
          <t>https://www.facebook.com/p/The-WINE-SHOP-100054376846673/</t>
        </is>
      </c>
      <c r="E1082" s="5" t="inlineStr">
        <is>
          <t>Facebook</t>
        </is>
      </c>
      <c r="F1082" s="5" t="inlineStr">
        <is>
          <t>2026-09-17</t>
        </is>
      </c>
      <c r="G1082" s="5" t="inlineStr">
        <is>
          <t>name, address, phone</t>
        </is>
      </c>
      <c r="H1082" s="5" t="inlineStr">
        <is>
          <t>Requires Verification</t>
        </is>
      </c>
    </row>
    <row r="1083">
      <c r="A1083" s="10" t="inlineStr">
        <is>
          <t>WY-0164</t>
        </is>
      </c>
      <c r="B1083" s="10" t="inlineStr">
        <is>
          <t>Thornhill Convenience Store</t>
        </is>
      </c>
      <c r="C1083" s="10" t="inlineStr">
        <is>
          <t>Dewsbury</t>
        </is>
      </c>
      <c r="D1083" s="10" t="inlineStr">
        <is>
          <t>https://dewsbury.cylex-uk.co.uk/company/thornhill-convenience-store-28660320.html</t>
        </is>
      </c>
      <c r="E1083" s="10" t="inlineStr">
        <is>
          <t>Directory</t>
        </is>
      </c>
      <c r="F1083" s="10" t="inlineStr">
        <is>
          <t>2026-09-16</t>
        </is>
      </c>
      <c r="G1083" s="10" t="inlineStr">
        <is>
          <t>address, postcode, phone</t>
        </is>
      </c>
      <c r="H1083" s="10" t="inlineStr">
        <is>
          <t>Requires Verification</t>
        </is>
      </c>
    </row>
    <row r="1084">
      <c r="A1084" s="5" t="inlineStr">
        <is>
          <t>WY-0165</t>
        </is>
      </c>
      <c r="B1084" s="5" t="inlineStr">
        <is>
          <t>Todmorden Newscentre</t>
        </is>
      </c>
      <c r="C1084" s="5" t="inlineStr">
        <is>
          <t>Todmorden</t>
        </is>
      </c>
      <c r="D1084" s="5" t="inlineStr">
        <is>
          <t>https://www.yell.com/biz/todmorden-newscentre-ltd-formerly-cryers-news-todmorden-1105850/</t>
        </is>
      </c>
      <c r="E1084" s="5" t="inlineStr">
        <is>
          <t>Yell</t>
        </is>
      </c>
      <c r="F1084" s="5" t="inlineStr">
        <is>
          <t>2026-09-16</t>
        </is>
      </c>
      <c r="G1084" s="5" t="inlineStr">
        <is>
          <t>name, address</t>
        </is>
      </c>
      <c r="H1084" s="5" t="inlineStr">
        <is>
          <t>Partially Verified</t>
        </is>
      </c>
    </row>
    <row r="1085">
      <c r="A1085" s="10" t="inlineStr">
        <is>
          <t>WY-0165</t>
        </is>
      </c>
      <c r="B1085" s="10" t="inlineStr">
        <is>
          <t>Todmorden Newscentre</t>
        </is>
      </c>
      <c r="C1085" s="10" t="inlineStr">
        <is>
          <t>Todmorden</t>
        </is>
      </c>
      <c r="D1085" s="10" t="inlineStr">
        <is>
          <t>https://find-and-update.company-information.service.gov.uk/company/07292504</t>
        </is>
      </c>
      <c r="E1085" s="10" t="inlineStr">
        <is>
          <t>Companies House</t>
        </is>
      </c>
      <c r="F1085" s="10" t="inlineStr">
        <is>
          <t>2026-09-16</t>
        </is>
      </c>
      <c r="G1085" s="10" t="inlineStr">
        <is>
          <t>company number, status, incorporation date, registered office, SIC (via search snippet)</t>
        </is>
      </c>
      <c r="H1085" s="10" t="inlineStr">
        <is>
          <t>Partially Verified</t>
        </is>
      </c>
    </row>
    <row r="1086">
      <c r="A1086" s="5" t="inlineStr">
        <is>
          <t>WY-0165</t>
        </is>
      </c>
      <c r="B1086" s="5" t="inlineStr">
        <is>
          <t>Todmorden Newscentre</t>
        </is>
      </c>
      <c r="C1086" s="5" t="inlineStr">
        <is>
          <t>Todmorden</t>
        </is>
      </c>
      <c r="D1086" s="5" t="inlineStr">
        <is>
          <t>https://directory.hinckleytimes.net/company/1520433816113152</t>
        </is>
      </c>
      <c r="E1086" s="5" t="inlineStr">
        <is>
          <t>Directory</t>
        </is>
      </c>
      <c r="F1086" s="5" t="inlineStr">
        <is>
          <t>2026-09-16</t>
        </is>
      </c>
      <c r="G1086" s="5" t="inlineStr">
        <is>
          <t>address, postcode, phone</t>
        </is>
      </c>
      <c r="H1086" s="5" t="inlineStr">
        <is>
          <t>Partially Verified</t>
        </is>
      </c>
    </row>
    <row r="1087">
      <c r="A1087" s="10" t="inlineStr">
        <is>
          <t>WY-0166</t>
        </is>
      </c>
      <c r="B1087" s="10" t="inlineStr">
        <is>
          <t>Told Vape Co</t>
        </is>
      </c>
      <c r="C1087" s="10" t="inlineStr">
        <is>
          <t>Horbury</t>
        </is>
      </c>
      <c r="D1087" s="10" t="inlineStr">
        <is>
          <t>https://ecigdirectory.co.uk/vape-shop/listing/told-vape-co</t>
        </is>
      </c>
      <c r="E1087" s="10" t="inlineStr">
        <is>
          <t>Directory</t>
        </is>
      </c>
      <c r="F1087" s="10" t="inlineStr">
        <is>
          <t>2026-09-16</t>
        </is>
      </c>
      <c r="G1087" s="10" t="inlineStr">
        <is>
          <t>address 29 Queen Street, Horbury WF4 6LP</t>
        </is>
      </c>
      <c r="H1087" s="10" t="inlineStr">
        <is>
          <t>Requires Verification</t>
        </is>
      </c>
    </row>
    <row r="1088">
      <c r="A1088" s="5" t="inlineStr">
        <is>
          <t>UK-000526</t>
        </is>
      </c>
      <c r="B1088" s="5" t="inlineStr">
        <is>
          <t>Toor Supermarket</t>
        </is>
      </c>
      <c r="C1088" s="5" t="inlineStr">
        <is>
          <t>Smethwick</t>
        </is>
      </c>
      <c r="D1088" s="5" t="inlineStr">
        <is>
          <t>https://www.yelp.com/search?find_desc=Asian+Supermarket&amp;find_loc=Smethwick%2C+West+Midlands</t>
        </is>
      </c>
      <c r="E1088" s="5" t="inlineStr">
        <is>
          <t>Directory</t>
        </is>
      </c>
      <c r="F1088" s="5" t="inlineStr">
        <is>
          <t>2026-09-17</t>
        </is>
      </c>
      <c r="G1088" s="5" t="inlineStr">
        <is>
          <t>business name, Smethwick location, description (search snippet)</t>
        </is>
      </c>
      <c r="H1088" s="5" t="inlineStr">
        <is>
          <t>Requires Verification</t>
        </is>
      </c>
    </row>
    <row r="1089">
      <c r="A1089" s="10" t="inlineStr">
        <is>
          <t>UK-000669</t>
        </is>
      </c>
      <c r="B1089" s="10" t="inlineStr">
        <is>
          <t>Tooting Food &amp; Wine</t>
        </is>
      </c>
      <c r="C1089" s="10" t="inlineStr">
        <is>
          <t>London</t>
        </is>
      </c>
      <c r="D1089" s="10" t="inlineStr">
        <is>
          <t>https://www.yell.com/s/off+licences-tooting-south+west+london.html</t>
        </is>
      </c>
      <c r="E1089" s="10" t="inlineStr">
        <is>
          <t>Yell</t>
        </is>
      </c>
      <c r="F1089" s="10" t="inlineStr">
        <is>
          <t>2026-09-17</t>
        </is>
      </c>
      <c r="G1089" s="10" t="inlineStr">
        <is>
          <t>business name, address, phone</t>
        </is>
      </c>
      <c r="H1089" s="10" t="inlineStr">
        <is>
          <t>Requires Verification</t>
        </is>
      </c>
    </row>
    <row r="1090">
      <c r="A1090" s="5" t="inlineStr">
        <is>
          <t>WY-0167</t>
        </is>
      </c>
      <c r="B1090" s="5" t="inlineStr">
        <is>
          <t>Top Shelf Off Licence</t>
        </is>
      </c>
      <c r="C1090" s="5" t="inlineStr">
        <is>
          <t>Wakefield</t>
        </is>
      </c>
      <c r="D1090" s="5" t="inlineStr">
        <is>
          <t>https://www.foodhygienerankings.co.uk/authorities/wakefield</t>
        </is>
      </c>
      <c r="E1090" s="5" t="inlineStr">
        <is>
          <t>Other</t>
        </is>
      </c>
      <c r="F1090" s="5" t="inlineStr">
        <is>
          <t>2026-09-16</t>
        </is>
      </c>
      <c r="G1090" s="5" t="inlineStr">
        <is>
          <t>name and address 557 Leeds Road, Outwood WF1 2JL (via search snippet)</t>
        </is>
      </c>
      <c r="H1090" s="5" t="inlineStr">
        <is>
          <t>Requires Verification</t>
        </is>
      </c>
    </row>
    <row r="1091">
      <c r="A1091" s="10" t="inlineStr">
        <is>
          <t>UK-000670</t>
        </is>
      </c>
      <c r="B1091" s="10" t="inlineStr">
        <is>
          <t>Turkish Food Market</t>
        </is>
      </c>
      <c r="C1091" s="10" t="inlineStr">
        <is>
          <t>Harringay</t>
        </is>
      </c>
      <c r="D1091" s="10" t="inlineStr">
        <is>
          <t>https://london.cylex-uk.co.uk/company/turkish-food-market-18687770.html</t>
        </is>
      </c>
      <c r="E1091" s="10" t="inlineStr">
        <is>
          <t>Directory</t>
        </is>
      </c>
      <c r="F1091" s="10" t="inlineStr">
        <is>
          <t>2026-09-17</t>
        </is>
      </c>
      <c r="G1091" s="10" t="inlineStr">
        <is>
          <t>name, address, postcode, phone</t>
        </is>
      </c>
      <c r="H1091" s="10" t="inlineStr">
        <is>
          <t>Requires Verification</t>
        </is>
      </c>
    </row>
    <row r="1092">
      <c r="A1092" s="5" t="inlineStr">
        <is>
          <t>WY-0168</t>
        </is>
      </c>
      <c r="B1092" s="5" t="inlineStr">
        <is>
          <t>Turners Food &amp; Wine</t>
        </is>
      </c>
      <c r="C1092" s="5" t="inlineStr">
        <is>
          <t>Leeds</t>
        </is>
      </c>
      <c r="D1092" s="5" t="inlineStr">
        <is>
          <t>https://www.yorkshire.com/leeds/shopping/off-license</t>
        </is>
      </c>
      <c r="E1092" s="5" t="inlineStr">
        <is>
          <t>Directory</t>
        </is>
      </c>
      <c r="F1092" s="5" t="inlineStr">
        <is>
          <t>2026-09-16</t>
        </is>
      </c>
      <c r="G1092" s="5" t="inlineStr">
        <is>
          <t>name, legal name, Beeston location (via search results)</t>
        </is>
      </c>
      <c r="H1092" s="5" t="inlineStr">
        <is>
          <t>Requires Verification</t>
        </is>
      </c>
    </row>
    <row r="1093">
      <c r="A1093" s="10" t="inlineStr">
        <is>
          <t>UK-000671</t>
        </is>
      </c>
      <c r="B1093" s="10" t="inlineStr">
        <is>
          <t>Twilight2Go</t>
        </is>
      </c>
      <c r="C1093" s="10" t="inlineStr">
        <is>
          <t>Finsbury Park</t>
        </is>
      </c>
      <c r="D1093" s="10" t="inlineStr">
        <is>
          <t>https://www.yell.com/s/vape+shops-islington-central+london.html</t>
        </is>
      </c>
      <c r="E1093" s="10" t="inlineStr">
        <is>
          <t>Yell</t>
        </is>
      </c>
      <c r="F1093" s="10" t="inlineStr">
        <is>
          <t>2026-09-17</t>
        </is>
      </c>
      <c r="G1093" s="10" t="inlineStr">
        <is>
          <t>name, address, postcode, phone</t>
        </is>
      </c>
      <c r="H1093" s="10" t="inlineStr">
        <is>
          <t>Requires Verification</t>
        </is>
      </c>
    </row>
    <row r="1094">
      <c r="A1094" s="5" t="inlineStr">
        <is>
          <t>UK-000396</t>
        </is>
      </c>
      <c r="B1094" s="5" t="inlineStr">
        <is>
          <t>Two Apples Restaurant &amp; Shisha Lounge</t>
        </is>
      </c>
      <c r="C1094" s="5" t="inlineStr">
        <is>
          <t>Oldham</t>
        </is>
      </c>
      <c r="D1094" s="5" t="inlineStr">
        <is>
          <t>https://shisha.com/listing/shisha-bar-lounge-two-apples-restaurant-oldham/</t>
        </is>
      </c>
      <c r="E1094" s="5" t="inlineStr">
        <is>
          <t>Directory</t>
        </is>
      </c>
      <c r="F1094" s="5" t="inlineStr">
        <is>
          <t>2026-09-17</t>
        </is>
      </c>
      <c r="G1094" s="5" t="inlineStr">
        <is>
          <t>address, postcode</t>
        </is>
      </c>
      <c r="H1094" s="5" t="inlineStr">
        <is>
          <t>Requires Verification</t>
        </is>
      </c>
    </row>
    <row r="1095">
      <c r="A1095" s="10" t="inlineStr">
        <is>
          <t>UK-000397</t>
        </is>
      </c>
      <c r="B1095" s="10" t="inlineStr">
        <is>
          <t>Two Apples Shisha (Cheetham Hill)</t>
        </is>
      </c>
      <c r="C1095" s="10" t="inlineStr">
        <is>
          <t>Manchester</t>
        </is>
      </c>
      <c r="D1095" s="10" t="inlineStr">
        <is>
          <t>https://two-apples-shisha.wheree.com/</t>
        </is>
      </c>
      <c r="E1095" s="10" t="inlineStr">
        <is>
          <t>Directory</t>
        </is>
      </c>
      <c r="F1095" s="10" t="inlineStr">
        <is>
          <t>2026-09-17</t>
        </is>
      </c>
      <c r="G1095" s="10" t="inlineStr">
        <is>
          <t>business name, address, postcode, phone</t>
        </is>
      </c>
      <c r="H1095" s="10" t="inlineStr">
        <is>
          <t>Requires Verification</t>
        </is>
      </c>
    </row>
    <row r="1096">
      <c r="A1096" s="5" t="inlineStr">
        <is>
          <t>WY-0169</t>
        </is>
      </c>
      <c r="B1096" s="5" t="inlineStr">
        <is>
          <t>Tylor's Booze</t>
        </is>
      </c>
      <c r="C1096" s="5" t="inlineStr">
        <is>
          <t>Castleford</t>
        </is>
      </c>
      <c r="D1096" s="5" t="inlineStr">
        <is>
          <t>https://www.yorkshire.com/castleford/shopping/off-license/tylors-booze</t>
        </is>
      </c>
      <c r="E1096" s="5" t="inlineStr">
        <is>
          <t>Directory</t>
        </is>
      </c>
      <c r="F1096" s="5" t="inlineStr">
        <is>
          <t>2026-09-16</t>
        </is>
      </c>
      <c r="G1096" s="5" t="inlineStr">
        <is>
          <t>address 33 Albion Street WF10 1EG</t>
        </is>
      </c>
      <c r="H1096" s="5" t="inlineStr">
        <is>
          <t>Partially Verified</t>
        </is>
      </c>
    </row>
    <row r="1097">
      <c r="A1097" s="10" t="inlineStr">
        <is>
          <t>WY-0169</t>
        </is>
      </c>
      <c r="B1097" s="10" t="inlineStr">
        <is>
          <t>Tylor's Booze</t>
        </is>
      </c>
      <c r="C1097" s="10" t="inlineStr">
        <is>
          <t>Castleford</t>
        </is>
      </c>
      <c r="D1097" s="10" t="inlineStr">
        <is>
          <t>https://find-and-update.company-information.service.gov.uk/company/12100725</t>
        </is>
      </c>
      <c r="E1097" s="10" t="inlineStr">
        <is>
          <t>Companies House</t>
        </is>
      </c>
      <c r="F1097" s="10" t="inlineStr">
        <is>
          <t>2026-09-16</t>
        </is>
      </c>
      <c r="G1097" s="10" t="inlineStr">
        <is>
          <t>company number, incorporation 12 July 2019, active (via search snippet)</t>
        </is>
      </c>
      <c r="H1097" s="10" t="inlineStr">
        <is>
          <t>Partially Verified</t>
        </is>
      </c>
    </row>
    <row r="1098">
      <c r="A1098" s="5" t="inlineStr">
        <is>
          <t>WY-0169</t>
        </is>
      </c>
      <c r="B1098" s="5" t="inlineStr">
        <is>
          <t>Tylor's Booze</t>
        </is>
      </c>
      <c r="C1098" s="5" t="inlineStr">
        <is>
          <t>Castleford</t>
        </is>
      </c>
      <c r="D1098" s="5" t="inlineStr">
        <is>
          <t>https://ratings.food.gov.uk/business/1603061</t>
        </is>
      </c>
      <c r="E1098" s="5" t="inlineStr">
        <is>
          <t>Other</t>
        </is>
      </c>
      <c r="F1098" s="5" t="inlineStr">
        <is>
          <t>2026-09-16</t>
        </is>
      </c>
      <c r="G1098" s="5" t="inlineStr">
        <is>
          <t>FSA hygiene listing (existence cross-check)</t>
        </is>
      </c>
      <c r="H1098" s="5" t="inlineStr">
        <is>
          <t>Partially Verified</t>
        </is>
      </c>
    </row>
    <row r="1099">
      <c r="A1099" s="10" t="inlineStr">
        <is>
          <t>WY-0169</t>
        </is>
      </c>
      <c r="B1099" s="10" t="inlineStr">
        <is>
          <t>Tylor's Booze</t>
        </is>
      </c>
      <c r="C1099" s="10" t="inlineStr">
        <is>
          <t>Castleford</t>
        </is>
      </c>
      <c r="D1099" s="10" t="inlineStr">
        <is>
          <t>https://www.wakefieldexpress.co.uk/news/crime/castleford-shop-surrenders-booze-licence-after-west-yorkshire-police-allegedly-find-counterfeit-cigarettes-3258964</t>
        </is>
      </c>
      <c r="E1099" s="10" t="inlineStr">
        <is>
          <t>News / Trade Press</t>
        </is>
      </c>
      <c r="F1099" s="10" t="inlineStr">
        <is>
          <t>2026-09-16</t>
        </is>
      </c>
      <c r="G1099" s="10" t="inlineStr">
        <is>
          <t>possible licensing issue (unconfirmed link to this business)</t>
        </is>
      </c>
      <c r="H1099" s="10" t="inlineStr">
        <is>
          <t>Partially Verified</t>
        </is>
      </c>
    </row>
    <row r="1100">
      <c r="A1100" s="5" t="inlineStr">
        <is>
          <t>UK-000527</t>
        </is>
      </c>
      <c r="B1100" s="5" t="inlineStr">
        <is>
          <t>U Wish Lounge</t>
        </is>
      </c>
      <c r="C1100" s="5" t="inlineStr">
        <is>
          <t>Birmingham</t>
        </is>
      </c>
      <c r="D1100" s="5" t="inlineStr">
        <is>
          <t>https://uwishlounge.co.uk/</t>
        </is>
      </c>
      <c r="E1100" s="5" t="inlineStr">
        <is>
          <t>Official Website</t>
        </is>
      </c>
      <c r="F1100" s="5" t="inlineStr">
        <is>
          <t>2026-09-17</t>
        </is>
      </c>
      <c r="G1100" s="5" t="inlineStr">
        <is>
          <t>address (partial)</t>
        </is>
      </c>
      <c r="H1100" s="5" t="inlineStr">
        <is>
          <t>Requires Verification</t>
        </is>
      </c>
    </row>
    <row r="1101">
      <c r="A1101" s="10" t="inlineStr">
        <is>
          <t>UK-000528</t>
        </is>
      </c>
      <c r="B1101" s="10" t="inlineStr">
        <is>
          <t>Ultimate Vape Lounge - Stourbridge</t>
        </is>
      </c>
      <c r="C1101" s="10" t="inlineStr">
        <is>
          <t>Stourbridge</t>
        </is>
      </c>
      <c r="D1101" s="10" t="inlineStr">
        <is>
          <t>https://www.facebook.com/ultimatevapeloungestourbridge/</t>
        </is>
      </c>
      <c r="E1101" s="10" t="inlineStr">
        <is>
          <t>Facebook</t>
        </is>
      </c>
      <c r="F1101" s="10" t="inlineStr">
        <is>
          <t>2026-09-17</t>
        </is>
      </c>
      <c r="G1101" s="10" t="inlineStr">
        <is>
          <t>business name, Wollaston/Stourbridge location</t>
        </is>
      </c>
      <c r="H1101" s="10" t="inlineStr">
        <is>
          <t>Requires Verification</t>
        </is>
      </c>
    </row>
    <row r="1102">
      <c r="A1102" s="5" t="inlineStr">
        <is>
          <t>UK-000528</t>
        </is>
      </c>
      <c r="B1102" s="5" t="inlineStr">
        <is>
          <t>Ultimate Vape Lounge - Stourbridge</t>
        </is>
      </c>
      <c r="C1102" s="5" t="inlineStr">
        <is>
          <t>Stourbridge</t>
        </is>
      </c>
      <c r="D1102" s="5" t="inlineStr">
        <is>
          <t>https://vapeshops.puffingbird.com/midlands/stourbridge/ultimate-vape-lounge-stourbridge</t>
        </is>
      </c>
      <c r="E1102" s="5" t="inlineStr">
        <is>
          <t>Directory</t>
        </is>
      </c>
      <c r="F1102" s="5" t="inlineStr">
        <is>
          <t>2026-09-17</t>
        </is>
      </c>
      <c r="G1102" s="5" t="inlineStr">
        <is>
          <t>business existence, area</t>
        </is>
      </c>
      <c r="H1102" s="5" t="inlineStr">
        <is>
          <t>Requires Verification</t>
        </is>
      </c>
    </row>
    <row r="1103">
      <c r="A1103" s="10" t="inlineStr">
        <is>
          <t>UK-000529</t>
        </is>
      </c>
      <c r="B1103" s="10" t="inlineStr">
        <is>
          <t>Ultimate Vapes Acocks Green</t>
        </is>
      </c>
      <c r="C1103" s="10" t="inlineStr">
        <is>
          <t>Birmingham</t>
        </is>
      </c>
      <c r="D1103" s="10" t="inlineStr">
        <is>
          <t>https://acocks-green.cylex-uk.co.uk/company/ultimate-vapes-acocks-green-28300869.html</t>
        </is>
      </c>
      <c r="E1103" s="10" t="inlineStr">
        <is>
          <t>Directory</t>
        </is>
      </c>
      <c r="F1103" s="10" t="inlineStr">
        <is>
          <t>2026-09-17</t>
        </is>
      </c>
      <c r="G1103" s="10" t="inlineStr">
        <is>
          <t>address, postcode</t>
        </is>
      </c>
      <c r="H1103" s="10" t="inlineStr">
        <is>
          <t>Requires Verification</t>
        </is>
      </c>
    </row>
    <row r="1104">
      <c r="A1104" s="5" t="inlineStr">
        <is>
          <t>WY-0170</t>
        </is>
      </c>
      <c r="B1104" s="5" t="inlineStr">
        <is>
          <t>Umrah Supermarket</t>
        </is>
      </c>
      <c r="C1104" s="5" t="inlineStr">
        <is>
          <t>Huddersfield</t>
        </is>
      </c>
      <c r="D1104" s="5" t="inlineStr">
        <is>
          <t>https://www.yorkshire.com/huddersfield/shopping/supermarkets/umrah-supermarket-huddersfield</t>
        </is>
      </c>
      <c r="E1104" s="5" t="inlineStr">
        <is>
          <t>Directory</t>
        </is>
      </c>
      <c r="F1104" s="5" t="inlineStr">
        <is>
          <t>2026-09-16</t>
        </is>
      </c>
      <c r="G1104" s="5" t="inlineStr">
        <is>
          <t>street, hours</t>
        </is>
      </c>
      <c r="H1104" s="5" t="inlineStr">
        <is>
          <t>Requires Verification</t>
        </is>
      </c>
    </row>
    <row r="1105">
      <c r="A1105" s="10" t="inlineStr">
        <is>
          <t>WY-0170</t>
        </is>
      </c>
      <c r="B1105" s="10" t="inlineStr">
        <is>
          <t>Umrah Supermarket</t>
        </is>
      </c>
      <c r="C1105" s="10" t="inlineStr">
        <is>
          <t>Huddersfield</t>
        </is>
      </c>
      <c r="D1105" s="10" t="inlineStr">
        <is>
          <t>https://www.facebook.com/p/Umrah-Supermarket-Huddersfield-61555683256072/</t>
        </is>
      </c>
      <c r="E1105" s="10" t="inlineStr">
        <is>
          <t>Facebook</t>
        </is>
      </c>
      <c r="F1105" s="10" t="inlineStr">
        <is>
          <t>2026-09-16</t>
        </is>
      </c>
      <c r="G1105" s="10" t="inlineStr">
        <is>
          <t>business Facebook page</t>
        </is>
      </c>
      <c r="H1105" s="10" t="inlineStr">
        <is>
          <t>Requires Verification</t>
        </is>
      </c>
    </row>
    <row r="1106">
      <c r="A1106" s="5" t="inlineStr">
        <is>
          <t>UK-000830</t>
        </is>
      </c>
      <c r="B1106" s="5" t="inlineStr">
        <is>
          <t>Umrah Supermarket</t>
        </is>
      </c>
      <c r="C1106" s="5" t="inlineStr">
        <is>
          <t>Liverpool</t>
        </is>
      </c>
      <c r="D1106" s="5" t="inlineStr">
        <is>
          <t>https://www.facebook.com/61552273532708/posts/welcome-to-your-umrah-supermarket-22-lodge-lane-liverpool-l80qh-god-bless/122130130478075784/</t>
        </is>
      </c>
      <c r="E1106" s="5" t="inlineStr">
        <is>
          <t>Facebook</t>
        </is>
      </c>
      <c r="F1106" s="5" t="inlineStr">
        <is>
          <t>2026-09-17</t>
        </is>
      </c>
      <c r="G1106" s="5" t="inlineStr">
        <is>
          <t>name, address, postcode</t>
        </is>
      </c>
      <c r="H1106" s="5" t="inlineStr">
        <is>
          <t>Requires Verification</t>
        </is>
      </c>
    </row>
    <row r="1107">
      <c r="A1107" s="10" t="inlineStr">
        <is>
          <t>UK-000831</t>
        </is>
      </c>
      <c r="B1107" s="10" t="inlineStr">
        <is>
          <t>Unique Vaper</t>
        </is>
      </c>
      <c r="C1107" s="10" t="inlineStr">
        <is>
          <t>Bootle</t>
        </is>
      </c>
      <c r="D1107" s="10" t="inlineStr">
        <is>
          <t>https://bootle-merseyside.cylex-uk.co.uk/vape-shops/</t>
        </is>
      </c>
      <c r="E1107" s="10" t="inlineStr">
        <is>
          <t>Directory</t>
        </is>
      </c>
      <c r="F1107" s="10" t="inlineStr">
        <is>
          <t>2026-09-17</t>
        </is>
      </c>
      <c r="G1107" s="10" t="inlineStr">
        <is>
          <t>name, address, postcode, phone</t>
        </is>
      </c>
      <c r="H1107" s="10" t="inlineStr">
        <is>
          <t>Requires Verification</t>
        </is>
      </c>
    </row>
    <row r="1108">
      <c r="A1108" s="5" t="inlineStr">
        <is>
          <t>UK-000672</t>
        </is>
      </c>
      <c r="B1108" s="5" t="inlineStr">
        <is>
          <t>Universal Liquor Mart</t>
        </is>
      </c>
      <c r="C1108" s="5" t="inlineStr">
        <is>
          <t>London</t>
        </is>
      </c>
      <c r="D1108" s="5" t="inlineStr">
        <is>
          <t>https://www.yell.com/s/off+licences-fulham-london.html</t>
        </is>
      </c>
      <c r="E1108" s="5" t="inlineStr">
        <is>
          <t>Yell</t>
        </is>
      </c>
      <c r="F1108" s="5" t="inlineStr">
        <is>
          <t>2026-09-17</t>
        </is>
      </c>
      <c r="G1108" s="5" t="inlineStr">
        <is>
          <t>business name, address, postcode, phone</t>
        </is>
      </c>
      <c r="H1108" s="5" t="inlineStr">
        <is>
          <t>Requires Verification</t>
        </is>
      </c>
    </row>
    <row r="1109">
      <c r="A1109" s="10" t="inlineStr">
        <is>
          <t>WY-0171</t>
        </is>
      </c>
      <c r="B1109" s="10" t="inlineStr">
        <is>
          <t>VAPE (Heckmondwike)</t>
        </is>
      </c>
      <c r="C1109" s="10" t="inlineStr">
        <is>
          <t>Heckmondwike</t>
        </is>
      </c>
      <c r="D1109" s="10" t="inlineStr">
        <is>
          <t>https://ecigdirectory.co.uk/vape-shop/listing/vape-heckmondwike</t>
        </is>
      </c>
      <c r="E1109" s="10" t="inlineStr">
        <is>
          <t>Directory</t>
        </is>
      </c>
      <c r="F1109" s="10" t="inlineStr">
        <is>
          <t>2026-09-16</t>
        </is>
      </c>
      <c r="G1109" s="10" t="inlineStr">
        <is>
          <t>address, phone, hours</t>
        </is>
      </c>
      <c r="H1109" s="10" t="inlineStr">
        <is>
          <t>Requires Verification</t>
        </is>
      </c>
    </row>
    <row r="1110">
      <c r="A1110" s="5" t="inlineStr">
        <is>
          <t>WY-0171</t>
        </is>
      </c>
      <c r="B1110" s="5" t="inlineStr">
        <is>
          <t>VAPE (Heckmondwike)</t>
        </is>
      </c>
      <c r="C1110" s="5" t="inlineStr">
        <is>
          <t>Heckmondwike</t>
        </is>
      </c>
      <c r="D1110" s="5" t="inlineStr">
        <is>
          <t>https://www.theukhighstreet.com/store/0/65960/757/</t>
        </is>
      </c>
      <c r="E1110" s="5" t="inlineStr">
        <is>
          <t>Directory</t>
        </is>
      </c>
      <c r="F1110" s="5" t="inlineStr">
        <is>
          <t>2026-09-16</t>
        </is>
      </c>
      <c r="G1110" s="5" t="inlineStr">
        <is>
          <t>cross-check of address and phone</t>
        </is>
      </c>
      <c r="H1110" s="5" t="inlineStr">
        <is>
          <t>Requires Verification</t>
        </is>
      </c>
    </row>
    <row r="1111">
      <c r="A1111" s="10" t="inlineStr">
        <is>
          <t>UK-000673</t>
        </is>
      </c>
      <c r="B1111" s="10" t="inlineStr">
        <is>
          <t>VAPE BAR (Paddington)</t>
        </is>
      </c>
      <c r="C1111" s="10" t="inlineStr">
        <is>
          <t>London</t>
        </is>
      </c>
      <c r="D1111" s="10" t="inlineStr">
        <is>
          <t>https://london.cylex-uk.co.uk/company/vape-bar-28775714.html</t>
        </is>
      </c>
      <c r="E1111" s="10" t="inlineStr">
        <is>
          <t>Directory</t>
        </is>
      </c>
      <c r="F1111" s="10" t="inlineStr">
        <is>
          <t>2026-09-17</t>
        </is>
      </c>
      <c r="G1111" s="10" t="inlineStr">
        <is>
          <t>business name, address, postcode, phone</t>
        </is>
      </c>
      <c r="H1111" s="10" t="inlineStr">
        <is>
          <t>Requires Verification</t>
        </is>
      </c>
    </row>
    <row r="1112">
      <c r="A1112" s="5" t="inlineStr">
        <is>
          <t>UK-000398</t>
        </is>
      </c>
      <c r="B1112" s="5" t="inlineStr">
        <is>
          <t>VAPE CITI (Mount Street, Manchester)</t>
        </is>
      </c>
      <c r="C1112" s="5" t="inlineStr">
        <is>
          <t>Manchester</t>
        </is>
      </c>
      <c r="D1112" s="5" t="inlineStr">
        <is>
          <t>https://ecigdirectory.co.uk/vape-shop/listing/vape-citi-oxford-street-manchester</t>
        </is>
      </c>
      <c r="E1112" s="5" t="inlineStr">
        <is>
          <t>Directory</t>
        </is>
      </c>
      <c r="F1112" s="5" t="inlineStr">
        <is>
          <t>2026-09-17</t>
        </is>
      </c>
      <c r="G1112" s="5" t="inlineStr">
        <is>
          <t>business name, address, postcode</t>
        </is>
      </c>
      <c r="H1112" s="5" t="inlineStr">
        <is>
          <t>Requires Verification</t>
        </is>
      </c>
    </row>
    <row r="1113">
      <c r="A1113" s="10" t="inlineStr">
        <is>
          <t>UK-000530</t>
        </is>
      </c>
      <c r="B1113" s="10" t="inlineStr">
        <is>
          <t>VT Off Licence &amp; Convenience Store</t>
        </is>
      </c>
      <c r="C1113" s="10" t="inlineStr">
        <is>
          <t>Birmingham</t>
        </is>
      </c>
      <c r="D1113" s="10" t="inlineStr">
        <is>
          <t>https://birmingham.cylex-uk.co.uk/company/vt-off-licence---convenience-store-27496181.html</t>
        </is>
      </c>
      <c r="E1113" s="10" t="inlineStr">
        <is>
          <t>Directory</t>
        </is>
      </c>
      <c r="F1113" s="10" t="inlineStr">
        <is>
          <t>2026-09-17</t>
        </is>
      </c>
      <c r="G1113" s="10" t="inlineStr">
        <is>
          <t>address, postcode</t>
        </is>
      </c>
      <c r="H1113" s="10" t="inlineStr">
        <is>
          <t>Requires Verification</t>
        </is>
      </c>
    </row>
    <row r="1114">
      <c r="A1114" s="5" t="inlineStr">
        <is>
          <t>UK-000531</t>
        </is>
      </c>
      <c r="B1114" s="5" t="inlineStr">
        <is>
          <t>VVAPES</t>
        </is>
      </c>
      <c r="C1114" s="5" t="inlineStr">
        <is>
          <t>Birmingham</t>
        </is>
      </c>
      <c r="D1114" s="5" t="inlineStr">
        <is>
          <t>https://vvapes.co.uk/pages/contact-us</t>
        </is>
      </c>
      <c r="E1114" s="5" t="inlineStr">
        <is>
          <t>Official Website</t>
        </is>
      </c>
      <c r="F1114" s="5" t="inlineStr">
        <is>
          <t>2026-09-17</t>
        </is>
      </c>
      <c r="G1114" s="5" t="inlineStr">
        <is>
          <t>address, postcode, email</t>
        </is>
      </c>
      <c r="H1114" s="5" t="inlineStr">
        <is>
          <t>Requires Verification</t>
        </is>
      </c>
    </row>
    <row r="1115">
      <c r="A1115" s="10" t="inlineStr">
        <is>
          <t>UK-000532</t>
        </is>
      </c>
      <c r="B1115" s="10" t="inlineStr">
        <is>
          <t>Value Vapes</t>
        </is>
      </c>
      <c r="C1115" s="10" t="inlineStr">
        <is>
          <t>Birmingham</t>
        </is>
      </c>
      <c r="D1115" s="10" t="inlineStr">
        <is>
          <t>https://www.yell.com/biz/value-vapes-birmingham-10450779/</t>
        </is>
      </c>
      <c r="E1115" s="10" t="inlineStr">
        <is>
          <t>Yell</t>
        </is>
      </c>
      <c r="F1115" s="10" t="inlineStr">
        <is>
          <t>2026-09-17</t>
        </is>
      </c>
      <c r="G1115" s="10" t="inlineStr">
        <is>
          <t>address, postcode</t>
        </is>
      </c>
      <c r="H1115" s="10" t="inlineStr">
        <is>
          <t>Requires Verification</t>
        </is>
      </c>
    </row>
    <row r="1116">
      <c r="A1116" s="5" t="inlineStr">
        <is>
          <t>UK-000399</t>
        </is>
      </c>
      <c r="B1116" s="5" t="inlineStr">
        <is>
          <t>Vape &amp; Mobiles (Fallowfield, Manchester)</t>
        </is>
      </c>
      <c r="C1116" s="5" t="inlineStr">
        <is>
          <t>Manchester</t>
        </is>
      </c>
      <c r="D1116" s="5" t="inlineStr">
        <is>
          <t>https://vape-mobiles.wheree.com/</t>
        </is>
      </c>
      <c r="E1116" s="5" t="inlineStr">
        <is>
          <t>Directory</t>
        </is>
      </c>
      <c r="F1116" s="5" t="inlineStr">
        <is>
          <t>2026-09-17</t>
        </is>
      </c>
      <c r="G1116" s="5" t="inlineStr">
        <is>
          <t>business name, address, postcode</t>
        </is>
      </c>
      <c r="H1116" s="5" t="inlineStr">
        <is>
          <t>Requires Verification</t>
        </is>
      </c>
    </row>
    <row r="1117">
      <c r="A1117" s="10" t="inlineStr">
        <is>
          <t>UK-000400</t>
        </is>
      </c>
      <c r="B1117" s="10" t="inlineStr">
        <is>
          <t>Vape 360 (Withington, Manchester)</t>
        </is>
      </c>
      <c r="C1117" s="10" t="inlineStr">
        <is>
          <t>Manchester</t>
        </is>
      </c>
      <c r="D1117" s="10" t="inlineStr">
        <is>
          <t>https://manchester.cylex-uk.co.uk/company/vape-360-withington-manchester-28423693.html</t>
        </is>
      </c>
      <c r="E1117" s="10" t="inlineStr">
        <is>
          <t>Directory</t>
        </is>
      </c>
      <c r="F1117" s="10" t="inlineStr">
        <is>
          <t>2026-09-17</t>
        </is>
      </c>
      <c r="G1117" s="10" t="inlineStr">
        <is>
          <t>business name, address, postcode</t>
        </is>
      </c>
      <c r="H1117" s="10" t="inlineStr">
        <is>
          <t>Requires Verification</t>
        </is>
      </c>
    </row>
    <row r="1118">
      <c r="A1118" s="5" t="inlineStr">
        <is>
          <t>UK-000533</t>
        </is>
      </c>
      <c r="B1118" s="5" t="inlineStr">
        <is>
          <t>Vape Bar Brierley Hill</t>
        </is>
      </c>
      <c r="C1118" s="5" t="inlineStr">
        <is>
          <t>Brierley Hill</t>
        </is>
      </c>
      <c r="D1118" s="5" t="inlineStr">
        <is>
          <t>https://www.facebook.com/Vapebarbrierleyhill/</t>
        </is>
      </c>
      <c r="E1118" s="5" t="inlineStr">
        <is>
          <t>Facebook</t>
        </is>
      </c>
      <c r="F1118" s="5" t="inlineStr">
        <is>
          <t>2026-09-17</t>
        </is>
      </c>
      <c r="G1118" s="5" t="inlineStr">
        <is>
          <t>business name, Brierley Hill location</t>
        </is>
      </c>
      <c r="H1118" s="5" t="inlineStr">
        <is>
          <t>Requires Verification</t>
        </is>
      </c>
    </row>
    <row r="1119">
      <c r="A1119" s="10" t="inlineStr">
        <is>
          <t>UK-000401</t>
        </is>
      </c>
      <c r="B1119" s="10" t="inlineStr">
        <is>
          <t>Vape Bar Wigan</t>
        </is>
      </c>
      <c r="C1119" s="10" t="inlineStr">
        <is>
          <t>Wigan</t>
        </is>
      </c>
      <c r="D1119" s="10" t="inlineStr">
        <is>
          <t>https://www.facebook.com/vapebarwigan/</t>
        </is>
      </c>
      <c r="E1119" s="10" t="inlineStr">
        <is>
          <t>Facebook</t>
        </is>
      </c>
      <c r="F1119" s="10" t="inlineStr">
        <is>
          <t>2026-09-17</t>
        </is>
      </c>
      <c r="G1119" s="10" t="inlineStr">
        <is>
          <t>trading name, address, phone (via search results)</t>
        </is>
      </c>
      <c r="H1119" s="10" t="inlineStr">
        <is>
          <t>Requires Verification</t>
        </is>
      </c>
    </row>
    <row r="1120">
      <c r="A1120" s="5" t="inlineStr">
        <is>
          <t>UK-000402</t>
        </is>
      </c>
      <c r="B1120" s="5" t="inlineStr">
        <is>
          <t>Vape Citi Bury</t>
        </is>
      </c>
      <c r="C1120" s="5" t="inlineStr">
        <is>
          <t>Bury</t>
        </is>
      </c>
      <c r="D1120" s="5" t="inlineStr">
        <is>
          <t>https://ecigdirectory.co.uk/vape-shop/listing/vape-citi-bury</t>
        </is>
      </c>
      <c r="E1120" s="5" t="inlineStr">
        <is>
          <t>Directory</t>
        </is>
      </c>
      <c r="F1120" s="5" t="inlineStr">
        <is>
          <t>2026-09-17</t>
        </is>
      </c>
      <c r="G1120" s="5" t="inlineStr">
        <is>
          <t>trading name, address, postcode (via search results)</t>
        </is>
      </c>
      <c r="H1120" s="5" t="inlineStr">
        <is>
          <t>Requires Verification</t>
        </is>
      </c>
    </row>
    <row r="1121">
      <c r="A1121" s="10" t="inlineStr">
        <is>
          <t>UK-000402</t>
        </is>
      </c>
      <c r="B1121" s="10" t="inlineStr">
        <is>
          <t>Vape Citi Bury</t>
        </is>
      </c>
      <c r="C1121" s="10" t="inlineStr">
        <is>
          <t>Bury</t>
        </is>
      </c>
      <c r="D1121" s="10" t="inlineStr">
        <is>
          <t>https://bury.cylex-uk.co.uk/company/vape-citi-26390146.html</t>
        </is>
      </c>
      <c r="E1121" s="10" t="inlineStr">
        <is>
          <t>Directory</t>
        </is>
      </c>
      <c r="F1121" s="10" t="inlineStr">
        <is>
          <t>2026-09-17</t>
        </is>
      </c>
      <c r="G1121" s="10" t="inlineStr">
        <is>
          <t>trading name, Bury location (via search results)</t>
        </is>
      </c>
      <c r="H1121" s="10" t="inlineStr">
        <is>
          <t>Requires Verification</t>
        </is>
      </c>
    </row>
    <row r="1122">
      <c r="A1122" s="5" t="inlineStr">
        <is>
          <t>WY-0172</t>
        </is>
      </c>
      <c r="B1122" s="5" t="inlineStr">
        <is>
          <t>Vape Dream</t>
        </is>
      </c>
      <c r="C1122" s="5" t="inlineStr">
        <is>
          <t>Dewsbury</t>
        </is>
      </c>
      <c r="D1122" s="5" t="inlineStr">
        <is>
          <t>https://www.facebook.com/p/Vape-Dream-Vape-Shop-61558567906935/</t>
        </is>
      </c>
      <c r="E1122" s="5" t="inlineStr">
        <is>
          <t>Facebook</t>
        </is>
      </c>
      <c r="F1122" s="5" t="inlineStr">
        <is>
          <t>2026-09-16</t>
        </is>
      </c>
      <c r="G1122" s="5" t="inlineStr">
        <is>
          <t>business name, town</t>
        </is>
      </c>
      <c r="H1122" s="5" t="inlineStr">
        <is>
          <t>Requires Verification</t>
        </is>
      </c>
    </row>
    <row r="1123">
      <c r="A1123" s="10" t="inlineStr">
        <is>
          <t>UK-000288</t>
        </is>
      </c>
      <c r="B1123" s="10" t="inlineStr">
        <is>
          <t>Vape HQ Stocksbridge</t>
        </is>
      </c>
      <c r="C1123" s="10" t="inlineStr">
        <is>
          <t>Sheffield</t>
        </is>
      </c>
      <c r="D1123" s="10" t="inlineStr">
        <is>
          <t>https://www.facebook.com/VHQStocksbridge/</t>
        </is>
      </c>
      <c r="E1123" s="10" t="inlineStr">
        <is>
          <t>Facebook</t>
        </is>
      </c>
      <c r="F1123" s="10" t="inlineStr">
        <is>
          <t>2026-09-16</t>
        </is>
      </c>
      <c r="G1123" s="10" t="inlineStr">
        <is>
          <t>name, area</t>
        </is>
      </c>
      <c r="H1123" s="10" t="inlineStr">
        <is>
          <t>Requires Verification</t>
        </is>
      </c>
    </row>
    <row r="1124">
      <c r="A1124" s="5" t="inlineStr">
        <is>
          <t>UK-000403</t>
        </is>
      </c>
      <c r="B1124" s="5" t="inlineStr">
        <is>
          <t>Vape Huts</t>
        </is>
      </c>
      <c r="C1124" s="5" t="inlineStr">
        <is>
          <t>Chadderton</t>
        </is>
      </c>
      <c r="D1124" s="5" t="inlineStr">
        <is>
          <t>https://vapeshops.puffingbird.com/england/oldham</t>
        </is>
      </c>
      <c r="E1124" s="5" t="inlineStr">
        <is>
          <t>Directory</t>
        </is>
      </c>
      <c r="F1124" s="5" t="inlineStr">
        <is>
          <t>2026-09-17</t>
        </is>
      </c>
      <c r="G1124" s="5" t="inlineStr">
        <is>
          <t>address, postcode</t>
        </is>
      </c>
      <c r="H1124" s="5" t="inlineStr">
        <is>
          <t>Requires Verification</t>
        </is>
      </c>
    </row>
    <row r="1125">
      <c r="A1125" s="10" t="inlineStr">
        <is>
          <t>UK-000674</t>
        </is>
      </c>
      <c r="B1125" s="10" t="inlineStr">
        <is>
          <t>Vape Inc</t>
        </is>
      </c>
      <c r="C1125" s="10" t="inlineStr">
        <is>
          <t>Walthamstow</t>
        </is>
      </c>
      <c r="D1125" s="10" t="inlineStr">
        <is>
          <t>https://www.yelp.co.uk/biz/vape-inc-walthamstow</t>
        </is>
      </c>
      <c r="E1125" s="10" t="inlineStr">
        <is>
          <t>Directory</t>
        </is>
      </c>
      <c r="F1125" s="10" t="inlineStr">
        <is>
          <t>2026-09-17</t>
        </is>
      </c>
      <c r="G1125" s="10" t="inlineStr">
        <is>
          <t>name, address, postcode, phone</t>
        </is>
      </c>
      <c r="H1125" s="10" t="inlineStr">
        <is>
          <t>Requires Verification</t>
        </is>
      </c>
    </row>
    <row r="1126">
      <c r="A1126" s="5" t="inlineStr">
        <is>
          <t>UK-000534</t>
        </is>
      </c>
      <c r="B1126" s="5" t="inlineStr">
        <is>
          <t>Vape Inn Ltd</t>
        </is>
      </c>
      <c r="C1126" s="5" t="inlineStr">
        <is>
          <t>Wednesbury</t>
        </is>
      </c>
      <c r="D1126" s="5" t="inlineStr">
        <is>
          <t>https://www.yell.com/s/vape+shops-wednesbury.html</t>
        </is>
      </c>
      <c r="E1126" s="5" t="inlineStr">
        <is>
          <t>Yell</t>
        </is>
      </c>
      <c r="F1126" s="5" t="inlineStr">
        <is>
          <t>2026-09-17</t>
        </is>
      </c>
      <c r="G1126" s="5" t="inlineStr">
        <is>
          <t>business name, Wednesbury location (search snippet)</t>
        </is>
      </c>
      <c r="H1126" s="5" t="inlineStr">
        <is>
          <t>Requires Verification</t>
        </is>
      </c>
    </row>
    <row r="1127">
      <c r="A1127" s="10" t="inlineStr">
        <is>
          <t>UK-000675</t>
        </is>
      </c>
      <c r="B1127" s="10" t="inlineStr">
        <is>
          <t>Vape Island Ltd</t>
        </is>
      </c>
      <c r="C1127" s="10" t="inlineStr">
        <is>
          <t>Forest Gate</t>
        </is>
      </c>
      <c r="D1127" s="10" t="inlineStr">
        <is>
          <t>https://www.yell.com/s/vape+shops-stratford-east+london.html</t>
        </is>
      </c>
      <c r="E1127" s="10" t="inlineStr">
        <is>
          <t>Yell</t>
        </is>
      </c>
      <c r="F1127" s="10" t="inlineStr">
        <is>
          <t>2026-09-17</t>
        </is>
      </c>
      <c r="G1127" s="10" t="inlineStr">
        <is>
          <t>name, address, postcode</t>
        </is>
      </c>
      <c r="H1127" s="10" t="inlineStr">
        <is>
          <t>Requires Verification</t>
        </is>
      </c>
    </row>
    <row r="1128">
      <c r="A1128" s="5" t="inlineStr">
        <is>
          <t>UK-000832</t>
        </is>
      </c>
      <c r="B1128" s="5" t="inlineStr">
        <is>
          <t>Vape Kingdom UK</t>
        </is>
      </c>
      <c r="C1128" s="5" t="inlineStr">
        <is>
          <t>St Helens</t>
        </is>
      </c>
      <c r="D1128" s="5" t="inlineStr">
        <is>
          <t>https://find-and-update.company-information.service.gov.uk/company/11667721</t>
        </is>
      </c>
      <c r="E1128" s="5" t="inlineStr">
        <is>
          <t>Companies House</t>
        </is>
      </c>
      <c r="F1128" s="5" t="inlineStr">
        <is>
          <t>2026-09-17</t>
        </is>
      </c>
      <c r="G1128" s="5" t="inlineStr">
        <is>
          <t>registered company name, number, status, incorporation date</t>
        </is>
      </c>
      <c r="H1128" s="5" t="inlineStr">
        <is>
          <t>Requires Verification</t>
        </is>
      </c>
    </row>
    <row r="1129">
      <c r="A1129" s="10" t="inlineStr">
        <is>
          <t>UK-000832</t>
        </is>
      </c>
      <c r="B1129" s="10" t="inlineStr">
        <is>
          <t>Vape Kingdom UK</t>
        </is>
      </c>
      <c r="C1129" s="10" t="inlineStr">
        <is>
          <t>St Helens</t>
        </is>
      </c>
      <c r="D1129" s="10" t="inlineStr">
        <is>
          <t>https://find-open.co.uk/st-helens-merseyside/vape-kingdom-uk-open-7-days-a-week-2628526</t>
        </is>
      </c>
      <c r="E1129" s="10" t="inlineStr">
        <is>
          <t>Directory</t>
        </is>
      </c>
      <c r="F1129" s="10" t="inlineStr">
        <is>
          <t>2026-09-17</t>
        </is>
      </c>
      <c r="G1129" s="10" t="inlineStr">
        <is>
          <t>Westfield Street address, postcode, phone</t>
        </is>
      </c>
      <c r="H1129" s="10" t="inlineStr">
        <is>
          <t>Requires Verification</t>
        </is>
      </c>
    </row>
    <row r="1130">
      <c r="A1130" s="5" t="inlineStr">
        <is>
          <t>UK-000833</t>
        </is>
      </c>
      <c r="B1130" s="5" t="inlineStr">
        <is>
          <t>Vape Made Easy</t>
        </is>
      </c>
      <c r="C1130" s="5" t="inlineStr">
        <is>
          <t>Glasgow</t>
        </is>
      </c>
      <c r="D1130" s="5" t="inlineStr">
        <is>
          <t>https://www.yell.com/biz/vape-made-easy-glasgow-9257174/</t>
        </is>
      </c>
      <c r="E1130" s="5" t="inlineStr">
        <is>
          <t>Yell</t>
        </is>
      </c>
      <c r="F1130" s="5" t="inlineStr">
        <is>
          <t>2026-09-17</t>
        </is>
      </c>
      <c r="G1130" s="5" t="inlineStr">
        <is>
          <t>trading name, G51 area</t>
        </is>
      </c>
      <c r="H1130" s="5" t="inlineStr">
        <is>
          <t>Requires Verification</t>
        </is>
      </c>
    </row>
    <row r="1131">
      <c r="A1131" s="10" t="inlineStr">
        <is>
          <t>UK-000404</t>
        </is>
      </c>
      <c r="B1131" s="10" t="inlineStr">
        <is>
          <t>Vape Maze Westhoughton</t>
        </is>
      </c>
      <c r="C1131" s="10" t="inlineStr">
        <is>
          <t>Bolton</t>
        </is>
      </c>
      <c r="D1131" s="10" t="inlineStr">
        <is>
          <t>https://westhoughton.cylex-uk.co.uk/vape-shops/</t>
        </is>
      </c>
      <c r="E1131" s="10" t="inlineStr">
        <is>
          <t>Directory</t>
        </is>
      </c>
      <c r="F1131" s="10" t="inlineStr">
        <is>
          <t>2026-09-17</t>
        </is>
      </c>
      <c r="G1131" s="10" t="inlineStr">
        <is>
          <t>trading name, address, postcode (via search results)</t>
        </is>
      </c>
      <c r="H1131" s="10" t="inlineStr">
        <is>
          <t>Requires Verification</t>
        </is>
      </c>
    </row>
    <row r="1132">
      <c r="A1132" s="5" t="inlineStr">
        <is>
          <t>UK-000405</t>
        </is>
      </c>
      <c r="B1132" s="5" t="inlineStr">
        <is>
          <t>Vape My Day</t>
        </is>
      </c>
      <c r="C1132" s="5" t="inlineStr">
        <is>
          <t>Shaw</t>
        </is>
      </c>
      <c r="D1132" s="5" t="inlineStr">
        <is>
          <t>https://ecigdirectory.co.uk/vape-shop/listing/vape-my-day</t>
        </is>
      </c>
      <c r="E1132" s="5" t="inlineStr">
        <is>
          <t>Directory</t>
        </is>
      </c>
      <c r="F1132" s="5" t="inlineStr">
        <is>
          <t>2026-09-17</t>
        </is>
      </c>
      <c r="G1132" s="5" t="inlineStr">
        <is>
          <t>address, postcode</t>
        </is>
      </c>
      <c r="H1132" s="5" t="inlineStr">
        <is>
          <t>Requires Verification</t>
        </is>
      </c>
    </row>
    <row r="1133">
      <c r="A1133" s="10" t="inlineStr">
        <is>
          <t>UK-000535</t>
        </is>
      </c>
      <c r="B1133" s="10" t="inlineStr">
        <is>
          <t>Vape N Chase</t>
        </is>
      </c>
      <c r="C1133" s="10" t="inlineStr">
        <is>
          <t>West Bromwich</t>
        </is>
      </c>
      <c r="D1133" s="10" t="inlineStr">
        <is>
          <t>https://www.facebook.com/VapeNChaseUK/</t>
        </is>
      </c>
      <c r="E1133" s="10" t="inlineStr">
        <is>
          <t>Facebook</t>
        </is>
      </c>
      <c r="F1133" s="10" t="inlineStr">
        <is>
          <t>2026-09-17</t>
        </is>
      </c>
      <c r="G1133" s="10" t="inlineStr">
        <is>
          <t>business name, address, phone (page snippet)</t>
        </is>
      </c>
      <c r="H1133" s="10" t="inlineStr">
        <is>
          <t>Requires Verification</t>
        </is>
      </c>
    </row>
    <row r="1134">
      <c r="A1134" s="5" t="inlineStr">
        <is>
          <t>WY-0173</t>
        </is>
      </c>
      <c r="B1134" s="5" t="inlineStr">
        <is>
          <t>Vape N Go</t>
        </is>
      </c>
      <c r="C1134" s="5" t="inlineStr">
        <is>
          <t>Halifax</t>
        </is>
      </c>
      <c r="D1134" s="5" t="inlineStr">
        <is>
          <t>https://www.yell.com/s/tobacconists-halifax.html</t>
        </is>
      </c>
      <c r="E1134" s="5" t="inlineStr">
        <is>
          <t>Yell</t>
        </is>
      </c>
      <c r="F1134" s="5" t="inlineStr">
        <is>
          <t>2026-09-16</t>
        </is>
      </c>
      <c r="G1134" s="5" t="inlineStr">
        <is>
          <t>name, address, postcode</t>
        </is>
      </c>
      <c r="H1134" s="5" t="inlineStr">
        <is>
          <t>Requires Verification</t>
        </is>
      </c>
    </row>
    <row r="1135">
      <c r="A1135" s="10" t="inlineStr">
        <is>
          <t>WY-0174</t>
        </is>
      </c>
      <c r="B1135" s="10" t="inlineStr">
        <is>
          <t>Vape Nation UK</t>
        </is>
      </c>
      <c r="C1135" s="10" t="inlineStr">
        <is>
          <t>Huddersfield</t>
        </is>
      </c>
      <c r="D1135" s="10" t="inlineStr">
        <is>
          <t>https://ecigdirectory.co.uk/vape-shop/listing/vape-nation-uk-huddersfield</t>
        </is>
      </c>
      <c r="E1135" s="10" t="inlineStr">
        <is>
          <t>Directory</t>
        </is>
      </c>
      <c r="F1135" s="10" t="inlineStr">
        <is>
          <t>2026-09-16</t>
        </is>
      </c>
      <c r="G1135" s="10" t="inlineStr">
        <is>
          <t>address, phone, location description</t>
        </is>
      </c>
      <c r="H1135" s="10" t="inlineStr">
        <is>
          <t>Partially Verified</t>
        </is>
      </c>
    </row>
    <row r="1136">
      <c r="A1136" s="5" t="inlineStr">
        <is>
          <t>WY-0174</t>
        </is>
      </c>
      <c r="B1136" s="5" t="inlineStr">
        <is>
          <t>Vape Nation UK</t>
        </is>
      </c>
      <c r="C1136" s="5" t="inlineStr">
        <is>
          <t>Huddersfield</t>
        </is>
      </c>
      <c r="D1136" s="5" t="inlineStr">
        <is>
          <t>https://vapenationeshop.co.uk/contact-us/</t>
        </is>
      </c>
      <c r="E1136" s="5" t="inlineStr">
        <is>
          <t>Official Website</t>
        </is>
      </c>
      <c r="F1136" s="5" t="inlineStr">
        <is>
          <t>2026-09-16</t>
        </is>
      </c>
      <c r="G1136" s="5" t="inlineStr">
        <is>
          <t>website URL seen in search results (fetch blocked)</t>
        </is>
      </c>
      <c r="H1136" s="5" t="inlineStr">
        <is>
          <t>Partially Verified</t>
        </is>
      </c>
    </row>
    <row r="1137">
      <c r="A1137" s="10" t="inlineStr">
        <is>
          <t>UK-000289</t>
        </is>
      </c>
      <c r="B1137" s="10" t="inlineStr">
        <is>
          <t>Vape Newland</t>
        </is>
      </c>
      <c r="C1137" s="10" t="inlineStr">
        <is>
          <t>Kingston upon Hull</t>
        </is>
      </c>
      <c r="D1137" s="10" t="inlineStr">
        <is>
          <t>https://www.facebook.com/p/Vape-Newland-100086500027739/</t>
        </is>
      </c>
      <c r="E1137" s="10" t="inlineStr">
        <is>
          <t>Facebook</t>
        </is>
      </c>
      <c r="F1137" s="10" t="inlineStr">
        <is>
          <t>2026-09-16</t>
        </is>
      </c>
      <c r="G1137" s="10" t="inlineStr">
        <is>
          <t>name, Newland Avenue address (via search results)</t>
        </is>
      </c>
      <c r="H1137" s="10" t="inlineStr">
        <is>
          <t>Requires Verification</t>
        </is>
      </c>
    </row>
    <row r="1138">
      <c r="A1138" s="5" t="inlineStr">
        <is>
          <t>UK-000676</t>
        </is>
      </c>
      <c r="B1138" s="5" t="inlineStr">
        <is>
          <t>Vape Pure Ltd</t>
        </is>
      </c>
      <c r="C1138" s="5" t="inlineStr">
        <is>
          <t>Wood Green</t>
        </is>
      </c>
      <c r="D1138" s="5" t="inlineStr">
        <is>
          <t>https://www.yell.com/biz/vape-pure-ltd-london-9829626/</t>
        </is>
      </c>
      <c r="E1138" s="5" t="inlineStr">
        <is>
          <t>Yell</t>
        </is>
      </c>
      <c r="F1138" s="5" t="inlineStr">
        <is>
          <t>2026-09-17</t>
        </is>
      </c>
      <c r="G1138" s="5" t="inlineStr">
        <is>
          <t>name, district</t>
        </is>
      </c>
      <c r="H1138" s="5" t="inlineStr">
        <is>
          <t>Requires Verification</t>
        </is>
      </c>
    </row>
    <row r="1139">
      <c r="A1139" s="10" t="inlineStr">
        <is>
          <t>WY-0175</t>
        </is>
      </c>
      <c r="B1139" s="10" t="inlineStr">
        <is>
          <t>Vape Road</t>
        </is>
      </c>
      <c r="C1139" s="10" t="inlineStr">
        <is>
          <t>Brighouse</t>
        </is>
      </c>
      <c r="D1139" s="10" t="inlineStr">
        <is>
          <t>https://brighouse.cylex-uk.co.uk/company/vape-road-27599481.html</t>
        </is>
      </c>
      <c r="E1139" s="10" t="inlineStr">
        <is>
          <t>Directory</t>
        </is>
      </c>
      <c r="F1139" s="10" t="inlineStr">
        <is>
          <t>2026-09-16</t>
        </is>
      </c>
      <c r="G1139" s="10" t="inlineStr">
        <is>
          <t>address, postcode, phone</t>
        </is>
      </c>
      <c r="H1139" s="10" t="inlineStr">
        <is>
          <t>Requires Verification</t>
        </is>
      </c>
    </row>
    <row r="1140">
      <c r="A1140" s="5" t="inlineStr">
        <is>
          <t>WY-0175</t>
        </is>
      </c>
      <c r="B1140" s="5" t="inlineStr">
        <is>
          <t>Vape Road</t>
        </is>
      </c>
      <c r="C1140" s="5" t="inlineStr">
        <is>
          <t>Brighouse</t>
        </is>
      </c>
      <c r="D1140" s="5" t="inlineStr">
        <is>
          <t>https://www.visitbrighouse.co.uk/directory/vape-road/</t>
        </is>
      </c>
      <c r="E1140" s="5" t="inlineStr">
        <is>
          <t>Directory</t>
        </is>
      </c>
      <c r="F1140" s="5" t="inlineStr">
        <is>
          <t>2026-09-16</t>
        </is>
      </c>
      <c r="G1140" s="5" t="inlineStr">
        <is>
          <t>listing confirmation</t>
        </is>
      </c>
      <c r="H1140" s="5" t="inlineStr">
        <is>
          <t>Requires Verification</t>
        </is>
      </c>
    </row>
    <row r="1141">
      <c r="A1141" s="10" t="inlineStr">
        <is>
          <t>WY-0176</t>
        </is>
      </c>
      <c r="B1141" s="10" t="inlineStr">
        <is>
          <t>Vape Road Cleckheaton</t>
        </is>
      </c>
      <c r="C1141" s="10" t="inlineStr">
        <is>
          <t>Cleckheaton</t>
        </is>
      </c>
      <c r="D1141" s="10" t="inlineStr">
        <is>
          <t>https://cleckheaton.cylex-uk.co.uk/company/vape-road-cleckheaton-26986187.html</t>
        </is>
      </c>
      <c r="E1141" s="10" t="inlineStr">
        <is>
          <t>Directory</t>
        </is>
      </c>
      <c r="F1141" s="10" t="inlineStr">
        <is>
          <t>2026-09-16</t>
        </is>
      </c>
      <c r="G1141" s="10" t="inlineStr">
        <is>
          <t>name, street, partial phone (not recorded)</t>
        </is>
      </c>
      <c r="H1141" s="10" t="inlineStr">
        <is>
          <t>Requires Verification</t>
        </is>
      </c>
    </row>
    <row r="1142">
      <c r="A1142" s="5" t="inlineStr">
        <is>
          <t>UK-000290</t>
        </is>
      </c>
      <c r="B1142" s="5" t="inlineStr">
        <is>
          <t>Vape Safe Bridlington</t>
        </is>
      </c>
      <c r="C1142" s="5" t="inlineStr">
        <is>
          <t>Bridlington</t>
        </is>
      </c>
      <c r="D1142" s="5" t="inlineStr">
        <is>
          <t>https://www.yell.com/s/vape+shops-bridlington.html</t>
        </is>
      </c>
      <c r="E1142" s="5" t="inlineStr">
        <is>
          <t>Directory</t>
        </is>
      </c>
      <c r="F1142" s="5" t="inlineStr">
        <is>
          <t>2026-09-16</t>
        </is>
      </c>
      <c r="G1142" s="5" t="inlineStr">
        <is>
          <t>name, 4b Promenade address (via search results)</t>
        </is>
      </c>
      <c r="H1142" s="5" t="inlineStr">
        <is>
          <t>Requires Verification</t>
        </is>
      </c>
    </row>
    <row r="1143">
      <c r="A1143" s="10" t="inlineStr">
        <is>
          <t>UK-000834</t>
        </is>
      </c>
      <c r="B1143" s="10" t="inlineStr">
        <is>
          <t>Vape Saloon</t>
        </is>
      </c>
      <c r="C1143" s="10" t="inlineStr">
        <is>
          <t>Southport</t>
        </is>
      </c>
      <c r="D1143" s="10" t="inlineStr">
        <is>
          <t>https://www.vapesaloon.co.uk/pages/location</t>
        </is>
      </c>
      <c r="E1143" s="10" t="inlineStr">
        <is>
          <t>Official Website</t>
        </is>
      </c>
      <c r="F1143" s="10" t="inlineStr">
        <is>
          <t>2026-09-17</t>
        </is>
      </c>
      <c r="G1143" s="10" t="inlineStr">
        <is>
          <t>address, phone, orders email</t>
        </is>
      </c>
      <c r="H1143" s="10" t="inlineStr">
        <is>
          <t>Requires Verification</t>
        </is>
      </c>
    </row>
    <row r="1144">
      <c r="A1144" s="5" t="inlineStr">
        <is>
          <t>UK-000834</t>
        </is>
      </c>
      <c r="B1144" s="5" t="inlineStr">
        <is>
          <t>Vape Saloon</t>
        </is>
      </c>
      <c r="C1144" s="5" t="inlineStr">
        <is>
          <t>Southport</t>
        </is>
      </c>
      <c r="D1144" s="5" t="inlineStr">
        <is>
          <t>https://find-open.co.uk/southport/vape-saloon-southport-1784098</t>
        </is>
      </c>
      <c r="E1144" s="5" t="inlineStr">
        <is>
          <t>Directory</t>
        </is>
      </c>
      <c r="F1144" s="5" t="inlineStr">
        <is>
          <t>2026-09-17</t>
        </is>
      </c>
      <c r="G1144" s="5" t="inlineStr">
        <is>
          <t>Lord Street address, postcode, phone</t>
        </is>
      </c>
      <c r="H1144" s="5" t="inlineStr">
        <is>
          <t>Requires Verification</t>
        </is>
      </c>
    </row>
    <row r="1145">
      <c r="A1145" s="10" t="inlineStr">
        <is>
          <t>UK-000406</t>
        </is>
      </c>
      <c r="B1145" s="10" t="inlineStr">
        <is>
          <t>Vape Saloon Leigh</t>
        </is>
      </c>
      <c r="C1145" s="10" t="inlineStr">
        <is>
          <t>Leigh</t>
        </is>
      </c>
      <c r="D1145" s="10" t="inlineStr">
        <is>
          <t>https://www.facebook.com/VapeSaloonLeigh/</t>
        </is>
      </c>
      <c r="E1145" s="10" t="inlineStr">
        <is>
          <t>Facebook</t>
        </is>
      </c>
      <c r="F1145" s="10" t="inlineStr">
        <is>
          <t>2026-09-17</t>
        </is>
      </c>
      <c r="G1145" s="10" t="inlineStr">
        <is>
          <t>trading name, Leigh location (via search results)</t>
        </is>
      </c>
      <c r="H1145" s="10" t="inlineStr">
        <is>
          <t>Requires Verification</t>
        </is>
      </c>
    </row>
    <row r="1146">
      <c r="A1146" s="5" t="inlineStr">
        <is>
          <t>UK-000407</t>
        </is>
      </c>
      <c r="B1146" s="5" t="inlineStr">
        <is>
          <t>Vape Spot Bury</t>
        </is>
      </c>
      <c r="C1146" s="5" t="inlineStr">
        <is>
          <t>Bury</t>
        </is>
      </c>
      <c r="D1146" s="5" t="inlineStr">
        <is>
          <t>https://www.wheree.com/Vape_Shops-c124-g2119118-Bury</t>
        </is>
      </c>
      <c r="E1146" s="5" t="inlineStr">
        <is>
          <t>Directory</t>
        </is>
      </c>
      <c r="F1146" s="5" t="inlineStr">
        <is>
          <t>2026-09-17</t>
        </is>
      </c>
      <c r="G1146" s="5" t="inlineStr">
        <is>
          <t>trading name, address, postcode, phone (via search results)</t>
        </is>
      </c>
      <c r="H1146" s="5" t="inlineStr">
        <is>
          <t>Requires Verification</t>
        </is>
      </c>
    </row>
    <row r="1147">
      <c r="A1147" s="10" t="inlineStr">
        <is>
          <t>UK-000291</t>
        </is>
      </c>
      <c r="B1147" s="10" t="inlineStr">
        <is>
          <t>Vape Store &amp; Bargains Galore</t>
        </is>
      </c>
      <c r="C1147" s="10" t="inlineStr">
        <is>
          <t>Barnsley</t>
        </is>
      </c>
      <c r="D1147" s="10" t="inlineStr">
        <is>
          <t>https://www.yell.com/biz/vape-store-and-bargains-galore-barnsley-10072936/</t>
        </is>
      </c>
      <c r="E1147" s="10" t="inlineStr">
        <is>
          <t>Yell</t>
        </is>
      </c>
      <c r="F1147" s="10" t="inlineStr">
        <is>
          <t>2026-09-16</t>
        </is>
      </c>
      <c r="G1147" s="10" t="inlineStr">
        <is>
          <t>name, product range</t>
        </is>
      </c>
      <c r="H1147" s="10" t="inlineStr">
        <is>
          <t>Requires Verification</t>
        </is>
      </c>
    </row>
    <row r="1148">
      <c r="A1148" s="5" t="inlineStr">
        <is>
          <t>WY-0177</t>
        </is>
      </c>
      <c r="B1148" s="5" t="inlineStr">
        <is>
          <t>Vape Suite</t>
        </is>
      </c>
      <c r="C1148" s="5" t="inlineStr">
        <is>
          <t>Huddersfield</t>
        </is>
      </c>
      <c r="D1148" s="5" t="inlineStr">
        <is>
          <t>https://directory.gazettelive.co.uk/company/1069910382063616</t>
        </is>
      </c>
      <c r="E1148" s="5" t="inlineStr">
        <is>
          <t>Directory</t>
        </is>
      </c>
      <c r="F1148" s="5" t="inlineStr">
        <is>
          <t>2026-09-16</t>
        </is>
      </c>
      <c r="G1148" s="5" t="inlineStr">
        <is>
          <t>address, postcode</t>
        </is>
      </c>
      <c r="H1148" s="5" t="inlineStr">
        <is>
          <t>Requires Verification</t>
        </is>
      </c>
    </row>
    <row r="1149">
      <c r="A1149" s="10" t="inlineStr">
        <is>
          <t>WY-0177</t>
        </is>
      </c>
      <c r="B1149" s="10" t="inlineStr">
        <is>
          <t>Vape Suite</t>
        </is>
      </c>
      <c r="C1149" s="10" t="inlineStr">
        <is>
          <t>Huddersfield</t>
        </is>
      </c>
      <c r="D1149" s="10" t="inlineStr">
        <is>
          <t>https://www.yell.com/biz/vape-suite-huddersfield-9317660/</t>
        </is>
      </c>
      <c r="E1149" s="10" t="inlineStr">
        <is>
          <t>Yell</t>
        </is>
      </c>
      <c r="F1149" s="10" t="inlineStr">
        <is>
          <t>2026-09-16</t>
        </is>
      </c>
      <c r="G1149" s="10" t="inlineStr">
        <is>
          <t>listing confirmation</t>
        </is>
      </c>
      <c r="H1149" s="10" t="inlineStr">
        <is>
          <t>Requires Verification</t>
        </is>
      </c>
    </row>
    <row r="1150">
      <c r="A1150" s="5" t="inlineStr">
        <is>
          <t>WY-0177</t>
        </is>
      </c>
      <c r="B1150" s="5" t="inlineStr">
        <is>
          <t>Vape Suite</t>
        </is>
      </c>
      <c r="C1150" s="5" t="inlineStr">
        <is>
          <t>Huddersfield</t>
        </is>
      </c>
      <c r="D1150" s="5" t="inlineStr">
        <is>
          <t>https://find-and-update.company-information.service.gov.uk/company/13476013</t>
        </is>
      </c>
      <c r="E1150" s="5" t="inlineStr">
        <is>
          <t>Companies House</t>
        </is>
      </c>
      <c r="F1150" s="5" t="inlineStr">
        <is>
          <t>2026-09-16</t>
        </is>
      </c>
      <c r="G1150" s="5" t="inlineStr">
        <is>
          <t>registered company name, company number</t>
        </is>
      </c>
      <c r="H1150" s="5" t="inlineStr">
        <is>
          <t>Requires Verification</t>
        </is>
      </c>
    </row>
    <row r="1151">
      <c r="A1151" s="10" t="inlineStr">
        <is>
          <t>WY-0177</t>
        </is>
      </c>
      <c r="B1151" s="10" t="inlineStr">
        <is>
          <t>Vape Suite</t>
        </is>
      </c>
      <c r="C1151" s="10" t="inlineStr">
        <is>
          <t>Huddersfield</t>
        </is>
      </c>
      <c r="D1151" s="10" t="inlineStr">
        <is>
          <t>https://wanderlog.com/place/details/13603475/vape-suite-e-cigarettedisposable-vapee-liquid-vape-shop-huddersfield-town-centre</t>
        </is>
      </c>
      <c r="E1151" s="10" t="inlineStr">
        <is>
          <t>Directory</t>
        </is>
      </c>
      <c r="F1151" s="10" t="inlineStr">
        <is>
          <t>2026-09-16</t>
        </is>
      </c>
      <c r="G1151" s="10" t="inlineStr">
        <is>
          <t>town-centre location, reviews</t>
        </is>
      </c>
      <c r="H1151" s="10" t="inlineStr">
        <is>
          <t>Requires Verification</t>
        </is>
      </c>
    </row>
    <row r="1152">
      <c r="A1152" s="5" t="inlineStr">
        <is>
          <t>UK-000536</t>
        </is>
      </c>
      <c r="B1152" s="5" t="inlineStr">
        <is>
          <t>Vape Vision Gornal</t>
        </is>
      </c>
      <c r="C1152" s="5" t="inlineStr">
        <is>
          <t>Dudley</t>
        </is>
      </c>
      <c r="D1152" s="5" t="inlineStr">
        <is>
          <t>https://www.yelp.com/search?cflt=vapeshops&amp;find_loc=Dudley%2C+West+Midlands</t>
        </is>
      </c>
      <c r="E1152" s="5" t="inlineStr">
        <is>
          <t>Directory</t>
        </is>
      </c>
      <c r="F1152" s="5" t="inlineStr">
        <is>
          <t>2026-09-17</t>
        </is>
      </c>
      <c r="G1152" s="5" t="inlineStr">
        <is>
          <t>business name, address (search snippet)</t>
        </is>
      </c>
      <c r="H1152" s="5" t="inlineStr">
        <is>
          <t>Requires Verification</t>
        </is>
      </c>
    </row>
    <row r="1153">
      <c r="A1153" s="10" t="inlineStr">
        <is>
          <t>UK-000408</t>
        </is>
      </c>
      <c r="B1153" s="10" t="inlineStr">
        <is>
          <t>Vape World (Eccles, Salford)</t>
        </is>
      </c>
      <c r="C1153" s="10" t="inlineStr">
        <is>
          <t>Eccles</t>
        </is>
      </c>
      <c r="D1153" s="10" t="inlineStr">
        <is>
          <t>https://eccles-city-of-salford.cylex-uk.co.uk/vape-shops/</t>
        </is>
      </c>
      <c r="E1153" s="10" t="inlineStr">
        <is>
          <t>Directory</t>
        </is>
      </c>
      <c r="F1153" s="10" t="inlineStr">
        <is>
          <t>2026-09-17</t>
        </is>
      </c>
      <c r="G1153" s="10" t="inlineStr">
        <is>
          <t>business name, address, postcode</t>
        </is>
      </c>
      <c r="H1153" s="10" t="inlineStr">
        <is>
          <t>Requires Verification</t>
        </is>
      </c>
    </row>
    <row r="1154">
      <c r="A1154" s="5" t="inlineStr">
        <is>
          <t>WY-0178</t>
        </is>
      </c>
      <c r="B1154" s="5" t="inlineStr">
        <is>
          <t>Vape and Wine Village</t>
        </is>
      </c>
      <c r="C1154" s="5" t="inlineStr">
        <is>
          <t>Leeds</t>
        </is>
      </c>
      <c r="D1154" s="5" t="inlineStr">
        <is>
          <t>https://www.yorkshire.com/leeds/shopping/off-license</t>
        </is>
      </c>
      <c r="E1154" s="5" t="inlineStr">
        <is>
          <t>Directory</t>
        </is>
      </c>
      <c r="F1154" s="5" t="inlineStr">
        <is>
          <t>2026-09-16</t>
        </is>
      </c>
      <c r="G1154" s="5" t="inlineStr">
        <is>
          <t>name, address (via search results)</t>
        </is>
      </c>
      <c r="H1154" s="5" t="inlineStr">
        <is>
          <t>Requires Verification</t>
        </is>
      </c>
    </row>
    <row r="1155">
      <c r="A1155" s="10" t="inlineStr">
        <is>
          <t>UK-000292</t>
        </is>
      </c>
      <c r="B1155" s="10" t="inlineStr">
        <is>
          <t>Vape with Us Northallerton</t>
        </is>
      </c>
      <c r="C1155" s="10" t="inlineStr">
        <is>
          <t>Northallerton</t>
        </is>
      </c>
      <c r="D1155" s="10" t="inlineStr">
        <is>
          <t>https://www.lovenorthallerton.com/business-directory/vape-with-us/</t>
        </is>
      </c>
      <c r="E1155" s="10" t="inlineStr">
        <is>
          <t>Directory</t>
        </is>
      </c>
      <c r="F1155" s="10" t="inlineStr">
        <is>
          <t>2026-09-16</t>
        </is>
      </c>
      <c r="G1155" s="10" t="inlineStr">
        <is>
          <t>address, postcode, phone</t>
        </is>
      </c>
      <c r="H1155" s="10" t="inlineStr">
        <is>
          <t>Requires Verification</t>
        </is>
      </c>
    </row>
    <row r="1156">
      <c r="A1156" s="5" t="inlineStr">
        <is>
          <t>UK-000292</t>
        </is>
      </c>
      <c r="B1156" s="5" t="inlineStr">
        <is>
          <t>Vape with Us Northallerton</t>
        </is>
      </c>
      <c r="C1156" s="5" t="inlineStr">
        <is>
          <t>Northallerton</t>
        </is>
      </c>
      <c r="D1156" s="5" t="inlineStr">
        <is>
          <t>https://www.facebook.com/VAPEWITHUSNorthallerton/</t>
        </is>
      </c>
      <c r="E1156" s="5" t="inlineStr">
        <is>
          <t>Facebook</t>
        </is>
      </c>
      <c r="F1156" s="5" t="inlineStr">
        <is>
          <t>2026-09-16</t>
        </is>
      </c>
      <c r="G1156" s="5" t="inlineStr">
        <is>
          <t>social page</t>
        </is>
      </c>
      <c r="H1156" s="5" t="inlineStr">
        <is>
          <t>Requires Verification</t>
        </is>
      </c>
    </row>
    <row r="1157">
      <c r="A1157" s="10" t="inlineStr">
        <is>
          <t>UK-000537</t>
        </is>
      </c>
      <c r="B1157" s="10" t="inlineStr">
        <is>
          <t>VapeSense Kingswinford</t>
        </is>
      </c>
      <c r="C1157" s="10" t="inlineStr">
        <is>
          <t>Kingswinford</t>
        </is>
      </c>
      <c r="D1157" s="10" t="inlineStr">
        <is>
          <t>https://kingswinford.cylex-uk.co.uk/company/vapesense-27078228.html</t>
        </is>
      </c>
      <c r="E1157" s="10" t="inlineStr">
        <is>
          <t>Directory</t>
        </is>
      </c>
      <c r="F1157" s="10" t="inlineStr">
        <is>
          <t>2026-09-17</t>
        </is>
      </c>
      <c r="G1157" s="10" t="inlineStr">
        <is>
          <t>business name, address, phone (directory snippet)</t>
        </is>
      </c>
      <c r="H1157" s="10" t="inlineStr">
        <is>
          <t>Requires Verification</t>
        </is>
      </c>
    </row>
    <row r="1158">
      <c r="A1158" s="5" t="inlineStr">
        <is>
          <t>WY-0179</t>
        </is>
      </c>
      <c r="B1158" s="5" t="inlineStr">
        <is>
          <t>VapeShop Leeds</t>
        </is>
      </c>
      <c r="C1158" s="5" t="inlineStr">
        <is>
          <t>Leeds</t>
        </is>
      </c>
      <c r="D1158" s="5" t="inlineStr">
        <is>
          <t>https://ecigdirectory.co.uk/vape-shop/listing/vapeshop-leeds</t>
        </is>
      </c>
      <c r="E1158" s="5" t="inlineStr">
        <is>
          <t>Directory</t>
        </is>
      </c>
      <c r="F1158" s="5" t="inlineStr">
        <is>
          <t>2026-09-16</t>
        </is>
      </c>
      <c r="G1158" s="5" t="inlineStr">
        <is>
          <t>name, address, description (via search results)</t>
        </is>
      </c>
      <c r="H1158" s="5" t="inlineStr">
        <is>
          <t>Requires Verification</t>
        </is>
      </c>
    </row>
    <row r="1159">
      <c r="A1159" s="10" t="inlineStr">
        <is>
          <t>UK-000677</t>
        </is>
      </c>
      <c r="B1159" s="10" t="inlineStr">
        <is>
          <t>Vapecore (Ladbroke Grove)</t>
        </is>
      </c>
      <c r="C1159" s="10" t="inlineStr">
        <is>
          <t>London</t>
        </is>
      </c>
      <c r="D1159" s="10" t="inlineStr">
        <is>
          <t>https://www.yell.com/s/tobacconists-ladbroke+grove-west+london.html</t>
        </is>
      </c>
      <c r="E1159" s="10" t="inlineStr">
        <is>
          <t>Yell</t>
        </is>
      </c>
      <c r="F1159" s="10" t="inlineStr">
        <is>
          <t>2026-09-17</t>
        </is>
      </c>
      <c r="G1159" s="10" t="inlineStr">
        <is>
          <t>business name, address, postcode, phone</t>
        </is>
      </c>
      <c r="H1159" s="10" t="inlineStr">
        <is>
          <t>Requires Verification</t>
        </is>
      </c>
    </row>
    <row r="1160">
      <c r="A1160" s="5" t="inlineStr">
        <is>
          <t>UK-000835</t>
        </is>
      </c>
      <c r="B1160" s="5" t="inlineStr">
        <is>
          <t>Vapedrop</t>
        </is>
      </c>
      <c r="C1160" s="5" t="inlineStr">
        <is>
          <t>Edinburgh</t>
        </is>
      </c>
      <c r="D1160" s="5" t="inlineStr">
        <is>
          <t>https://edinburgh.cylex-uk.co.uk/company/vapedrop-26862922.html</t>
        </is>
      </c>
      <c r="E1160" s="5" t="inlineStr">
        <is>
          <t>Directory</t>
        </is>
      </c>
      <c r="F1160" s="5" t="inlineStr">
        <is>
          <t>2026-09-17</t>
        </is>
      </c>
      <c r="G1160" s="5" t="inlineStr">
        <is>
          <t>address, phone (search snippet)</t>
        </is>
      </c>
      <c r="H1160" s="5" t="inlineStr">
        <is>
          <t>Requires Verification</t>
        </is>
      </c>
    </row>
    <row r="1161">
      <c r="A1161" s="10" t="inlineStr">
        <is>
          <t>UK-000835</t>
        </is>
      </c>
      <c r="B1161" s="10" t="inlineStr">
        <is>
          <t>Vapedrop</t>
        </is>
      </c>
      <c r="C1161" s="10" t="inlineStr">
        <is>
          <t>Edinburgh</t>
        </is>
      </c>
      <c r="D1161" s="10" t="inlineStr">
        <is>
          <t>https://www.yell.com/biz/vapedrop-edinburgh-9306354/</t>
        </is>
      </c>
      <c r="E1161" s="10" t="inlineStr">
        <is>
          <t>Yell</t>
        </is>
      </c>
      <c r="F1161" s="10" t="inlineStr">
        <is>
          <t>2026-09-17</t>
        </is>
      </c>
      <c r="G1161" s="10" t="inlineStr">
        <is>
          <t>business existence, area</t>
        </is>
      </c>
      <c r="H1161" s="10" t="inlineStr">
        <is>
          <t>Requires Verification</t>
        </is>
      </c>
    </row>
    <row r="1162">
      <c r="A1162" s="5" t="inlineStr">
        <is>
          <t>UK-000409</t>
        </is>
      </c>
      <c r="B1162" s="5" t="inlineStr">
        <is>
          <t>Vapenation Hindley</t>
        </is>
      </c>
      <c r="C1162" s="5" t="inlineStr">
        <is>
          <t>Wigan</t>
        </is>
      </c>
      <c r="D1162" s="5" t="inlineStr">
        <is>
          <t>https://hindley.cylex-uk.co.uk/company/vapenation-27279730.html</t>
        </is>
      </c>
      <c r="E1162" s="5" t="inlineStr">
        <is>
          <t>Directory</t>
        </is>
      </c>
      <c r="F1162" s="5" t="inlineStr">
        <is>
          <t>2026-09-17</t>
        </is>
      </c>
      <c r="G1162" s="5" t="inlineStr">
        <is>
          <t>trading name, Atherton Road location (via search results)</t>
        </is>
      </c>
      <c r="H1162" s="5" t="inlineStr">
        <is>
          <t>Requires Verification</t>
        </is>
      </c>
    </row>
    <row r="1163">
      <c r="A1163" s="10" t="inlineStr">
        <is>
          <t>UK-000678</t>
        </is>
      </c>
      <c r="B1163" s="10" t="inlineStr">
        <is>
          <t>Vapeology (Leyton)</t>
        </is>
      </c>
      <c r="C1163" s="10" t="inlineStr">
        <is>
          <t>Leyton</t>
        </is>
      </c>
      <c r="D1163" s="10" t="inlineStr">
        <is>
          <t>https://ecigdirectory.co.uk/vape-shop/listing/vapeology-leytonstone</t>
        </is>
      </c>
      <c r="E1163" s="10" t="inlineStr">
        <is>
          <t>Directory</t>
        </is>
      </c>
      <c r="F1163" s="10" t="inlineStr">
        <is>
          <t>2026-09-17</t>
        </is>
      </c>
      <c r="G1163" s="10" t="inlineStr">
        <is>
          <t>name, address, postcode</t>
        </is>
      </c>
      <c r="H1163" s="10" t="inlineStr">
        <is>
          <t>Requires Verification</t>
        </is>
      </c>
    </row>
    <row r="1164">
      <c r="A1164" s="5" t="inlineStr">
        <is>
          <t>WY-0180</t>
        </is>
      </c>
      <c r="B1164" s="5" t="inlineStr">
        <is>
          <t>Vaperites</t>
        </is>
      </c>
      <c r="C1164" s="5" t="inlineStr">
        <is>
          <t>Pontefract</t>
        </is>
      </c>
      <c r="D1164" s="5" t="inlineStr">
        <is>
          <t>https://vapeshops.puffingbird.com/yorkshire-and-the-humber/pontefract/vaperites-e-cigarette-store</t>
        </is>
      </c>
      <c r="E1164" s="5" t="inlineStr">
        <is>
          <t>Directory</t>
        </is>
      </c>
      <c r="F1164" s="5" t="inlineStr">
        <is>
          <t>2026-09-16</t>
        </is>
      </c>
      <c r="G1164" s="5" t="inlineStr">
        <is>
          <t>address, phone, email, hours, wholesale note (via search snippet)</t>
        </is>
      </c>
      <c r="H1164" s="5" t="inlineStr">
        <is>
          <t>Requires Verification</t>
        </is>
      </c>
    </row>
    <row r="1165">
      <c r="A1165" s="10" t="inlineStr">
        <is>
          <t>WY-0180</t>
        </is>
      </c>
      <c r="B1165" s="10" t="inlineStr">
        <is>
          <t>Vaperites</t>
        </is>
      </c>
      <c r="C1165" s="10" t="inlineStr">
        <is>
          <t>Pontefract</t>
        </is>
      </c>
      <c r="D1165" s="10" t="inlineStr">
        <is>
          <t>https://www.facebook.com/TheVapePeople/posts/new-opening-times9-horsefair-pontefract-wf8-1pe/417671657263981/</t>
        </is>
      </c>
      <c r="E1165" s="10" t="inlineStr">
        <is>
          <t>Facebook</t>
        </is>
      </c>
      <c r="F1165" s="10" t="inlineStr">
        <is>
          <t>2026-09-16</t>
        </is>
      </c>
      <c r="G1165" s="10" t="inlineStr">
        <is>
          <t>address 9 Horsefair WF8 1PE, opening times</t>
        </is>
      </c>
      <c r="H1165" s="10" t="inlineStr">
        <is>
          <t>Requires Verification</t>
        </is>
      </c>
    </row>
    <row r="1166">
      <c r="A1166" s="5" t="inlineStr">
        <is>
          <t>UK-000679</t>
        </is>
      </c>
      <c r="B1166" s="5" t="inlineStr">
        <is>
          <t>Vapers City</t>
        </is>
      </c>
      <c r="C1166" s="5" t="inlineStr">
        <is>
          <t>London</t>
        </is>
      </c>
      <c r="D1166" s="5" t="inlineStr">
        <is>
          <t>https://www.yell.com/biz/vapers-city-london-9724114/</t>
        </is>
      </c>
      <c r="E1166" s="5" t="inlineStr">
        <is>
          <t>Yell</t>
        </is>
      </c>
      <c r="F1166" s="5" t="inlineStr">
        <is>
          <t>2026-09-17</t>
        </is>
      </c>
      <c r="G1166" s="5" t="inlineStr">
        <is>
          <t>business name, address, postcode</t>
        </is>
      </c>
      <c r="H1166" s="5" t="inlineStr">
        <is>
          <t>Requires Verification</t>
        </is>
      </c>
    </row>
    <row r="1167">
      <c r="A1167" s="10" t="inlineStr">
        <is>
          <t>UK-000538</t>
        </is>
      </c>
      <c r="B1167" s="10" t="inlineStr">
        <is>
          <t>Vapers Pantry</t>
        </is>
      </c>
      <c r="C1167" s="10" t="inlineStr">
        <is>
          <t>Wolverhampton</t>
        </is>
      </c>
      <c r="D1167" s="10" t="inlineStr">
        <is>
          <t>https://vaperspantry.com/contact</t>
        </is>
      </c>
      <c r="E1167" s="10" t="inlineStr">
        <is>
          <t>Official Website</t>
        </is>
      </c>
      <c r="F1167" s="10" t="inlineStr">
        <is>
          <t>2026-09-17</t>
        </is>
      </c>
      <c r="G1167" s="10" t="inlineStr">
        <is>
          <t>sales email, phone</t>
        </is>
      </c>
      <c r="H1167" s="10" t="inlineStr">
        <is>
          <t>Verified (website + Companies House)</t>
        </is>
      </c>
    </row>
    <row r="1168">
      <c r="A1168" s="5" t="inlineStr">
        <is>
          <t>UK-000538</t>
        </is>
      </c>
      <c r="B1168" s="5" t="inlineStr">
        <is>
          <t>Vapers Pantry</t>
        </is>
      </c>
      <c r="C1168" s="5" t="inlineStr">
        <is>
          <t>Wolverhampton</t>
        </is>
      </c>
      <c r="D1168" s="5" t="inlineStr">
        <is>
          <t>https://directory.dailypost.co.uk/company/9ccc53aa1ddb6207931e16a429415ad3</t>
        </is>
      </c>
      <c r="E1168" s="5" t="inlineStr">
        <is>
          <t>Directory</t>
        </is>
      </c>
      <c r="F1168" s="5" t="inlineStr">
        <is>
          <t>2026-09-17</t>
        </is>
      </c>
      <c r="G1168" s="5" t="inlineStr">
        <is>
          <t>address, postcode, phone</t>
        </is>
      </c>
      <c r="H1168" s="5" t="inlineStr">
        <is>
          <t>Verified (website + Companies House)</t>
        </is>
      </c>
    </row>
    <row r="1169">
      <c r="A1169" s="10" t="inlineStr">
        <is>
          <t>UK-000538</t>
        </is>
      </c>
      <c r="B1169" s="10" t="inlineStr">
        <is>
          <t>Vapers Pantry</t>
        </is>
      </c>
      <c r="C1169" s="10" t="inlineStr">
        <is>
          <t>Wolverhampton</t>
        </is>
      </c>
      <c r="D1169" s="10" t="inlineStr">
        <is>
          <t>https://find-and-update.company-information.service.gov.uk/company/12684772</t>
        </is>
      </c>
      <c r="E1169" s="10" t="inlineStr">
        <is>
          <t>Companies House</t>
        </is>
      </c>
      <c r="F1169" s="10" t="inlineStr">
        <is>
          <t>2026-09-17</t>
        </is>
      </c>
      <c r="G1169" s="10" t="inlineStr">
        <is>
          <t>company number, legal name</t>
        </is>
      </c>
      <c r="H1169" s="10" t="inlineStr">
        <is>
          <t>Verified (website + Companies House)</t>
        </is>
      </c>
    </row>
    <row r="1170">
      <c r="A1170" s="5" t="inlineStr">
        <is>
          <t>UK-000836</t>
        </is>
      </c>
      <c r="B1170" s="5" t="inlineStr">
        <is>
          <t>Vapes N Shakes</t>
        </is>
      </c>
      <c r="C1170" s="5" t="inlineStr">
        <is>
          <t>Dunfermline</t>
        </is>
      </c>
      <c r="D1170" s="5" t="inlineStr">
        <is>
          <t>https://dunfermline.cylex-uk.co.uk/company/vapes-n-shakes-28010123.html</t>
        </is>
      </c>
      <c r="E1170" s="5" t="inlineStr">
        <is>
          <t>Directory</t>
        </is>
      </c>
      <c r="F1170" s="5" t="inlineStr">
        <is>
          <t>2026-09-17</t>
        </is>
      </c>
      <c r="G1170" s="5" t="inlineStr">
        <is>
          <t>name, street, phone (snippet)</t>
        </is>
      </c>
      <c r="H1170" s="5" t="inlineStr">
        <is>
          <t>Requires Verification</t>
        </is>
      </c>
    </row>
    <row r="1171">
      <c r="A1171" s="10" t="inlineStr">
        <is>
          <t>UK-000837</t>
        </is>
      </c>
      <c r="B1171" s="10" t="inlineStr">
        <is>
          <t>Vapes Wirral</t>
        </is>
      </c>
      <c r="C1171" s="10" t="inlineStr">
        <is>
          <t>Wirral</t>
        </is>
      </c>
      <c r="D1171" s="10" t="inlineStr">
        <is>
          <t>https://vapeshops.puffingbird.com/england/wirral</t>
        </is>
      </c>
      <c r="E1171" s="10" t="inlineStr">
        <is>
          <t>Directory</t>
        </is>
      </c>
      <c r="F1171" s="10" t="inlineStr">
        <is>
          <t>2026-09-17</t>
        </is>
      </c>
      <c r="G1171" s="10" t="inlineStr">
        <is>
          <t>Market Street Hoylake address, postcode</t>
        </is>
      </c>
      <c r="H1171" s="10" t="inlineStr">
        <is>
          <t>Requires Verification</t>
        </is>
      </c>
    </row>
    <row r="1172">
      <c r="A1172" s="5" t="inlineStr">
        <is>
          <t>WY-0181</t>
        </is>
      </c>
      <c r="B1172" s="5" t="inlineStr">
        <is>
          <t>Vapestation</t>
        </is>
      </c>
      <c r="C1172" s="5" t="inlineStr">
        <is>
          <t>Halifax</t>
        </is>
      </c>
      <c r="D1172" s="5" t="inlineStr">
        <is>
          <t>https://www.yelp.com/biz/vapestation-halifax</t>
        </is>
      </c>
      <c r="E1172" s="5" t="inlineStr">
        <is>
          <t>Directory</t>
        </is>
      </c>
      <c r="F1172" s="5" t="inlineStr">
        <is>
          <t>2026-09-16</t>
        </is>
      </c>
      <c r="G1172" s="5" t="inlineStr">
        <is>
          <t>address, postcode, phone</t>
        </is>
      </c>
      <c r="H1172" s="5" t="inlineStr">
        <is>
          <t>Requires Verification</t>
        </is>
      </c>
    </row>
    <row r="1173">
      <c r="A1173" s="10" t="inlineStr">
        <is>
          <t>WY-0181</t>
        </is>
      </c>
      <c r="B1173" s="10" t="inlineStr">
        <is>
          <t>Vapestation</t>
        </is>
      </c>
      <c r="C1173" s="10" t="inlineStr">
        <is>
          <t>Halifax</t>
        </is>
      </c>
      <c r="D1173" s="10" t="inlineStr">
        <is>
          <t>https://www.yell.com/biz/vape-station-halifax-8116342/</t>
        </is>
      </c>
      <c r="E1173" s="10" t="inlineStr">
        <is>
          <t>Yell</t>
        </is>
      </c>
      <c r="F1173" s="10" t="inlineStr">
        <is>
          <t>2026-09-16</t>
        </is>
      </c>
      <c r="G1173" s="10" t="inlineStr">
        <is>
          <t>listing confirmation</t>
        </is>
      </c>
      <c r="H1173" s="10" t="inlineStr">
        <is>
          <t>Requires Verification</t>
        </is>
      </c>
    </row>
    <row r="1174">
      <c r="A1174" s="5" t="inlineStr">
        <is>
          <t>WY-0182</t>
        </is>
      </c>
      <c r="B1174" s="5" t="inlineStr">
        <is>
          <t>Vaping Bar Normanton</t>
        </is>
      </c>
      <c r="C1174" s="5" t="inlineStr">
        <is>
          <t>Normanton</t>
        </is>
      </c>
      <c r="D1174" s="5" t="inlineStr">
        <is>
          <t>https://www.facebook.com/p/Vaping-Bar-Normanton-100063635944918/</t>
        </is>
      </c>
      <c r="E1174" s="5" t="inlineStr">
        <is>
          <t>Facebook</t>
        </is>
      </c>
      <c r="F1174" s="5" t="inlineStr">
        <is>
          <t>2026-09-16</t>
        </is>
      </c>
      <c r="G1174" s="5" t="inlineStr">
        <is>
          <t>existence, description</t>
        </is>
      </c>
      <c r="H1174" s="5" t="inlineStr">
        <is>
          <t>Requires Verification</t>
        </is>
      </c>
    </row>
    <row r="1175">
      <c r="A1175" s="10" t="inlineStr">
        <is>
          <t>UK-000293</t>
        </is>
      </c>
      <c r="B1175" s="10" t="inlineStr">
        <is>
          <t>Vaping Cloud</t>
        </is>
      </c>
      <c r="C1175" s="10" t="inlineStr">
        <is>
          <t>Cleethorpes</t>
        </is>
      </c>
      <c r="D1175" s="10" t="inlineStr">
        <is>
          <t>https://ecigdirectory.co.uk/vape-shop/listing/vaping-lounge-high-street</t>
        </is>
      </c>
      <c r="E1175" s="10" t="inlineStr">
        <is>
          <t>Directory</t>
        </is>
      </c>
      <c r="F1175" s="10" t="inlineStr">
        <is>
          <t>2026-09-16</t>
        </is>
      </c>
      <c r="G1175" s="10" t="inlineStr">
        <is>
          <t>name, Bedford Road address, phone (via search results)</t>
        </is>
      </c>
      <c r="H1175" s="10" t="inlineStr">
        <is>
          <t>Requires Verification</t>
        </is>
      </c>
    </row>
    <row r="1176">
      <c r="A1176" s="5" t="inlineStr">
        <is>
          <t>WY-0183</t>
        </is>
      </c>
      <c r="B1176" s="5" t="inlineStr">
        <is>
          <t>Vaporized Meanwood</t>
        </is>
      </c>
      <c r="C1176" s="5" t="inlineStr">
        <is>
          <t>Leeds</t>
        </is>
      </c>
      <c r="D1176" s="5" t="inlineStr">
        <is>
          <t>https://ecigdirectory.co.uk/vape-shop/listing/vaporized-meanwood-leeds</t>
        </is>
      </c>
      <c r="E1176" s="5" t="inlineStr">
        <is>
          <t>Directory</t>
        </is>
      </c>
      <c r="F1176" s="5" t="inlineStr">
        <is>
          <t>2026-09-16</t>
        </is>
      </c>
      <c r="G1176" s="5" t="inlineStr">
        <is>
          <t>name, Stonegate Road address, phone (via search results)</t>
        </is>
      </c>
      <c r="H1176" s="5" t="inlineStr">
        <is>
          <t>Requires Verification</t>
        </is>
      </c>
    </row>
    <row r="1177">
      <c r="A1177" s="10" t="inlineStr">
        <is>
          <t>WY-0183</t>
        </is>
      </c>
      <c r="B1177" s="10" t="inlineStr">
        <is>
          <t>Vaporized Meanwood</t>
        </is>
      </c>
      <c r="C1177" s="10" t="inlineStr">
        <is>
          <t>Leeds</t>
        </is>
      </c>
      <c r="D1177" s="10" t="inlineStr">
        <is>
          <t>https://www.yellowpages.net/phone_44-1132748997_vaporizer-store_Leeds_PL4814848.html</t>
        </is>
      </c>
      <c r="E1177" s="10" t="inlineStr">
        <is>
          <t>Directory</t>
        </is>
      </c>
      <c r="F1177" s="10" t="inlineStr">
        <is>
          <t>2026-09-16</t>
        </is>
      </c>
      <c r="G1177" s="10" t="inlineStr">
        <is>
          <t>phone, alternate Meanwood Road address (via search results)</t>
        </is>
      </c>
      <c r="H1177" s="10" t="inlineStr">
        <is>
          <t>Requires Verification</t>
        </is>
      </c>
    </row>
    <row r="1178">
      <c r="A1178" s="5" t="inlineStr">
        <is>
          <t>UK-000680</t>
        </is>
      </c>
      <c r="B1178" s="5" t="inlineStr">
        <is>
          <t>Vaporz &amp; Shisha</t>
        </is>
      </c>
      <c r="C1178" s="5" t="inlineStr">
        <is>
          <t>London</t>
        </is>
      </c>
      <c r="D1178" s="5" t="inlineStr">
        <is>
          <t>https://london.cylex-uk.co.uk/company/vaporz---shisha-28671460.html</t>
        </is>
      </c>
      <c r="E1178" s="5" t="inlineStr">
        <is>
          <t>Directory</t>
        </is>
      </c>
      <c r="F1178" s="5" t="inlineStr">
        <is>
          <t>2026-09-17</t>
        </is>
      </c>
      <c r="G1178" s="5" t="inlineStr">
        <is>
          <t>business name, address, postcode, phone</t>
        </is>
      </c>
      <c r="H1178" s="5" t="inlineStr">
        <is>
          <t>Requires Verification</t>
        </is>
      </c>
    </row>
    <row r="1179">
      <c r="A1179" s="10" t="inlineStr">
        <is>
          <t>UK-000410</t>
        </is>
      </c>
      <c r="B1179" s="10" t="inlineStr">
        <is>
          <t>Vapour Chase Farnworth</t>
        </is>
      </c>
      <c r="C1179" s="10" t="inlineStr">
        <is>
          <t>Bolton</t>
        </is>
      </c>
      <c r="D1179" s="10" t="inlineStr">
        <is>
          <t>https://vapemaps.co/england/greater-manchester/farnworth</t>
        </is>
      </c>
      <c r="E1179" s="10" t="inlineStr">
        <is>
          <t>Directory</t>
        </is>
      </c>
      <c r="F1179" s="10" t="inlineStr">
        <is>
          <t>2026-09-17</t>
        </is>
      </c>
      <c r="G1179" s="10" t="inlineStr">
        <is>
          <t>trading name, address, postcode (via search results)</t>
        </is>
      </c>
      <c r="H1179" s="10" t="inlineStr">
        <is>
          <t>Requires Verification</t>
        </is>
      </c>
    </row>
    <row r="1180">
      <c r="A1180" s="5" t="inlineStr">
        <is>
          <t>UK-000681</t>
        </is>
      </c>
      <c r="B1180" s="5" t="inlineStr">
        <is>
          <t>Vapour Gallery (Stratford)</t>
        </is>
      </c>
      <c r="C1180" s="5" t="inlineStr">
        <is>
          <t>Stratford</t>
        </is>
      </c>
      <c r="D1180" s="5" t="inlineStr">
        <is>
          <t>https://london.cylex-uk.co.uk/stratford/retail%20shops.html</t>
        </is>
      </c>
      <c r="E1180" s="5" t="inlineStr">
        <is>
          <t>Directory</t>
        </is>
      </c>
      <c r="F1180" s="5" t="inlineStr">
        <is>
          <t>2026-09-17</t>
        </is>
      </c>
      <c r="G1180" s="5" t="inlineStr">
        <is>
          <t>name, address (street)</t>
        </is>
      </c>
      <c r="H1180" s="5" t="inlineStr">
        <is>
          <t>Requires Verification</t>
        </is>
      </c>
    </row>
    <row r="1181">
      <c r="A1181" s="10" t="inlineStr">
        <is>
          <t>WY-0184</t>
        </is>
      </c>
      <c r="B1181" s="10" t="inlineStr">
        <is>
          <t>Vapour Parlour</t>
        </is>
      </c>
      <c r="C1181" s="10" t="inlineStr">
        <is>
          <t>Hemsworth</t>
        </is>
      </c>
      <c r="D1181" s="10" t="inlineStr">
        <is>
          <t>https://ecigdirectory.co.uk/vape-shop/listing/vapour-parlour</t>
        </is>
      </c>
      <c r="E1181" s="10" t="inlineStr">
        <is>
          <t>Directory</t>
        </is>
      </c>
      <c r="F1181" s="10" t="inlineStr">
        <is>
          <t>2026-09-16</t>
        </is>
      </c>
      <c r="G1181" s="10" t="inlineStr">
        <is>
          <t>address 83 Kirkby Road, Hemsworth</t>
        </is>
      </c>
      <c r="H1181" s="10" t="inlineStr">
        <is>
          <t>Requires Verification</t>
        </is>
      </c>
    </row>
    <row r="1182">
      <c r="A1182" s="5" t="inlineStr">
        <is>
          <t>UK-000294</t>
        </is>
      </c>
      <c r="B1182" s="5" t="inlineStr">
        <is>
          <t>VapourWave Harrogate</t>
        </is>
      </c>
      <c r="C1182" s="5" t="inlineStr">
        <is>
          <t>Harrogate</t>
        </is>
      </c>
      <c r="D1182" s="5" t="inlineStr">
        <is>
          <t>https://www.vapour-wave.co.uk/location</t>
        </is>
      </c>
      <c r="E1182" s="5" t="inlineStr">
        <is>
          <t>Official Website</t>
        </is>
      </c>
      <c r="F1182" s="5" t="inlineStr">
        <is>
          <t>2026-09-16</t>
        </is>
      </c>
      <c r="G1182" s="5" t="inlineStr">
        <is>
          <t>address, postcode, phone (search snippet)</t>
        </is>
      </c>
      <c r="H1182" s="5" t="inlineStr">
        <is>
          <t>Requires Verification</t>
        </is>
      </c>
    </row>
    <row r="1183">
      <c r="A1183" s="10" t="inlineStr">
        <is>
          <t>UK-000294</t>
        </is>
      </c>
      <c r="B1183" s="10" t="inlineStr">
        <is>
          <t>VapourWave Harrogate</t>
        </is>
      </c>
      <c r="C1183" s="10" t="inlineStr">
        <is>
          <t>Harrogate</t>
        </is>
      </c>
      <c r="D1183" s="10" t="inlineStr">
        <is>
          <t>https://harrogate.cylex-uk.co.uk/company/vapourwave-28594474.html</t>
        </is>
      </c>
      <c r="E1183" s="10" t="inlineStr">
        <is>
          <t>Directory</t>
        </is>
      </c>
      <c r="F1183" s="10" t="inlineStr">
        <is>
          <t>2026-09-16</t>
        </is>
      </c>
      <c r="G1183" s="10" t="inlineStr">
        <is>
          <t>listing confirmation</t>
        </is>
      </c>
      <c r="H1183" s="10" t="inlineStr">
        <is>
          <t>Requires Verification</t>
        </is>
      </c>
    </row>
    <row r="1184">
      <c r="A1184" s="5" t="inlineStr">
        <is>
          <t>UK-000294</t>
        </is>
      </c>
      <c r="B1184" s="5" t="inlineStr">
        <is>
          <t>VapourWave Harrogate</t>
        </is>
      </c>
      <c r="C1184" s="5" t="inlineStr">
        <is>
          <t>Harrogate</t>
        </is>
      </c>
      <c r="D1184" s="5" t="inlineStr">
        <is>
          <t>https://www.facebook.com/VapourWaveHG/</t>
        </is>
      </c>
      <c r="E1184" s="5" t="inlineStr">
        <is>
          <t>Facebook</t>
        </is>
      </c>
      <c r="F1184" s="5" t="inlineStr">
        <is>
          <t>2026-09-16</t>
        </is>
      </c>
      <c r="G1184" s="5" t="inlineStr">
        <is>
          <t>social page</t>
        </is>
      </c>
      <c r="H1184" s="5" t="inlineStr">
        <is>
          <t>Requires Verification</t>
        </is>
      </c>
    </row>
    <row r="1185">
      <c r="A1185" s="10" t="inlineStr">
        <is>
          <t>UK-000838</t>
        </is>
      </c>
      <c r="B1185" s="10" t="inlineStr">
        <is>
          <t>Vapourohm Airdrie</t>
        </is>
      </c>
      <c r="C1185" s="10" t="inlineStr">
        <is>
          <t>Airdrie</t>
        </is>
      </c>
      <c r="D1185" s="10" t="inlineStr">
        <is>
          <t>https://coatbridge.cylex-uk.co.uk/company/vpz-26511137.html</t>
        </is>
      </c>
      <c r="E1185" s="10" t="inlineStr">
        <is>
          <t>Directory</t>
        </is>
      </c>
      <c r="F1185" s="10" t="inlineStr">
        <is>
          <t>2026-09-17</t>
        </is>
      </c>
      <c r="G1185" s="10" t="inlineStr">
        <is>
          <t>Airdrie vape listings</t>
        </is>
      </c>
      <c r="H1185" s="10" t="inlineStr">
        <is>
          <t>Requires Verification</t>
        </is>
      </c>
    </row>
    <row r="1186">
      <c r="A1186" s="5" t="inlineStr">
        <is>
          <t>UK-000838</t>
        </is>
      </c>
      <c r="B1186" s="5" t="inlineStr">
        <is>
          <t>Vapourohm Airdrie</t>
        </is>
      </c>
      <c r="C1186" s="5" t="inlineStr">
        <is>
          <t>Airdrie</t>
        </is>
      </c>
      <c r="D1186" s="5" t="inlineStr">
        <is>
          <t>https://vapemaps.co/scotland/north-lanarkshire/coatbridge</t>
        </is>
      </c>
      <c r="E1186" s="5" t="inlineStr">
        <is>
          <t>Directory</t>
        </is>
      </c>
      <c r="F1186" s="5" t="inlineStr">
        <is>
          <t>2026-09-17</t>
        </is>
      </c>
      <c r="G1186" s="5" t="inlineStr">
        <is>
          <t>address, postcode, phone</t>
        </is>
      </c>
      <c r="H1186" s="5" t="inlineStr">
        <is>
          <t>Requires Verification</t>
        </is>
      </c>
    </row>
    <row r="1187">
      <c r="A1187" s="10" t="inlineStr">
        <is>
          <t>UK-000839</t>
        </is>
      </c>
      <c r="B1187" s="10" t="inlineStr">
        <is>
          <t>Vapourz Airdrie</t>
        </is>
      </c>
      <c r="C1187" s="10" t="inlineStr">
        <is>
          <t>Airdrie</t>
        </is>
      </c>
      <c r="D1187" s="10" t="inlineStr">
        <is>
          <t>https://vapemaps.co/scotland/north-lanarkshire/coatbridge</t>
        </is>
      </c>
      <c r="E1187" s="10" t="inlineStr">
        <is>
          <t>Directory</t>
        </is>
      </c>
      <c r="F1187" s="10" t="inlineStr">
        <is>
          <t>2026-09-17</t>
        </is>
      </c>
      <c r="G1187" s="10" t="inlineStr">
        <is>
          <t>address, postcode, phone</t>
        </is>
      </c>
      <c r="H1187" s="10" t="inlineStr">
        <is>
          <t>Requires Verification</t>
        </is>
      </c>
    </row>
    <row r="1188">
      <c r="A1188" s="5" t="inlineStr">
        <is>
          <t>UK-000840</t>
        </is>
      </c>
      <c r="B1188" s="5" t="inlineStr">
        <is>
          <t>Vapourzone Waterloo</t>
        </is>
      </c>
      <c r="C1188" s="5" t="inlineStr">
        <is>
          <t>Liverpool</t>
        </is>
      </c>
      <c r="D1188" s="5" t="inlineStr">
        <is>
          <t>https://ecigdirectory.co.uk/vape-shop/listing/vapourzone-waterloo</t>
        </is>
      </c>
      <c r="E1188" s="5" t="inlineStr">
        <is>
          <t>Directory</t>
        </is>
      </c>
      <c r="F1188" s="5" t="inlineStr">
        <is>
          <t>2026-09-17</t>
        </is>
      </c>
      <c r="G1188" s="5" t="inlineStr">
        <is>
          <t>business name, South Road Waterloo address</t>
        </is>
      </c>
      <c r="H1188" s="5" t="inlineStr">
        <is>
          <t>Requires Verification</t>
        </is>
      </c>
    </row>
    <row r="1189">
      <c r="A1189" s="10" t="inlineStr">
        <is>
          <t>UK-000539</t>
        </is>
      </c>
      <c r="B1189" s="10" t="inlineStr">
        <is>
          <t>Veg Express Superstore</t>
        </is>
      </c>
      <c r="C1189" s="10" t="inlineStr">
        <is>
          <t>Darlaston</t>
        </is>
      </c>
      <c r="D1189" s="10" t="inlineStr">
        <is>
          <t>https://wednesbury-eng.business-dir.co.uk/veg-express-superstore/</t>
        </is>
      </c>
      <c r="E1189" s="10" t="inlineStr">
        <is>
          <t>Directory</t>
        </is>
      </c>
      <c r="F1189" s="10" t="inlineStr">
        <is>
          <t>2026-09-17</t>
        </is>
      </c>
      <c r="G1189" s="10" t="inlineStr">
        <is>
          <t>address, postcode, phone</t>
        </is>
      </c>
      <c r="H1189" s="10" t="inlineStr">
        <is>
          <t>Partially Verified</t>
        </is>
      </c>
    </row>
    <row r="1190">
      <c r="A1190" s="5" t="inlineStr">
        <is>
          <t>UK-000539</t>
        </is>
      </c>
      <c r="B1190" s="5" t="inlineStr">
        <is>
          <t>Veg Express Superstore</t>
        </is>
      </c>
      <c r="C1190" s="5" t="inlineStr">
        <is>
          <t>Darlaston</t>
        </is>
      </c>
      <c r="D1190" s="5" t="inlineStr">
        <is>
          <t>https://find-and-update.company-information.service.gov.uk/company/11219591</t>
        </is>
      </c>
      <c r="E1190" s="5" t="inlineStr">
        <is>
          <t>Companies House</t>
        </is>
      </c>
      <c r="F1190" s="5" t="inlineStr">
        <is>
          <t>2026-09-17</t>
        </is>
      </c>
      <c r="G1190" s="5" t="inlineStr">
        <is>
          <t>company number, legal name</t>
        </is>
      </c>
      <c r="H1190" s="5" t="inlineStr">
        <is>
          <t>Partially Verified</t>
        </is>
      </c>
    </row>
    <row r="1191">
      <c r="A1191" s="10" t="inlineStr">
        <is>
          <t>UK-000682</t>
        </is>
      </c>
      <c r="B1191" s="10" t="inlineStr">
        <is>
          <t>Victoria News</t>
        </is>
      </c>
      <c r="C1191" s="10" t="inlineStr">
        <is>
          <t>London</t>
        </is>
      </c>
      <c r="D1191" s="10" t="inlineStr">
        <is>
          <t>https://www.yell.com/biz/victoria-news-london-467809/</t>
        </is>
      </c>
      <c r="E1191" s="10" t="inlineStr">
        <is>
          <t>Yell</t>
        </is>
      </c>
      <c r="F1191" s="10" t="inlineStr">
        <is>
          <t>2026-09-17</t>
        </is>
      </c>
      <c r="G1191" s="10" t="inlineStr">
        <is>
          <t>business name, address, postcode</t>
        </is>
      </c>
      <c r="H1191" s="10" t="inlineStr">
        <is>
          <t>Requires Verification</t>
        </is>
      </c>
    </row>
    <row r="1192">
      <c r="A1192" s="5" t="inlineStr">
        <is>
          <t>UK-000411</t>
        </is>
      </c>
      <c r="B1192" s="5" t="inlineStr">
        <is>
          <t>Village &amp; Shisha Lounge (Rusholme)</t>
        </is>
      </c>
      <c r="C1192" s="5" t="inlineStr">
        <is>
          <t>Manchester</t>
        </is>
      </c>
      <c r="D1192" s="5" t="inlineStr">
        <is>
          <t>https://www.onionring.co.uk/restaurants/8504/Village-&amp;-Shisha-Lounge/</t>
        </is>
      </c>
      <c r="E1192" s="5" t="inlineStr">
        <is>
          <t>Directory</t>
        </is>
      </c>
      <c r="F1192" s="5" t="inlineStr">
        <is>
          <t>2026-09-17</t>
        </is>
      </c>
      <c r="G1192" s="5" t="inlineStr">
        <is>
          <t>business name, address, postcode</t>
        </is>
      </c>
      <c r="H1192" s="5" t="inlineStr">
        <is>
          <t>Requires Verification</t>
        </is>
      </c>
    </row>
    <row r="1193">
      <c r="A1193" s="10" t="inlineStr">
        <is>
          <t>UK-000683</t>
        </is>
      </c>
      <c r="B1193" s="10" t="inlineStr">
        <is>
          <t>Vini Italia</t>
        </is>
      </c>
      <c r="C1193" s="10" t="inlineStr">
        <is>
          <t>London</t>
        </is>
      </c>
      <c r="D1193" s="10" t="inlineStr">
        <is>
          <t>https://www.yell.com/s/off+licences-tooting-south+west+london.html</t>
        </is>
      </c>
      <c r="E1193" s="10" t="inlineStr">
        <is>
          <t>Yell</t>
        </is>
      </c>
      <c r="F1193" s="10" t="inlineStr">
        <is>
          <t>2026-09-17</t>
        </is>
      </c>
      <c r="G1193" s="10" t="inlineStr">
        <is>
          <t>business name, address, phone</t>
        </is>
      </c>
      <c r="H1193" s="10" t="inlineStr">
        <is>
          <t>Requires Verification</t>
        </is>
      </c>
    </row>
    <row r="1194">
      <c r="A1194" s="5" t="inlineStr">
        <is>
          <t>UK-000841</t>
        </is>
      </c>
      <c r="B1194" s="5" t="inlineStr">
        <is>
          <t>Viper Vapes</t>
        </is>
      </c>
      <c r="C1194" s="5" t="inlineStr">
        <is>
          <t>Newton-le-Willows</t>
        </is>
      </c>
      <c r="D1194" s="5" t="inlineStr">
        <is>
          <t>https://yably.co.uk/reviews/newton-le-willows/viper-vapes-17-market-st</t>
        </is>
      </c>
      <c r="E1194" s="5" t="inlineStr">
        <is>
          <t>Directory</t>
        </is>
      </c>
      <c r="F1194" s="5" t="inlineStr">
        <is>
          <t>2026-09-17</t>
        </is>
      </c>
      <c r="G1194" s="5" t="inlineStr">
        <is>
          <t>Market Street address, postcode, phone</t>
        </is>
      </c>
      <c r="H1194" s="5" t="inlineStr">
        <is>
          <t>Requires Verification</t>
        </is>
      </c>
    </row>
    <row r="1195">
      <c r="A1195" s="10" t="inlineStr">
        <is>
          <t>UK-000841</t>
        </is>
      </c>
      <c r="B1195" s="10" t="inlineStr">
        <is>
          <t>Viper Vapes</t>
        </is>
      </c>
      <c r="C1195" s="10" t="inlineStr">
        <is>
          <t>Newton-le-Willows</t>
        </is>
      </c>
      <c r="D1195" s="10" t="inlineStr">
        <is>
          <t>https://www.facebook.com/vipervapesWA12/</t>
        </is>
      </c>
      <c r="E1195" s="10" t="inlineStr">
        <is>
          <t>Facebook</t>
        </is>
      </c>
      <c r="F1195" s="10" t="inlineStr">
        <is>
          <t>2026-09-17</t>
        </is>
      </c>
      <c r="G1195" s="10" t="inlineStr">
        <is>
          <t>trading name, location</t>
        </is>
      </c>
      <c r="H1195" s="10" t="inlineStr">
        <is>
          <t>Requires Verification</t>
        </is>
      </c>
    </row>
    <row r="1196">
      <c r="A1196" s="5" t="inlineStr">
        <is>
          <t>UK-000842</t>
        </is>
      </c>
      <c r="B1196" s="5" t="inlineStr">
        <is>
          <t>Virgin Vapours</t>
        </is>
      </c>
      <c r="C1196" s="5" t="inlineStr">
        <is>
          <t>Crosby</t>
        </is>
      </c>
      <c r="D1196" s="5" t="inlineStr">
        <is>
          <t>https://waterloo-sefton.cylex-uk.co.uk/company/virgin-vapours-27370213.html</t>
        </is>
      </c>
      <c r="E1196" s="5" t="inlineStr">
        <is>
          <t>Directory</t>
        </is>
      </c>
      <c r="F1196" s="5" t="inlineStr">
        <is>
          <t>2026-09-17</t>
        </is>
      </c>
      <c r="G1196" s="5" t="inlineStr">
        <is>
          <t>Moor Lane address, postcode, phone</t>
        </is>
      </c>
      <c r="H1196" s="5" t="inlineStr">
        <is>
          <t>Requires Verification</t>
        </is>
      </c>
    </row>
    <row r="1197">
      <c r="A1197" s="10" t="inlineStr">
        <is>
          <t>UK-000412</t>
        </is>
      </c>
      <c r="B1197" s="10" t="inlineStr">
        <is>
          <t>Vish Off Licence Ltd</t>
        </is>
      </c>
      <c r="C1197" s="10" t="inlineStr">
        <is>
          <t>Bolton</t>
        </is>
      </c>
      <c r="D1197" s="10" t="inlineStr">
        <is>
          <t>https://www.192.com/atoz/business/bolton-bl3/beer-wine-and-spirit-retail/vish-off-licence-ltd/5185dd21e8acf4fb82e6698055d1b839486ad42f/comp/</t>
        </is>
      </c>
      <c r="E1197" s="10" t="inlineStr">
        <is>
          <t>Directory</t>
        </is>
      </c>
      <c r="F1197" s="10" t="inlineStr">
        <is>
          <t>2026-09-17</t>
        </is>
      </c>
      <c r="G1197" s="10" t="inlineStr">
        <is>
          <t>business name, address, postcode, phone (via search results)</t>
        </is>
      </c>
      <c r="H1197" s="10" t="inlineStr">
        <is>
          <t>Requires Verification</t>
        </is>
      </c>
    </row>
    <row r="1198">
      <c r="A1198" s="5" t="inlineStr">
        <is>
          <t>UK-000540</t>
        </is>
      </c>
      <c r="B1198" s="5" t="inlineStr">
        <is>
          <t>Vvapour</t>
        </is>
      </c>
      <c r="C1198" s="5" t="inlineStr">
        <is>
          <t>West Bromwich</t>
        </is>
      </c>
      <c r="D1198" s="5" t="inlineStr">
        <is>
          <t>https://ecigdirectory.co.uk/vape-shop/listing/vvapour</t>
        </is>
      </c>
      <c r="E1198" s="5" t="inlineStr">
        <is>
          <t>Directory</t>
        </is>
      </c>
      <c r="F1198" s="5" t="inlineStr">
        <is>
          <t>2026-09-17</t>
        </is>
      </c>
      <c r="G1198" s="5" t="inlineStr">
        <is>
          <t>business name, address, phone (directory snippet)</t>
        </is>
      </c>
      <c r="H1198" s="5" t="inlineStr">
        <is>
          <t>Requires Verification</t>
        </is>
      </c>
    </row>
    <row r="1199">
      <c r="A1199" s="10" t="inlineStr">
        <is>
          <t>UK-000684</t>
        </is>
      </c>
      <c r="B1199" s="10" t="inlineStr">
        <is>
          <t>Vx-Change</t>
        </is>
      </c>
      <c r="C1199" s="10" t="inlineStr">
        <is>
          <t>Hounslow</t>
        </is>
      </c>
      <c r="D1199" s="10" t="inlineStr">
        <is>
          <t>https://www.yell.com/biz/vx-change-hounslow-10141765/</t>
        </is>
      </c>
      <c r="E1199" s="10" t="inlineStr">
        <is>
          <t>Yell</t>
        </is>
      </c>
      <c r="F1199" s="10" t="inlineStr">
        <is>
          <t>2026-09-17</t>
        </is>
      </c>
      <c r="G1199" s="10" t="inlineStr">
        <is>
          <t>business name, address</t>
        </is>
      </c>
      <c r="H1199" s="10" t="inlineStr">
        <is>
          <t>Requires Verification</t>
        </is>
      </c>
    </row>
    <row r="1200">
      <c r="A1200" s="5" t="inlineStr">
        <is>
          <t>UK-000685</t>
        </is>
      </c>
      <c r="B1200" s="5" t="inlineStr">
        <is>
          <t>W2 Vapes Central London</t>
        </is>
      </c>
      <c r="C1200" s="5" t="inlineStr">
        <is>
          <t>London</t>
        </is>
      </c>
      <c r="D1200" s="5" t="inlineStr">
        <is>
          <t>https://www.yell.com/biz/w2-vapes-central-london-london-9670919/</t>
        </is>
      </c>
      <c r="E1200" s="5" t="inlineStr">
        <is>
          <t>Yell</t>
        </is>
      </c>
      <c r="F1200" s="5" t="inlineStr">
        <is>
          <t>2026-09-17</t>
        </is>
      </c>
      <c r="G1200" s="5" t="inlineStr">
        <is>
          <t>business name, address, postcode, phone</t>
        </is>
      </c>
      <c r="H1200" s="5" t="inlineStr">
        <is>
          <t>Requires Verification</t>
        </is>
      </c>
    </row>
    <row r="1201">
      <c r="A1201" s="10" t="inlineStr">
        <is>
          <t>WY-0185</t>
        </is>
      </c>
      <c r="B1201" s="10" t="inlineStr">
        <is>
          <t>Wakefield Road Service Station (Featherstone)</t>
        </is>
      </c>
      <c r="C1201" s="10" t="inlineStr">
        <is>
          <t>Featherstone</t>
        </is>
      </c>
      <c r="D1201" s="10" t="inlineStr">
        <is>
          <t>https://forecourttrader.co.uk/latest-news/forecourt-operator-duo-add-wakefield-road-service-station-to-portfolio/708047.article</t>
        </is>
      </c>
      <c r="E1201" s="10" t="inlineStr">
        <is>
          <t>News / Trade Press</t>
        </is>
      </c>
      <c r="F1201" s="10" t="inlineStr">
        <is>
          <t>2026-09-16</t>
        </is>
      </c>
      <c r="G1201" s="10" t="inlineStr">
        <is>
          <t>site acquisition, operator names, 3-site portfolio</t>
        </is>
      </c>
      <c r="H1201" s="10" t="inlineStr">
        <is>
          <t>Requires Verification</t>
        </is>
      </c>
    </row>
    <row r="1202">
      <c r="A1202" s="5" t="inlineStr">
        <is>
          <t>UK-000295</t>
        </is>
      </c>
      <c r="B1202" s="5" t="inlineStr">
        <is>
          <t>Walkley Beer Company</t>
        </is>
      </c>
      <c r="C1202" s="5" t="inlineStr">
        <is>
          <t>Sheffield</t>
        </is>
      </c>
      <c r="D1202" s="5" t="inlineStr">
        <is>
          <t>https://www.yorkshire.com/sheffield/shopping/off-license</t>
        </is>
      </c>
      <c r="E1202" s="5" t="inlineStr">
        <is>
          <t>Directory</t>
        </is>
      </c>
      <c r="F1202" s="5" t="inlineStr">
        <is>
          <t>2026-09-16</t>
        </is>
      </c>
      <c r="G1202" s="5" t="inlineStr">
        <is>
          <t>name, area, product range</t>
        </is>
      </c>
      <c r="H1202" s="5" t="inlineStr">
        <is>
          <t>Requires Verification</t>
        </is>
      </c>
    </row>
    <row r="1203">
      <c r="A1203" s="10" t="inlineStr">
        <is>
          <t>UK-000843</t>
        </is>
      </c>
      <c r="B1203" s="10" t="inlineStr">
        <is>
          <t>Wallasey Off Licence and Convenience</t>
        </is>
      </c>
      <c r="C1203" s="10" t="inlineStr">
        <is>
          <t>Wallasey</t>
        </is>
      </c>
      <c r="D1203" s="10" t="inlineStr">
        <is>
          <t>https://ratings.food.gov.uk/business/777455</t>
        </is>
      </c>
      <c r="E1203" s="10" t="inlineStr">
        <is>
          <t>Other</t>
        </is>
      </c>
      <c r="F1203" s="10" t="inlineStr">
        <is>
          <t>2026-09-17</t>
        </is>
      </c>
      <c r="G1203" s="10" t="inlineStr">
        <is>
          <t>business name (FSA food hygiene register)</t>
        </is>
      </c>
      <c r="H1203" s="10" t="inlineStr">
        <is>
          <t>Requires Verification</t>
        </is>
      </c>
    </row>
    <row r="1204">
      <c r="A1204" s="5" t="inlineStr">
        <is>
          <t>UK-000844</t>
        </is>
      </c>
      <c r="B1204" s="5" t="inlineStr">
        <is>
          <t>Watan Food Store</t>
        </is>
      </c>
      <c r="C1204" s="5" t="inlineStr">
        <is>
          <t>Glasgow</t>
        </is>
      </c>
      <c r="D1204" s="5" t="inlineStr">
        <is>
          <t>https://find-and-update.company-information.service.gov.uk/company/SC429405</t>
        </is>
      </c>
      <c r="E1204" s="5" t="inlineStr">
        <is>
          <t>Companies House</t>
        </is>
      </c>
      <c r="F1204" s="5" t="inlineStr">
        <is>
          <t>2026-09-17</t>
        </is>
      </c>
      <c r="G1204" s="5" t="inlineStr">
        <is>
          <t>registered company name, number</t>
        </is>
      </c>
      <c r="H1204" s="5" t="inlineStr">
        <is>
          <t>Requires Verification</t>
        </is>
      </c>
    </row>
    <row r="1205">
      <c r="A1205" s="10" t="inlineStr">
        <is>
          <t>UK-000844</t>
        </is>
      </c>
      <c r="B1205" s="10" t="inlineStr">
        <is>
          <t>Watan Food Store</t>
        </is>
      </c>
      <c r="C1205" s="10" t="inlineStr">
        <is>
          <t>Glasgow</t>
        </is>
      </c>
      <c r="D1205" s="10" t="inlineStr">
        <is>
          <t>https://www.ukpostcodecheck.com/address/71aa4955/watan-foods-limited_206-allison-street_govanhill_glasgow_g42-8rs</t>
        </is>
      </c>
      <c r="E1205" s="10" t="inlineStr">
        <is>
          <t>Directory</t>
        </is>
      </c>
      <c r="F1205" s="10" t="inlineStr">
        <is>
          <t>2026-09-17</t>
        </is>
      </c>
      <c r="G1205" s="10" t="inlineStr">
        <is>
          <t>address, postcode</t>
        </is>
      </c>
      <c r="H1205" s="10" t="inlineStr">
        <is>
          <t>Requires Verification</t>
        </is>
      </c>
    </row>
    <row r="1206">
      <c r="A1206" s="5" t="inlineStr">
        <is>
          <t>UK-000844</t>
        </is>
      </c>
      <c r="B1206" s="5" t="inlineStr">
        <is>
          <t>Watan Food Store</t>
        </is>
      </c>
      <c r="C1206" s="5" t="inlineStr">
        <is>
          <t>Glasgow</t>
        </is>
      </c>
      <c r="D1206" s="5" t="inlineStr">
        <is>
          <t>https://glasgow.cylex-uk.co.uk/company/watan-food-store-17742814.html</t>
        </is>
      </c>
      <c r="E1206" s="5" t="inlineStr">
        <is>
          <t>Directory</t>
        </is>
      </c>
      <c r="F1206" s="5" t="inlineStr">
        <is>
          <t>2026-09-17</t>
        </is>
      </c>
      <c r="G1206" s="5" t="inlineStr">
        <is>
          <t>phone</t>
        </is>
      </c>
      <c r="H1206" s="5" t="inlineStr">
        <is>
          <t>Requires Verification</t>
        </is>
      </c>
    </row>
    <row r="1207">
      <c r="A1207" s="10" t="inlineStr">
        <is>
          <t>WY-0186</t>
        </is>
      </c>
      <c r="B1207" s="10" t="inlineStr">
        <is>
          <t>Wayward Wines</t>
        </is>
      </c>
      <c r="C1207" s="10" t="inlineStr">
        <is>
          <t>Leeds</t>
        </is>
      </c>
      <c r="D1207" s="10" t="inlineStr">
        <is>
          <t>https://confidentials.com/leeds/six-of-the-best-bottle-shops</t>
        </is>
      </c>
      <c r="E1207" s="10" t="inlineStr">
        <is>
          <t>News / Trade Press</t>
        </is>
      </c>
      <c r="F1207" s="10" t="inlineStr">
        <is>
          <t>2026-09-16</t>
        </is>
      </c>
      <c r="G1207" s="10" t="inlineStr">
        <is>
          <t>name, address (via search results)</t>
        </is>
      </c>
      <c r="H1207" s="10" t="inlineStr">
        <is>
          <t>Requires Verification</t>
        </is>
      </c>
    </row>
    <row r="1208">
      <c r="A1208" s="5" t="inlineStr">
        <is>
          <t>WY-0186</t>
        </is>
      </c>
      <c r="B1208" s="5" t="inlineStr">
        <is>
          <t>Wayward Wines</t>
        </is>
      </c>
      <c r="C1208" s="5" t="inlineStr">
        <is>
          <t>Leeds</t>
        </is>
      </c>
      <c r="D1208" s="5" t="inlineStr">
        <is>
          <t>https://leeds-list.com/lifestyle/the-best-bottle-shops-in-leeds/</t>
        </is>
      </c>
      <c r="E1208" s="5" t="inlineStr">
        <is>
          <t>News / Trade Press</t>
        </is>
      </c>
      <c r="F1208" s="5" t="inlineStr">
        <is>
          <t>2026-09-16</t>
        </is>
      </c>
      <c r="G1208" s="5" t="inlineStr">
        <is>
          <t>listing among Leeds bottle shops (via search results)</t>
        </is>
      </c>
      <c r="H1208" s="5" t="inlineStr">
        <is>
          <t>Requires Verification</t>
        </is>
      </c>
    </row>
    <row r="1209">
      <c r="A1209" s="10" t="inlineStr">
        <is>
          <t>UK-000296</t>
        </is>
      </c>
      <c r="B1209" s="10" t="inlineStr">
        <is>
          <t>Weetons Food Hall</t>
        </is>
      </c>
      <c r="C1209" s="10" t="inlineStr">
        <is>
          <t>Harrogate</t>
        </is>
      </c>
      <c r="D1209" s="10" t="inlineStr">
        <is>
          <t>https://weetons.co.uk/policies/contact-information</t>
        </is>
      </c>
      <c r="E1209" s="10" t="inlineStr">
        <is>
          <t>Official Website</t>
        </is>
      </c>
      <c r="F1209" s="10" t="inlineStr">
        <is>
          <t>2026-09-16</t>
        </is>
      </c>
      <c r="G1209" s="10" t="inlineStr">
        <is>
          <t>address, postcode, phone (search snippet)</t>
        </is>
      </c>
      <c r="H1209" s="10" t="inlineStr">
        <is>
          <t>Requires Verification</t>
        </is>
      </c>
    </row>
    <row r="1210">
      <c r="A1210" s="5" t="inlineStr">
        <is>
          <t>UK-000296</t>
        </is>
      </c>
      <c r="B1210" s="5" t="inlineStr">
        <is>
          <t>Weetons Food Hall</t>
        </is>
      </c>
      <c r="C1210" s="5" t="inlineStr">
        <is>
          <t>Harrogate</t>
        </is>
      </c>
      <c r="D1210" s="5" t="inlineStr">
        <is>
          <t>https://visitnorthyorkshire.com/index/weetons</t>
        </is>
      </c>
      <c r="E1210" s="5" t="inlineStr">
        <is>
          <t>Directory</t>
        </is>
      </c>
      <c r="F1210" s="5" t="inlineStr">
        <is>
          <t>2026-09-16</t>
        </is>
      </c>
      <c r="G1210" s="5" t="inlineStr">
        <is>
          <t>listing confirmation</t>
        </is>
      </c>
      <c r="H1210" s="5" t="inlineStr">
        <is>
          <t>Requires Verification</t>
        </is>
      </c>
    </row>
    <row r="1211">
      <c r="A1211" s="10" t="inlineStr">
        <is>
          <t>UK-000686</t>
        </is>
      </c>
      <c r="B1211" s="10" t="inlineStr">
        <is>
          <t>Well Street Wines</t>
        </is>
      </c>
      <c r="C1211" s="10" t="inlineStr">
        <is>
          <t>Hackney</t>
        </is>
      </c>
      <c r="D1211" s="10" t="inlineStr">
        <is>
          <t>https://www.yell.com/s/off+licences-stoke+newington-north+london.html</t>
        </is>
      </c>
      <c r="E1211" s="10" t="inlineStr">
        <is>
          <t>Yell</t>
        </is>
      </c>
      <c r="F1211" s="10" t="inlineStr">
        <is>
          <t>2026-09-17</t>
        </is>
      </c>
      <c r="G1211" s="10" t="inlineStr">
        <is>
          <t>name, address, postcode</t>
        </is>
      </c>
      <c r="H1211" s="10" t="inlineStr">
        <is>
          <t>Requires Verification</t>
        </is>
      </c>
    </row>
    <row r="1212">
      <c r="A1212" s="5" t="inlineStr">
        <is>
          <t>UK-000687</t>
        </is>
      </c>
      <c r="B1212" s="5" t="inlineStr">
        <is>
          <t>West 9 Food &amp; Wine</t>
        </is>
      </c>
      <c r="C1212" s="5" t="inlineStr">
        <is>
          <t>Bethnal Green</t>
        </is>
      </c>
      <c r="D1212" s="5" t="inlineStr">
        <is>
          <t>https://www.192.com/atoz/business/london-e2/general-and-convenience-stores/west-9-food-wine/a1f57525e024dcc489d3e9e2c58c38ed54e83d6f/ml/</t>
        </is>
      </c>
      <c r="E1212" s="5" t="inlineStr">
        <is>
          <t>Directory</t>
        </is>
      </c>
      <c r="F1212" s="5" t="inlineStr">
        <is>
          <t>2026-09-17</t>
        </is>
      </c>
      <c r="G1212" s="5" t="inlineStr">
        <is>
          <t>name, district, postcode</t>
        </is>
      </c>
      <c r="H1212" s="5" t="inlineStr">
        <is>
          <t>Requires Verification</t>
        </is>
      </c>
    </row>
    <row r="1213">
      <c r="A1213" s="10" t="inlineStr">
        <is>
          <t>WY-0187</t>
        </is>
      </c>
      <c r="B1213" s="10" t="inlineStr">
        <is>
          <t>West End Off Licence</t>
        </is>
      </c>
      <c r="C1213" s="10" t="inlineStr">
        <is>
          <t>Halifax</t>
        </is>
      </c>
      <c r="D1213" s="10" t="inlineStr">
        <is>
          <t>https://www.yelp.co.uk/biz/westend-off-licence-rickys-halifax</t>
        </is>
      </c>
      <c r="E1213" s="10" t="inlineStr">
        <is>
          <t>Directory</t>
        </is>
      </c>
      <c r="F1213" s="10" t="inlineStr">
        <is>
          <t>2026-09-16</t>
        </is>
      </c>
      <c r="G1213" s="10" t="inlineStr">
        <is>
          <t>name, address, postcode, hours</t>
        </is>
      </c>
      <c r="H1213" s="10" t="inlineStr">
        <is>
          <t>Requires Verification</t>
        </is>
      </c>
    </row>
    <row r="1214">
      <c r="A1214" s="5" t="inlineStr">
        <is>
          <t>WY-0187</t>
        </is>
      </c>
      <c r="B1214" s="5" t="inlineStr">
        <is>
          <t>West End Off Licence</t>
        </is>
      </c>
      <c r="C1214" s="5" t="inlineStr">
        <is>
          <t>Halifax</t>
        </is>
      </c>
      <c r="D1214" s="5" t="inlineStr">
        <is>
          <t>https://www.yorkshire.com/halifax/shopping/off-license/west-end-off-licence</t>
        </is>
      </c>
      <c r="E1214" s="5" t="inlineStr">
        <is>
          <t>Directory</t>
        </is>
      </c>
      <c r="F1214" s="5" t="inlineStr">
        <is>
          <t>2026-09-16</t>
        </is>
      </c>
      <c r="G1214" s="5" t="inlineStr">
        <is>
          <t>listing confirmation</t>
        </is>
      </c>
      <c r="H1214" s="5" t="inlineStr">
        <is>
          <t>Requires Verification</t>
        </is>
      </c>
    </row>
    <row r="1215">
      <c r="A1215" s="10" t="inlineStr">
        <is>
          <t>UK-000845</t>
        </is>
      </c>
      <c r="B1215" s="10" t="inlineStr">
        <is>
          <t>West Street Off Licence</t>
        </is>
      </c>
      <c r="C1215" s="10" t="inlineStr">
        <is>
          <t>Southport</t>
        </is>
      </c>
      <c r="D1215" s="10" t="inlineStr">
        <is>
          <t>https://www.24houralcohol.co.uk/sefton-off-licences</t>
        </is>
      </c>
      <c r="E1215" s="10" t="inlineStr">
        <is>
          <t>Directory</t>
        </is>
      </c>
      <c r="F1215" s="10" t="inlineStr">
        <is>
          <t>2026-09-17</t>
        </is>
      </c>
      <c r="G1215" s="10" t="inlineStr">
        <is>
          <t>business name, West Street address, postcode</t>
        </is>
      </c>
      <c r="H1215" s="10" t="inlineStr">
        <is>
          <t>Requires Verification</t>
        </is>
      </c>
    </row>
    <row r="1216">
      <c r="A1216" s="5" t="inlineStr">
        <is>
          <t>UK-000688</t>
        </is>
      </c>
      <c r="B1216" s="5" t="inlineStr">
        <is>
          <t>Western Cash &amp; Carry</t>
        </is>
      </c>
      <c r="C1216" s="5" t="inlineStr">
        <is>
          <t>Southall</t>
        </is>
      </c>
      <c r="D1216" s="5" t="inlineStr">
        <is>
          <t>https://www.yell.com/biz/western-cash-and-carry-southall-2039534/</t>
        </is>
      </c>
      <c r="E1216" s="5" t="inlineStr">
        <is>
          <t>Yell</t>
        </is>
      </c>
      <c r="F1216" s="5" t="inlineStr">
        <is>
          <t>2026-09-17</t>
        </is>
      </c>
      <c r="G1216" s="5" t="inlineStr">
        <is>
          <t>business name, address</t>
        </is>
      </c>
      <c r="H1216" s="5" t="inlineStr">
        <is>
          <t>Requires Verification</t>
        </is>
      </c>
    </row>
    <row r="1217">
      <c r="A1217" s="10" t="inlineStr">
        <is>
          <t>UK-000689</t>
        </is>
      </c>
      <c r="B1217" s="10" t="inlineStr">
        <is>
          <t>Whirly Wines Ltd</t>
        </is>
      </c>
      <c r="C1217" s="10" t="inlineStr">
        <is>
          <t>London</t>
        </is>
      </c>
      <c r="D1217" s="10" t="inlineStr">
        <is>
          <t>https://www.yell.com/s/off+licences-tooting-south+west+london.html</t>
        </is>
      </c>
      <c r="E1217" s="10" t="inlineStr">
        <is>
          <t>Yell</t>
        </is>
      </c>
      <c r="F1217" s="10" t="inlineStr">
        <is>
          <t>2026-09-17</t>
        </is>
      </c>
      <c r="G1217" s="10" t="inlineStr">
        <is>
          <t>business name, address, phone</t>
        </is>
      </c>
      <c r="H1217" s="10" t="inlineStr">
        <is>
          <t>Requires Verification</t>
        </is>
      </c>
    </row>
    <row r="1218">
      <c r="A1218" s="5" t="inlineStr">
        <is>
          <t>WY-0188</t>
        </is>
      </c>
      <c r="B1218" s="5" t="inlineStr">
        <is>
          <t>White Rose Catering</t>
        </is>
      </c>
      <c r="C1218" s="5" t="inlineStr">
        <is>
          <t>Dewsbury</t>
        </is>
      </c>
      <c r="D1218" s="5" t="inlineStr">
        <is>
          <t>https://www.192.com/atoz/business/dewsbury-wf13/cash-and-carry-wholesalers/white-rose-catering-ltd/1cd73791cf719e65496fe8e9a0a2d1c534c879e1/ml/</t>
        </is>
      </c>
      <c r="E1218" s="5" t="inlineStr">
        <is>
          <t>Directory</t>
        </is>
      </c>
      <c r="F1218" s="5" t="inlineStr">
        <is>
          <t>2026-09-16</t>
        </is>
      </c>
      <c r="G1218" s="5" t="inlineStr">
        <is>
          <t>name, legal name, address, postcode, phone</t>
        </is>
      </c>
      <c r="H1218" s="5" t="inlineStr">
        <is>
          <t>Requires Verification</t>
        </is>
      </c>
    </row>
    <row r="1219">
      <c r="A1219" s="10" t="inlineStr">
        <is>
          <t>WY-0189</t>
        </is>
      </c>
      <c r="B1219" s="10" t="inlineStr">
        <is>
          <t>Wigton Cash &amp; Carry (Wigton Distribution)</t>
        </is>
      </c>
      <c r="C1219" s="10" t="inlineStr">
        <is>
          <t>Leeds</t>
        </is>
      </c>
      <c r="D1219" s="10" t="inlineStr">
        <is>
          <t>https://www.tiktok.com/@wigtondistribution/video/7475737721617583382</t>
        </is>
      </c>
      <c r="E1219" s="10" t="inlineStr">
        <is>
          <t>Other</t>
        </is>
      </c>
      <c r="F1219" s="10" t="inlineStr">
        <is>
          <t>2026-09-16</t>
        </is>
      </c>
      <c r="G1219" s="10" t="inlineStr">
        <is>
          <t>address 27 Lockwood Way LS11 5TH, business description (via search results)</t>
        </is>
      </c>
      <c r="H1219" s="10" t="inlineStr">
        <is>
          <t>Partially Verified</t>
        </is>
      </c>
    </row>
    <row r="1220">
      <c r="A1220" s="5" t="inlineStr">
        <is>
          <t>WY-0189</t>
        </is>
      </c>
      <c r="B1220" s="5" t="inlineStr">
        <is>
          <t>Wigton Cash &amp; Carry (Wigton Distribution)</t>
        </is>
      </c>
      <c r="C1220" s="5" t="inlineStr">
        <is>
          <t>Leeds</t>
        </is>
      </c>
      <c r="D1220" s="5" t="inlineStr">
        <is>
          <t>https://find-and-update.company-information.service.gov.uk/company/09821856</t>
        </is>
      </c>
      <c r="E1220" s="5" t="inlineStr">
        <is>
          <t>Companies House</t>
        </is>
      </c>
      <c r="F1220" s="5" t="inlineStr">
        <is>
          <t>2026-09-16</t>
        </is>
      </c>
      <c r="G1220" s="5" t="inlineStr">
        <is>
          <t>registered name and company number (via search results)</t>
        </is>
      </c>
      <c r="H1220" s="5" t="inlineStr">
        <is>
          <t>Partially Verified</t>
        </is>
      </c>
    </row>
    <row r="1221">
      <c r="A1221" s="10" t="inlineStr">
        <is>
          <t>WY-0189</t>
        </is>
      </c>
      <c r="B1221" s="10" t="inlineStr">
        <is>
          <t>Wigton Cash &amp; Carry (Wigton Distribution)</t>
        </is>
      </c>
      <c r="C1221" s="10" t="inlineStr">
        <is>
          <t>Leeds</t>
        </is>
      </c>
      <c r="D1221" s="10" t="inlineStr">
        <is>
          <t>https://www.thomsonlocal.com/search/cash-carry-wholesalers/leeds-west-yorkshire</t>
        </is>
      </c>
      <c r="E1221" s="10" t="inlineStr">
        <is>
          <t>Directory</t>
        </is>
      </c>
      <c r="F1221" s="10" t="inlineStr">
        <is>
          <t>2026-09-16</t>
        </is>
      </c>
      <c r="G1221" s="10" t="inlineStr">
        <is>
          <t>cash &amp; carry listing context (via search results)</t>
        </is>
      </c>
      <c r="H1221" s="10" t="inlineStr">
        <is>
          <t>Partially Verified</t>
        </is>
      </c>
    </row>
    <row r="1222">
      <c r="A1222" s="5" t="inlineStr">
        <is>
          <t>UK-000541</t>
        </is>
      </c>
      <c r="B1222" s="5" t="inlineStr">
        <is>
          <t>Windmill Grocery</t>
        </is>
      </c>
      <c r="C1222" s="5" t="inlineStr">
        <is>
          <t>Smethwick</t>
        </is>
      </c>
      <c r="D1222" s="5" t="inlineStr">
        <is>
          <t>https://www.192.com/atoz/business/smethwick/supermarkets/</t>
        </is>
      </c>
      <c r="E1222" s="5" t="inlineStr">
        <is>
          <t>Directory</t>
        </is>
      </c>
      <c r="F1222" s="5" t="inlineStr">
        <is>
          <t>2026-09-17</t>
        </is>
      </c>
      <c r="G1222" s="5" t="inlineStr">
        <is>
          <t>business name, address (listing snippet)</t>
        </is>
      </c>
      <c r="H1222" s="5" t="inlineStr">
        <is>
          <t>Requires Verification</t>
        </is>
      </c>
    </row>
    <row r="1223">
      <c r="A1223" s="10" t="inlineStr">
        <is>
          <t>UK-000846</t>
        </is>
      </c>
      <c r="B1223" s="10" t="inlineStr">
        <is>
          <t>Windsor Wines &amp; Spirits</t>
        </is>
      </c>
      <c r="C1223" s="10" t="inlineStr">
        <is>
          <t>Liverpool</t>
        </is>
      </c>
      <c r="D1223" s="10" t="inlineStr">
        <is>
          <t>https://liverpool.cylex-uk.co.uk/off-licence-4.html</t>
        </is>
      </c>
      <c r="E1223" s="10" t="inlineStr">
        <is>
          <t>Directory</t>
        </is>
      </c>
      <c r="F1223" s="10" t="inlineStr">
        <is>
          <t>2026-09-17</t>
        </is>
      </c>
      <c r="G1223" s="10" t="inlineStr">
        <is>
          <t>name, address, postcode</t>
        </is>
      </c>
      <c r="H1223" s="10" t="inlineStr">
        <is>
          <t>Requires Verification</t>
        </is>
      </c>
    </row>
    <row r="1224">
      <c r="A1224" s="5" t="inlineStr">
        <is>
          <t>UK-000413</t>
        </is>
      </c>
      <c r="B1224" s="5" t="inlineStr">
        <is>
          <t>Winsome Vape</t>
        </is>
      </c>
      <c r="C1224" s="5" t="inlineStr">
        <is>
          <t>Wigan</t>
        </is>
      </c>
      <c r="D1224" s="5" t="inlineStr">
        <is>
          <t>https://www.winsomevape.co.uk/</t>
        </is>
      </c>
      <c r="E1224" s="5" t="inlineStr">
        <is>
          <t>Official Website</t>
        </is>
      </c>
      <c r="F1224" s="5" t="inlineStr">
        <is>
          <t>2026-09-17</t>
        </is>
      </c>
      <c r="G1224" s="5" t="inlineStr">
        <is>
          <t>trading name, market location, phone, email (via search results)</t>
        </is>
      </c>
      <c r="H1224" s="5" t="inlineStr">
        <is>
          <t>Requires Verification</t>
        </is>
      </c>
    </row>
    <row r="1225">
      <c r="A1225" s="10" t="inlineStr">
        <is>
          <t>UK-000847</t>
        </is>
      </c>
      <c r="B1225" s="10" t="inlineStr">
        <is>
          <t>Wisla Supermarket &amp; Off Licence</t>
        </is>
      </c>
      <c r="C1225" s="10" t="inlineStr">
        <is>
          <t>Southport</t>
        </is>
      </c>
      <c r="D1225" s="10" t="inlineStr">
        <is>
          <t>https://www.hereme.uk/merseyside/southport/shop-wisla-supermarket-and-off-licence</t>
        </is>
      </c>
      <c r="E1225" s="10" t="inlineStr">
        <is>
          <t>Directory</t>
        </is>
      </c>
      <c r="F1225" s="10" t="inlineStr">
        <is>
          <t>2026-09-17</t>
        </is>
      </c>
      <c r="G1225" s="10" t="inlineStr">
        <is>
          <t>business name, Lord Street location</t>
        </is>
      </c>
      <c r="H1225" s="10" t="inlineStr">
        <is>
          <t>Requires Verification</t>
        </is>
      </c>
    </row>
    <row r="1226">
      <c r="A1226" s="5" t="inlineStr">
        <is>
          <t>UK-000848</t>
        </is>
      </c>
      <c r="B1226" s="5" t="inlineStr">
        <is>
          <t>World Foods Glasgow</t>
        </is>
      </c>
      <c r="C1226" s="5" t="inlineStr">
        <is>
          <t>Glasgow</t>
        </is>
      </c>
      <c r="D1226" s="5" t="inlineStr">
        <is>
          <t>https://www.192.com/atoz/business/glasgow-g41/supermarkets/world-foods/d170be64e77ee2ad0a08009e16739f704c866d13/ml/</t>
        </is>
      </c>
      <c r="E1226" s="5" t="inlineStr">
        <is>
          <t>Directory</t>
        </is>
      </c>
      <c r="F1226" s="5" t="inlineStr">
        <is>
          <t>2026-09-17</t>
        </is>
      </c>
      <c r="G1226" s="5" t="inlineStr">
        <is>
          <t>address, postcode</t>
        </is>
      </c>
      <c r="H1226" s="5" t="inlineStr">
        <is>
          <t>Requires Verification</t>
        </is>
      </c>
    </row>
    <row r="1227">
      <c r="A1227" s="10" t="inlineStr">
        <is>
          <t>UK-000848</t>
        </is>
      </c>
      <c r="B1227" s="10" t="inlineStr">
        <is>
          <t>World Foods Glasgow</t>
        </is>
      </c>
      <c r="C1227" s="10" t="inlineStr">
        <is>
          <t>Glasgow</t>
        </is>
      </c>
      <c r="D1227" s="10" t="inlineStr">
        <is>
          <t>https://www.yell.com/biz/world-foods-glasgow-8606449/</t>
        </is>
      </c>
      <c r="E1227" s="10" t="inlineStr">
        <is>
          <t>Yell</t>
        </is>
      </c>
      <c r="F1227" s="10" t="inlineStr">
        <is>
          <t>2026-09-17</t>
        </is>
      </c>
      <c r="G1227" s="10" t="inlineStr">
        <is>
          <t>trading name, category</t>
        </is>
      </c>
      <c r="H1227" s="10" t="inlineStr">
        <is>
          <t>Requires Verification</t>
        </is>
      </c>
    </row>
    <row r="1228">
      <c r="A1228" s="5" t="inlineStr">
        <is>
          <t>UK-000542</t>
        </is>
      </c>
      <c r="B1228" s="5" t="inlineStr">
        <is>
          <t>World Foods Superstore</t>
        </is>
      </c>
      <c r="C1228" s="5" t="inlineStr">
        <is>
          <t>Wolverhampton</t>
        </is>
      </c>
      <c r="D1228" s="5" t="inlineStr">
        <is>
          <t>https://world-food-superstore.wheree.com/</t>
        </is>
      </c>
      <c r="E1228" s="5" t="inlineStr">
        <is>
          <t>Directory</t>
        </is>
      </c>
      <c r="F1228" s="5" t="inlineStr">
        <is>
          <t>2026-09-17</t>
        </is>
      </c>
      <c r="G1228" s="5" t="inlineStr">
        <is>
          <t>address, postcode, phone</t>
        </is>
      </c>
      <c r="H1228" s="5" t="inlineStr">
        <is>
          <t>Requires Verification</t>
        </is>
      </c>
    </row>
    <row r="1229">
      <c r="A1229" s="10" t="inlineStr">
        <is>
          <t>UK-000542</t>
        </is>
      </c>
      <c r="B1229" s="10" t="inlineStr">
        <is>
          <t>World Foods Superstore</t>
        </is>
      </c>
      <c r="C1229" s="10" t="inlineStr">
        <is>
          <t>Wolverhampton</t>
        </is>
      </c>
      <c r="D1229" s="10" t="inlineStr">
        <is>
          <t>https://find-and-update.company-information.service.gov.uk/company/07598284</t>
        </is>
      </c>
      <c r="E1229" s="10" t="inlineStr">
        <is>
          <t>Companies House</t>
        </is>
      </c>
      <c r="F1229" s="10" t="inlineStr">
        <is>
          <t>2026-09-17</t>
        </is>
      </c>
      <c r="G1229" s="10" t="inlineStr">
        <is>
          <t>possible legal name/company number</t>
        </is>
      </c>
      <c r="H1229" s="10" t="inlineStr">
        <is>
          <t>Requires Verification</t>
        </is>
      </c>
    </row>
    <row r="1230">
      <c r="A1230" s="5" t="inlineStr">
        <is>
          <t>UK-000543</t>
        </is>
      </c>
      <c r="B1230" s="5" t="inlineStr">
        <is>
          <t>Worldwide Foods</t>
        </is>
      </c>
      <c r="C1230" s="5" t="inlineStr">
        <is>
          <t>Birmingham</t>
        </is>
      </c>
      <c r="D1230" s="5" t="inlineStr">
        <is>
          <t>https://directory.shropshirestar.co.uk/company/438078949687297</t>
        </is>
      </c>
      <c r="E1230" s="5" t="inlineStr">
        <is>
          <t>Directory</t>
        </is>
      </c>
      <c r="F1230" s="5" t="inlineStr">
        <is>
          <t>2026-09-17</t>
        </is>
      </c>
      <c r="G1230" s="5" t="inlineStr">
        <is>
          <t>address, postcode, phone</t>
        </is>
      </c>
      <c r="H1230" s="5" t="inlineStr">
        <is>
          <t>Requires Verification</t>
        </is>
      </c>
    </row>
    <row r="1231">
      <c r="A1231" s="10" t="inlineStr">
        <is>
          <t>UK-000544</t>
        </is>
      </c>
      <c r="B1231" s="10" t="inlineStr">
        <is>
          <t>XO Convenience Store</t>
        </is>
      </c>
      <c r="C1231" s="10" t="inlineStr">
        <is>
          <t>Birmingham</t>
        </is>
      </c>
      <c r="D1231" s="10" t="inlineStr">
        <is>
          <t>https://wanderboat.ai/local-businesses/united-kingdom/birmingham/xo-convenience-store/qJ7jZ5ggTf-kodfvot4yHg</t>
        </is>
      </c>
      <c r="E1231" s="10" t="inlineStr">
        <is>
          <t>Directory</t>
        </is>
      </c>
      <c r="F1231" s="10" t="inlineStr">
        <is>
          <t>2026-09-17</t>
        </is>
      </c>
      <c r="G1231" s="10" t="inlineStr">
        <is>
          <t>address, postcode</t>
        </is>
      </c>
      <c r="H1231" s="10" t="inlineStr">
        <is>
          <t>Requires Verification</t>
        </is>
      </c>
    </row>
    <row r="1232">
      <c r="A1232" s="5" t="inlineStr">
        <is>
          <t>UK-000690</t>
        </is>
      </c>
      <c r="B1232" s="5" t="inlineStr">
        <is>
          <t>Yagmur</t>
        </is>
      </c>
      <c r="C1232" s="5" t="inlineStr">
        <is>
          <t>Dagenham</t>
        </is>
      </c>
      <c r="D1232" s="5" t="inlineStr">
        <is>
          <t>https://www.yell.com/s/off+licences-london+borough+of+barking+and+dagenham.html</t>
        </is>
      </c>
      <c r="E1232" s="5" t="inlineStr">
        <is>
          <t>Yell</t>
        </is>
      </c>
      <c r="F1232" s="5" t="inlineStr">
        <is>
          <t>2026-09-17</t>
        </is>
      </c>
      <c r="G1232" s="5" t="inlineStr">
        <is>
          <t>name, address, postcode, phone</t>
        </is>
      </c>
      <c r="H1232" s="5" t="inlineStr">
        <is>
          <t>Requires Verification</t>
        </is>
      </c>
    </row>
    <row r="1233">
      <c r="A1233" s="10" t="inlineStr">
        <is>
          <t>UK-000545</t>
        </is>
      </c>
      <c r="B1233" s="10" t="inlineStr">
        <is>
          <t>Yalda Nights Shisha Lounge</t>
        </is>
      </c>
      <c r="C1233" s="10" t="inlineStr">
        <is>
          <t>Wolverhampton</t>
        </is>
      </c>
      <c r="D1233" s="10" t="inlineStr">
        <is>
          <t>https://www.facebook.com/100054290121231/about/</t>
        </is>
      </c>
      <c r="E1233" s="10" t="inlineStr">
        <is>
          <t>Facebook</t>
        </is>
      </c>
      <c r="F1233" s="10" t="inlineStr">
        <is>
          <t>2026-09-17</t>
        </is>
      </c>
      <c r="G1233" s="10" t="inlineStr">
        <is>
          <t>address, postcode</t>
        </is>
      </c>
      <c r="H1233" s="10" t="inlineStr">
        <is>
          <t>Requires Verification</t>
        </is>
      </c>
    </row>
    <row r="1234">
      <c r="A1234" s="5" t="inlineStr">
        <is>
          <t>UK-000414</t>
        </is>
      </c>
      <c r="B1234" s="5" t="inlineStr">
        <is>
          <t>Yo1stop Convenience Store</t>
        </is>
      </c>
      <c r="C1234" s="5" t="inlineStr">
        <is>
          <t>Heywood</t>
        </is>
      </c>
      <c r="D1234" s="5" t="inlineStr">
        <is>
          <t>https://heywood.cylex-uk.co.uk/convenience-stores/</t>
        </is>
      </c>
      <c r="E1234" s="5" t="inlineStr">
        <is>
          <t>Directory</t>
        </is>
      </c>
      <c r="F1234" s="5" t="inlineStr">
        <is>
          <t>2026-09-17</t>
        </is>
      </c>
      <c r="G1234" s="5" t="inlineStr">
        <is>
          <t>address, postcode</t>
        </is>
      </c>
      <c r="H1234" s="5" t="inlineStr">
        <is>
          <t>Requires Verification</t>
        </is>
      </c>
    </row>
    <row r="1235">
      <c r="A1235" s="10" t="inlineStr">
        <is>
          <t>UK-000415</t>
        </is>
      </c>
      <c r="B1235" s="10" t="inlineStr">
        <is>
          <t>York Street Convenience Store</t>
        </is>
      </c>
      <c r="C1235" s="10" t="inlineStr">
        <is>
          <t>Heywood</t>
        </is>
      </c>
      <c r="D1235" s="10" t="inlineStr">
        <is>
          <t>https://heywood.cylex-uk.co.uk/convenience-stores/</t>
        </is>
      </c>
      <c r="E1235" s="10" t="inlineStr">
        <is>
          <t>Directory</t>
        </is>
      </c>
      <c r="F1235" s="10" t="inlineStr">
        <is>
          <t>2026-09-17</t>
        </is>
      </c>
      <c r="G1235" s="10" t="inlineStr">
        <is>
          <t>address, postcode</t>
        </is>
      </c>
      <c r="H1235" s="10" t="inlineStr">
        <is>
          <t>Requires Verification</t>
        </is>
      </c>
    </row>
    <row r="1236">
      <c r="A1236" s="5" t="inlineStr">
        <is>
          <t>WY-0190</t>
        </is>
      </c>
      <c r="B1236" s="5" t="inlineStr">
        <is>
          <t>Yorkshire Fuels (Green Lane Service Station)</t>
        </is>
      </c>
      <c r="C1236" s="5" t="inlineStr">
        <is>
          <t>Yeadon</t>
        </is>
      </c>
      <c r="D1236" s="5" t="inlineStr">
        <is>
          <t>https://find-and-update.company-information.service.gov.uk/company/14479452</t>
        </is>
      </c>
      <c r="E1236" s="5" t="inlineStr">
        <is>
          <t>Companies House</t>
        </is>
      </c>
      <c r="F1236" s="5" t="inlineStr">
        <is>
          <t>2026-09-16</t>
        </is>
      </c>
      <c r="G1236" s="5" t="inlineStr">
        <is>
          <t>registered name, number, status, incorporation date, registered office (via search results)</t>
        </is>
      </c>
      <c r="H1236" s="5" t="inlineStr">
        <is>
          <t>Partially Verified</t>
        </is>
      </c>
    </row>
    <row r="1237">
      <c r="A1237" s="10" t="inlineStr">
        <is>
          <t>WY-0190</t>
        </is>
      </c>
      <c r="B1237" s="10" t="inlineStr">
        <is>
          <t>Yorkshire Fuels (Green Lane Service Station)</t>
        </is>
      </c>
      <c r="C1237" s="10" t="inlineStr">
        <is>
          <t>Yeadon</t>
        </is>
      </c>
      <c r="D1237" s="10" t="inlineStr">
        <is>
          <t>https://www.yorkshire.com/guiseley/services/petrol-stations/yorkshire-fuels</t>
        </is>
      </c>
      <c r="E1237" s="10" t="inlineStr">
        <is>
          <t>Directory</t>
        </is>
      </c>
      <c r="F1237" s="10" t="inlineStr">
        <is>
          <t>2026-09-16</t>
        </is>
      </c>
      <c r="G1237" s="10" t="inlineStr">
        <is>
          <t>Jet branding, 24/7 operation, location (via search results)</t>
        </is>
      </c>
      <c r="H1237" s="10" t="inlineStr">
        <is>
          <t>Partially Verified</t>
        </is>
      </c>
    </row>
    <row r="1238">
      <c r="A1238" s="5" t="inlineStr">
        <is>
          <t>WY-0190</t>
        </is>
      </c>
      <c r="B1238" s="5" t="inlineStr">
        <is>
          <t>Yorkshire Fuels (Green Lane Service Station)</t>
        </is>
      </c>
      <c r="C1238" s="5" t="inlineStr">
        <is>
          <t>Yeadon</t>
        </is>
      </c>
      <c r="D1238" s="5" t="inlineStr">
        <is>
          <t>https://petrolmap.co.uk/petrol-stations/west-yorkshire/leeds/airport-autopoint/10876</t>
        </is>
      </c>
      <c r="E1238" s="5" t="inlineStr">
        <is>
          <t>Directory</t>
        </is>
      </c>
      <c r="F1238" s="5" t="inlineStr">
        <is>
          <t>2026-09-16</t>
        </is>
      </c>
      <c r="G1238" s="5" t="inlineStr">
        <is>
          <t>Gulf branding, Green Lane Yeadon site (via search results)</t>
        </is>
      </c>
      <c r="H1238" s="5" t="inlineStr">
        <is>
          <t>Partially Verified</t>
        </is>
      </c>
    </row>
    <row r="1239">
      <c r="A1239" s="10" t="inlineStr">
        <is>
          <t>UK-000416</t>
        </is>
      </c>
      <c r="B1239" s="10" t="inlineStr">
        <is>
          <t>Your Local Convenience Store (Eccles)</t>
        </is>
      </c>
      <c r="C1239" s="10" t="inlineStr">
        <is>
          <t>Eccles</t>
        </is>
      </c>
      <c r="D1239" s="10" t="inlineStr">
        <is>
          <t>https://www.24houralcohol.co.uk/salford-off-licences</t>
        </is>
      </c>
      <c r="E1239" s="10" t="inlineStr">
        <is>
          <t>Directory</t>
        </is>
      </c>
      <c r="F1239" s="10" t="inlineStr">
        <is>
          <t>2026-09-17</t>
        </is>
      </c>
      <c r="G1239" s="10" t="inlineStr">
        <is>
          <t>business name, address, postcode, phone</t>
        </is>
      </c>
      <c r="H1239" s="10" t="inlineStr">
        <is>
          <t>Requires Verification</t>
        </is>
      </c>
    </row>
    <row r="1240">
      <c r="A1240" s="5" t="inlineStr">
        <is>
          <t>WY-0191</t>
        </is>
      </c>
      <c r="B1240" s="5" t="inlineStr">
        <is>
          <t>Zesty Vape</t>
        </is>
      </c>
      <c r="C1240" s="5" t="inlineStr">
        <is>
          <t>Brighouse</t>
        </is>
      </c>
      <c r="D1240" s="5" t="inlineStr">
        <is>
          <t>https://brighouse.cylex-uk.co.uk/vape-shops/</t>
        </is>
      </c>
      <c r="E1240" s="5" t="inlineStr">
        <is>
          <t>Directory</t>
        </is>
      </c>
      <c r="F1240" s="5" t="inlineStr">
        <is>
          <t>2026-09-16</t>
        </is>
      </c>
      <c r="G1240" s="5" t="inlineStr">
        <is>
          <t>name, address, postcode, phone</t>
        </is>
      </c>
      <c r="H1240" s="5" t="inlineStr">
        <is>
          <t>Requires Verification</t>
        </is>
      </c>
    </row>
    <row r="1241">
      <c r="A1241" s="10" t="inlineStr">
        <is>
          <t>UK-000849</t>
        </is>
      </c>
      <c r="B1241" s="10" t="inlineStr">
        <is>
          <t>e-Vapes Dunfermline</t>
        </is>
      </c>
      <c r="C1241" s="10" t="inlineStr">
        <is>
          <t>Dunfermline</t>
        </is>
      </c>
      <c r="D1241" s="10" t="inlineStr">
        <is>
          <t>https://dunfermline.cylex-uk.co.uk/company/e-vapes-27628315.html</t>
        </is>
      </c>
      <c r="E1241" s="10" t="inlineStr">
        <is>
          <t>Directory</t>
        </is>
      </c>
      <c r="F1241" s="10" t="inlineStr">
        <is>
          <t>2026-09-17</t>
        </is>
      </c>
      <c r="G1241" s="10" t="inlineStr">
        <is>
          <t>address, postcode, phone (snippet)</t>
        </is>
      </c>
      <c r="H1241" s="10" t="inlineStr">
        <is>
          <t>Requires Verification</t>
        </is>
      </c>
    </row>
    <row r="1242">
      <c r="A1242" s="5" t="inlineStr">
        <is>
          <t>UK-000417</t>
        </is>
      </c>
      <c r="B1242" s="5" t="inlineStr">
        <is>
          <t>eCig Factory 2</t>
        </is>
      </c>
      <c r="C1242" s="5" t="inlineStr">
        <is>
          <t>Oldham</t>
        </is>
      </c>
      <c r="D1242" s="5" t="inlineStr">
        <is>
          <t>https://vapeshops.puffingbird.com/england/oldham</t>
        </is>
      </c>
      <c r="E1242" s="5" t="inlineStr">
        <is>
          <t>Directory</t>
        </is>
      </c>
      <c r="F1242" s="5" t="inlineStr">
        <is>
          <t>2026-09-17</t>
        </is>
      </c>
      <c r="G1242" s="5" t="inlineStr">
        <is>
          <t>address, postcode</t>
        </is>
      </c>
      <c r="H1242" s="5" t="inlineStr">
        <is>
          <t>Requires Verification</t>
        </is>
      </c>
    </row>
    <row r="1243">
      <c r="A1243" s="10" t="inlineStr">
        <is>
          <t>UK-000418</t>
        </is>
      </c>
      <c r="B1243" s="10" t="inlineStr">
        <is>
          <t>eQuit.it Horwich</t>
        </is>
      </c>
      <c r="C1243" s="10" t="inlineStr">
        <is>
          <t>Bolton</t>
        </is>
      </c>
      <c r="D1243" s="10" t="inlineStr">
        <is>
          <t>https://ecigdirectory.co.uk/vape-shop/listing/equit-it-horwich</t>
        </is>
      </c>
      <c r="E1243" s="10" t="inlineStr">
        <is>
          <t>Directory</t>
        </is>
      </c>
      <c r="F1243" s="10" t="inlineStr">
        <is>
          <t>2026-09-17</t>
        </is>
      </c>
      <c r="G1243" s="10" t="inlineStr">
        <is>
          <t>trading name, address, postcode, phone (via search results)</t>
        </is>
      </c>
      <c r="H1243" s="10" t="inlineStr">
        <is>
          <t>Requires Verification</t>
        </is>
      </c>
    </row>
    <row r="1244">
      <c r="A1244" s="5" t="inlineStr">
        <is>
          <t>WY-0192</t>
        </is>
      </c>
      <c r="B1244" s="5" t="inlineStr">
        <is>
          <t>eVape Outlet</t>
        </is>
      </c>
      <c r="C1244" s="5" t="inlineStr">
        <is>
          <t>Keighley</t>
        </is>
      </c>
      <c r="D1244" s="5" t="inlineStr">
        <is>
          <t>https://keighley.cylex-uk.co.uk/company/evape-outlet-27656791.html</t>
        </is>
      </c>
      <c r="E1244" s="5" t="inlineStr">
        <is>
          <t>Directory</t>
        </is>
      </c>
      <c r="F1244" s="5" t="inlineStr">
        <is>
          <t>2026-09-16</t>
        </is>
      </c>
      <c r="G1244" s="5" t="inlineStr">
        <is>
          <t>business name and Keighley location (search result)</t>
        </is>
      </c>
      <c r="H1244" s="5" t="inlineStr">
        <is>
          <t>Requires Verification</t>
        </is>
      </c>
    </row>
    <row r="1245">
      <c r="A1245" s="10" t="inlineStr">
        <is>
          <t>UK-000546</t>
        </is>
      </c>
      <c r="B1245" s="10" t="inlineStr">
        <is>
          <t>i Vape Guru Ltd</t>
        </is>
      </c>
      <c r="C1245" s="10" t="inlineStr">
        <is>
          <t>Stourbridge</t>
        </is>
      </c>
      <c r="D1245" s="10" t="inlineStr">
        <is>
          <t>https://directory.shropshirestar.co.uk/company/1159632123420672</t>
        </is>
      </c>
      <c r="E1245" s="10" t="inlineStr">
        <is>
          <t>Directory</t>
        </is>
      </c>
      <c r="F1245" s="10" t="inlineStr">
        <is>
          <t>2026-09-17</t>
        </is>
      </c>
      <c r="G1245" s="10" t="inlineStr">
        <is>
          <t>business name, address, company reference (directory snippet)</t>
        </is>
      </c>
      <c r="H1245" s="10" t="inlineStr">
        <is>
          <t>Requires Verification</t>
        </is>
      </c>
    </row>
    <row r="1246">
      <c r="A1246" s="5" t="inlineStr">
        <is>
          <t>UK-000547</t>
        </is>
      </c>
      <c r="B1246" s="5" t="inlineStr">
        <is>
          <t>iVAPE QB</t>
        </is>
      </c>
      <c r="C1246" s="5" t="inlineStr">
        <is>
          <t>Kingswinford</t>
        </is>
      </c>
      <c r="D1246" s="5" t="inlineStr">
        <is>
          <t>https://www.facebook.com/ivapeqb190/</t>
        </is>
      </c>
      <c r="E1246" s="5" t="inlineStr">
        <is>
          <t>Facebook</t>
        </is>
      </c>
      <c r="F1246" s="5" t="inlineStr">
        <is>
          <t>2026-09-17</t>
        </is>
      </c>
      <c r="G1246" s="5" t="inlineStr">
        <is>
          <t>business name, address, phone (page snippet)</t>
        </is>
      </c>
      <c r="H1246" s="5" t="inlineStr">
        <is>
          <t>Requires Verification</t>
        </is>
      </c>
    </row>
    <row r="1247">
      <c r="A1247" s="10" t="inlineStr">
        <is>
          <t>WY-0193</t>
        </is>
      </c>
      <c r="B1247" s="10" t="inlineStr">
        <is>
          <t>iVape Lounge</t>
        </is>
      </c>
      <c r="C1247" s="10" t="inlineStr">
        <is>
          <t>Todmorden</t>
        </is>
      </c>
      <c r="D1247" s="10" t="inlineStr">
        <is>
          <t>https://ivape-lounge-todmorden-vape-shop.wheree.com/</t>
        </is>
      </c>
      <c r="E1247" s="10" t="inlineStr">
        <is>
          <t>Directory</t>
        </is>
      </c>
      <c r="F1247" s="10" t="inlineStr">
        <is>
          <t>2026-09-16</t>
        </is>
      </c>
      <c r="G1247" s="10" t="inlineStr">
        <is>
          <t>name, address, postcode</t>
        </is>
      </c>
      <c r="H1247" s="10" t="inlineStr">
        <is>
          <t>Requires Verification</t>
        </is>
      </c>
    </row>
  </sheetData>
  <autoFilter ref="A1:H124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852"/>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UK-000753</t>
        </is>
      </c>
      <c r="B11" s="10" t="inlineStr">
        <is>
          <t>Ace of Vapes Wirral</t>
        </is>
      </c>
      <c r="C11" s="10" t="inlineStr">
        <is>
          <t>Wallasey</t>
        </is>
      </c>
      <c r="D11" s="10" t="inlineStr">
        <is>
          <t>Vape Shop</t>
        </is>
      </c>
      <c r="E11" s="10" t="inlineStr">
        <is>
          <t>High</t>
        </is>
      </c>
      <c r="F11" s="10" t="inlineStr">
        <is>
          <t>0151 638 5076</t>
        </is>
      </c>
      <c r="G11" s="10" t="inlineStr">
        <is>
          <t>aceofvapeswirral@gmail.com</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WY-0053</t>
        </is>
      </c>
      <c r="B12" s="5" t="inlineStr">
        <is>
          <t>Azeem's Vape Shop</t>
        </is>
      </c>
      <c r="C12" s="5" t="inlineStr">
        <is>
          <t>Keighley</t>
        </is>
      </c>
      <c r="D12" s="5" t="inlineStr">
        <is>
          <t>Vape Shop</t>
        </is>
      </c>
      <c r="E12" s="5" t="inlineStr">
        <is>
          <t>High</t>
        </is>
      </c>
      <c r="F12" s="5" t="inlineStr">
        <is>
          <t>01535 213920</t>
        </is>
      </c>
      <c r="G12" s="5" t="inlineStr">
        <is>
          <t>info@azeemsvapeshop.co.uk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WY-0059</t>
        </is>
      </c>
      <c r="B13" s="10" t="inlineStr">
        <is>
          <t>Barry's Cash &amp; Carry</t>
        </is>
      </c>
      <c r="C13" s="10" t="inlineStr">
        <is>
          <t>Halifax</t>
        </is>
      </c>
      <c r="D13" s="10" t="inlineStr">
        <is>
          <t>Cash &amp; Carry</t>
        </is>
      </c>
      <c r="E13" s="10" t="inlineStr">
        <is>
          <t>High</t>
        </is>
      </c>
      <c r="F13" s="10" t="inlineStr">
        <is>
          <t>01422 646060</t>
        </is>
      </c>
      <c r="G13" s="10" t="inlineStr">
        <is>
          <t>info@cutpricebarrys.co.uk</t>
        </is>
      </c>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WY-0061</t>
        </is>
      </c>
      <c r="B14" s="5" t="inlineStr">
        <is>
          <t>Beer Ritz</t>
        </is>
      </c>
      <c r="C14" s="5" t="inlineStr">
        <is>
          <t>Leeds</t>
        </is>
      </c>
      <c r="D14" s="5" t="inlineStr">
        <is>
          <t>Off-Licence</t>
        </is>
      </c>
      <c r="E14" s="5" t="inlineStr">
        <is>
          <t>High</t>
        </is>
      </c>
      <c r="F14" s="5" t="inlineStr">
        <is>
          <t>0113 275 3464</t>
        </is>
      </c>
      <c r="G14" s="5" t="inlineStr"/>
      <c r="H14" s="5" t="inlineStr">
        <is>
          <t>sales@beerritz.co.uk</t>
        </is>
      </c>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WY-0063</t>
        </is>
      </c>
      <c r="B15" s="10" t="inlineStr">
        <is>
          <t>Best Choice Wholesale</t>
        </is>
      </c>
      <c r="C15" s="10" t="inlineStr">
        <is>
          <t>Leeds</t>
        </is>
      </c>
      <c r="D15" s="10" t="inlineStr">
        <is>
          <t>Cash &amp; Carry</t>
        </is>
      </c>
      <c r="E15" s="10" t="inlineStr">
        <is>
          <t>High</t>
        </is>
      </c>
      <c r="F15" s="10" t="inlineStr">
        <is>
          <t>0113 531 6345</t>
        </is>
      </c>
      <c r="G15" s="10" t="inlineStr">
        <is>
          <t>info@bestchoicewholesale.co.uk</t>
        </is>
      </c>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UK-000422</t>
        </is>
      </c>
      <c r="B16" s="5" t="inlineStr">
        <is>
          <t>Bestway Walsall</t>
        </is>
      </c>
      <c r="C16" s="5" t="inlineStr">
        <is>
          <t>Walsall</t>
        </is>
      </c>
      <c r="D16" s="5" t="inlineStr">
        <is>
          <t>Cash &amp; Carry</t>
        </is>
      </c>
      <c r="E16" s="5" t="inlineStr">
        <is>
          <t>High</t>
        </is>
      </c>
      <c r="F16" s="5" t="inlineStr">
        <is>
          <t>01922 633561</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WY-0012</t>
        </is>
      </c>
      <c r="B17" s="10" t="inlineStr">
        <is>
          <t>C.Gars Leeds (Dominique London)</t>
        </is>
      </c>
      <c r="C17" s="10" t="inlineStr">
        <is>
          <t>Leeds</t>
        </is>
      </c>
      <c r="D17" s="10" t="inlineStr">
        <is>
          <t>Tobacco Specialist</t>
        </is>
      </c>
      <c r="E17" s="10" t="inlineStr">
        <is>
          <t>High</t>
        </is>
      </c>
      <c r="F17" s="10" t="inlineStr">
        <is>
          <t>0113 244 5556</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UK-000548</t>
        </is>
      </c>
      <c r="B18" s="5" t="inlineStr">
        <is>
          <t>C.Gars Ltd - St James's</t>
        </is>
      </c>
      <c r="C18" s="5" t="inlineStr">
        <is>
          <t>London</t>
        </is>
      </c>
      <c r="D18" s="5" t="inlineStr">
        <is>
          <t>Tobacco Specialist</t>
        </is>
      </c>
      <c r="E18" s="5" t="inlineStr">
        <is>
          <t>High</t>
        </is>
      </c>
      <c r="F18" s="5" t="inlineStr">
        <is>
          <t>020 7930 7095</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UK-000549</t>
        </is>
      </c>
      <c r="B19" s="10" t="inlineStr">
        <is>
          <t>C.Gars Ltd - The City (Lime Street)</t>
        </is>
      </c>
      <c r="C19" s="10" t="inlineStr">
        <is>
          <t>London</t>
        </is>
      </c>
      <c r="D19" s="10" t="inlineStr">
        <is>
          <t>Tobacco Specialist</t>
        </is>
      </c>
      <c r="E19" s="10" t="inlineStr">
        <is>
          <t>High</t>
        </is>
      </c>
      <c r="F19" s="10" t="inlineStr">
        <is>
          <t>020 3795 5926</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UK-000194</t>
        </is>
      </c>
      <c r="B20" s="5" t="inlineStr">
        <is>
          <t>CRAM Vape</t>
        </is>
      </c>
      <c r="C20" s="5" t="inlineStr">
        <is>
          <t>Scunthorpe</t>
        </is>
      </c>
      <c r="D20" s="5" t="inlineStr">
        <is>
          <t>Vape Shop</t>
        </is>
      </c>
      <c r="E20" s="5" t="inlineStr">
        <is>
          <t>High</t>
        </is>
      </c>
      <c r="F20" s="5" t="inlineStr">
        <is>
          <t>01724 277259</t>
        </is>
      </c>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WY-0011</t>
        </is>
      </c>
      <c r="B21" s="10" t="inlineStr">
        <is>
          <t>Cheapasmokes</t>
        </is>
      </c>
      <c r="C21" s="10" t="inlineStr">
        <is>
          <t>Halifax</t>
        </is>
      </c>
      <c r="D21" s="10" t="inlineStr">
        <is>
          <t>Tobacco Specialist</t>
        </is>
      </c>
      <c r="E21" s="10" t="inlineStr">
        <is>
          <t>High</t>
        </is>
      </c>
      <c r="F21" s="10" t="inlineStr">
        <is>
          <t>01422 355554</t>
        </is>
      </c>
      <c r="G21" s="10" t="inlineStr"/>
      <c r="H21" s="10" t="inlineStr">
        <is>
          <t>sales@cheapasmokes.com</t>
        </is>
      </c>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UK-000551</t>
        </is>
      </c>
      <c r="B22" s="5" t="inlineStr">
        <is>
          <t>City of London Cigars - Victoria</t>
        </is>
      </c>
      <c r="C22" s="5" t="inlineStr">
        <is>
          <t>London</t>
        </is>
      </c>
      <c r="D22" s="5" t="inlineStr">
        <is>
          <t>Tobacco Specialist</t>
        </is>
      </c>
      <c r="E22" s="5" t="inlineStr">
        <is>
          <t>High</t>
        </is>
      </c>
      <c r="F22" s="5" t="inlineStr"/>
      <c r="G22" s="5" t="inlineStr"/>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UK-000300</t>
        </is>
      </c>
      <c r="B23" s="10" t="inlineStr">
        <is>
          <t>Cloudstix Ashton-in-Makerfield</t>
        </is>
      </c>
      <c r="C23" s="10" t="inlineStr">
        <is>
          <t>Wigan</t>
        </is>
      </c>
      <c r="D23" s="10" t="inlineStr">
        <is>
          <t>Vape Shop</t>
        </is>
      </c>
      <c r="E23" s="10" t="inlineStr">
        <is>
          <t>High</t>
        </is>
      </c>
      <c r="F23" s="10" t="inlineStr">
        <is>
          <t>01942 718289</t>
        </is>
      </c>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WY-0013</t>
        </is>
      </c>
      <c r="B24" s="5" t="inlineStr">
        <is>
          <t>Ecig N Vape South Elmsall</t>
        </is>
      </c>
      <c r="C24" s="5" t="inlineStr">
        <is>
          <t>South Elmsall</t>
        </is>
      </c>
      <c r="D24" s="5" t="inlineStr">
        <is>
          <t>Vape Shop</t>
        </is>
      </c>
      <c r="E24" s="5" t="inlineStr">
        <is>
          <t>High</t>
        </is>
      </c>
      <c r="F24" s="5" t="inlineStr">
        <is>
          <t>01977 647267</t>
        </is>
      </c>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UK-000196</t>
        </is>
      </c>
      <c r="B25" s="10" t="inlineStr">
        <is>
          <t>Electric Vape Rotherham</t>
        </is>
      </c>
      <c r="C25" s="10" t="inlineStr">
        <is>
          <t>Rotherham</t>
        </is>
      </c>
      <c r="D25" s="10" t="inlineStr">
        <is>
          <t>Vape Shop</t>
        </is>
      </c>
      <c r="E25" s="10" t="inlineStr">
        <is>
          <t>High</t>
        </is>
      </c>
      <c r="F25" s="10" t="inlineStr"/>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UK-000425</t>
        </is>
      </c>
      <c r="B26" s="5" t="inlineStr">
        <is>
          <t>Electromist Halesowen</t>
        </is>
      </c>
      <c r="C26" s="5" t="inlineStr">
        <is>
          <t>Halesowen</t>
        </is>
      </c>
      <c r="D26" s="5" t="inlineStr">
        <is>
          <t>Vape Shop</t>
        </is>
      </c>
      <c r="E26" s="5" t="inlineStr">
        <is>
          <t>High</t>
        </is>
      </c>
      <c r="F26" s="5" t="inlineStr"/>
      <c r="G26" s="5" t="inlineStr"/>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UK-000426</t>
        </is>
      </c>
      <c r="B27" s="10" t="inlineStr">
        <is>
          <t>Electromist Merry Hill</t>
        </is>
      </c>
      <c r="C27" s="10" t="inlineStr">
        <is>
          <t>Brierley Hill</t>
        </is>
      </c>
      <c r="D27" s="10" t="inlineStr">
        <is>
          <t>Vape Shop</t>
        </is>
      </c>
      <c r="E27" s="10" t="inlineStr">
        <is>
          <t>High</t>
        </is>
      </c>
      <c r="F27" s="10" t="inlineStr">
        <is>
          <t>01384 751333</t>
        </is>
      </c>
      <c r="G27" s="10" t="inlineStr"/>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UK-000198</t>
        </is>
      </c>
      <c r="B28" s="5" t="inlineStr">
        <is>
          <t>Ezi Vape Skipton</t>
        </is>
      </c>
      <c r="C28" s="5" t="inlineStr">
        <is>
          <t>Skipton</t>
        </is>
      </c>
      <c r="D28" s="5" t="inlineStr">
        <is>
          <t>Vape Shop</t>
        </is>
      </c>
      <c r="E28" s="5" t="inlineStr">
        <is>
          <t>High</t>
        </is>
      </c>
      <c r="F28" s="5" t="inlineStr">
        <is>
          <t>07967 075860</t>
        </is>
      </c>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UK-000226</t>
        </is>
      </c>
      <c r="B29" s="10" t="inlineStr">
        <is>
          <t>Fodder</t>
        </is>
      </c>
      <c r="C29" s="10" t="inlineStr">
        <is>
          <t>Harrogate</t>
        </is>
      </c>
      <c r="D29" s="10" t="inlineStr">
        <is>
          <t>Independent Supermarket</t>
        </is>
      </c>
      <c r="E29" s="10" t="inlineStr">
        <is>
          <t>High</t>
        </is>
      </c>
      <c r="F29" s="10" t="inlineStr">
        <is>
          <t>01423 546111</t>
        </is>
      </c>
      <c r="G29" s="10" t="inlineStr">
        <is>
          <t>enquiries@fodder.co.uk</t>
        </is>
      </c>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UK-000303</t>
        </is>
      </c>
      <c r="B30" s="5" t="inlineStr">
        <is>
          <t>Freshmist Bury Road</t>
        </is>
      </c>
      <c r="C30" s="5" t="inlineStr">
        <is>
          <t>Bolton</t>
        </is>
      </c>
      <c r="D30" s="5" t="inlineStr">
        <is>
          <t>Vape Shop</t>
        </is>
      </c>
      <c r="E30" s="5" t="inlineStr">
        <is>
          <t>High</t>
        </is>
      </c>
      <c r="F30" s="5" t="inlineStr">
        <is>
          <t>01204 288030</t>
        </is>
      </c>
      <c r="G30" s="5" t="inlineStr">
        <is>
          <t>orders@freshmist.co.uk</t>
        </is>
      </c>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UK-000304</t>
        </is>
      </c>
      <c r="B31" s="10" t="inlineStr">
        <is>
          <t>Freshmist Chorley Old Road</t>
        </is>
      </c>
      <c r="C31" s="10" t="inlineStr">
        <is>
          <t>Bolton</t>
        </is>
      </c>
      <c r="D31" s="10" t="inlineStr">
        <is>
          <t>Vape Shop</t>
        </is>
      </c>
      <c r="E31" s="10" t="inlineStr">
        <is>
          <t>High</t>
        </is>
      </c>
      <c r="F31" s="10" t="inlineStr">
        <is>
          <t>01204 288030</t>
        </is>
      </c>
      <c r="G31" s="10" t="inlineStr">
        <is>
          <t>orders@freshmist.co.uk</t>
        </is>
      </c>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UK-000305</t>
        </is>
      </c>
      <c r="B32" s="5" t="inlineStr">
        <is>
          <t>Freshmist Farnworth</t>
        </is>
      </c>
      <c r="C32" s="5" t="inlineStr">
        <is>
          <t>Bolton</t>
        </is>
      </c>
      <c r="D32" s="5" t="inlineStr">
        <is>
          <t>Vape Shop</t>
        </is>
      </c>
      <c r="E32" s="5" t="inlineStr">
        <is>
          <t>High</t>
        </is>
      </c>
      <c r="F32" s="5" t="inlineStr">
        <is>
          <t>01204 288030</t>
        </is>
      </c>
      <c r="G32" s="5" t="inlineStr">
        <is>
          <t>orders@freshmist.co.uk</t>
        </is>
      </c>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UK-000306</t>
        </is>
      </c>
      <c r="B33" s="10" t="inlineStr">
        <is>
          <t>Freshmist Horwich</t>
        </is>
      </c>
      <c r="C33" s="10" t="inlineStr">
        <is>
          <t>Bolton</t>
        </is>
      </c>
      <c r="D33" s="10" t="inlineStr">
        <is>
          <t>Vape Shop</t>
        </is>
      </c>
      <c r="E33" s="10" t="inlineStr">
        <is>
          <t>High</t>
        </is>
      </c>
      <c r="F33" s="10" t="inlineStr">
        <is>
          <t>01204 288030</t>
        </is>
      </c>
      <c r="G33" s="10" t="inlineStr">
        <is>
          <t>orders@freshmist.co.uk</t>
        </is>
      </c>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WY-0093</t>
        </is>
      </c>
      <c r="B34" s="5" t="inlineStr">
        <is>
          <t>Halal Sweets Company</t>
        </is>
      </c>
      <c r="C34" s="5" t="inlineStr">
        <is>
          <t>Bradford</t>
        </is>
      </c>
      <c r="D34" s="5" t="inlineStr">
        <is>
          <t>Cash &amp; Carry</t>
        </is>
      </c>
      <c r="E34" s="5" t="inlineStr">
        <is>
          <t>High</t>
        </is>
      </c>
      <c r="F34" s="5" t="inlineStr"/>
      <c r="G34" s="5" t="inlineStr">
        <is>
          <t>support@halalsweetscompany.co.uk</t>
        </is>
      </c>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UK-000555</t>
        </is>
      </c>
      <c r="B35" s="10" t="inlineStr">
        <is>
          <t>House of Vapes London - Notting Hill</t>
        </is>
      </c>
      <c r="C35" s="10" t="inlineStr">
        <is>
          <t>London</t>
        </is>
      </c>
      <c r="D35" s="10" t="inlineStr">
        <is>
          <t>Vape Shop</t>
        </is>
      </c>
      <c r="E35" s="10" t="inlineStr">
        <is>
          <t>High</t>
        </is>
      </c>
      <c r="F35" s="10" t="inlineStr"/>
      <c r="G35" s="10" t="inlineStr"/>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UK-000708</t>
        </is>
      </c>
      <c r="B36" s="5" t="inlineStr">
        <is>
          <t>J.W. Filshill Ltd</t>
        </is>
      </c>
      <c r="C36" s="5" t="inlineStr">
        <is>
          <t>Glasgow</t>
        </is>
      </c>
      <c r="D36" s="5" t="inlineStr">
        <is>
          <t>Cash &amp; Carry</t>
        </is>
      </c>
      <c r="E36" s="5" t="inlineStr">
        <is>
          <t>High</t>
        </is>
      </c>
      <c r="F36" s="5" t="inlineStr">
        <is>
          <t>0141 883 7071</t>
        </is>
      </c>
      <c r="G36" s="5" t="inlineStr"/>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UK-000556</t>
        </is>
      </c>
      <c r="B37" s="10" t="inlineStr">
        <is>
          <t>James J Fox - St James's</t>
        </is>
      </c>
      <c r="C37" s="10" t="inlineStr">
        <is>
          <t>London</t>
        </is>
      </c>
      <c r="D37" s="10" t="inlineStr">
        <is>
          <t>Tobacco Specialist</t>
        </is>
      </c>
      <c r="E37" s="10" t="inlineStr">
        <is>
          <t>High</t>
        </is>
      </c>
      <c r="F37" s="10" t="inlineStr">
        <is>
          <t>020 7930 3787</t>
        </is>
      </c>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WY-0015</t>
        </is>
      </c>
      <c r="B38" s="5" t="inlineStr">
        <is>
          <t>KPM Vapes</t>
        </is>
      </c>
      <c r="C38" s="5" t="inlineStr">
        <is>
          <t>Huddersfield</t>
        </is>
      </c>
      <c r="D38" s="5" t="inlineStr">
        <is>
          <t>Vape Shop</t>
        </is>
      </c>
      <c r="E38" s="5" t="inlineStr">
        <is>
          <t>High</t>
        </is>
      </c>
      <c r="F38" s="5" t="inlineStr">
        <is>
          <t>07463 530406</t>
        </is>
      </c>
      <c r="G38" s="5" t="inlineStr">
        <is>
          <t>kpmvapes@outlook.com</t>
        </is>
      </c>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UK-000709</t>
        </is>
      </c>
      <c r="B39" s="10" t="inlineStr">
        <is>
          <t>Locavore (Govanhill)</t>
        </is>
      </c>
      <c r="C39" s="10" t="inlineStr">
        <is>
          <t>Glasgow</t>
        </is>
      </c>
      <c r="D39" s="10" t="inlineStr">
        <is>
          <t>Independent Supermarket</t>
        </is>
      </c>
      <c r="E39" s="10" t="inlineStr">
        <is>
          <t>High</t>
        </is>
      </c>
      <c r="F39" s="10" t="inlineStr">
        <is>
          <t>0141 378 1680</t>
        </is>
      </c>
      <c r="G39" s="10" t="inlineStr"/>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UK-000310</t>
        </is>
      </c>
      <c r="B40" s="5" t="inlineStr">
        <is>
          <t>Manchester Super Stores (Longsight)</t>
        </is>
      </c>
      <c r="C40" s="5" t="inlineStr">
        <is>
          <t>Manchester</t>
        </is>
      </c>
      <c r="D40" s="5" t="inlineStr">
        <is>
          <t>Independent Supermarket</t>
        </is>
      </c>
      <c r="E40" s="5" t="inlineStr">
        <is>
          <t>High</t>
        </is>
      </c>
      <c r="F40" s="5" t="inlineStr">
        <is>
          <t>0161 721 4495</t>
        </is>
      </c>
      <c r="G40" s="5" t="inlineStr"/>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UK-000311</t>
        </is>
      </c>
      <c r="B41" s="10" t="inlineStr">
        <is>
          <t>Manchester Super Stores (Rusholme)</t>
        </is>
      </c>
      <c r="C41" s="10" t="inlineStr">
        <is>
          <t>Manchester</t>
        </is>
      </c>
      <c r="D41" s="10" t="inlineStr">
        <is>
          <t>Independent Supermarket</t>
        </is>
      </c>
      <c r="E41" s="10" t="inlineStr">
        <is>
          <t>High</t>
        </is>
      </c>
      <c r="F41" s="10" t="inlineStr">
        <is>
          <t>0161 224 5899</t>
        </is>
      </c>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WY-0018</t>
        </is>
      </c>
      <c r="B42" s="5" t="inlineStr">
        <is>
          <t>Manchester Superstore Bradford</t>
        </is>
      </c>
      <c r="C42" s="5" t="inlineStr">
        <is>
          <t>Bradford</t>
        </is>
      </c>
      <c r="D42" s="5" t="inlineStr">
        <is>
          <t>Independent Supermarket</t>
        </is>
      </c>
      <c r="E42" s="5" t="inlineStr">
        <is>
          <t>High</t>
        </is>
      </c>
      <c r="F42" s="5" t="inlineStr">
        <is>
          <t>01274 668800</t>
        </is>
      </c>
      <c r="G42" s="5" t="inlineStr">
        <is>
          <t>mssbradford01@gmail.com</t>
        </is>
      </c>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WY-0118</t>
        </is>
      </c>
      <c r="B43" s="10" t="inlineStr">
        <is>
          <t>Martinez Wines</t>
        </is>
      </c>
      <c r="C43" s="10" t="inlineStr">
        <is>
          <t>Ilkley</t>
        </is>
      </c>
      <c r="D43" s="10" t="inlineStr">
        <is>
          <t>Off-Licence</t>
        </is>
      </c>
      <c r="E43" s="10" t="inlineStr">
        <is>
          <t>High</t>
        </is>
      </c>
      <c r="F43" s="10" t="inlineStr">
        <is>
          <t>01943 600000</t>
        </is>
      </c>
      <c r="G43" s="10" t="inlineStr">
        <is>
          <t>shop@martinez.co.uk</t>
        </is>
      </c>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UK-000433</t>
        </is>
      </c>
      <c r="B44" s="5" t="inlineStr">
        <is>
          <t>Mwanaka Fresh Farm Foods</t>
        </is>
      </c>
      <c r="C44" s="5" t="inlineStr">
        <is>
          <t>Walsall</t>
        </is>
      </c>
      <c r="D44" s="5" t="inlineStr">
        <is>
          <t>Independent Supermarket</t>
        </is>
      </c>
      <c r="E44" s="5" t="inlineStr">
        <is>
          <t>High</t>
        </is>
      </c>
      <c r="F44" s="5" t="inlineStr">
        <is>
          <t>0808 502 2711</t>
        </is>
      </c>
      <c r="G44" s="5" t="inlineStr">
        <is>
          <t>mail@mwanakafreshfarmfoods.com</t>
        </is>
      </c>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UK-000312</t>
        </is>
      </c>
      <c r="B45" s="10" t="inlineStr">
        <is>
          <t>NXT Gen Vapours Denton</t>
        </is>
      </c>
      <c r="C45" s="10" t="inlineStr">
        <is>
          <t>Denton</t>
        </is>
      </c>
      <c r="D45" s="10" t="inlineStr">
        <is>
          <t>Vape Shop</t>
        </is>
      </c>
      <c r="E45" s="10" t="inlineStr">
        <is>
          <t>High</t>
        </is>
      </c>
      <c r="F45" s="10" t="inlineStr">
        <is>
          <t>0161 320 8807</t>
        </is>
      </c>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UK-000712</t>
        </is>
      </c>
      <c r="B46" s="5" t="inlineStr">
        <is>
          <t>Nisa Local / Premier Clydebank (Glasgow Road)</t>
        </is>
      </c>
      <c r="C46" s="5" t="inlineStr">
        <is>
          <t>Clydebank</t>
        </is>
      </c>
      <c r="D46" s="5" t="inlineStr">
        <is>
          <t>Convenience Store</t>
        </is>
      </c>
      <c r="E46" s="5" t="inlineStr">
        <is>
          <t>High</t>
        </is>
      </c>
      <c r="F46" s="5" t="inlineStr">
        <is>
          <t>0141 951 1669</t>
        </is>
      </c>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UK-000713</t>
        </is>
      </c>
      <c r="B47" s="10" t="inlineStr">
        <is>
          <t>No-Match Southport (North West Ecigs)</t>
        </is>
      </c>
      <c r="C47" s="10" t="inlineStr">
        <is>
          <t>Southport</t>
        </is>
      </c>
      <c r="D47" s="10" t="inlineStr">
        <is>
          <t>Vape Shop</t>
        </is>
      </c>
      <c r="E47" s="10" t="inlineStr">
        <is>
          <t>High</t>
        </is>
      </c>
      <c r="F47" s="10" t="inlineStr">
        <is>
          <t>01704 807280</t>
        </is>
      </c>
      <c r="G47" s="10" t="inlineStr"/>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WY-0005</t>
        </is>
      </c>
      <c r="B48" s="5" t="inlineStr">
        <is>
          <t>Parfetts Cash &amp; Carry (Halifax)</t>
        </is>
      </c>
      <c r="C48" s="5" t="inlineStr">
        <is>
          <t>Halifax</t>
        </is>
      </c>
      <c r="D48" s="5" t="inlineStr">
        <is>
          <t>Cash &amp; Carry</t>
        </is>
      </c>
      <c r="E48" s="5" t="inlineStr">
        <is>
          <t>High</t>
        </is>
      </c>
      <c r="F48" s="5" t="inlineStr">
        <is>
          <t>01422 363167</t>
        </is>
      </c>
      <c r="G48" s="5" t="inlineStr"/>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UK-000440</t>
        </is>
      </c>
      <c r="B49" s="10" t="inlineStr">
        <is>
          <t>Premier - Bloxwich Road Convenience Store &amp; Post Office</t>
        </is>
      </c>
      <c r="C49" s="10" t="inlineStr">
        <is>
          <t>Walsall</t>
        </is>
      </c>
      <c r="D49" s="10" t="inlineStr">
        <is>
          <t>Convenience Store</t>
        </is>
      </c>
      <c r="E49" s="10" t="inlineStr">
        <is>
          <t>High</t>
        </is>
      </c>
      <c r="F49" s="10" t="inlineStr"/>
      <c r="G49" s="10" t="inlineStr"/>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UK-000207</t>
        </is>
      </c>
      <c r="B50" s="5" t="inlineStr">
        <is>
          <t>Premier Mexborough Convenience Store</t>
        </is>
      </c>
      <c r="C50" s="5" t="inlineStr">
        <is>
          <t>Mexborough</t>
        </is>
      </c>
      <c r="D50" s="5" t="inlineStr">
        <is>
          <t>Convenience Store</t>
        </is>
      </c>
      <c r="E50" s="5" t="inlineStr">
        <is>
          <t>High</t>
        </is>
      </c>
      <c r="F50" s="5" t="inlineStr">
        <is>
          <t>01709 581369</t>
        </is>
      </c>
      <c r="G50" s="5" t="inlineStr"/>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UK-000504</t>
        </is>
      </c>
      <c r="B51" s="10" t="inlineStr">
        <is>
          <t>Regimental Vape</t>
        </is>
      </c>
      <c r="C51" s="10" t="inlineStr">
        <is>
          <t>Wolverhampton</t>
        </is>
      </c>
      <c r="D51" s="10" t="inlineStr">
        <is>
          <t>Vape Shop</t>
        </is>
      </c>
      <c r="E51" s="10" t="inlineStr">
        <is>
          <t>High</t>
        </is>
      </c>
      <c r="F51" s="10" t="inlineStr">
        <is>
          <t>01902 903456</t>
        </is>
      </c>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UK-000271</t>
        </is>
      </c>
      <c r="B52" s="5" t="inlineStr">
        <is>
          <t>RicherVapes</t>
        </is>
      </c>
      <c r="C52" s="5" t="inlineStr">
        <is>
          <t>York</t>
        </is>
      </c>
      <c r="D52" s="5" t="inlineStr">
        <is>
          <t>Vape Shop</t>
        </is>
      </c>
      <c r="E52" s="5" t="inlineStr">
        <is>
          <t>High</t>
        </is>
      </c>
      <c r="F52" s="5" t="inlineStr">
        <is>
          <t>07879 654682</t>
        </is>
      </c>
      <c r="G52" s="5" t="inlineStr">
        <is>
          <t>richervapes@gmail.com</t>
        </is>
      </c>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WY-0139</t>
        </is>
      </c>
      <c r="B53" s="10" t="inlineStr">
        <is>
          <t>Ryans The Tobacconist</t>
        </is>
      </c>
      <c r="C53" s="10" t="inlineStr">
        <is>
          <t>Leeds</t>
        </is>
      </c>
      <c r="D53" s="10" t="inlineStr">
        <is>
          <t>Tobacco Specialist</t>
        </is>
      </c>
      <c r="E53" s="10" t="inlineStr">
        <is>
          <t>High</t>
        </is>
      </c>
      <c r="F53" s="10" t="inlineStr">
        <is>
          <t>0113 242 2585</t>
        </is>
      </c>
      <c r="G53" s="10" t="inlineStr">
        <is>
          <t>Ryans.2000@outlook.com</t>
        </is>
      </c>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WY-0022</t>
        </is>
      </c>
      <c r="B54" s="5" t="inlineStr">
        <is>
          <t>SMKD</t>
        </is>
      </c>
      <c r="C54" s="5" t="inlineStr">
        <is>
          <t>Halifax</t>
        </is>
      </c>
      <c r="D54" s="5" t="inlineStr">
        <is>
          <t>Vape Shop</t>
        </is>
      </c>
      <c r="E54" s="5" t="inlineStr">
        <is>
          <t>High</t>
        </is>
      </c>
      <c r="F54" s="5" t="inlineStr"/>
      <c r="G54" s="5" t="inlineStr">
        <is>
          <t>info@smkd.com</t>
        </is>
      </c>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WY-0023</t>
        </is>
      </c>
      <c r="B55" s="10" t="inlineStr">
        <is>
          <t>SMKD</t>
        </is>
      </c>
      <c r="C55" s="10" t="inlineStr">
        <is>
          <t>Hebden Bridge</t>
        </is>
      </c>
      <c r="D55" s="10" t="inlineStr">
        <is>
          <t>Vape Shop</t>
        </is>
      </c>
      <c r="E55" s="10" t="inlineStr">
        <is>
          <t>High</t>
        </is>
      </c>
      <c r="F55" s="10" t="inlineStr">
        <is>
          <t>01274 270303</t>
        </is>
      </c>
      <c r="G55" s="10" t="inlineStr">
        <is>
          <t>info@smkd.com</t>
        </is>
      </c>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WY-0140</t>
        </is>
      </c>
      <c r="B56" s="5" t="inlineStr">
        <is>
          <t>SMKD</t>
        </is>
      </c>
      <c r="C56" s="5" t="inlineStr">
        <is>
          <t>Bradford</t>
        </is>
      </c>
      <c r="D56" s="5" t="inlineStr">
        <is>
          <t>Vape Shop</t>
        </is>
      </c>
      <c r="E56" s="5" t="inlineStr">
        <is>
          <t>High</t>
        </is>
      </c>
      <c r="F56" s="5" t="inlineStr">
        <is>
          <t>01274 270303</t>
        </is>
      </c>
      <c r="G56" s="5" t="inlineStr">
        <is>
          <t>info@smkd.com</t>
        </is>
      </c>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WY-0024</t>
        </is>
      </c>
      <c r="B57" s="10" t="inlineStr">
        <is>
          <t>SMKD - E Cigarettes and Vape Shop (Wakefield)</t>
        </is>
      </c>
      <c r="C57" s="10" t="inlineStr">
        <is>
          <t>Wakefield</t>
        </is>
      </c>
      <c r="D57" s="10" t="inlineStr">
        <is>
          <t>Vape Shop</t>
        </is>
      </c>
      <c r="E57" s="10" t="inlineStr">
        <is>
          <t>High</t>
        </is>
      </c>
      <c r="F57" s="10" t="inlineStr">
        <is>
          <t>01924 728100</t>
        </is>
      </c>
      <c r="G57" s="10" t="inlineStr">
        <is>
          <t>info@smkd.com</t>
        </is>
      </c>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UK-000725</t>
        </is>
      </c>
      <c r="B58" s="5" t="inlineStr">
        <is>
          <t>Scotvapes</t>
        </is>
      </c>
      <c r="C58" s="5" t="inlineStr">
        <is>
          <t>Glasgow</t>
        </is>
      </c>
      <c r="D58" s="5" t="inlineStr">
        <is>
          <t>Vape Shop</t>
        </is>
      </c>
      <c r="E58" s="5" t="inlineStr">
        <is>
          <t>High</t>
        </is>
      </c>
      <c r="F58" s="5" t="inlineStr">
        <is>
          <t>0141 258 7312</t>
        </is>
      </c>
      <c r="G58" s="5" t="inlineStr">
        <is>
          <t>glasgowhigh@scotvapes.com</t>
        </is>
      </c>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UK-000726</t>
        </is>
      </c>
      <c r="B59" s="10" t="inlineStr">
        <is>
          <t>Scotvapes</t>
        </is>
      </c>
      <c r="C59" s="10" t="inlineStr">
        <is>
          <t>Glasgow</t>
        </is>
      </c>
      <c r="D59" s="10" t="inlineStr">
        <is>
          <t>Vape Shop</t>
        </is>
      </c>
      <c r="E59" s="10" t="inlineStr">
        <is>
          <t>High</t>
        </is>
      </c>
      <c r="F59" s="10" t="inlineStr">
        <is>
          <t>07426 533474</t>
        </is>
      </c>
      <c r="G59" s="10" t="inlineStr">
        <is>
          <t>website@scotvapes.com</t>
        </is>
      </c>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UK-000320</t>
        </is>
      </c>
      <c r="B60" s="5" t="inlineStr">
        <is>
          <t>Simply ELiquid Failsworth</t>
        </is>
      </c>
      <c r="C60" s="5" t="inlineStr">
        <is>
          <t>Failsworth</t>
        </is>
      </c>
      <c r="D60" s="5" t="inlineStr">
        <is>
          <t>Vape Shop</t>
        </is>
      </c>
      <c r="E60" s="5" t="inlineStr">
        <is>
          <t>High</t>
        </is>
      </c>
      <c r="F60" s="5" t="inlineStr"/>
      <c r="G60" s="5" t="inlineStr">
        <is>
          <t>info@simplyeliquid.co.uk</t>
        </is>
      </c>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UK-000321</t>
        </is>
      </c>
      <c r="B61" s="10" t="inlineStr">
        <is>
          <t>Simply ELiquid Stockport</t>
        </is>
      </c>
      <c r="C61" s="10" t="inlineStr">
        <is>
          <t>Stockport</t>
        </is>
      </c>
      <c r="D61" s="10" t="inlineStr">
        <is>
          <t>Vape Shop</t>
        </is>
      </c>
      <c r="E61" s="10" t="inlineStr">
        <is>
          <t>High</t>
        </is>
      </c>
      <c r="F61" s="10" t="inlineStr">
        <is>
          <t>0161 429 6016</t>
        </is>
      </c>
      <c r="G61" s="10" t="inlineStr">
        <is>
          <t>info@simplyeliquid.co.uk</t>
        </is>
      </c>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WY-0026</t>
        </is>
      </c>
      <c r="B62" s="5" t="inlineStr">
        <is>
          <t>Sing Kee Foods (Sheepscar)</t>
        </is>
      </c>
      <c r="C62" s="5" t="inlineStr">
        <is>
          <t>Leeds</t>
        </is>
      </c>
      <c r="D62" s="5" t="inlineStr">
        <is>
          <t>Independent Supermarket</t>
        </is>
      </c>
      <c r="E62" s="5" t="inlineStr">
        <is>
          <t>High</t>
        </is>
      </c>
      <c r="F62" s="5" t="inlineStr">
        <is>
          <t>0113 898 0168</t>
        </is>
      </c>
      <c r="G62" s="5" t="inlineStr"/>
      <c r="H62" s="5" t="inlineStr">
        <is>
          <t>wholesale@singkeefoods.co.uk</t>
        </is>
      </c>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WY-0027</t>
        </is>
      </c>
      <c r="B63" s="10" t="inlineStr">
        <is>
          <t>Sing Kee Oriental Supermarket (Merrion Centre)</t>
        </is>
      </c>
      <c r="C63" s="10" t="inlineStr">
        <is>
          <t>Leeds</t>
        </is>
      </c>
      <c r="D63" s="10" t="inlineStr">
        <is>
          <t>Independent Supermarket</t>
        </is>
      </c>
      <c r="E63" s="10" t="inlineStr">
        <is>
          <t>High</t>
        </is>
      </c>
      <c r="F63" s="10" t="inlineStr"/>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WY-0148</t>
        </is>
      </c>
      <c r="B64" s="5" t="inlineStr">
        <is>
          <t>Smoke-King Tobacconist</t>
        </is>
      </c>
      <c r="C64" s="5" t="inlineStr">
        <is>
          <t>Otley</t>
        </is>
      </c>
      <c r="D64" s="5" t="inlineStr">
        <is>
          <t>Tobacco Specialist</t>
        </is>
      </c>
      <c r="E64" s="5" t="inlineStr">
        <is>
          <t>High</t>
        </is>
      </c>
      <c r="F64" s="5" t="inlineStr">
        <is>
          <t>0113 217 7723</t>
        </is>
      </c>
      <c r="G64" s="5" t="inlineStr">
        <is>
          <t>enquiries@smoke-king.co.uk</t>
        </is>
      </c>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WY-0029</t>
        </is>
      </c>
      <c r="B65" s="10" t="inlineStr">
        <is>
          <t>TB Cash &amp; Carry (Bradford)</t>
        </is>
      </c>
      <c r="C65" s="10" t="inlineStr">
        <is>
          <t>Bradford</t>
        </is>
      </c>
      <c r="D65" s="10" t="inlineStr">
        <is>
          <t>Cash &amp; Carry</t>
        </is>
      </c>
      <c r="E65" s="10" t="inlineStr">
        <is>
          <t>High</t>
        </is>
      </c>
      <c r="F65" s="10" t="inlineStr">
        <is>
          <t>01274 740555</t>
        </is>
      </c>
      <c r="G65" s="10" t="inlineStr">
        <is>
          <t>info@tbcashandcarry.co.uk</t>
        </is>
      </c>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WY-0030</t>
        </is>
      </c>
      <c r="B66" s="5" t="inlineStr">
        <is>
          <t>TB Cash &amp; Carry (Leeds)</t>
        </is>
      </c>
      <c r="C66" s="5" t="inlineStr">
        <is>
          <t>Leeds</t>
        </is>
      </c>
      <c r="D66" s="5" t="inlineStr">
        <is>
          <t>Cash &amp; Carry</t>
        </is>
      </c>
      <c r="E66" s="5" t="inlineStr">
        <is>
          <t>High</t>
        </is>
      </c>
      <c r="F66" s="5" t="inlineStr">
        <is>
          <t>0113 245 1454</t>
        </is>
      </c>
      <c r="G66" s="5" t="inlineStr">
        <is>
          <t>info@tbcashandcarry.co.uk</t>
        </is>
      </c>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WY-0158</t>
        </is>
      </c>
      <c r="B67" s="10" t="inlineStr">
        <is>
          <t>Thali Outlet</t>
        </is>
      </c>
      <c r="C67" s="10" t="inlineStr">
        <is>
          <t>Leeds</t>
        </is>
      </c>
      <c r="D67" s="10" t="inlineStr">
        <is>
          <t>Cash &amp; Carry</t>
        </is>
      </c>
      <c r="E67" s="10" t="inlineStr">
        <is>
          <t>High</t>
        </is>
      </c>
      <c r="F67" s="10" t="inlineStr">
        <is>
          <t>0113 394 8000</t>
        </is>
      </c>
      <c r="G67" s="10" t="inlineStr">
        <is>
          <t>sales@thalioutlet.com</t>
        </is>
      </c>
      <c r="H67" s="10" t="inlineStr">
        <is>
          <t>sales@thalioutlet.com</t>
        </is>
      </c>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UK-000441</t>
        </is>
      </c>
      <c r="B68" s="5" t="inlineStr">
        <is>
          <t>The Ace Of Vapez - Bentley</t>
        </is>
      </c>
      <c r="C68" s="5" t="inlineStr">
        <is>
          <t>Walsall</t>
        </is>
      </c>
      <c r="D68" s="5" t="inlineStr">
        <is>
          <t>Vape Shop</t>
        </is>
      </c>
      <c r="E68" s="5" t="inlineStr">
        <is>
          <t>High</t>
        </is>
      </c>
      <c r="F68" s="5" t="inlineStr"/>
      <c r="G68" s="5" t="inlineStr"/>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UK-000444</t>
        </is>
      </c>
      <c r="B69" s="10" t="inlineStr">
        <is>
          <t>The Ace Of Vapez - Codsall</t>
        </is>
      </c>
      <c r="C69" s="10" t="inlineStr">
        <is>
          <t>Wolverhampton</t>
        </is>
      </c>
      <c r="D69" s="10" t="inlineStr">
        <is>
          <t>Vape Shop</t>
        </is>
      </c>
      <c r="E69" s="10" t="inlineStr">
        <is>
          <t>High</t>
        </is>
      </c>
      <c r="F69" s="10" t="inlineStr">
        <is>
          <t>01902 276807</t>
        </is>
      </c>
      <c r="G69" s="10" t="inlineStr">
        <is>
          <t>taovcodsall@gmail.com</t>
        </is>
      </c>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UK-000445</t>
        </is>
      </c>
      <c r="B70" s="5" t="inlineStr">
        <is>
          <t>The Ace Of Vapez - East Park</t>
        </is>
      </c>
      <c r="C70" s="5" t="inlineStr">
        <is>
          <t>Wolverhampton</t>
        </is>
      </c>
      <c r="D70" s="5" t="inlineStr">
        <is>
          <t>Vape Shop</t>
        </is>
      </c>
      <c r="E70" s="5" t="inlineStr">
        <is>
          <t>High</t>
        </is>
      </c>
      <c r="F70" s="5" t="inlineStr">
        <is>
          <t>01902 458119</t>
        </is>
      </c>
      <c r="G70" s="5" t="inlineStr"/>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UK-000446</t>
        </is>
      </c>
      <c r="B71" s="10" t="inlineStr">
        <is>
          <t>The Ace Of Vapez - Scotlands</t>
        </is>
      </c>
      <c r="C71" s="10" t="inlineStr">
        <is>
          <t>Wolverhampton</t>
        </is>
      </c>
      <c r="D71" s="10" t="inlineStr">
        <is>
          <t>Vape Shop</t>
        </is>
      </c>
      <c r="E71" s="10" t="inlineStr">
        <is>
          <t>High</t>
        </is>
      </c>
      <c r="F71" s="10" t="inlineStr">
        <is>
          <t>01902 240425</t>
        </is>
      </c>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UK-000447</t>
        </is>
      </c>
      <c r="B72" s="5" t="inlineStr">
        <is>
          <t>The Ace Of Vapez - Willenhall (The Precinct)</t>
        </is>
      </c>
      <c r="C72" s="5" t="inlineStr">
        <is>
          <t>Willenhall</t>
        </is>
      </c>
      <c r="D72" s="5" t="inlineStr">
        <is>
          <t>Vape Shop</t>
        </is>
      </c>
      <c r="E72" s="5" t="inlineStr">
        <is>
          <t>High</t>
        </is>
      </c>
      <c r="F72" s="5" t="inlineStr">
        <is>
          <t>01902 634748</t>
        </is>
      </c>
      <c r="G72" s="5" t="inlineStr"/>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UK-000323</t>
        </is>
      </c>
      <c r="B73" s="10" t="inlineStr">
        <is>
          <t>The E-Cig Store (Timperley, Trafford)</t>
        </is>
      </c>
      <c r="C73" s="10" t="inlineStr">
        <is>
          <t>Altrincham</t>
        </is>
      </c>
      <c r="D73" s="10" t="inlineStr">
        <is>
          <t>Vape Shop</t>
        </is>
      </c>
      <c r="E73" s="10" t="inlineStr">
        <is>
          <t>High</t>
        </is>
      </c>
      <c r="F73" s="10" t="inlineStr"/>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UK-000324</t>
        </is>
      </c>
      <c r="B74" s="5" t="inlineStr">
        <is>
          <t>The E-Cig Store (West Timperley, Trafford)</t>
        </is>
      </c>
      <c r="C74" s="5" t="inlineStr">
        <is>
          <t>Altrincham</t>
        </is>
      </c>
      <c r="D74" s="5" t="inlineStr">
        <is>
          <t>Vape Shop</t>
        </is>
      </c>
      <c r="E74" s="5" t="inlineStr">
        <is>
          <t>High</t>
        </is>
      </c>
      <c r="F74" s="5" t="inlineStr"/>
      <c r="G74" s="5" t="inlineStr"/>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UK-000325</t>
        </is>
      </c>
      <c r="B75" s="10" t="inlineStr">
        <is>
          <t>The E-Cig Store Stockport</t>
        </is>
      </c>
      <c r="C75" s="10" t="inlineStr">
        <is>
          <t>Stockport</t>
        </is>
      </c>
      <c r="D75" s="10" t="inlineStr">
        <is>
          <t>Vape Shop</t>
        </is>
      </c>
      <c r="E75" s="10" t="inlineStr">
        <is>
          <t>High</t>
        </is>
      </c>
      <c r="F75" s="10" t="inlineStr"/>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WY-0031</t>
        </is>
      </c>
      <c r="B76" s="5" t="inlineStr">
        <is>
          <t>The Vape Centre (Wetherby)</t>
        </is>
      </c>
      <c r="C76" s="5" t="inlineStr">
        <is>
          <t>Wetherby</t>
        </is>
      </c>
      <c r="D76" s="5" t="inlineStr">
        <is>
          <t>Vape Shop</t>
        </is>
      </c>
      <c r="E76" s="5" t="inlineStr">
        <is>
          <t>High</t>
        </is>
      </c>
      <c r="F76" s="5" t="inlineStr">
        <is>
          <t>07388 892397</t>
        </is>
      </c>
      <c r="G76" s="5" t="inlineStr"/>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UK-000220</t>
        </is>
      </c>
      <c r="B77" s="10" t="inlineStr">
        <is>
          <t>The Vape Shack Beverley</t>
        </is>
      </c>
      <c r="C77" s="10" t="inlineStr">
        <is>
          <t>Beverley</t>
        </is>
      </c>
      <c r="D77" s="10" t="inlineStr">
        <is>
          <t>Vape Shop</t>
        </is>
      </c>
      <c r="E77" s="10" t="inlineStr">
        <is>
          <t>High</t>
        </is>
      </c>
      <c r="F77" s="10" t="inlineStr">
        <is>
          <t>07359 267997</t>
        </is>
      </c>
      <c r="G77" s="10" t="inlineStr"/>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UK-000550</t>
        </is>
      </c>
      <c r="B78" s="5" t="inlineStr">
        <is>
          <t>Turmeaus Tobacconist - Mayfair</t>
        </is>
      </c>
      <c r="C78" s="5" t="inlineStr">
        <is>
          <t>London</t>
        </is>
      </c>
      <c r="D78" s="5" t="inlineStr">
        <is>
          <t>Tobacco Specialist</t>
        </is>
      </c>
      <c r="E78" s="5" t="inlineStr">
        <is>
          <t>High</t>
        </is>
      </c>
      <c r="F78" s="5" t="inlineStr">
        <is>
          <t>020 7495 7330</t>
        </is>
      </c>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UK-000727</t>
        </is>
      </c>
      <c r="B79" s="10" t="inlineStr">
        <is>
          <t>United Wholesale (Scotland) Ltd - Maxwell Road</t>
        </is>
      </c>
      <c r="C79" s="10" t="inlineStr">
        <is>
          <t>Glasgow</t>
        </is>
      </c>
      <c r="D79" s="10" t="inlineStr">
        <is>
          <t>Cash &amp; Carry</t>
        </is>
      </c>
      <c r="E79" s="10" t="inlineStr">
        <is>
          <t>High</t>
        </is>
      </c>
      <c r="F79" s="10" t="inlineStr">
        <is>
          <t>0141 429 0909</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UK-000216</t>
        </is>
      </c>
      <c r="B80" s="5" t="inlineStr">
        <is>
          <t>VAPEx Doncaster</t>
        </is>
      </c>
      <c r="C80" s="5" t="inlineStr">
        <is>
          <t>Doncaster</t>
        </is>
      </c>
      <c r="D80" s="5" t="inlineStr">
        <is>
          <t>Vape Shop</t>
        </is>
      </c>
      <c r="E80" s="5" t="inlineStr">
        <is>
          <t>High</t>
        </is>
      </c>
      <c r="F80" s="5" t="inlineStr">
        <is>
          <t>01302 315051</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UK-000449</t>
        </is>
      </c>
      <c r="B81" s="10" t="inlineStr">
        <is>
          <t>VJ Vapours</t>
        </is>
      </c>
      <c r="C81" s="10" t="inlineStr">
        <is>
          <t>Walsall</t>
        </is>
      </c>
      <c r="D81" s="10" t="inlineStr">
        <is>
          <t>Vape Shop</t>
        </is>
      </c>
      <c r="E81" s="10" t="inlineStr">
        <is>
          <t>High</t>
        </is>
      </c>
      <c r="F81" s="10" t="inlineStr"/>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UK-000741</t>
        </is>
      </c>
      <c r="B82" s="5" t="inlineStr">
        <is>
          <t>Vapable Southport</t>
        </is>
      </c>
      <c r="C82" s="5" t="inlineStr">
        <is>
          <t>Southport</t>
        </is>
      </c>
      <c r="D82" s="5" t="inlineStr">
        <is>
          <t>Vape Shop</t>
        </is>
      </c>
      <c r="E82" s="5" t="inlineStr">
        <is>
          <t>High</t>
        </is>
      </c>
      <c r="F82" s="5" t="inlineStr">
        <is>
          <t>01704 222999</t>
        </is>
      </c>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WY-0036</t>
        </is>
      </c>
      <c r="B83" s="10" t="inlineStr">
        <is>
          <t>Vaparama (Featherstone)</t>
        </is>
      </c>
      <c r="C83" s="10" t="inlineStr">
        <is>
          <t>Featherstone</t>
        </is>
      </c>
      <c r="D83" s="10" t="inlineStr">
        <is>
          <t>Vape Shop</t>
        </is>
      </c>
      <c r="E83" s="10" t="inlineStr">
        <is>
          <t>High</t>
        </is>
      </c>
      <c r="F83" s="10" t="inlineStr"/>
      <c r="G83" s="10" t="inlineStr"/>
      <c r="H83" s="10" t="inlineStr">
        <is>
          <t>shop@vaparama.co.uk</t>
        </is>
      </c>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WY-0037</t>
        </is>
      </c>
      <c r="B84" s="5" t="inlineStr">
        <is>
          <t>Vaparama (Pontefract)</t>
        </is>
      </c>
      <c r="C84" s="5" t="inlineStr">
        <is>
          <t>Pontefract</t>
        </is>
      </c>
      <c r="D84" s="5" t="inlineStr">
        <is>
          <t>Vape Shop</t>
        </is>
      </c>
      <c r="E84" s="5" t="inlineStr">
        <is>
          <t>High</t>
        </is>
      </c>
      <c r="F84" s="5" t="inlineStr">
        <is>
          <t>01977 277170</t>
        </is>
      </c>
      <c r="G84" s="5" t="inlineStr">
        <is>
          <t>shop@vaparama.co.uk</t>
        </is>
      </c>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WY-0038</t>
        </is>
      </c>
      <c r="B85" s="10" t="inlineStr">
        <is>
          <t>Vaparama (Wakefield)</t>
        </is>
      </c>
      <c r="C85" s="10" t="inlineStr">
        <is>
          <t>Wakefield</t>
        </is>
      </c>
      <c r="D85" s="10" t="inlineStr">
        <is>
          <t>Vape Shop</t>
        </is>
      </c>
      <c r="E85" s="10" t="inlineStr">
        <is>
          <t>High</t>
        </is>
      </c>
      <c r="F85" s="10" t="inlineStr"/>
      <c r="G85" s="10" t="inlineStr"/>
      <c r="H85" s="10" t="inlineStr">
        <is>
          <t>shop@vaparama.co.uk</t>
        </is>
      </c>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UK-000742</t>
        </is>
      </c>
      <c r="B86" s="5" t="inlineStr">
        <is>
          <t>Vape City</t>
        </is>
      </c>
      <c r="C86" s="5" t="inlineStr">
        <is>
          <t>Glasgow</t>
        </is>
      </c>
      <c r="D86" s="5" t="inlineStr">
        <is>
          <t>Vape Shop</t>
        </is>
      </c>
      <c r="E86" s="5" t="inlineStr">
        <is>
          <t>High</t>
        </is>
      </c>
      <c r="F86" s="5" t="inlineStr">
        <is>
          <t>0141 946 2117</t>
        </is>
      </c>
      <c r="G86" s="5" t="inlineStr"/>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UK-000218</t>
        </is>
      </c>
      <c r="B87" s="10" t="inlineStr">
        <is>
          <t>Vape Safe Whitby</t>
        </is>
      </c>
      <c r="C87" s="10" t="inlineStr">
        <is>
          <t>Whitby</t>
        </is>
      </c>
      <c r="D87" s="10" t="inlineStr">
        <is>
          <t>Vape Shop</t>
        </is>
      </c>
      <c r="E87" s="10" t="inlineStr">
        <is>
          <t>High</t>
        </is>
      </c>
      <c r="F87" s="10" t="inlineStr">
        <is>
          <t>01947 604873</t>
        </is>
      </c>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UK-000219</t>
        </is>
      </c>
      <c r="B88" s="5" t="inlineStr">
        <is>
          <t>Vape Safe York</t>
        </is>
      </c>
      <c r="C88" s="5" t="inlineStr">
        <is>
          <t>York</t>
        </is>
      </c>
      <c r="D88" s="5" t="inlineStr">
        <is>
          <t>Vape Shop</t>
        </is>
      </c>
      <c r="E88" s="5" t="inlineStr">
        <is>
          <t>High</t>
        </is>
      </c>
      <c r="F88" s="5" t="inlineStr">
        <is>
          <t>01904 848488</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UK-000834</t>
        </is>
      </c>
      <c r="B89" s="10" t="inlineStr">
        <is>
          <t>Vape Saloon</t>
        </is>
      </c>
      <c r="C89" s="10" t="inlineStr">
        <is>
          <t>Southport</t>
        </is>
      </c>
      <c r="D89" s="10" t="inlineStr">
        <is>
          <t>Vape Shop</t>
        </is>
      </c>
      <c r="E89" s="10" t="inlineStr">
        <is>
          <t>High</t>
        </is>
      </c>
      <c r="F89" s="10" t="inlineStr">
        <is>
          <t>01704 532531</t>
        </is>
      </c>
      <c r="G89" s="10" t="inlineStr">
        <is>
          <t>orders@vapesaloon.co.uk</t>
        </is>
      </c>
      <c r="H89" s="10" t="inlineStr">
        <is>
          <t>orders@vapesaloon.co.uk</t>
        </is>
      </c>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UK-000221</t>
        </is>
      </c>
      <c r="B90" s="5" t="inlineStr">
        <is>
          <t>Vape Shack Immingham</t>
        </is>
      </c>
      <c r="C90" s="5" t="inlineStr">
        <is>
          <t>Immingham</t>
        </is>
      </c>
      <c r="D90" s="5" t="inlineStr">
        <is>
          <t>Vape Shop</t>
        </is>
      </c>
      <c r="E90" s="5" t="inlineStr">
        <is>
          <t>High</t>
        </is>
      </c>
      <c r="F90" s="5" t="inlineStr">
        <is>
          <t>01469 577493</t>
        </is>
      </c>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UK-000222</t>
        </is>
      </c>
      <c r="B91" s="10" t="inlineStr">
        <is>
          <t>Vape Shop Guy Boroughbridge</t>
        </is>
      </c>
      <c r="C91" s="10" t="inlineStr">
        <is>
          <t>Boroughbridge</t>
        </is>
      </c>
      <c r="D91" s="10" t="inlineStr">
        <is>
          <t>Vape Shop</t>
        </is>
      </c>
      <c r="E91" s="10" t="inlineStr">
        <is>
          <t>High</t>
        </is>
      </c>
      <c r="F91" s="10" t="inlineStr">
        <is>
          <t>01423 325924</t>
        </is>
      </c>
      <c r="G91" s="10" t="inlineStr"/>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UK-000223</t>
        </is>
      </c>
      <c r="B92" s="5" t="inlineStr">
        <is>
          <t>Vape Shop Guy Ripon</t>
        </is>
      </c>
      <c r="C92" s="5" t="inlineStr">
        <is>
          <t>Ripon</t>
        </is>
      </c>
      <c r="D92" s="5" t="inlineStr">
        <is>
          <t>Vape Shop</t>
        </is>
      </c>
      <c r="E92" s="5" t="inlineStr">
        <is>
          <t>High</t>
        </is>
      </c>
      <c r="F92" s="5" t="inlineStr"/>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UK-000224</t>
        </is>
      </c>
      <c r="B93" s="10" t="inlineStr">
        <is>
          <t>Vape Shop Guy Thirsk</t>
        </is>
      </c>
      <c r="C93" s="10" t="inlineStr">
        <is>
          <t>Thirsk</t>
        </is>
      </c>
      <c r="D93" s="10" t="inlineStr">
        <is>
          <t>Vape Shop</t>
        </is>
      </c>
      <c r="E93" s="10" t="inlineStr">
        <is>
          <t>High</t>
        </is>
      </c>
      <c r="F93" s="10" t="inlineStr"/>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UK-000743</t>
        </is>
      </c>
      <c r="B94" s="5" t="inlineStr">
        <is>
          <t>Vape Shop No 1 Wirral - Bebington</t>
        </is>
      </c>
      <c r="C94" s="5" t="inlineStr">
        <is>
          <t>Birkenhead</t>
        </is>
      </c>
      <c r="D94" s="5" t="inlineStr">
        <is>
          <t>Vape Shop</t>
        </is>
      </c>
      <c r="E94" s="5" t="inlineStr">
        <is>
          <t>High</t>
        </is>
      </c>
      <c r="F94" s="5" t="inlineStr">
        <is>
          <t>0151 208 1706</t>
        </is>
      </c>
      <c r="G94" s="5" t="inlineStr">
        <is>
          <t>orders@vapeshopno1.co.uk</t>
        </is>
      </c>
      <c r="H94" s="5" t="inlineStr">
        <is>
          <t>orders@vapeshopno1.co.uk</t>
        </is>
      </c>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UK-000744</t>
        </is>
      </c>
      <c r="B95" s="10" t="inlineStr">
        <is>
          <t>Vape Shop No 1 Wirral - Greasby</t>
        </is>
      </c>
      <c r="C95" s="10" t="inlineStr">
        <is>
          <t>Wirral</t>
        </is>
      </c>
      <c r="D95" s="10" t="inlineStr">
        <is>
          <t>Vape Shop</t>
        </is>
      </c>
      <c r="E95" s="10" t="inlineStr">
        <is>
          <t>High</t>
        </is>
      </c>
      <c r="F95" s="10" t="inlineStr">
        <is>
          <t>0151 677 7533</t>
        </is>
      </c>
      <c r="G95" s="10" t="inlineStr">
        <is>
          <t>orders@vapeshopno1.co.uk</t>
        </is>
      </c>
      <c r="H95" s="10" t="inlineStr">
        <is>
          <t>orders@vapeshopno1.co.uk</t>
        </is>
      </c>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UK-000745</t>
        </is>
      </c>
      <c r="B96" s="5" t="inlineStr">
        <is>
          <t>Vape Shop No 1 Wirral - Prenton</t>
        </is>
      </c>
      <c r="C96" s="5" t="inlineStr">
        <is>
          <t>Birkenhead</t>
        </is>
      </c>
      <c r="D96" s="5" t="inlineStr">
        <is>
          <t>Vape Shop</t>
        </is>
      </c>
      <c r="E96" s="5" t="inlineStr">
        <is>
          <t>High</t>
        </is>
      </c>
      <c r="F96" s="5" t="inlineStr">
        <is>
          <t>0151 652 0512</t>
        </is>
      </c>
      <c r="G96" s="5" t="inlineStr">
        <is>
          <t>orders@vapeshopno1.co.uk</t>
        </is>
      </c>
      <c r="H96" s="5" t="inlineStr">
        <is>
          <t>orders@vapeshopno1.co.uk</t>
        </is>
      </c>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UK-000326</t>
        </is>
      </c>
      <c r="B97" s="10" t="inlineStr">
        <is>
          <t>Vape and Watts Hyde</t>
        </is>
      </c>
      <c r="C97" s="10" t="inlineStr">
        <is>
          <t>Hyde</t>
        </is>
      </c>
      <c r="D97" s="10" t="inlineStr">
        <is>
          <t>Vape Shop</t>
        </is>
      </c>
      <c r="E97" s="10" t="inlineStr">
        <is>
          <t>High</t>
        </is>
      </c>
      <c r="F97" s="10" t="inlineStr"/>
      <c r="G97" s="10" t="inlineStr"/>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UK-000327</t>
        </is>
      </c>
      <c r="B98" s="5" t="inlineStr">
        <is>
          <t>Vape and Watts Royton</t>
        </is>
      </c>
      <c r="C98" s="5" t="inlineStr">
        <is>
          <t>Royton</t>
        </is>
      </c>
      <c r="D98" s="5" t="inlineStr">
        <is>
          <t>Vape Shop</t>
        </is>
      </c>
      <c r="E98" s="5" t="inlineStr">
        <is>
          <t>High</t>
        </is>
      </c>
      <c r="F98" s="5" t="inlineStr"/>
      <c r="G98" s="5" t="inlineStr"/>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WY-0180</t>
        </is>
      </c>
      <c r="B99" s="10" t="inlineStr">
        <is>
          <t>Vaperites</t>
        </is>
      </c>
      <c r="C99" s="10" t="inlineStr">
        <is>
          <t>Pontefract</t>
        </is>
      </c>
      <c r="D99" s="10" t="inlineStr">
        <is>
          <t>Vape Shop</t>
        </is>
      </c>
      <c r="E99" s="10" t="inlineStr">
        <is>
          <t>High</t>
        </is>
      </c>
      <c r="F99" s="10" t="inlineStr">
        <is>
          <t>01977 278484</t>
        </is>
      </c>
      <c r="G99" s="10" t="inlineStr">
        <is>
          <t>vaperite@gmail.com</t>
        </is>
      </c>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UK-000538</t>
        </is>
      </c>
      <c r="B100" s="5" t="inlineStr">
        <is>
          <t>Vapers Pantry</t>
        </is>
      </c>
      <c r="C100" s="5" t="inlineStr">
        <is>
          <t>Wolverhampton</t>
        </is>
      </c>
      <c r="D100" s="5" t="inlineStr">
        <is>
          <t>Vape Shop</t>
        </is>
      </c>
      <c r="E100" s="5" t="inlineStr">
        <is>
          <t>High</t>
        </is>
      </c>
      <c r="F100" s="5" t="inlineStr">
        <is>
          <t>01902 444090</t>
        </is>
      </c>
      <c r="G100" s="5" t="inlineStr">
        <is>
          <t>sales@vaperspantry.com</t>
        </is>
      </c>
      <c r="H100" s="5" t="inlineStr">
        <is>
          <t>sales@vaperspantry.com</t>
        </is>
      </c>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UK-000451</t>
        </is>
      </c>
      <c r="B101" s="10" t="inlineStr">
        <is>
          <t>Vaperz Corner - Acocks Green</t>
        </is>
      </c>
      <c r="C101" s="10" t="inlineStr">
        <is>
          <t>Birmingham</t>
        </is>
      </c>
      <c r="D101" s="10" t="inlineStr">
        <is>
          <t>Vape Shop</t>
        </is>
      </c>
      <c r="E101" s="10" t="inlineStr">
        <is>
          <t>High</t>
        </is>
      </c>
      <c r="F101" s="10" t="inlineStr">
        <is>
          <t>0121 708 2710</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UK-000225</t>
        </is>
      </c>
      <c r="B102" s="5" t="inlineStr">
        <is>
          <t>Vapour Worx Knaresborough</t>
        </is>
      </c>
      <c r="C102" s="5" t="inlineStr">
        <is>
          <t>Knaresborough</t>
        </is>
      </c>
      <c r="D102" s="5" t="inlineStr">
        <is>
          <t>Vape Shop</t>
        </is>
      </c>
      <c r="E102" s="5" t="inlineStr">
        <is>
          <t>High</t>
        </is>
      </c>
      <c r="F102" s="5" t="inlineStr">
        <is>
          <t>01423 610083</t>
        </is>
      </c>
      <c r="G102" s="5" t="inlineStr"/>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WY-0039</t>
        </is>
      </c>
      <c r="B103" s="10" t="inlineStr">
        <is>
          <t>WOW Vape (Castleford)</t>
        </is>
      </c>
      <c r="C103" s="10" t="inlineStr">
        <is>
          <t>Castleford</t>
        </is>
      </c>
      <c r="D103" s="10" t="inlineStr">
        <is>
          <t>Vape Shop</t>
        </is>
      </c>
      <c r="E103" s="10" t="inlineStr">
        <is>
          <t>High</t>
        </is>
      </c>
      <c r="F103" s="10" t="inlineStr">
        <is>
          <t>01977 516062</t>
        </is>
      </c>
      <c r="G103" s="10" t="inlineStr"/>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WY-0040</t>
        </is>
      </c>
      <c r="B104" s="5" t="inlineStr">
        <is>
          <t>WOW Vape (Wakefield)</t>
        </is>
      </c>
      <c r="C104" s="5" t="inlineStr">
        <is>
          <t>Wakefield</t>
        </is>
      </c>
      <c r="D104" s="5" t="inlineStr">
        <is>
          <t>Vape Shop</t>
        </is>
      </c>
      <c r="E104" s="5" t="inlineStr">
        <is>
          <t>High</t>
        </is>
      </c>
      <c r="F104" s="5" t="inlineStr"/>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WY-0041</t>
        </is>
      </c>
      <c r="B105" s="10" t="inlineStr">
        <is>
          <t>We Are Vapes</t>
        </is>
      </c>
      <c r="C105" s="10" t="inlineStr">
        <is>
          <t>Bradford</t>
        </is>
      </c>
      <c r="D105" s="10" t="inlineStr">
        <is>
          <t>Vape Shop</t>
        </is>
      </c>
      <c r="E105" s="10" t="inlineStr">
        <is>
          <t>High</t>
        </is>
      </c>
      <c r="F105" s="10" t="inlineStr">
        <is>
          <t>01274 270773</t>
        </is>
      </c>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WY-0042</t>
        </is>
      </c>
      <c r="B106" s="5" t="inlineStr">
        <is>
          <t>We Are Vapes</t>
        </is>
      </c>
      <c r="C106" s="5" t="inlineStr">
        <is>
          <t>Bradford</t>
        </is>
      </c>
      <c r="D106" s="5" t="inlineStr">
        <is>
          <t>Vape Shop</t>
        </is>
      </c>
      <c r="E106" s="5" t="inlineStr">
        <is>
          <t>High</t>
        </is>
      </c>
      <c r="F106" s="5" t="inlineStr">
        <is>
          <t>01274 634327</t>
        </is>
      </c>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WY-0043</t>
        </is>
      </c>
      <c r="B107" s="10" t="inlineStr">
        <is>
          <t>We Are Vapes</t>
        </is>
      </c>
      <c r="C107" s="10" t="inlineStr">
        <is>
          <t>Bradford</t>
        </is>
      </c>
      <c r="D107" s="10" t="inlineStr">
        <is>
          <t>Vape Shop</t>
        </is>
      </c>
      <c r="E107" s="10" t="inlineStr">
        <is>
          <t>High</t>
        </is>
      </c>
      <c r="F107" s="10" t="inlineStr"/>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UK-000413</t>
        </is>
      </c>
      <c r="B108" s="5" t="inlineStr">
        <is>
          <t>Winsome Vape</t>
        </is>
      </c>
      <c r="C108" s="5" t="inlineStr">
        <is>
          <t>Wigan</t>
        </is>
      </c>
      <c r="D108" s="5" t="inlineStr">
        <is>
          <t>Vape Shop</t>
        </is>
      </c>
      <c r="E108" s="5" t="inlineStr">
        <is>
          <t>High</t>
        </is>
      </c>
      <c r="F108" s="5" t="inlineStr">
        <is>
          <t>07578 968986</t>
        </is>
      </c>
      <c r="G108" s="5" t="inlineStr">
        <is>
          <t>awaisaliazhar@yahoo.com</t>
        </is>
      </c>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WY-0044</t>
        </is>
      </c>
      <c r="B109" s="10" t="inlineStr">
        <is>
          <t>Worldwide Foods Bradford (Great Horton Road)</t>
        </is>
      </c>
      <c r="C109" s="10" t="inlineStr">
        <is>
          <t>Bradford</t>
        </is>
      </c>
      <c r="D109" s="10" t="inlineStr">
        <is>
          <t>Independent Supermarket</t>
        </is>
      </c>
      <c r="E109" s="10" t="inlineStr">
        <is>
          <t>High</t>
        </is>
      </c>
      <c r="F109" s="10" t="inlineStr">
        <is>
          <t>01274 572661</t>
        </is>
      </c>
      <c r="G109" s="10" t="inlineStr">
        <is>
          <t>info@worldwidefoods.co.uk</t>
        </is>
      </c>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UK-000227</t>
        </is>
      </c>
      <c r="B110" s="5" t="inlineStr">
        <is>
          <t>eCigarette Outlet</t>
        </is>
      </c>
      <c r="C110" s="5" t="inlineStr">
        <is>
          <t>Kingston upon Hull</t>
        </is>
      </c>
      <c r="D110" s="5" t="inlineStr">
        <is>
          <t>Vape Shop</t>
        </is>
      </c>
      <c r="E110" s="5" t="inlineStr">
        <is>
          <t>High</t>
        </is>
      </c>
      <c r="F110" s="5" t="inlineStr"/>
      <c r="G110" s="5" t="inlineStr">
        <is>
          <t>customer.service@ecigaretteoutlet.co.uk</t>
        </is>
      </c>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UK-000228</t>
        </is>
      </c>
      <c r="B111" s="10" t="inlineStr">
        <is>
          <t>eCigarette Outlet Cleethorpes</t>
        </is>
      </c>
      <c r="C111" s="10" t="inlineStr">
        <is>
          <t>Cleethorpes</t>
        </is>
      </c>
      <c r="D111" s="10" t="inlineStr">
        <is>
          <t>Vape Shop</t>
        </is>
      </c>
      <c r="E111" s="10" t="inlineStr">
        <is>
          <t>High</t>
        </is>
      </c>
      <c r="F111" s="10" t="inlineStr">
        <is>
          <t>01472 694619</t>
        </is>
      </c>
      <c r="G111" s="10" t="inlineStr">
        <is>
          <t>customer.service@ecigaretteoutlet.co.uk</t>
        </is>
      </c>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UK-000229</t>
        </is>
      </c>
      <c r="B112" s="5" t="inlineStr">
        <is>
          <t>eCigarette Outlet Scunthorpe</t>
        </is>
      </c>
      <c r="C112" s="5" t="inlineStr">
        <is>
          <t>Scunthorpe</t>
        </is>
      </c>
      <c r="D112" s="5" t="inlineStr">
        <is>
          <t>Vape Shop</t>
        </is>
      </c>
      <c r="E112" s="5" t="inlineStr">
        <is>
          <t>High</t>
        </is>
      </c>
      <c r="F112" s="5" t="inlineStr"/>
      <c r="G112" s="5" t="inlineStr">
        <is>
          <t>customer.service@ecigaretteoutlet.co.uk</t>
        </is>
      </c>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UK-000230</t>
        </is>
      </c>
      <c r="B113" s="10" t="inlineStr">
        <is>
          <t>iVape Harrogate</t>
        </is>
      </c>
      <c r="C113" s="10" t="inlineStr">
        <is>
          <t>Harrogate</t>
        </is>
      </c>
      <c r="D113" s="10" t="inlineStr">
        <is>
          <t>Vape Shop</t>
        </is>
      </c>
      <c r="E113" s="10" t="inlineStr">
        <is>
          <t>High</t>
        </is>
      </c>
      <c r="F113" s="10" t="inlineStr">
        <is>
          <t>01423 509009</t>
        </is>
      </c>
      <c r="G113" s="10" t="inlineStr"/>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UK-000568</t>
        </is>
      </c>
      <c r="B114" s="5" t="inlineStr">
        <is>
          <t>A Cash &amp; Carry</t>
        </is>
      </c>
      <c r="C114" s="5" t="inlineStr">
        <is>
          <t>Upton Park</t>
        </is>
      </c>
      <c r="D114" s="5" t="inlineStr">
        <is>
          <t>Cash &amp; Carry</t>
        </is>
      </c>
      <c r="E114" s="5" t="inlineStr">
        <is>
          <t>Medium</t>
        </is>
      </c>
      <c r="F114" s="5" t="inlineStr">
        <is>
          <t>020 8471 7722</t>
        </is>
      </c>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UK-000333</t>
        </is>
      </c>
      <c r="B115" s="10" t="inlineStr">
        <is>
          <t>A S M Cash &amp; Carry</t>
        </is>
      </c>
      <c r="C115" s="10" t="inlineStr">
        <is>
          <t>Ashton-under-Lyne</t>
        </is>
      </c>
      <c r="D115" s="10" t="inlineStr">
        <is>
          <t>Cash &amp; Carry</t>
        </is>
      </c>
      <c r="E115" s="10" t="inlineStr">
        <is>
          <t>Medium</t>
        </is>
      </c>
      <c r="F115" s="10" t="inlineStr">
        <is>
          <t>0161 339 4744</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UK-000231</t>
        </is>
      </c>
      <c r="B116" s="5" t="inlineStr">
        <is>
          <t>A Touch of Glass</t>
        </is>
      </c>
      <c r="C116" s="5" t="inlineStr">
        <is>
          <t>Bridlington</t>
        </is>
      </c>
      <c r="D116" s="5" t="inlineStr">
        <is>
          <t>Vape Shop</t>
        </is>
      </c>
      <c r="E116" s="5" t="inlineStr">
        <is>
          <t>Medium</t>
        </is>
      </c>
      <c r="F116" s="5" t="inlineStr">
        <is>
          <t>01262 677677</t>
        </is>
      </c>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UK-000334</t>
        </is>
      </c>
      <c r="B117" s="10" t="inlineStr">
        <is>
          <t>ADZ Food Distribution Ltd</t>
        </is>
      </c>
      <c r="C117" s="10" t="inlineStr">
        <is>
          <t>Bolton</t>
        </is>
      </c>
      <c r="D117" s="10" t="inlineStr">
        <is>
          <t>Cash &amp; Carry</t>
        </is>
      </c>
      <c r="E117" s="10" t="inlineStr">
        <is>
          <t>Medium</t>
        </is>
      </c>
      <c r="F117" s="10" t="inlineStr">
        <is>
          <t>01204 365573</t>
        </is>
      </c>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UK-000452</t>
        </is>
      </c>
      <c r="B118" s="5" t="inlineStr">
        <is>
          <t>AT Wholesale Ltd</t>
        </is>
      </c>
      <c r="C118" s="5" t="inlineStr">
        <is>
          <t>Wolverhampton</t>
        </is>
      </c>
      <c r="D118" s="5" t="inlineStr">
        <is>
          <t>Cash &amp; Carry</t>
        </is>
      </c>
      <c r="E118" s="5" t="inlineStr">
        <is>
          <t>Medium</t>
        </is>
      </c>
      <c r="F118" s="5" t="inlineStr">
        <is>
          <t>07939 332902</t>
        </is>
      </c>
      <c r="G118" s="5" t="inlineStr">
        <is>
          <t>admin@atwholesale.uk</t>
        </is>
      </c>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WY-0048</t>
        </is>
      </c>
      <c r="B119" s="10" t="inlineStr">
        <is>
          <t>AV &amp; JI Stores</t>
        </is>
      </c>
      <c r="C119" s="10" t="inlineStr">
        <is>
          <t>Sowerby Bridge</t>
        </is>
      </c>
      <c r="D119" s="10" t="inlineStr">
        <is>
          <t>Convenience Store</t>
        </is>
      </c>
      <c r="E119" s="10" t="inlineStr">
        <is>
          <t>Medium</t>
        </is>
      </c>
      <c r="F119" s="10" t="inlineStr"/>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UK-000571</t>
        </is>
      </c>
      <c r="B120" s="5" t="inlineStr">
        <is>
          <t>Adil Cash &amp; Carry</t>
        </is>
      </c>
      <c r="C120" s="5" t="inlineStr">
        <is>
          <t>Leyton</t>
        </is>
      </c>
      <c r="D120" s="5" t="inlineStr">
        <is>
          <t>Cash &amp; Carry</t>
        </is>
      </c>
      <c r="E120" s="5" t="inlineStr">
        <is>
          <t>Medium</t>
        </is>
      </c>
      <c r="F120" s="5" t="inlineStr"/>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UK-000233</t>
        </is>
      </c>
      <c r="B121" s="10" t="inlineStr">
        <is>
          <t>Agha Lounge</t>
        </is>
      </c>
      <c r="C121" s="10" t="inlineStr">
        <is>
          <t>Sheffield</t>
        </is>
      </c>
      <c r="D121" s="10" t="inlineStr">
        <is>
          <t>Smoke / Shisha Shop</t>
        </is>
      </c>
      <c r="E121" s="10" t="inlineStr">
        <is>
          <t>Medium</t>
        </is>
      </c>
      <c r="F121" s="10" t="inlineStr"/>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UK-000336</t>
        </is>
      </c>
      <c r="B122" s="5" t="inlineStr">
        <is>
          <t>Ahmed Bros Oldham</t>
        </is>
      </c>
      <c r="C122" s="5" t="inlineStr">
        <is>
          <t>Chadderton</t>
        </is>
      </c>
      <c r="D122" s="5" t="inlineStr">
        <is>
          <t>Cash &amp; Carry</t>
        </is>
      </c>
      <c r="E122" s="5" t="inlineStr">
        <is>
          <t>Medium</t>
        </is>
      </c>
      <c r="F122" s="5" t="inlineStr"/>
      <c r="G122" s="5" t="inlineStr"/>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UK-000234</t>
        </is>
      </c>
      <c r="B123" s="10" t="inlineStr">
        <is>
          <t>Ainsty Farm Shop</t>
        </is>
      </c>
      <c r="C123" s="10" t="inlineStr">
        <is>
          <t>York</t>
        </is>
      </c>
      <c r="D123" s="10" t="inlineStr">
        <is>
          <t>Independent Supermarket</t>
        </is>
      </c>
      <c r="E123" s="10" t="inlineStr">
        <is>
          <t>Medium</t>
        </is>
      </c>
      <c r="F123" s="10" t="inlineStr">
        <is>
          <t>01423 331897</t>
        </is>
      </c>
      <c r="G123" s="10" t="inlineStr"/>
      <c r="H123" s="10" t="inlineStr"/>
      <c r="I123" s="10" t="inlineStr">
        <is>
          <t>Stuart and Lily Beaton</t>
        </is>
      </c>
      <c r="J123" s="10" t="inlineStr">
        <is>
          <t>Owners</t>
        </is>
      </c>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UK-000572</t>
        </is>
      </c>
      <c r="B124" s="5" t="inlineStr">
        <is>
          <t>Al Shishawi</t>
        </is>
      </c>
      <c r="C124" s="5" t="inlineStr">
        <is>
          <t>London</t>
        </is>
      </c>
      <c r="D124" s="5" t="inlineStr">
        <is>
          <t>Smoke / Shisha Shop</t>
        </is>
      </c>
      <c r="E124" s="5" t="inlineStr">
        <is>
          <t>Medium</t>
        </is>
      </c>
      <c r="F124" s="5" t="inlineStr">
        <is>
          <t>020 7262 6212</t>
        </is>
      </c>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WY-0049</t>
        </is>
      </c>
      <c r="B125" s="10" t="inlineStr">
        <is>
          <t>Al-Falah Supermarket</t>
        </is>
      </c>
      <c r="C125" s="10" t="inlineStr">
        <is>
          <t>Bradford</t>
        </is>
      </c>
      <c r="D125" s="10" t="inlineStr">
        <is>
          <t>Independent Supermarket</t>
        </is>
      </c>
      <c r="E125" s="10" t="inlineStr">
        <is>
          <t>Medium</t>
        </is>
      </c>
      <c r="F125" s="10" t="inlineStr"/>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UK-000337</t>
        </is>
      </c>
      <c r="B126" s="5" t="inlineStr">
        <is>
          <t>Al-Rayan Supermarket</t>
        </is>
      </c>
      <c r="C126" s="5" t="inlineStr">
        <is>
          <t>Rochdale</t>
        </is>
      </c>
      <c r="D126" s="5" t="inlineStr">
        <is>
          <t>Independent Supermarket</t>
        </is>
      </c>
      <c r="E126" s="5" t="inlineStr">
        <is>
          <t>Medium</t>
        </is>
      </c>
      <c r="F126" s="5" t="inlineStr">
        <is>
          <t>01706 521215</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UK-000235</t>
        </is>
      </c>
      <c r="B127" s="10" t="inlineStr">
        <is>
          <t>Alchemist Vape Shop Parkgate</t>
        </is>
      </c>
      <c r="C127" s="10" t="inlineStr">
        <is>
          <t>Rotherham</t>
        </is>
      </c>
      <c r="D127" s="10" t="inlineStr">
        <is>
          <t>Vape Shop</t>
        </is>
      </c>
      <c r="E127" s="10" t="inlineStr">
        <is>
          <t>Medium</t>
        </is>
      </c>
      <c r="F127" s="10" t="inlineStr"/>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UK-000575</t>
        </is>
      </c>
      <c r="B128" s="5" t="inlineStr">
        <is>
          <t>All Drinks Cash &amp; Carry Ltd</t>
        </is>
      </c>
      <c r="C128" s="5" t="inlineStr">
        <is>
          <t>Southall</t>
        </is>
      </c>
      <c r="D128" s="5" t="inlineStr">
        <is>
          <t>Cash &amp; Carry</t>
        </is>
      </c>
      <c r="E128" s="5" t="inlineStr">
        <is>
          <t>Medium</t>
        </is>
      </c>
      <c r="F128" s="5" t="inlineStr">
        <is>
          <t>020 8893 6000</t>
        </is>
      </c>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UK-000236</t>
        </is>
      </c>
      <c r="B129" s="10" t="inlineStr">
        <is>
          <t>Angel Smoke e-Cigarettes</t>
        </is>
      </c>
      <c r="C129" s="10" t="inlineStr">
        <is>
          <t>Rotherham</t>
        </is>
      </c>
      <c r="D129" s="10" t="inlineStr">
        <is>
          <t>Vape Shop</t>
        </is>
      </c>
      <c r="E129" s="10" t="inlineStr">
        <is>
          <t>Medium</t>
        </is>
      </c>
      <c r="F129" s="10" t="inlineStr">
        <is>
          <t>01709 322634</t>
        </is>
      </c>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UK-000578</t>
        </is>
      </c>
      <c r="B130" s="5" t="inlineStr">
        <is>
          <t>Anglo Asian Cash &amp; Carry Ltd</t>
        </is>
      </c>
      <c r="C130" s="5" t="inlineStr">
        <is>
          <t>Wembley</t>
        </is>
      </c>
      <c r="D130" s="5" t="inlineStr">
        <is>
          <t>Cash &amp; Carry</t>
        </is>
      </c>
      <c r="E130" s="5" t="inlineStr">
        <is>
          <t>Medium</t>
        </is>
      </c>
      <c r="F130" s="5" t="inlineStr"/>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UK-000339</t>
        </is>
      </c>
      <c r="B131" s="10" t="inlineStr">
        <is>
          <t>Arif Grocers</t>
        </is>
      </c>
      <c r="C131" s="10" t="inlineStr">
        <is>
          <t>Rochdale</t>
        </is>
      </c>
      <c r="D131" s="10" t="inlineStr">
        <is>
          <t>Independent Supermarket</t>
        </is>
      </c>
      <c r="E131" s="10" t="inlineStr">
        <is>
          <t>Medium</t>
        </is>
      </c>
      <c r="F131" s="10" t="inlineStr"/>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WY-0051</t>
        </is>
      </c>
      <c r="B132" s="5" t="inlineStr">
        <is>
          <t>Armley Ridge Road Convenience Store &amp; Off-Licence</t>
        </is>
      </c>
      <c r="C132" s="5" t="inlineStr">
        <is>
          <t>Leeds</t>
        </is>
      </c>
      <c r="D132" s="5" t="inlineStr">
        <is>
          <t>Convenience Store</t>
        </is>
      </c>
      <c r="E132" s="5" t="inlineStr">
        <is>
          <t>Medium</t>
        </is>
      </c>
      <c r="F132" s="5" t="inlineStr"/>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UK-000340</t>
        </is>
      </c>
      <c r="B133" s="10" t="inlineStr">
        <is>
          <t>Arthur Morris Tobacconists</t>
        </is>
      </c>
      <c r="C133" s="10" t="inlineStr">
        <is>
          <t>Bolton</t>
        </is>
      </c>
      <c r="D133" s="10" t="inlineStr">
        <is>
          <t>Tobacco Specialist</t>
        </is>
      </c>
      <c r="E133" s="10" t="inlineStr">
        <is>
          <t>Medium</t>
        </is>
      </c>
      <c r="F133" s="10" t="inlineStr"/>
      <c r="G133" s="10" t="inlineStr"/>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UK-000453</t>
        </is>
      </c>
      <c r="B134" s="5" t="inlineStr">
        <is>
          <t>Artisan Vapor Oldbury</t>
        </is>
      </c>
      <c r="C134" s="5" t="inlineStr">
        <is>
          <t>Oldbury</t>
        </is>
      </c>
      <c r="D134" s="5" t="inlineStr">
        <is>
          <t>Vape Shop</t>
        </is>
      </c>
      <c r="E134" s="5" t="inlineStr">
        <is>
          <t>Medium</t>
        </is>
      </c>
      <c r="F134" s="5" t="inlineStr"/>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UK-000341</t>
        </is>
      </c>
      <c r="B135" s="10" t="inlineStr">
        <is>
          <t>Aston's of Manchester</t>
        </is>
      </c>
      <c r="C135" s="10" t="inlineStr">
        <is>
          <t>Manchester</t>
        </is>
      </c>
      <c r="D135" s="10" t="inlineStr">
        <is>
          <t>Tobacco Specialist</t>
        </is>
      </c>
      <c r="E135" s="10" t="inlineStr">
        <is>
          <t>Medium</t>
        </is>
      </c>
      <c r="F135" s="10" t="inlineStr">
        <is>
          <t>0161 832 7895</t>
        </is>
      </c>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UK-000342</t>
        </is>
      </c>
      <c r="B136" s="5" t="inlineStr">
        <is>
          <t>Aytac Foods Distribution</t>
        </is>
      </c>
      <c r="C136" s="5" t="inlineStr">
        <is>
          <t>Ashton-under-Lyne</t>
        </is>
      </c>
      <c r="D136" s="5" t="inlineStr">
        <is>
          <t>Cash &amp; Carry</t>
        </is>
      </c>
      <c r="E136" s="5" t="inlineStr">
        <is>
          <t>Medium</t>
        </is>
      </c>
      <c r="F136" s="5" t="inlineStr"/>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UK-000419</t>
        </is>
      </c>
      <c r="B137" s="10" t="inlineStr">
        <is>
          <t>Azad Supermarket - Alum Rock</t>
        </is>
      </c>
      <c r="C137" s="10" t="inlineStr">
        <is>
          <t>Birmingham</t>
        </is>
      </c>
      <c r="D137" s="10" t="inlineStr">
        <is>
          <t>Independent Supermarket</t>
        </is>
      </c>
      <c r="E137" s="10" t="inlineStr">
        <is>
          <t>Medium</t>
        </is>
      </c>
      <c r="F137" s="10" t="inlineStr"/>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UK-000420</t>
        </is>
      </c>
      <c r="B138" s="5" t="inlineStr">
        <is>
          <t>Azad Supermarket - Balsall Heath (Stoney Lane)</t>
        </is>
      </c>
      <c r="C138" s="5" t="inlineStr">
        <is>
          <t>Birmingham</t>
        </is>
      </c>
      <c r="D138" s="5" t="inlineStr">
        <is>
          <t>Independent Supermarket</t>
        </is>
      </c>
      <c r="E138" s="5" t="inlineStr">
        <is>
          <t>Medium</t>
        </is>
      </c>
      <c r="F138" s="5" t="inlineStr">
        <is>
          <t>0121 449 8882</t>
        </is>
      </c>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UK-000421</t>
        </is>
      </c>
      <c r="B139" s="10" t="inlineStr">
        <is>
          <t>Azad Supermarket - Sparkbrook (Ladypool Road)</t>
        </is>
      </c>
      <c r="C139" s="10" t="inlineStr">
        <is>
          <t>Birmingham</t>
        </is>
      </c>
      <c r="D139" s="10" t="inlineStr">
        <is>
          <t>Independent Supermarket</t>
        </is>
      </c>
      <c r="E139" s="10" t="inlineStr">
        <is>
          <t>Medium</t>
        </is>
      </c>
      <c r="F139" s="10" t="inlineStr"/>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WY-0054</t>
        </is>
      </c>
      <c r="B140" s="5" t="inlineStr">
        <is>
          <t>Azeem's Vape Shop</t>
        </is>
      </c>
      <c r="C140" s="5" t="inlineStr">
        <is>
          <t>Todmorden</t>
        </is>
      </c>
      <c r="D140" s="5" t="inlineStr">
        <is>
          <t>Vape Shop</t>
        </is>
      </c>
      <c r="E140" s="5" t="inlineStr">
        <is>
          <t>Medium</t>
        </is>
      </c>
      <c r="F140" s="5" t="inlineStr"/>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WY-0055</t>
        </is>
      </c>
      <c r="B141" s="10" t="inlineStr">
        <is>
          <t>BGC Wholesale</t>
        </is>
      </c>
      <c r="C141" s="10" t="inlineStr">
        <is>
          <t>Bradford</t>
        </is>
      </c>
      <c r="D141" s="10" t="inlineStr">
        <is>
          <t>Cash &amp; Carry</t>
        </is>
      </c>
      <c r="E141" s="10" t="inlineStr">
        <is>
          <t>Medium</t>
        </is>
      </c>
      <c r="F141" s="10" t="inlineStr">
        <is>
          <t>01274 651059</t>
        </is>
      </c>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UK-000710</t>
        </is>
      </c>
      <c r="B142" s="5" t="inlineStr">
        <is>
          <t>BP Cliftonhill (Cliftonhill Service Station) / Londis</t>
        </is>
      </c>
      <c r="C142" s="5" t="inlineStr">
        <is>
          <t>Coatbridge</t>
        </is>
      </c>
      <c r="D142" s="5" t="inlineStr">
        <is>
          <t>Petrol Station / Forecourt</t>
        </is>
      </c>
      <c r="E142" s="5" t="inlineStr">
        <is>
          <t>Medium</t>
        </is>
      </c>
      <c r="F142" s="5" t="inlineStr">
        <is>
          <t>01236 433242</t>
        </is>
      </c>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WY-0034</t>
        </is>
      </c>
      <c r="B143" s="10" t="inlineStr">
        <is>
          <t>BP Gledhow Service Station (Valli Forecourts)</t>
        </is>
      </c>
      <c r="C143" s="10" t="inlineStr">
        <is>
          <t>Leeds</t>
        </is>
      </c>
      <c r="D143" s="10" t="inlineStr">
        <is>
          <t>Petrol Station / Forecourt</t>
        </is>
      </c>
      <c r="E143" s="10" t="inlineStr">
        <is>
          <t>Medium</t>
        </is>
      </c>
      <c r="F143" s="10" t="inlineStr"/>
      <c r="G143" s="10" t="inlineStr"/>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UK-000344</t>
        </is>
      </c>
      <c r="B144" s="5" t="inlineStr">
        <is>
          <t>Babylon Night Shisha Lounge</t>
        </is>
      </c>
      <c r="C144" s="5" t="inlineStr">
        <is>
          <t>Oldham</t>
        </is>
      </c>
      <c r="D144" s="5" t="inlineStr">
        <is>
          <t>Smoke / Shisha Shop</t>
        </is>
      </c>
      <c r="E144" s="5" t="inlineStr">
        <is>
          <t>Medium</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UK-000691</t>
        </is>
      </c>
      <c r="B145" s="10" t="inlineStr">
        <is>
          <t>Bargain Booze - Lord Street Southport</t>
        </is>
      </c>
      <c r="C145" s="10" t="inlineStr">
        <is>
          <t>Southport</t>
        </is>
      </c>
      <c r="D145" s="10" t="inlineStr">
        <is>
          <t>Off-Licence</t>
        </is>
      </c>
      <c r="E145" s="10" t="inlineStr">
        <is>
          <t>Medium</t>
        </is>
      </c>
      <c r="F145" s="10" t="inlineStr">
        <is>
          <t>01704 534826</t>
        </is>
      </c>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UK-000697</t>
        </is>
      </c>
      <c r="B146" s="5" t="inlineStr">
        <is>
          <t>Bargain Booze - Page Moss</t>
        </is>
      </c>
      <c r="C146" s="5" t="inlineStr">
        <is>
          <t>Liverpool</t>
        </is>
      </c>
      <c r="D146" s="5" t="inlineStr">
        <is>
          <t>Off-Licence</t>
        </is>
      </c>
      <c r="E146" s="5" t="inlineStr">
        <is>
          <t>Medium</t>
        </is>
      </c>
      <c r="F146" s="5" t="inlineStr"/>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UK-000698</t>
        </is>
      </c>
      <c r="B147" s="10" t="inlineStr">
        <is>
          <t>Bargain Booze - Prescot Road</t>
        </is>
      </c>
      <c r="C147" s="10" t="inlineStr">
        <is>
          <t>Liverpool</t>
        </is>
      </c>
      <c r="D147" s="10" t="inlineStr">
        <is>
          <t>Off-Licence</t>
        </is>
      </c>
      <c r="E147" s="10" t="inlineStr">
        <is>
          <t>Medium</t>
        </is>
      </c>
      <c r="F147" s="10" t="inlineStr"/>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UK-000699</t>
        </is>
      </c>
      <c r="B148" s="5" t="inlineStr">
        <is>
          <t>Bargain Booze - West Derby Road</t>
        </is>
      </c>
      <c r="C148" s="5" t="inlineStr">
        <is>
          <t>Liverpool</t>
        </is>
      </c>
      <c r="D148" s="5" t="inlineStr">
        <is>
          <t>Off-Licence</t>
        </is>
      </c>
      <c r="E148" s="5" t="inlineStr">
        <is>
          <t>Medium</t>
        </is>
      </c>
      <c r="F148" s="5" t="inlineStr"/>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UK-000297</t>
        </is>
      </c>
      <c r="B149" s="10" t="inlineStr">
        <is>
          <t>Bargain Booze Plus Ashton-in-Makerfield</t>
        </is>
      </c>
      <c r="C149" s="10" t="inlineStr">
        <is>
          <t>Wigan</t>
        </is>
      </c>
      <c r="D149" s="10" t="inlineStr">
        <is>
          <t>Off-Licence</t>
        </is>
      </c>
      <c r="E149" s="10" t="inlineStr">
        <is>
          <t>Medium</t>
        </is>
      </c>
      <c r="F149" s="10" t="inlineStr"/>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UK-000692</t>
        </is>
      </c>
      <c r="B150" s="5" t="inlineStr">
        <is>
          <t>Bargain Booze Select Convenience - Newton-le-Willows</t>
        </is>
      </c>
      <c r="C150" s="5" t="inlineStr">
        <is>
          <t>Newton-le-Willows</t>
        </is>
      </c>
      <c r="D150" s="5" t="inlineStr">
        <is>
          <t>Off-Licence</t>
        </is>
      </c>
      <c r="E150" s="5" t="inlineStr">
        <is>
          <t>Medium</t>
        </is>
      </c>
      <c r="F150" s="5" t="inlineStr"/>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UK-000298</t>
        </is>
      </c>
      <c r="B151" s="10" t="inlineStr">
        <is>
          <t>Bargain Booze Wigan Lane</t>
        </is>
      </c>
      <c r="C151" s="10" t="inlineStr">
        <is>
          <t>Wigan</t>
        </is>
      </c>
      <c r="D151" s="10" t="inlineStr">
        <is>
          <t>Off-Licence</t>
        </is>
      </c>
      <c r="E151" s="10" t="inlineStr">
        <is>
          <t>Medium</t>
        </is>
      </c>
      <c r="F151" s="10" t="inlineStr">
        <is>
          <t>01942 829539</t>
        </is>
      </c>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UK-000237</t>
        </is>
      </c>
      <c r="B152" s="5" t="inlineStr">
        <is>
          <t>Bargains Cash &amp; Carry Ltd</t>
        </is>
      </c>
      <c r="C152" s="5" t="inlineStr">
        <is>
          <t>Sheffield</t>
        </is>
      </c>
      <c r="D152" s="5" t="inlineStr">
        <is>
          <t>Cash &amp; Carry</t>
        </is>
      </c>
      <c r="E152" s="5" t="inlineStr">
        <is>
          <t>Medium</t>
        </is>
      </c>
      <c r="F152" s="5" t="inlineStr"/>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WY-0060</t>
        </is>
      </c>
      <c r="B153" s="10" t="inlineStr">
        <is>
          <t>Batley Bargain Centre</t>
        </is>
      </c>
      <c r="C153" s="10" t="inlineStr">
        <is>
          <t>Batley</t>
        </is>
      </c>
      <c r="D153" s="10" t="inlineStr">
        <is>
          <t>Other Relevant Retail</t>
        </is>
      </c>
      <c r="E153" s="10" t="inlineStr">
        <is>
          <t>Medium</t>
        </is>
      </c>
      <c r="F153" s="10" t="inlineStr">
        <is>
          <t>01924 475600</t>
        </is>
      </c>
      <c r="G153" s="10" t="inlineStr">
        <is>
          <t>javorange@yahoo.co.uk</t>
        </is>
      </c>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WY-0062</t>
        </is>
      </c>
      <c r="B154" s="5" t="inlineStr">
        <is>
          <t>Bespoke Shisha</t>
        </is>
      </c>
      <c r="C154" s="5" t="inlineStr">
        <is>
          <t>Dewsbury</t>
        </is>
      </c>
      <c r="D154" s="5" t="inlineStr">
        <is>
          <t>Smoke / Shisha Shop</t>
        </is>
      </c>
      <c r="E154" s="5" t="inlineStr">
        <is>
          <t>Medium</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UK-000299</t>
        </is>
      </c>
      <c r="B155" s="10" t="inlineStr">
        <is>
          <t>Best One (Liverpool Road, Eccles)</t>
        </is>
      </c>
      <c r="C155" s="10" t="inlineStr">
        <is>
          <t>Eccles</t>
        </is>
      </c>
      <c r="D155" s="10" t="inlineStr">
        <is>
          <t>Off-Licence</t>
        </is>
      </c>
      <c r="E155" s="10" t="inlineStr">
        <is>
          <t>Medium</t>
        </is>
      </c>
      <c r="F155" s="10" t="inlineStr"/>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UK-000693</t>
        </is>
      </c>
      <c r="B156" s="5" t="inlineStr">
        <is>
          <t>Best-One Leith Walk Stores</t>
        </is>
      </c>
      <c r="C156" s="5" t="inlineStr">
        <is>
          <t>Edinburgh</t>
        </is>
      </c>
      <c r="D156" s="5" t="inlineStr">
        <is>
          <t>Convenience Store</t>
        </is>
      </c>
      <c r="E156" s="5" t="inlineStr">
        <is>
          <t>Medium</t>
        </is>
      </c>
      <c r="F156" s="5" t="inlineStr">
        <is>
          <t>0131 553 4260</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UK-000694</t>
        </is>
      </c>
      <c r="B157" s="10" t="inlineStr">
        <is>
          <t>Best-one - Charles Street</t>
        </is>
      </c>
      <c r="C157" s="10" t="inlineStr">
        <is>
          <t>St Helens</t>
        </is>
      </c>
      <c r="D157" s="10" t="inlineStr">
        <is>
          <t>Convenience Store</t>
        </is>
      </c>
      <c r="E157" s="10" t="inlineStr">
        <is>
          <t>Medium</t>
        </is>
      </c>
      <c r="F157" s="10" t="inlineStr"/>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UK-000695</t>
        </is>
      </c>
      <c r="B158" s="5" t="inlineStr">
        <is>
          <t>Best-one - Crow Lane East</t>
        </is>
      </c>
      <c r="C158" s="5" t="inlineStr">
        <is>
          <t>Newton-le-Willows</t>
        </is>
      </c>
      <c r="D158" s="5" t="inlineStr">
        <is>
          <t>Convenience Store</t>
        </is>
      </c>
      <c r="E158" s="5" t="inlineStr">
        <is>
          <t>Medium</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UK-000700</t>
        </is>
      </c>
      <c r="B159" s="10" t="inlineStr">
        <is>
          <t>Best-one - Elgin Court</t>
        </is>
      </c>
      <c r="C159" s="10" t="inlineStr">
        <is>
          <t>Prescot</t>
        </is>
      </c>
      <c r="D159" s="10" t="inlineStr">
        <is>
          <t>Convenience Store</t>
        </is>
      </c>
      <c r="E159" s="10" t="inlineStr">
        <is>
          <t>Medium</t>
        </is>
      </c>
      <c r="F159" s="10" t="inlineStr"/>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UK-000701</t>
        </is>
      </c>
      <c r="B160" s="5" t="inlineStr">
        <is>
          <t>Best-one - Halsnead Avenue</t>
        </is>
      </c>
      <c r="C160" s="5" t="inlineStr">
        <is>
          <t>Prescot</t>
        </is>
      </c>
      <c r="D160" s="5" t="inlineStr">
        <is>
          <t>Convenience Store</t>
        </is>
      </c>
      <c r="E160" s="5" t="inlineStr">
        <is>
          <t>Medium</t>
        </is>
      </c>
      <c r="F160" s="5" t="inlineStr"/>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UK-000702</t>
        </is>
      </c>
      <c r="B161" s="10" t="inlineStr">
        <is>
          <t>Best-one - Loweswater Way</t>
        </is>
      </c>
      <c r="C161" s="10" t="inlineStr">
        <is>
          <t>Liverpool</t>
        </is>
      </c>
      <c r="D161" s="10" t="inlineStr">
        <is>
          <t>Convenience Store</t>
        </is>
      </c>
      <c r="E161" s="10" t="inlineStr">
        <is>
          <t>Medium</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UK-000703</t>
        </is>
      </c>
      <c r="B162" s="5" t="inlineStr">
        <is>
          <t>Best-one - Westhall Avenue</t>
        </is>
      </c>
      <c r="C162" s="5" t="inlineStr">
        <is>
          <t>Liverpool</t>
        </is>
      </c>
      <c r="D162" s="5" t="inlineStr">
        <is>
          <t>Convenience Store</t>
        </is>
      </c>
      <c r="E162" s="5" t="inlineStr">
        <is>
          <t>Medium</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UK-000696</t>
        </is>
      </c>
      <c r="B163" s="10" t="inlineStr">
        <is>
          <t>Best-one Paisley (Greenhill Road)</t>
        </is>
      </c>
      <c r="C163" s="10" t="inlineStr">
        <is>
          <t>Paisley</t>
        </is>
      </c>
      <c r="D163" s="10" t="inlineStr">
        <is>
          <t>Convenience Store</t>
        </is>
      </c>
      <c r="E163" s="10" t="inlineStr">
        <is>
          <t>Medium</t>
        </is>
      </c>
      <c r="F163" s="10" t="inlineStr"/>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UK-000583</t>
        </is>
      </c>
      <c r="B164" s="5" t="inlineStr">
        <is>
          <t>Beyond Cash &amp; Carry</t>
        </is>
      </c>
      <c r="C164" s="5" t="inlineStr">
        <is>
          <t>East Ham</t>
        </is>
      </c>
      <c r="D164" s="5" t="inlineStr">
        <is>
          <t>Cash &amp; Carry</t>
        </is>
      </c>
      <c r="E164" s="5" t="inlineStr">
        <is>
          <t>Medium</t>
        </is>
      </c>
      <c r="F164" s="5" t="inlineStr"/>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WY-0064</t>
        </is>
      </c>
      <c r="B165" s="10" t="inlineStr">
        <is>
          <t>Big D Vapes</t>
        </is>
      </c>
      <c r="C165" s="10" t="inlineStr">
        <is>
          <t>Slaithwaite</t>
        </is>
      </c>
      <c r="D165" s="10" t="inlineStr">
        <is>
          <t>Vape Shop</t>
        </is>
      </c>
      <c r="E165" s="10" t="inlineStr">
        <is>
          <t>Medium</t>
        </is>
      </c>
      <c r="F165" s="10" t="inlineStr">
        <is>
          <t>01484 843253</t>
        </is>
      </c>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WY-0065</t>
        </is>
      </c>
      <c r="B166" s="5" t="inlineStr">
        <is>
          <t>Bingley Vape Shop</t>
        </is>
      </c>
      <c r="C166" s="5" t="inlineStr">
        <is>
          <t>Bingley</t>
        </is>
      </c>
      <c r="D166" s="5" t="inlineStr">
        <is>
          <t>Vape Shop</t>
        </is>
      </c>
      <c r="E166" s="5" t="inlineStr">
        <is>
          <t>Medium</t>
        </is>
      </c>
      <c r="F166" s="5" t="inlineStr">
        <is>
          <t>01535 213290</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UK-000585</t>
        </is>
      </c>
      <c r="B167" s="10" t="inlineStr">
        <is>
          <t>Blowers Vape Shop Ltd</t>
        </is>
      </c>
      <c r="C167" s="10" t="inlineStr">
        <is>
          <t>Uxbridge</t>
        </is>
      </c>
      <c r="D167" s="10" t="inlineStr">
        <is>
          <t>Vape Shop</t>
        </is>
      </c>
      <c r="E167" s="10" t="inlineStr">
        <is>
          <t>Medium</t>
        </is>
      </c>
      <c r="F167" s="10" t="inlineStr">
        <is>
          <t>01895 254502</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UK-000347</t>
        </is>
      </c>
      <c r="B168" s="5" t="inlineStr">
        <is>
          <t>Bolton Vape Store</t>
        </is>
      </c>
      <c r="C168" s="5" t="inlineStr">
        <is>
          <t>Bolton</t>
        </is>
      </c>
      <c r="D168" s="5" t="inlineStr">
        <is>
          <t>Vape Shop</t>
        </is>
      </c>
      <c r="E168" s="5" t="inlineStr">
        <is>
          <t>Medium</t>
        </is>
      </c>
      <c r="F168" s="5" t="inlineStr">
        <is>
          <t>07478 718602</t>
        </is>
      </c>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WY-0067</t>
        </is>
      </c>
      <c r="B169" s="10" t="inlineStr">
        <is>
          <t>Booze Express</t>
        </is>
      </c>
      <c r="C169" s="10" t="inlineStr">
        <is>
          <t>Halifax</t>
        </is>
      </c>
      <c r="D169" s="10" t="inlineStr">
        <is>
          <t>Off-Licence</t>
        </is>
      </c>
      <c r="E169" s="10" t="inlineStr">
        <is>
          <t>Medium</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UK-000759</t>
        </is>
      </c>
      <c r="B170" s="5" t="inlineStr">
        <is>
          <t>Brothers Vape Store</t>
        </is>
      </c>
      <c r="C170" s="5" t="inlineStr">
        <is>
          <t>St Helens</t>
        </is>
      </c>
      <c r="D170" s="5" t="inlineStr">
        <is>
          <t>Vape Shop</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WY-0071</t>
        </is>
      </c>
      <c r="B171" s="10" t="inlineStr">
        <is>
          <t>C Booth and Son</t>
        </is>
      </c>
      <c r="C171" s="10" t="inlineStr">
        <is>
          <t>Huddersfield</t>
        </is>
      </c>
      <c r="D171" s="10" t="inlineStr">
        <is>
          <t>Tobacco Specialist</t>
        </is>
      </c>
      <c r="E171" s="10" t="inlineStr">
        <is>
          <t>Medium</t>
        </is>
      </c>
      <c r="F171" s="10" t="inlineStr"/>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UK-000239</t>
        </is>
      </c>
      <c r="B172" s="5" t="inlineStr">
        <is>
          <t>CK Fast Food Suppliers</t>
        </is>
      </c>
      <c r="C172" s="5" t="inlineStr">
        <is>
          <t>Kingston upon Hull</t>
        </is>
      </c>
      <c r="D172" s="5" t="inlineStr">
        <is>
          <t>Cash &amp; Carry</t>
        </is>
      </c>
      <c r="E172" s="5" t="inlineStr">
        <is>
          <t>Medium</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UK-000590</t>
        </is>
      </c>
      <c r="B173" s="10" t="inlineStr">
        <is>
          <t>Camden Vape</t>
        </is>
      </c>
      <c r="C173" s="10" t="inlineStr">
        <is>
          <t>London</t>
        </is>
      </c>
      <c r="D173" s="10" t="inlineStr">
        <is>
          <t>Vape Shop</t>
        </is>
      </c>
      <c r="E173" s="10" t="inlineStr">
        <is>
          <t>Medium</t>
        </is>
      </c>
      <c r="F173" s="10" t="inlineStr">
        <is>
          <t>0333 305 2822</t>
        </is>
      </c>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UK-000704</t>
        </is>
      </c>
      <c r="B174" s="5" t="inlineStr">
        <is>
          <t>Campbells Cash &amp; Carry</t>
        </is>
      </c>
      <c r="C174" s="5" t="inlineStr">
        <is>
          <t>Edinburgh</t>
        </is>
      </c>
      <c r="D174" s="5" t="inlineStr">
        <is>
          <t>Cash &amp; Carry</t>
        </is>
      </c>
      <c r="E174" s="5" t="inlineStr">
        <is>
          <t>Medium</t>
        </is>
      </c>
      <c r="F174" s="5" t="inlineStr">
        <is>
          <t>0131 442 4999</t>
        </is>
      </c>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WY-0073</t>
        </is>
      </c>
      <c r="B175" s="10" t="inlineStr">
        <is>
          <t>Caspar's Bottle Shop</t>
        </is>
      </c>
      <c r="C175" s="10" t="inlineStr">
        <is>
          <t>Leeds</t>
        </is>
      </c>
      <c r="D175" s="10" t="inlineStr">
        <is>
          <t>Off-Licence</t>
        </is>
      </c>
      <c r="E175" s="10" t="inlineStr">
        <is>
          <t>Medium</t>
        </is>
      </c>
      <c r="F175" s="10" t="inlineStr">
        <is>
          <t>0113 237 4554</t>
        </is>
      </c>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UK-000459</t>
        </is>
      </c>
      <c r="B176" s="5" t="inlineStr">
        <is>
          <t>Caspian Foods Cash &amp; Carry Limited</t>
        </is>
      </c>
      <c r="C176" s="5" t="inlineStr">
        <is>
          <t>Birmingham</t>
        </is>
      </c>
      <c r="D176" s="5" t="inlineStr">
        <is>
          <t>Cash &amp; Carry</t>
        </is>
      </c>
      <c r="E176" s="5" t="inlineStr">
        <is>
          <t>Medium</t>
        </is>
      </c>
      <c r="F176" s="5" t="inlineStr"/>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UK-000461</t>
        </is>
      </c>
      <c r="B177" s="10" t="inlineStr">
        <is>
          <t>Cave Lounge</t>
        </is>
      </c>
      <c r="C177" s="10" t="inlineStr">
        <is>
          <t>Wolverhampton</t>
        </is>
      </c>
      <c r="D177" s="10" t="inlineStr">
        <is>
          <t>Smoke / Shisha Shop</t>
        </is>
      </c>
      <c r="E177" s="10" t="inlineStr">
        <is>
          <t>Medium</t>
        </is>
      </c>
      <c r="F177" s="10" t="inlineStr"/>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UK-000349</t>
        </is>
      </c>
      <c r="B178" s="5" t="inlineStr">
        <is>
          <t>Cheapasmokes Bolton</t>
        </is>
      </c>
      <c r="C178" s="5" t="inlineStr">
        <is>
          <t>Bolton</t>
        </is>
      </c>
      <c r="D178" s="5" t="inlineStr">
        <is>
          <t>Tobacco Specialist</t>
        </is>
      </c>
      <c r="E178" s="5" t="inlineStr">
        <is>
          <t>Medium</t>
        </is>
      </c>
      <c r="F178" s="5" t="inlineStr"/>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WY-0016</t>
        </is>
      </c>
      <c r="B179" s="10" t="inlineStr">
        <is>
          <t>Chidswell Service Station (Karan Retail)</t>
        </is>
      </c>
      <c r="C179" s="10" t="inlineStr">
        <is>
          <t>Dewsbury</t>
        </is>
      </c>
      <c r="D179" s="10" t="inlineStr">
        <is>
          <t>Petrol Station / Forecourt</t>
        </is>
      </c>
      <c r="E179" s="10" t="inlineStr">
        <is>
          <t>Medium</t>
        </is>
      </c>
      <c r="F179" s="10" t="inlineStr"/>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UK-000763</t>
        </is>
      </c>
      <c r="B180" s="5" t="inlineStr">
        <is>
          <t>Cignil Vapour</t>
        </is>
      </c>
      <c r="C180" s="5" t="inlineStr">
        <is>
          <t>Livingston</t>
        </is>
      </c>
      <c r="D180" s="5" t="inlineStr">
        <is>
          <t>Vape Shop</t>
        </is>
      </c>
      <c r="E180" s="5" t="inlineStr">
        <is>
          <t>Medium</t>
        </is>
      </c>
      <c r="F180" s="5" t="inlineStr"/>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UK-000241</t>
        </is>
      </c>
      <c r="B181" s="10" t="inlineStr">
        <is>
          <t>Cirrus Vape Hull</t>
        </is>
      </c>
      <c r="C181" s="10" t="inlineStr">
        <is>
          <t>Kingston upon Hull</t>
        </is>
      </c>
      <c r="D181" s="10" t="inlineStr">
        <is>
          <t>Vape Shop</t>
        </is>
      </c>
      <c r="E181" s="10" t="inlineStr">
        <is>
          <t>Medium</t>
        </is>
      </c>
      <c r="F181" s="10" t="inlineStr"/>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UK-000764</t>
        </is>
      </c>
      <c r="B182" s="5" t="inlineStr">
        <is>
          <t>Coatbridge Vape Shop</t>
        </is>
      </c>
      <c r="C182" s="5" t="inlineStr">
        <is>
          <t>Coatbridge</t>
        </is>
      </c>
      <c r="D182" s="5" t="inlineStr">
        <is>
          <t>Vape Shop</t>
        </is>
      </c>
      <c r="E182" s="5" t="inlineStr">
        <is>
          <t>Medium</t>
        </is>
      </c>
      <c r="F182" s="5" t="inlineStr">
        <is>
          <t>01236 437101</t>
        </is>
      </c>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UK-000462</t>
        </is>
      </c>
      <c r="B183" s="10" t="inlineStr">
        <is>
          <t>Colley-Vape</t>
        </is>
      </c>
      <c r="C183" s="10" t="inlineStr">
        <is>
          <t>Halesowen</t>
        </is>
      </c>
      <c r="D183" s="10" t="inlineStr">
        <is>
          <t>Vape Shop</t>
        </is>
      </c>
      <c r="E183" s="10" t="inlineStr">
        <is>
          <t>Medium</t>
        </is>
      </c>
      <c r="F183" s="10" t="inlineStr"/>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UK-000301</t>
        </is>
      </c>
      <c r="B184" s="5" t="inlineStr">
        <is>
          <t>Costcutter Shevington</t>
        </is>
      </c>
      <c r="C184" s="5" t="inlineStr">
        <is>
          <t>Wigan</t>
        </is>
      </c>
      <c r="D184" s="5" t="inlineStr">
        <is>
          <t>Convenience Store</t>
        </is>
      </c>
      <c r="E184" s="5" t="inlineStr">
        <is>
          <t>Medium</t>
        </is>
      </c>
      <c r="F184" s="5" t="inlineStr"/>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UK-000195</t>
        </is>
      </c>
      <c r="B185" s="10" t="inlineStr">
        <is>
          <t>Costcutter Tadcaster</t>
        </is>
      </c>
      <c r="C185" s="10" t="inlineStr">
        <is>
          <t>Tadcaster</t>
        </is>
      </c>
      <c r="D185" s="10" t="inlineStr">
        <is>
          <t>Convenience Store</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WY-0076</t>
        </is>
      </c>
      <c r="B186" s="5" t="inlineStr">
        <is>
          <t>Costcutter Wibsey</t>
        </is>
      </c>
      <c r="C186" s="5" t="inlineStr">
        <is>
          <t>Bradford</t>
        </is>
      </c>
      <c r="D186" s="5" t="inlineStr">
        <is>
          <t>Convenience Store</t>
        </is>
      </c>
      <c r="E186" s="5" t="inlineStr">
        <is>
          <t>Medium</t>
        </is>
      </c>
      <c r="F186" s="5" t="inlineStr">
        <is>
          <t>01274 723454</t>
        </is>
      </c>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UK-000423</t>
        </is>
      </c>
      <c r="B187" s="10" t="inlineStr">
        <is>
          <t>Costcutter Yardley Wood</t>
        </is>
      </c>
      <c r="C187" s="10" t="inlineStr">
        <is>
          <t>Birmingham</t>
        </is>
      </c>
      <c r="D187" s="10" t="inlineStr">
        <is>
          <t>Convenience Store</t>
        </is>
      </c>
      <c r="E187" s="10" t="inlineStr">
        <is>
          <t>Medium</t>
        </is>
      </c>
      <c r="F187" s="10" t="inlineStr">
        <is>
          <t>0121 436 7621</t>
        </is>
      </c>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UK-000302</t>
        </is>
      </c>
      <c r="B188" s="5" t="inlineStr">
        <is>
          <t>Costsaver Convenience Store Whitefield</t>
        </is>
      </c>
      <c r="C188" s="5" t="inlineStr">
        <is>
          <t>Whitefield</t>
        </is>
      </c>
      <c r="D188" s="5" t="inlineStr">
        <is>
          <t>Convenience Store</t>
        </is>
      </c>
      <c r="E188" s="5" t="inlineStr">
        <is>
          <t>Medium</t>
        </is>
      </c>
      <c r="F188" s="5" t="inlineStr"/>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WY-0077</t>
        </is>
      </c>
      <c r="B189" s="10" t="inlineStr">
        <is>
          <t>Cote Hill Filling Station</t>
        </is>
      </c>
      <c r="C189" s="10" t="inlineStr">
        <is>
          <t>Halifax</t>
        </is>
      </c>
      <c r="D189" s="10" t="inlineStr">
        <is>
          <t>Petrol Station / Forecourt</t>
        </is>
      </c>
      <c r="E189" s="10" t="inlineStr">
        <is>
          <t>Medium</t>
        </is>
      </c>
      <c r="F189" s="10" t="inlineStr">
        <is>
          <t>01422 835350</t>
        </is>
      </c>
      <c r="G189" s="10" t="inlineStr">
        <is>
          <t>cotehillhalifax@gmail.com</t>
        </is>
      </c>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UK-000242</t>
        </is>
      </c>
      <c r="B190" s="5" t="inlineStr">
        <is>
          <t>Cram Vape Doncaster</t>
        </is>
      </c>
      <c r="C190" s="5" t="inlineStr">
        <is>
          <t>Doncaster</t>
        </is>
      </c>
      <c r="D190" s="5" t="inlineStr">
        <is>
          <t>Vape Shop</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WY-0078</t>
        </is>
      </c>
      <c r="B191" s="10" t="inlineStr">
        <is>
          <t>Crazycloudzzz</t>
        </is>
      </c>
      <c r="C191" s="10" t="inlineStr">
        <is>
          <t>Halifax</t>
        </is>
      </c>
      <c r="D191" s="10" t="inlineStr">
        <is>
          <t>Vape Shop</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UK-000592</t>
        </is>
      </c>
      <c r="B192" s="5" t="inlineStr">
        <is>
          <t>Custom Vapes</t>
        </is>
      </c>
      <c r="C192" s="5" t="inlineStr">
        <is>
          <t>Stratford</t>
        </is>
      </c>
      <c r="D192" s="5" t="inlineStr">
        <is>
          <t>Vape Shop</t>
        </is>
      </c>
      <c r="E192" s="5" t="inlineStr">
        <is>
          <t>Medium</t>
        </is>
      </c>
      <c r="F192" s="5" t="inlineStr"/>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UK-000463</t>
        </is>
      </c>
      <c r="B193" s="10" t="inlineStr">
        <is>
          <t>DNB Vapes</t>
        </is>
      </c>
      <c r="C193" s="10" t="inlineStr">
        <is>
          <t>Brierley Hill</t>
        </is>
      </c>
      <c r="D193" s="10" t="inlineStr">
        <is>
          <t>Vape Shop</t>
        </is>
      </c>
      <c r="E193" s="10" t="inlineStr">
        <is>
          <t>Medium</t>
        </is>
      </c>
      <c r="F193" s="10" t="inlineStr"/>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UK-000715</t>
        </is>
      </c>
      <c r="B194" s="5" t="inlineStr">
        <is>
          <t>Dalry Premier Store</t>
        </is>
      </c>
      <c r="C194" s="5" t="inlineStr">
        <is>
          <t>Edinburgh</t>
        </is>
      </c>
      <c r="D194" s="5" t="inlineStr">
        <is>
          <t>Convenience Store</t>
        </is>
      </c>
      <c r="E194" s="5" t="inlineStr">
        <is>
          <t>Medium</t>
        </is>
      </c>
      <c r="F194" s="5" t="inlineStr"/>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WY-0025</t>
        </is>
      </c>
      <c r="B195" s="10" t="inlineStr">
        <is>
          <t>Dewsbury Service Station (Savile Petroleum)</t>
        </is>
      </c>
      <c r="C195" s="10" t="inlineStr">
        <is>
          <t>Dewsbury</t>
        </is>
      </c>
      <c r="D195" s="10" t="inlineStr">
        <is>
          <t>Petrol Station / Forecourt</t>
        </is>
      </c>
      <c r="E195" s="10" t="inlineStr">
        <is>
          <t>Medium</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UK-000552</t>
        </is>
      </c>
      <c r="B196" s="5" t="inlineStr">
        <is>
          <t>Dhamecha Cash &amp; Carry (Wembley)</t>
        </is>
      </c>
      <c r="C196" s="5" t="inlineStr">
        <is>
          <t>Wembley</t>
        </is>
      </c>
      <c r="D196" s="5" t="inlineStr">
        <is>
          <t>Cash &amp; Carry</t>
        </is>
      </c>
      <c r="E196" s="5" t="inlineStr">
        <is>
          <t>Medium</t>
        </is>
      </c>
      <c r="F196" s="5" t="inlineStr"/>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UK-000437</t>
        </is>
      </c>
      <c r="B197" s="10" t="inlineStr">
        <is>
          <t>Dhillons Convenience Store</t>
        </is>
      </c>
      <c r="C197" s="10" t="inlineStr">
        <is>
          <t>Birmingham</t>
        </is>
      </c>
      <c r="D197" s="10" t="inlineStr">
        <is>
          <t>Convenience Store</t>
        </is>
      </c>
      <c r="E197" s="10" t="inlineStr">
        <is>
          <t>Medium</t>
        </is>
      </c>
      <c r="F197" s="10" t="inlineStr">
        <is>
          <t>0121 350 8581</t>
        </is>
      </c>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UK-000352</t>
        </is>
      </c>
      <c r="B198" s="5" t="inlineStr">
        <is>
          <t>Dial Me A Shisha</t>
        </is>
      </c>
      <c r="C198" s="5" t="inlineStr">
        <is>
          <t>Bolton</t>
        </is>
      </c>
      <c r="D198" s="5" t="inlineStr">
        <is>
          <t>Smoke / Shisha Shop</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UK-000705</t>
        </is>
      </c>
      <c r="B199" s="10" t="inlineStr">
        <is>
          <t>Dr Vapor Edinburgh (Dalry)</t>
        </is>
      </c>
      <c r="C199" s="10" t="inlineStr">
        <is>
          <t>Edinburgh</t>
        </is>
      </c>
      <c r="D199" s="10" t="inlineStr">
        <is>
          <t>Vape Shop</t>
        </is>
      </c>
      <c r="E199" s="10" t="inlineStr">
        <is>
          <t>Medium</t>
        </is>
      </c>
      <c r="F199" s="10" t="inlineStr">
        <is>
          <t>0131 347 1581</t>
        </is>
      </c>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UK-000706</t>
        </is>
      </c>
      <c r="B200" s="5" t="inlineStr">
        <is>
          <t>Dr Vapor Edinburgh (Parsons Green)</t>
        </is>
      </c>
      <c r="C200" s="5" t="inlineStr">
        <is>
          <t>Edinburgh</t>
        </is>
      </c>
      <c r="D200" s="5" t="inlineStr">
        <is>
          <t>Vape Shop</t>
        </is>
      </c>
      <c r="E200" s="5" t="inlineStr">
        <is>
          <t>Medium</t>
        </is>
      </c>
      <c r="F200" s="5" t="inlineStr">
        <is>
          <t>0131 281 2385</t>
        </is>
      </c>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UK-000354</t>
        </is>
      </c>
      <c r="B201" s="10" t="inlineStr">
        <is>
          <t>Dragon Vape Leigh</t>
        </is>
      </c>
      <c r="C201" s="10" t="inlineStr">
        <is>
          <t>Leigh</t>
        </is>
      </c>
      <c r="D201" s="10" t="inlineStr">
        <is>
          <t>Vape Shop</t>
        </is>
      </c>
      <c r="E201" s="10" t="inlineStr">
        <is>
          <t>Medium</t>
        </is>
      </c>
      <c r="F201" s="10" t="inlineStr">
        <is>
          <t>0161 723 0064</t>
        </is>
      </c>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UK-000355</t>
        </is>
      </c>
      <c r="B202" s="5" t="inlineStr">
        <is>
          <t>Draycott Trading Cash &amp; Carry</t>
        </is>
      </c>
      <c r="C202" s="5" t="inlineStr">
        <is>
          <t>Bolton</t>
        </is>
      </c>
      <c r="D202" s="5" t="inlineStr">
        <is>
          <t>Cash &amp; Carry</t>
        </is>
      </c>
      <c r="E202" s="5" t="inlineStr">
        <is>
          <t>Medium</t>
        </is>
      </c>
      <c r="F202" s="5" t="inlineStr">
        <is>
          <t>01204 387779</t>
        </is>
      </c>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UK-000768</t>
        </is>
      </c>
      <c r="B203" s="10" t="inlineStr">
        <is>
          <t>Drip Crazy Vapes</t>
        </is>
      </c>
      <c r="C203" s="10" t="inlineStr">
        <is>
          <t>Kirkcaldy</t>
        </is>
      </c>
      <c r="D203" s="10" t="inlineStr">
        <is>
          <t>Vape Shop</t>
        </is>
      </c>
      <c r="E203" s="10" t="inlineStr">
        <is>
          <t>Medium</t>
        </is>
      </c>
      <c r="F203" s="10" t="inlineStr">
        <is>
          <t>01592 560398</t>
        </is>
      </c>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UK-000356</t>
        </is>
      </c>
      <c r="B204" s="5" t="inlineStr">
        <is>
          <t>Dubai Cafe &amp; Shisha Bar (Rusholme)</t>
        </is>
      </c>
      <c r="C204" s="5" t="inlineStr">
        <is>
          <t>Manchester</t>
        </is>
      </c>
      <c r="D204" s="5" t="inlineStr">
        <is>
          <t>Smoke / Shisha Shop</t>
        </is>
      </c>
      <c r="E204" s="5" t="inlineStr">
        <is>
          <t>Medium</t>
        </is>
      </c>
      <c r="F204" s="5" t="inlineStr">
        <is>
          <t>0161 224 9040</t>
        </is>
      </c>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UK-000357</t>
        </is>
      </c>
      <c r="B205" s="10" t="inlineStr">
        <is>
          <t>E-cig &amp; Gadget Shop</t>
        </is>
      </c>
      <c r="C205" s="10" t="inlineStr">
        <is>
          <t>Rochdale</t>
        </is>
      </c>
      <c r="D205" s="10" t="inlineStr">
        <is>
          <t>Vape Shop</t>
        </is>
      </c>
      <c r="E205" s="10" t="inlineStr">
        <is>
          <t>Medium</t>
        </is>
      </c>
      <c r="F205" s="10" t="inlineStr">
        <is>
          <t>07544 490446</t>
        </is>
      </c>
      <c r="G205" s="10" t="inlineStr">
        <is>
          <t>admin@ecig-gadgets.com</t>
        </is>
      </c>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UK-000597</t>
        </is>
      </c>
      <c r="B206" s="5" t="inlineStr">
        <is>
          <t>E17 Vape Bar</t>
        </is>
      </c>
      <c r="C206" s="5" t="inlineStr">
        <is>
          <t>Walthamstow</t>
        </is>
      </c>
      <c r="D206" s="5" t="inlineStr">
        <is>
          <t>Vape Shop</t>
        </is>
      </c>
      <c r="E206" s="5" t="inlineStr">
        <is>
          <t>Medium</t>
        </is>
      </c>
      <c r="F206" s="5" t="inlineStr"/>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WY-0081</t>
        </is>
      </c>
      <c r="B207" s="10" t="inlineStr">
        <is>
          <t>ECigarette Outlet</t>
        </is>
      </c>
      <c r="C207" s="10" t="inlineStr">
        <is>
          <t>Shipley</t>
        </is>
      </c>
      <c r="D207" s="10" t="inlineStr">
        <is>
          <t>Vape Shop</t>
        </is>
      </c>
      <c r="E207" s="10" t="inlineStr">
        <is>
          <t>Medium</t>
        </is>
      </c>
      <c r="F207" s="10" t="inlineStr"/>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UK-000424</t>
        </is>
      </c>
      <c r="B208" s="5" t="inlineStr">
        <is>
          <t>East End Foods (West Bromwich)</t>
        </is>
      </c>
      <c r="C208" s="5" t="inlineStr">
        <is>
          <t>West Bromwich</t>
        </is>
      </c>
      <c r="D208" s="5" t="inlineStr">
        <is>
          <t>Cash &amp; Carry</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WY-0082</t>
        </is>
      </c>
      <c r="B209" s="10" t="inlineStr">
        <is>
          <t>Ecig N Vape</t>
        </is>
      </c>
      <c r="C209" s="10" t="inlineStr">
        <is>
          <t>Heckmondwike</t>
        </is>
      </c>
      <c r="D209" s="10" t="inlineStr">
        <is>
          <t>Vape Shop</t>
        </is>
      </c>
      <c r="E209" s="10" t="inlineStr">
        <is>
          <t>Medium</t>
        </is>
      </c>
      <c r="F209" s="10" t="inlineStr">
        <is>
          <t>01924 402342</t>
        </is>
      </c>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UK-000243</t>
        </is>
      </c>
      <c r="B210" s="5" t="inlineStr">
        <is>
          <t>Ecigbox Northallerton</t>
        </is>
      </c>
      <c r="C210" s="5" t="inlineStr">
        <is>
          <t>Northallerton</t>
        </is>
      </c>
      <c r="D210" s="5" t="inlineStr">
        <is>
          <t>Vape Shop</t>
        </is>
      </c>
      <c r="E210" s="5" t="inlineStr">
        <is>
          <t>Medium</t>
        </is>
      </c>
      <c r="F210" s="5" t="inlineStr"/>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UK-000197</t>
        </is>
      </c>
      <c r="B211" s="10" t="inlineStr">
        <is>
          <t>Electric Vaper Barnsley</t>
        </is>
      </c>
      <c r="C211" s="10" t="inlineStr">
        <is>
          <t>Barnsley</t>
        </is>
      </c>
      <c r="D211" s="10" t="inlineStr">
        <is>
          <t>Vape Shop</t>
        </is>
      </c>
      <c r="E211" s="10" t="inlineStr">
        <is>
          <t>Medium</t>
        </is>
      </c>
      <c r="F211" s="10" t="inlineStr"/>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UK-000770</t>
        </is>
      </c>
      <c r="B212" s="5" t="inlineStr">
        <is>
          <t>Electro Vapors</t>
        </is>
      </c>
      <c r="C212" s="5" t="inlineStr">
        <is>
          <t>Bootle</t>
        </is>
      </c>
      <c r="D212" s="5" t="inlineStr">
        <is>
          <t>Vape Shop</t>
        </is>
      </c>
      <c r="E212" s="5" t="inlineStr">
        <is>
          <t>Medium</t>
        </is>
      </c>
      <c r="F212" s="5" t="inlineStr">
        <is>
          <t>0151 922 3994</t>
        </is>
      </c>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UK-000601</t>
        </is>
      </c>
      <c r="B213" s="10" t="inlineStr">
        <is>
          <t>Eliquid Base (Kentish Town)</t>
        </is>
      </c>
      <c r="C213" s="10" t="inlineStr">
        <is>
          <t>London</t>
        </is>
      </c>
      <c r="D213" s="10" t="inlineStr">
        <is>
          <t>Vape Shop</t>
        </is>
      </c>
      <c r="E213" s="10" t="inlineStr">
        <is>
          <t>Medium</t>
        </is>
      </c>
      <c r="F213" s="10" t="inlineStr">
        <is>
          <t>020 3475 6519</t>
        </is>
      </c>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UK-000771</t>
        </is>
      </c>
      <c r="B214" s="5" t="inlineStr">
        <is>
          <t>Elite Wholesale</t>
        </is>
      </c>
      <c r="C214" s="5" t="inlineStr">
        <is>
          <t>Edinburgh</t>
        </is>
      </c>
      <c r="D214" s="5" t="inlineStr">
        <is>
          <t>Cash &amp; Carry</t>
        </is>
      </c>
      <c r="E214" s="5" t="inlineStr">
        <is>
          <t>Medium</t>
        </is>
      </c>
      <c r="F214" s="5" t="inlineStr"/>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UK-000470</t>
        </is>
      </c>
      <c r="B215" s="10" t="inlineStr">
        <is>
          <t>Emperors Shisha Lounge Cafe</t>
        </is>
      </c>
      <c r="C215" s="10" t="inlineStr">
        <is>
          <t>Birmingham</t>
        </is>
      </c>
      <c r="D215" s="10" t="inlineStr">
        <is>
          <t>Smoke / Shisha Shop</t>
        </is>
      </c>
      <c r="E215" s="10" t="inlineStr">
        <is>
          <t>Medium</t>
        </is>
      </c>
      <c r="F215" s="10" t="inlineStr"/>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WY-0083</t>
        </is>
      </c>
      <c r="B216" s="5" t="inlineStr">
        <is>
          <t>Emporium Vapez</t>
        </is>
      </c>
      <c r="C216" s="5" t="inlineStr">
        <is>
          <t>Dewsbury</t>
        </is>
      </c>
      <c r="D216" s="5" t="inlineStr">
        <is>
          <t>Vape Shop</t>
        </is>
      </c>
      <c r="E216" s="5" t="inlineStr">
        <is>
          <t>Medium</t>
        </is>
      </c>
      <c r="F216" s="5" t="inlineStr">
        <is>
          <t>07375 706970</t>
        </is>
      </c>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UK-000774</t>
        </is>
      </c>
      <c r="B217" s="10" t="inlineStr">
        <is>
          <t>Emporium Vapour</t>
        </is>
      </c>
      <c r="C217" s="10" t="inlineStr">
        <is>
          <t>Falkirk</t>
        </is>
      </c>
      <c r="D217" s="10" t="inlineStr">
        <is>
          <t>Vape Shop</t>
        </is>
      </c>
      <c r="E217" s="10" t="inlineStr">
        <is>
          <t>Medium</t>
        </is>
      </c>
      <c r="F217" s="10" t="inlineStr">
        <is>
          <t>0800 612 7270</t>
        </is>
      </c>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UK-000553</t>
        </is>
      </c>
      <c r="B218" s="5" t="inlineStr">
        <is>
          <t>Evapo - Hammersmith Broadway</t>
        </is>
      </c>
      <c r="C218" s="5" t="inlineStr">
        <is>
          <t>London</t>
        </is>
      </c>
      <c r="D218" s="5" t="inlineStr">
        <is>
          <t>Vape Shop</t>
        </is>
      </c>
      <c r="E218" s="5" t="inlineStr">
        <is>
          <t>Medium</t>
        </is>
      </c>
      <c r="F218" s="5" t="inlineStr"/>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UK-000554</t>
        </is>
      </c>
      <c r="B219" s="10" t="inlineStr">
        <is>
          <t>Evapo - Soho (Denman Street)</t>
        </is>
      </c>
      <c r="C219" s="10" t="inlineStr">
        <is>
          <t>London</t>
        </is>
      </c>
      <c r="D219" s="10" t="inlineStr">
        <is>
          <t>Vape Shop</t>
        </is>
      </c>
      <c r="E219" s="10" t="inlineStr">
        <is>
          <t>Medium</t>
        </is>
      </c>
      <c r="F219" s="10" t="inlineStr">
        <is>
          <t>07388 995052</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UK-000358</t>
        </is>
      </c>
      <c r="B220" s="5" t="inlineStr">
        <is>
          <t>Ezee-Quit</t>
        </is>
      </c>
      <c r="C220" s="5" t="inlineStr">
        <is>
          <t>Denton</t>
        </is>
      </c>
      <c r="D220" s="5" t="inlineStr">
        <is>
          <t>Vape Shop</t>
        </is>
      </c>
      <c r="E220" s="5" t="inlineStr">
        <is>
          <t>Medium</t>
        </is>
      </c>
      <c r="F220" s="5" t="inlineStr"/>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UK-000244</t>
        </is>
      </c>
      <c r="B221" s="10" t="inlineStr">
        <is>
          <t>Fantasy Vapez</t>
        </is>
      </c>
      <c r="C221" s="10" t="inlineStr">
        <is>
          <t>Cleethorpes</t>
        </is>
      </c>
      <c r="D221" s="10" t="inlineStr">
        <is>
          <t>Vape Shop</t>
        </is>
      </c>
      <c r="E221" s="10" t="inlineStr">
        <is>
          <t>Medium</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WY-0084</t>
        </is>
      </c>
      <c r="B222" s="5" t="inlineStr">
        <is>
          <t>FilFoods Filipino Store</t>
        </is>
      </c>
      <c r="C222" s="5" t="inlineStr">
        <is>
          <t>Leeds</t>
        </is>
      </c>
      <c r="D222" s="5" t="inlineStr">
        <is>
          <t>Independent Supermarket</t>
        </is>
      </c>
      <c r="E222" s="5" t="inlineStr">
        <is>
          <t>Medium</t>
        </is>
      </c>
      <c r="F222" s="5" t="inlineStr">
        <is>
          <t>0113 440 1031</t>
        </is>
      </c>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UK-000245</t>
        </is>
      </c>
      <c r="B223" s="10" t="inlineStr">
        <is>
          <t>First Choice Off Licence</t>
        </is>
      </c>
      <c r="C223" s="10" t="inlineStr">
        <is>
          <t>Sheffield</t>
        </is>
      </c>
      <c r="D223" s="10" t="inlineStr">
        <is>
          <t>Off-Licence</t>
        </is>
      </c>
      <c r="E223" s="10" t="inlineStr">
        <is>
          <t>Medium</t>
        </is>
      </c>
      <c r="F223" s="10" t="inlineStr"/>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UK-000205</t>
        </is>
      </c>
      <c r="B224" s="5" t="inlineStr">
        <is>
          <t>Firth Park Convenience Store</t>
        </is>
      </c>
      <c r="C224" s="5" t="inlineStr">
        <is>
          <t>Sheffield</t>
        </is>
      </c>
      <c r="D224" s="5" t="inlineStr">
        <is>
          <t>Convenience Store</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UK-000427</t>
        </is>
      </c>
      <c r="B225" s="10" t="inlineStr">
        <is>
          <t>Flavour Vapour Birmingham</t>
        </is>
      </c>
      <c r="C225" s="10" t="inlineStr">
        <is>
          <t>Birmingham</t>
        </is>
      </c>
      <c r="D225" s="10" t="inlineStr">
        <is>
          <t>Vape Shop</t>
        </is>
      </c>
      <c r="E225" s="10" t="inlineStr">
        <is>
          <t>Medium</t>
        </is>
      </c>
      <c r="F225" s="10" t="inlineStr">
        <is>
          <t>0121 472 0130</t>
        </is>
      </c>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UK-000247</t>
        </is>
      </c>
      <c r="B226" s="5" t="inlineStr">
        <is>
          <t>FonFix &amp; Vape Shop</t>
        </is>
      </c>
      <c r="C226" s="5" t="inlineStr">
        <is>
          <t>Grimsby</t>
        </is>
      </c>
      <c r="D226" s="5" t="inlineStr">
        <is>
          <t>Vape Shop</t>
        </is>
      </c>
      <c r="E226" s="5" t="inlineStr">
        <is>
          <t>Medium</t>
        </is>
      </c>
      <c r="F226" s="5" t="inlineStr">
        <is>
          <t>07404 435088</t>
        </is>
      </c>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UK-000707</t>
        </is>
      </c>
      <c r="B227" s="10" t="inlineStr">
        <is>
          <t>Food Plus (Polski Sklep Wawel)</t>
        </is>
      </c>
      <c r="C227" s="10" t="inlineStr">
        <is>
          <t>Birkenhead</t>
        </is>
      </c>
      <c r="D227" s="10" t="inlineStr">
        <is>
          <t>Independent Supermarket</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UK-000199</t>
        </is>
      </c>
      <c r="B228" s="5" t="inlineStr">
        <is>
          <t>Food Plus Hexthorpe (Polski Sklep)</t>
        </is>
      </c>
      <c r="C228" s="5" t="inlineStr">
        <is>
          <t>Doncaster</t>
        </is>
      </c>
      <c r="D228" s="5" t="inlineStr">
        <is>
          <t>Independent Supermarket</t>
        </is>
      </c>
      <c r="E228" s="5" t="inlineStr">
        <is>
          <t>Medium</t>
        </is>
      </c>
      <c r="F228" s="5" t="inlineStr"/>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UK-000200</t>
        </is>
      </c>
      <c r="B229" s="10" t="inlineStr">
        <is>
          <t>Food Plus Rotherham (Polski Sklep)</t>
        </is>
      </c>
      <c r="C229" s="10" t="inlineStr">
        <is>
          <t>Rotherham</t>
        </is>
      </c>
      <c r="D229" s="10" t="inlineStr">
        <is>
          <t>Independent Supermarket</t>
        </is>
      </c>
      <c r="E229" s="10" t="inlineStr">
        <is>
          <t>Medium</t>
        </is>
      </c>
      <c r="F229" s="10" t="inlineStr"/>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UK-000776</t>
        </is>
      </c>
      <c r="B230" s="5" t="inlineStr">
        <is>
          <t>Foodasia Hypermart</t>
        </is>
      </c>
      <c r="C230" s="5" t="inlineStr">
        <is>
          <t>Glasgow</t>
        </is>
      </c>
      <c r="D230" s="5" t="inlineStr">
        <is>
          <t>Independent Supermarket</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WY-0085</t>
        </is>
      </c>
      <c r="B231" s="10" t="inlineStr">
        <is>
          <t>Forever Vapes</t>
        </is>
      </c>
      <c r="C231" s="10" t="inlineStr">
        <is>
          <t>Heckmondwike</t>
        </is>
      </c>
      <c r="D231" s="10" t="inlineStr">
        <is>
          <t>Vape Shop</t>
        </is>
      </c>
      <c r="E231" s="10" t="inlineStr">
        <is>
          <t>Medium</t>
        </is>
      </c>
      <c r="F231" s="10" t="inlineStr"/>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WY-0086</t>
        </is>
      </c>
      <c r="B232" s="5" t="inlineStr">
        <is>
          <t>FreshCo Wakefield</t>
        </is>
      </c>
      <c r="C232" s="5" t="inlineStr">
        <is>
          <t>Wakefield</t>
        </is>
      </c>
      <c r="D232" s="5" t="inlineStr">
        <is>
          <t>Independent Supermarket</t>
        </is>
      </c>
      <c r="E232" s="5" t="inlineStr">
        <is>
          <t>Medium</t>
        </is>
      </c>
      <c r="F232" s="5" t="inlineStr">
        <is>
          <t>01924 781869</t>
        </is>
      </c>
      <c r="G232" s="5" t="inlineStr">
        <is>
          <t>Hoa1@hotmail.co.uk</t>
        </is>
      </c>
      <c r="H232" s="5" t="inlineStr"/>
      <c r="I232" s="5" t="inlineStr">
        <is>
          <t>Aras Ali</t>
        </is>
      </c>
      <c r="J232" s="5" t="inlineStr">
        <is>
          <t>Owner</t>
        </is>
      </c>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UK-000249</t>
        </is>
      </c>
      <c r="B233" s="10" t="inlineStr">
        <is>
          <t>Freshco Cash &amp; Carry</t>
        </is>
      </c>
      <c r="C233" s="10" t="inlineStr">
        <is>
          <t>Kingston upon Hull</t>
        </is>
      </c>
      <c r="D233" s="10" t="inlineStr">
        <is>
          <t>Cash &amp; Carry</t>
        </is>
      </c>
      <c r="E233" s="10" t="inlineStr">
        <is>
          <t>Medium</t>
        </is>
      </c>
      <c r="F233" s="10" t="inlineStr"/>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UK-000250</t>
        </is>
      </c>
      <c r="B234" s="5" t="inlineStr">
        <is>
          <t>GDF Vape Shop</t>
        </is>
      </c>
      <c r="C234" s="5" t="inlineStr">
        <is>
          <t>Doncaster</t>
        </is>
      </c>
      <c r="D234" s="5" t="inlineStr">
        <is>
          <t>Vape Shop</t>
        </is>
      </c>
      <c r="E234" s="5" t="inlineStr">
        <is>
          <t>Medium</t>
        </is>
      </c>
      <c r="F234" s="5" t="inlineStr"/>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WY-0014</t>
        </is>
      </c>
      <c r="B235" s="10" t="inlineStr">
        <is>
          <t>GT News (White Rose Shopping Centre)</t>
        </is>
      </c>
      <c r="C235" s="10" t="inlineStr">
        <is>
          <t>Leeds</t>
        </is>
      </c>
      <c r="D235" s="10" t="inlineStr">
        <is>
          <t>Newsagent</t>
        </is>
      </c>
      <c r="E235" s="10" t="inlineStr">
        <is>
          <t>Medium</t>
        </is>
      </c>
      <c r="F235" s="10" t="inlineStr">
        <is>
          <t>0113 228 6446</t>
        </is>
      </c>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UK-000472</t>
        </is>
      </c>
      <c r="B236" s="5" t="inlineStr">
        <is>
          <t>Gadgets And Vape House</t>
        </is>
      </c>
      <c r="C236" s="5" t="inlineStr">
        <is>
          <t>Dudley</t>
        </is>
      </c>
      <c r="D236" s="5" t="inlineStr">
        <is>
          <t>Vape Shop</t>
        </is>
      </c>
      <c r="E236" s="5" t="inlineStr">
        <is>
          <t>Medium</t>
        </is>
      </c>
      <c r="F236" s="5" t="inlineStr"/>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UK-000610</t>
        </is>
      </c>
      <c r="B237" s="10" t="inlineStr">
        <is>
          <t>Ganapathy Cash &amp; Carry</t>
        </is>
      </c>
      <c r="C237" s="10" t="inlineStr">
        <is>
          <t>Wembley</t>
        </is>
      </c>
      <c r="D237" s="10" t="inlineStr">
        <is>
          <t>Cash &amp; Carry</t>
        </is>
      </c>
      <c r="E237" s="10" t="inlineStr">
        <is>
          <t>Medium</t>
        </is>
      </c>
      <c r="F237" s="10" t="inlineStr">
        <is>
          <t>020 8900 0100</t>
        </is>
      </c>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WY-0088</t>
        </is>
      </c>
      <c r="B238" s="5" t="inlineStr">
        <is>
          <t>Get Plugged</t>
        </is>
      </c>
      <c r="C238" s="5" t="inlineStr">
        <is>
          <t>Huddersfield</t>
        </is>
      </c>
      <c r="D238" s="5" t="inlineStr">
        <is>
          <t>Vape Shop</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WY-0028</t>
        </is>
      </c>
      <c r="B239" s="10" t="inlineStr">
        <is>
          <t>Glasshoughton Service Station</t>
        </is>
      </c>
      <c r="C239" s="10" t="inlineStr">
        <is>
          <t>Castleford</t>
        </is>
      </c>
      <c r="D239" s="10" t="inlineStr">
        <is>
          <t>Petrol Station / Forecourt</t>
        </is>
      </c>
      <c r="E239" s="10" t="inlineStr">
        <is>
          <t>Medium</t>
        </is>
      </c>
      <c r="F239" s="10" t="inlineStr">
        <is>
          <t>01977 278353</t>
        </is>
      </c>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UK-000359</t>
        </is>
      </c>
      <c r="B240" s="5" t="inlineStr">
        <is>
          <t>Global Food Ashton</t>
        </is>
      </c>
      <c r="C240" s="5" t="inlineStr">
        <is>
          <t>Ashton-under-Lyne</t>
        </is>
      </c>
      <c r="D240" s="5" t="inlineStr">
        <is>
          <t>Cash &amp; Carry</t>
        </is>
      </c>
      <c r="E240" s="5" t="inlineStr">
        <is>
          <t>Medium</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UK-000307</t>
        </is>
      </c>
      <c r="B241" s="10" t="inlineStr">
        <is>
          <t>Go Local - Hyde Convenience Store</t>
        </is>
      </c>
      <c r="C241" s="10" t="inlineStr">
        <is>
          <t>Hyde</t>
        </is>
      </c>
      <c r="D241" s="10" t="inlineStr">
        <is>
          <t>Convenience Store</t>
        </is>
      </c>
      <c r="E241" s="10" t="inlineStr">
        <is>
          <t>Medium</t>
        </is>
      </c>
      <c r="F241" s="10" t="inlineStr"/>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UK-000308</t>
        </is>
      </c>
      <c r="B242" s="5" t="inlineStr">
        <is>
          <t>Go Local Extra (Hannah's Convenience)</t>
        </is>
      </c>
      <c r="C242" s="5" t="inlineStr">
        <is>
          <t>Middleton</t>
        </is>
      </c>
      <c r="D242" s="5" t="inlineStr">
        <is>
          <t>Convenience Store</t>
        </is>
      </c>
      <c r="E242" s="5" t="inlineStr">
        <is>
          <t>Medium</t>
        </is>
      </c>
      <c r="F242" s="5" t="inlineStr"/>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UK-000428</t>
        </is>
      </c>
      <c r="B243" s="10" t="inlineStr">
        <is>
          <t>Go Local Tibbi Convenience Store</t>
        </is>
      </c>
      <c r="C243" s="10" t="inlineStr">
        <is>
          <t>Tipton</t>
        </is>
      </c>
      <c r="D243" s="10" t="inlineStr">
        <is>
          <t>Convenience Store</t>
        </is>
      </c>
      <c r="E243" s="10" t="inlineStr">
        <is>
          <t>Medium</t>
        </is>
      </c>
      <c r="F243" s="10" t="inlineStr"/>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UK-000716</t>
        </is>
      </c>
      <c r="B244" s="5" t="inlineStr">
        <is>
          <t>Grange Road West Convenience Store</t>
        </is>
      </c>
      <c r="C244" s="5" t="inlineStr">
        <is>
          <t>Birkenhead</t>
        </is>
      </c>
      <c r="D244" s="5" t="inlineStr">
        <is>
          <t>Convenience Store</t>
        </is>
      </c>
      <c r="E244" s="5" t="inlineStr">
        <is>
          <t>Medium</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UK-000429</t>
        </is>
      </c>
      <c r="B245" s="10" t="inlineStr">
        <is>
          <t>Grey Haze Vape &amp; Cafe Lounge - Kings Heath</t>
        </is>
      </c>
      <c r="C245" s="10" t="inlineStr">
        <is>
          <t>Birmingham</t>
        </is>
      </c>
      <c r="D245" s="10" t="inlineStr">
        <is>
          <t>Vape Shop</t>
        </is>
      </c>
      <c r="E245" s="10" t="inlineStr">
        <is>
          <t>Medium</t>
        </is>
      </c>
      <c r="F245" s="10" t="inlineStr">
        <is>
          <t>0345 021 9294</t>
        </is>
      </c>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UK-000252</t>
        </is>
      </c>
      <c r="B246" s="5" t="inlineStr">
        <is>
          <t>Grimsby Toys and Vapes</t>
        </is>
      </c>
      <c r="C246" s="5" t="inlineStr">
        <is>
          <t>Grimsby</t>
        </is>
      </c>
      <c r="D246" s="5" t="inlineStr">
        <is>
          <t>Vape Shop</t>
        </is>
      </c>
      <c r="E246" s="5" t="inlineStr">
        <is>
          <t>Medium</t>
        </is>
      </c>
      <c r="F246" s="5" t="inlineStr">
        <is>
          <t>07429 286555</t>
        </is>
      </c>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UK-000253</t>
        </is>
      </c>
      <c r="B247" s="10" t="inlineStr">
        <is>
          <t>Haris&amp;Co Supermarket</t>
        </is>
      </c>
      <c r="C247" s="10" t="inlineStr">
        <is>
          <t>Kingston upon Hull</t>
        </is>
      </c>
      <c r="D247" s="10" t="inlineStr">
        <is>
          <t>Independent Supermarket</t>
        </is>
      </c>
      <c r="E247" s="10" t="inlineStr">
        <is>
          <t>Medium</t>
        </is>
      </c>
      <c r="F247" s="10" t="inlineStr"/>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UK-000613</t>
        </is>
      </c>
      <c r="B248" s="5" t="inlineStr">
        <is>
          <t>Hayes Vapes</t>
        </is>
      </c>
      <c r="C248" s="5" t="inlineStr">
        <is>
          <t>Hayes</t>
        </is>
      </c>
      <c r="D248" s="5" t="inlineStr">
        <is>
          <t>Vape Shop</t>
        </is>
      </c>
      <c r="E248" s="5" t="inlineStr">
        <is>
          <t>Medium</t>
        </is>
      </c>
      <c r="F248" s="5" t="inlineStr">
        <is>
          <t>020 3261 2053</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UK-000255</t>
        </is>
      </c>
      <c r="B249" s="10" t="inlineStr">
        <is>
          <t>Hillsborough Vape Lounge</t>
        </is>
      </c>
      <c r="C249" s="10" t="inlineStr">
        <is>
          <t>Sheffield</t>
        </is>
      </c>
      <c r="D249" s="10" t="inlineStr">
        <is>
          <t>Vape Shop</t>
        </is>
      </c>
      <c r="E249" s="10" t="inlineStr">
        <is>
          <t>Medium</t>
        </is>
      </c>
      <c r="F249" s="10" t="inlineStr"/>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UK-000479</t>
        </is>
      </c>
      <c r="B250" s="5" t="inlineStr">
        <is>
          <t>Home From Home Foods</t>
        </is>
      </c>
      <c r="C250" s="5" t="inlineStr">
        <is>
          <t>Wolverhampton</t>
        </is>
      </c>
      <c r="D250" s="5" t="inlineStr">
        <is>
          <t>Independent Supermarket</t>
        </is>
      </c>
      <c r="E250" s="5" t="inlineStr">
        <is>
          <t>Medium</t>
        </is>
      </c>
      <c r="F250" s="5" t="inlineStr">
        <is>
          <t>01902 421200</t>
        </is>
      </c>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UK-000361</t>
        </is>
      </c>
      <c r="B251" s="10" t="inlineStr">
        <is>
          <t>House of Vapez Rochdale</t>
        </is>
      </c>
      <c r="C251" s="10" t="inlineStr">
        <is>
          <t>Rochdale</t>
        </is>
      </c>
      <c r="D251" s="10" t="inlineStr">
        <is>
          <t>Vape Shop</t>
        </is>
      </c>
      <c r="E251" s="10" t="inlineStr">
        <is>
          <t>Medium</t>
        </is>
      </c>
      <c r="F251" s="10" t="inlineStr">
        <is>
          <t>01706 458162</t>
        </is>
      </c>
      <c r="G251" s="10" t="inlineStr">
        <is>
          <t>houseofvapezROCHDALE@gmail.com</t>
        </is>
      </c>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WY-0097</t>
        </is>
      </c>
      <c r="B252" s="5" t="inlineStr">
        <is>
          <t>House of Vapour</t>
        </is>
      </c>
      <c r="C252" s="5" t="inlineStr">
        <is>
          <t>South Elmsall</t>
        </is>
      </c>
      <c r="D252" s="5" t="inlineStr">
        <is>
          <t>Vape Shop</t>
        </is>
      </c>
      <c r="E252" s="5" t="inlineStr">
        <is>
          <t>Medium</t>
        </is>
      </c>
      <c r="F252" s="5" t="inlineStr">
        <is>
          <t>01977 647969</t>
        </is>
      </c>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UK-000723</t>
        </is>
      </c>
      <c r="B253" s="10" t="inlineStr">
        <is>
          <t>Hunt's Spar Freshfield</t>
        </is>
      </c>
      <c r="C253" s="10" t="inlineStr">
        <is>
          <t>Formby</t>
        </is>
      </c>
      <c r="D253" s="10" t="inlineStr">
        <is>
          <t>Convenience Store</t>
        </is>
      </c>
      <c r="E253" s="10" t="inlineStr">
        <is>
          <t>Medium</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UK-000362</t>
        </is>
      </c>
      <c r="B254" s="5" t="inlineStr">
        <is>
          <t>Huqqa Lounge (Rusholme)</t>
        </is>
      </c>
      <c r="C254" s="5" t="inlineStr">
        <is>
          <t>Manchester</t>
        </is>
      </c>
      <c r="D254" s="5" t="inlineStr">
        <is>
          <t>Smoke / Shisha Shop</t>
        </is>
      </c>
      <c r="E254" s="5" t="inlineStr">
        <is>
          <t>Medium</t>
        </is>
      </c>
      <c r="F254" s="5" t="inlineStr">
        <is>
          <t>0161 273 6555</t>
        </is>
      </c>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UK-000363</t>
        </is>
      </c>
      <c r="B255" s="10" t="inlineStr">
        <is>
          <t>Hussain &amp; Sons Cash &amp; Carry Oldham</t>
        </is>
      </c>
      <c r="C255" s="10" t="inlineStr">
        <is>
          <t>Oldham</t>
        </is>
      </c>
      <c r="D255" s="10" t="inlineStr">
        <is>
          <t>Cash &amp; Carry</t>
        </is>
      </c>
      <c r="E255" s="10" t="inlineStr">
        <is>
          <t>Medium</t>
        </is>
      </c>
      <c r="F255" s="10" t="inlineStr"/>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UK-000430</t>
        </is>
      </c>
      <c r="B256" s="5" t="inlineStr">
        <is>
          <t>Hyperama Wholesale West Bromwich</t>
        </is>
      </c>
      <c r="C256" s="5" t="inlineStr">
        <is>
          <t>West Bromwich</t>
        </is>
      </c>
      <c r="D256" s="5" t="inlineStr">
        <is>
          <t>Cash &amp; Carry</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UK-000365</t>
        </is>
      </c>
      <c r="B257" s="10" t="inlineStr">
        <is>
          <t>Iblaze Vape (Walkden, Salford)</t>
        </is>
      </c>
      <c r="C257" s="10" t="inlineStr">
        <is>
          <t>Salford</t>
        </is>
      </c>
      <c r="D257" s="10" t="inlineStr">
        <is>
          <t>Vape Shop</t>
        </is>
      </c>
      <c r="E257" s="10" t="inlineStr">
        <is>
          <t>Medium</t>
        </is>
      </c>
      <c r="F257" s="10" t="inlineStr">
        <is>
          <t>0161 222 0708</t>
        </is>
      </c>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UK-000783</t>
        </is>
      </c>
      <c r="B258" s="5" t="inlineStr">
        <is>
          <t>Ibrox Vapes &amp; Shisha Centre</t>
        </is>
      </c>
      <c r="C258" s="5" t="inlineStr">
        <is>
          <t>Glasgow</t>
        </is>
      </c>
      <c r="D258" s="5" t="inlineStr">
        <is>
          <t>Smoke / Shisha Shop</t>
        </is>
      </c>
      <c r="E258" s="5" t="inlineStr">
        <is>
          <t>Medium</t>
        </is>
      </c>
      <c r="F258" s="5" t="inlineStr">
        <is>
          <t>07447 556307</t>
        </is>
      </c>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UK-000784</t>
        </is>
      </c>
      <c r="B259" s="10" t="inlineStr">
        <is>
          <t>Infinity Vapour Airdrie</t>
        </is>
      </c>
      <c r="C259" s="10" t="inlineStr">
        <is>
          <t>Airdrie</t>
        </is>
      </c>
      <c r="D259" s="10" t="inlineStr">
        <is>
          <t>Vape Shop</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UK-000786</t>
        </is>
      </c>
      <c r="B260" s="5" t="inlineStr">
        <is>
          <t>JK's E-Cig Warehouse</t>
        </is>
      </c>
      <c r="C260" s="5" t="inlineStr">
        <is>
          <t>Bootle</t>
        </is>
      </c>
      <c r="D260" s="5" t="inlineStr">
        <is>
          <t>Vape Shop</t>
        </is>
      </c>
      <c r="E260" s="5" t="inlineStr">
        <is>
          <t>Medium</t>
        </is>
      </c>
      <c r="F260" s="5" t="inlineStr">
        <is>
          <t>0151 345 1171</t>
        </is>
      </c>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UK-000258</t>
        </is>
      </c>
      <c r="B261" s="10" t="inlineStr">
        <is>
          <t>Jaan Lounge</t>
        </is>
      </c>
      <c r="C261" s="10" t="inlineStr">
        <is>
          <t>Sheffield</t>
        </is>
      </c>
      <c r="D261" s="10" t="inlineStr">
        <is>
          <t>Smoke / Shisha Shop</t>
        </is>
      </c>
      <c r="E261" s="10" t="inlineStr">
        <is>
          <t>Medium</t>
        </is>
      </c>
      <c r="F261" s="10" t="inlineStr"/>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WY-0100</t>
        </is>
      </c>
      <c r="B262" s="5" t="inlineStr">
        <is>
          <t>Javid Supermarket</t>
        </is>
      </c>
      <c r="C262" s="5" t="inlineStr">
        <is>
          <t>Huddersfield</t>
        </is>
      </c>
      <c r="D262" s="5" t="inlineStr">
        <is>
          <t>Independent Supermarket</t>
        </is>
      </c>
      <c r="E262" s="5" t="inlineStr">
        <is>
          <t>Medium</t>
        </is>
      </c>
      <c r="F262" s="5" t="inlineStr">
        <is>
          <t>01484 517411</t>
        </is>
      </c>
      <c r="G262" s="5" t="inlineStr">
        <is>
          <t>contact@javidsupermarket.co.uk</t>
        </is>
      </c>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UK-000617</t>
        </is>
      </c>
      <c r="B263" s="10" t="inlineStr">
        <is>
          <t>Jeens Cash &amp; Carry</t>
        </is>
      </c>
      <c r="C263" s="10" t="inlineStr">
        <is>
          <t>Wembley</t>
        </is>
      </c>
      <c r="D263" s="10" t="inlineStr">
        <is>
          <t>Cash &amp; Carry</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UK-000483</t>
        </is>
      </c>
      <c r="B264" s="5" t="inlineStr">
        <is>
          <t>John Hollingsworth &amp; Sons</t>
        </is>
      </c>
      <c r="C264" s="5" t="inlineStr">
        <is>
          <t>Birmingham</t>
        </is>
      </c>
      <c r="D264" s="5" t="inlineStr">
        <is>
          <t>Tobacco Specialist</t>
        </is>
      </c>
      <c r="E264" s="5" t="inlineStr">
        <is>
          <t>Medium</t>
        </is>
      </c>
      <c r="F264" s="5" t="inlineStr">
        <is>
          <t>0121 236 7768</t>
        </is>
      </c>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UK-000260</t>
        </is>
      </c>
      <c r="B265" s="10" t="inlineStr">
        <is>
          <t>Juice &amp; Coil Co</t>
        </is>
      </c>
      <c r="C265" s="10" t="inlineStr">
        <is>
          <t>Sheffield</t>
        </is>
      </c>
      <c r="D265" s="10" t="inlineStr">
        <is>
          <t>Vape Shop</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UK-000618</t>
        </is>
      </c>
      <c r="B266" s="5" t="inlineStr">
        <is>
          <t>Juiceshop</t>
        </is>
      </c>
      <c r="C266" s="5" t="inlineStr">
        <is>
          <t>Edmonton</t>
        </is>
      </c>
      <c r="D266" s="5" t="inlineStr">
        <is>
          <t>Vape Shop</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UK-000484</t>
        </is>
      </c>
      <c r="B267" s="10" t="inlineStr">
        <is>
          <t>Jungle Shisha Lounge</t>
        </is>
      </c>
      <c r="C267" s="10" t="inlineStr">
        <is>
          <t>Birmingham</t>
        </is>
      </c>
      <c r="D267" s="10" t="inlineStr">
        <is>
          <t>Smoke / Shisha Shop</t>
        </is>
      </c>
      <c r="E267" s="10" t="inlineStr">
        <is>
          <t>Medium</t>
        </is>
      </c>
      <c r="F267" s="10" t="inlineStr"/>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UK-000367</t>
        </is>
      </c>
      <c r="B268" s="5" t="inlineStr">
        <is>
          <t>Just Vapours (Eccles, Salford)</t>
        </is>
      </c>
      <c r="C268" s="5" t="inlineStr">
        <is>
          <t>Eccles</t>
        </is>
      </c>
      <c r="D268" s="5" t="inlineStr">
        <is>
          <t>Vape Shop</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UK-000261</t>
        </is>
      </c>
      <c r="B269" s="10" t="inlineStr">
        <is>
          <t>Kaplan Fast Food Cash &amp; Carry</t>
        </is>
      </c>
      <c r="C269" s="10" t="inlineStr">
        <is>
          <t>Kingston upon Hull</t>
        </is>
      </c>
      <c r="D269" s="10" t="inlineStr">
        <is>
          <t>Cash &amp; Carry</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UK-000485</t>
        </is>
      </c>
      <c r="B270" s="5" t="inlineStr">
        <is>
          <t>Kartar Wholesale Cash &amp; Carry</t>
        </is>
      </c>
      <c r="C270" s="5" t="inlineStr">
        <is>
          <t>Birmingham</t>
        </is>
      </c>
      <c r="D270" s="5" t="inlineStr">
        <is>
          <t>Cash &amp; Carry</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WY-0102</t>
        </is>
      </c>
      <c r="B271" s="10" t="inlineStr">
        <is>
          <t>Kasa Beeston Convenience Store</t>
        </is>
      </c>
      <c r="C271" s="10" t="inlineStr">
        <is>
          <t>Leeds</t>
        </is>
      </c>
      <c r="D271" s="10" t="inlineStr">
        <is>
          <t>Convenience Store</t>
        </is>
      </c>
      <c r="E271" s="10" t="inlineStr">
        <is>
          <t>Medium</t>
        </is>
      </c>
      <c r="F271" s="10" t="inlineStr">
        <is>
          <t>0113 277 5757</t>
        </is>
      </c>
      <c r="G271" s="10" t="inlineStr">
        <is>
          <t>info@kasabeeston.com</t>
        </is>
      </c>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UK-000262</t>
        </is>
      </c>
      <c r="B272" s="5" t="inlineStr">
        <is>
          <t>Kick Ash Vapes Cleethorpes</t>
        </is>
      </c>
      <c r="C272" s="5" t="inlineStr">
        <is>
          <t>Cleethorpes</t>
        </is>
      </c>
      <c r="D272" s="5" t="inlineStr">
        <is>
          <t>Vape Shop</t>
        </is>
      </c>
      <c r="E272" s="5" t="inlineStr">
        <is>
          <t>Medium</t>
        </is>
      </c>
      <c r="F272" s="5" t="inlineStr"/>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UK-000792</t>
        </is>
      </c>
      <c r="B273" s="10" t="inlineStr">
        <is>
          <t>Kilted Vapor</t>
        </is>
      </c>
      <c r="C273" s="10" t="inlineStr">
        <is>
          <t>Clydebank</t>
        </is>
      </c>
      <c r="D273" s="10" t="inlineStr">
        <is>
          <t>Vape Shop</t>
        </is>
      </c>
      <c r="E273" s="10" t="inlineStr">
        <is>
          <t>Medium</t>
        </is>
      </c>
      <c r="F273" s="10" t="inlineStr">
        <is>
          <t>0141 952 3687</t>
        </is>
      </c>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UK-000793</t>
        </is>
      </c>
      <c r="B274" s="5" t="inlineStr">
        <is>
          <t>King Vape Paisley</t>
        </is>
      </c>
      <c r="C274" s="5" t="inlineStr">
        <is>
          <t>Paisley</t>
        </is>
      </c>
      <c r="D274" s="5" t="inlineStr">
        <is>
          <t>Vape Shop</t>
        </is>
      </c>
      <c r="E274" s="5" t="inlineStr">
        <is>
          <t>Medium</t>
        </is>
      </c>
      <c r="F274" s="5" t="inlineStr"/>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UK-000263</t>
        </is>
      </c>
      <c r="B275" s="10" t="inlineStr">
        <is>
          <t>Kings Lites Acomb</t>
        </is>
      </c>
      <c r="C275" s="10" t="inlineStr">
        <is>
          <t>York</t>
        </is>
      </c>
      <c r="D275" s="10" t="inlineStr">
        <is>
          <t>Vape Shop</t>
        </is>
      </c>
      <c r="E275" s="10" t="inlineStr">
        <is>
          <t>Medium</t>
        </is>
      </c>
      <c r="F275" s="10" t="inlineStr"/>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UK-000622</t>
        </is>
      </c>
      <c r="B276" s="5" t="inlineStr">
        <is>
          <t>Kings of Vapes</t>
        </is>
      </c>
      <c r="C276" s="5" t="inlineStr">
        <is>
          <t>Southall</t>
        </is>
      </c>
      <c r="D276" s="5" t="inlineStr">
        <is>
          <t>Vape Shop</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UK-000438</t>
        </is>
      </c>
      <c r="B277" s="10" t="inlineStr">
        <is>
          <t>Kwik Stop Convenience Store</t>
        </is>
      </c>
      <c r="C277" s="10" t="inlineStr">
        <is>
          <t>Birmingham</t>
        </is>
      </c>
      <c r="D277" s="10" t="inlineStr">
        <is>
          <t>Convenience Store</t>
        </is>
      </c>
      <c r="E277" s="10" t="inlineStr">
        <is>
          <t>Medium</t>
        </is>
      </c>
      <c r="F277" s="10" t="inlineStr">
        <is>
          <t>0121 472 8118</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UK-000264</t>
        </is>
      </c>
      <c r="B278" s="5" t="inlineStr">
        <is>
          <t>La Vana Restaurant &amp; Shisha</t>
        </is>
      </c>
      <c r="C278" s="5" t="inlineStr">
        <is>
          <t>Kingston upon Hull</t>
        </is>
      </c>
      <c r="D278" s="5" t="inlineStr">
        <is>
          <t>Smoke / Shisha Shop</t>
        </is>
      </c>
      <c r="E278" s="5" t="inlineStr">
        <is>
          <t>Medium</t>
        </is>
      </c>
      <c r="F278" s="5" t="inlineStr"/>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UK-000486</t>
        </is>
      </c>
      <c r="B279" s="10" t="inlineStr">
        <is>
          <t>Land of Vapes</t>
        </is>
      </c>
      <c r="C279" s="10" t="inlineStr">
        <is>
          <t>Wolverhampton</t>
        </is>
      </c>
      <c r="D279" s="10" t="inlineStr">
        <is>
          <t>Vape Shop</t>
        </is>
      </c>
      <c r="E279" s="10" t="inlineStr">
        <is>
          <t>Medium</t>
        </is>
      </c>
      <c r="F279" s="10" t="inlineStr">
        <is>
          <t>01902 426610</t>
        </is>
      </c>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WY-0108</t>
        </is>
      </c>
      <c r="B280" s="5" t="inlineStr">
        <is>
          <t>Latitude Wine &amp; Liquor Merchant</t>
        </is>
      </c>
      <c r="C280" s="5" t="inlineStr">
        <is>
          <t>Leeds</t>
        </is>
      </c>
      <c r="D280" s="5" t="inlineStr">
        <is>
          <t>Off-Licence</t>
        </is>
      </c>
      <c r="E280" s="5" t="inlineStr">
        <is>
          <t>Medium</t>
        </is>
      </c>
      <c r="F280" s="5" t="inlineStr">
        <is>
          <t>0113 245 3393</t>
        </is>
      </c>
      <c r="G280" s="5" t="inlineStr"/>
      <c r="H280" s="5" t="inlineStr">
        <is>
          <t>sales@latitudewine.co.uk</t>
        </is>
      </c>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UK-000557</t>
        </is>
      </c>
      <c r="B281" s="10" t="inlineStr">
        <is>
          <t>Lea &amp; Sandeman - Fulham Road</t>
        </is>
      </c>
      <c r="C281" s="10" t="inlineStr">
        <is>
          <t>London</t>
        </is>
      </c>
      <c r="D281" s="10" t="inlineStr">
        <is>
          <t>Off-Licence</t>
        </is>
      </c>
      <c r="E281" s="10" t="inlineStr">
        <is>
          <t>Medium</t>
        </is>
      </c>
      <c r="F281" s="10" t="inlineStr">
        <is>
          <t>020 7244 0522</t>
        </is>
      </c>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WY-0109</t>
        </is>
      </c>
      <c r="B282" s="5" t="inlineStr">
        <is>
          <t>Leeds Shisha Wholesale</t>
        </is>
      </c>
      <c r="C282" s="5" t="inlineStr">
        <is>
          <t>Leeds</t>
        </is>
      </c>
      <c r="D282" s="5" t="inlineStr">
        <is>
          <t>Smoke / Shisha Shop</t>
        </is>
      </c>
      <c r="E282" s="5" t="inlineStr">
        <is>
          <t>Medium</t>
        </is>
      </c>
      <c r="F282" s="5" t="inlineStr"/>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UK-000487</t>
        </is>
      </c>
      <c r="B283" s="10" t="inlineStr">
        <is>
          <t>Lewis Food Wholesalers Ltd</t>
        </is>
      </c>
      <c r="C283" s="10" t="inlineStr">
        <is>
          <t>West Bromwich</t>
        </is>
      </c>
      <c r="D283" s="10" t="inlineStr">
        <is>
          <t>Cash &amp; Carry</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UK-000488</t>
        </is>
      </c>
      <c r="B284" s="5" t="inlineStr">
        <is>
          <t>Lioncroft Wholesale Ltd</t>
        </is>
      </c>
      <c r="C284" s="5" t="inlineStr">
        <is>
          <t>Birmingham</t>
        </is>
      </c>
      <c r="D284" s="5" t="inlineStr">
        <is>
          <t>Cash &amp; Carry</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WY-0110</t>
        </is>
      </c>
      <c r="B285" s="10" t="inlineStr">
        <is>
          <t>Liquid Mafia The King of Vapes</t>
        </is>
      </c>
      <c r="C285" s="10" t="inlineStr">
        <is>
          <t>Dewsbury</t>
        </is>
      </c>
      <c r="D285" s="10" t="inlineStr">
        <is>
          <t>Vape Shop</t>
        </is>
      </c>
      <c r="E285" s="10" t="inlineStr">
        <is>
          <t>Medium</t>
        </is>
      </c>
      <c r="F285" s="10" t="inlineStr">
        <is>
          <t>07512 340800</t>
        </is>
      </c>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UK-000795</t>
        </is>
      </c>
      <c r="B286" s="5" t="inlineStr">
        <is>
          <t>Liverpool Vape Shack</t>
        </is>
      </c>
      <c r="C286" s="5" t="inlineStr">
        <is>
          <t>Prescot</t>
        </is>
      </c>
      <c r="D286" s="5" t="inlineStr">
        <is>
          <t>Vape Shop</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UK-000558</t>
        </is>
      </c>
      <c r="B287" s="10" t="inlineStr">
        <is>
          <t>Londis (Fountayne Road)</t>
        </is>
      </c>
      <c r="C287" s="10" t="inlineStr">
        <is>
          <t>Stoke Newington</t>
        </is>
      </c>
      <c r="D287" s="10" t="inlineStr">
        <is>
          <t>Convenience Store</t>
        </is>
      </c>
      <c r="E287" s="10" t="inlineStr">
        <is>
          <t>Medium</t>
        </is>
      </c>
      <c r="F287" s="10" t="inlineStr">
        <is>
          <t>020 8806 5839</t>
        </is>
      </c>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UK-000431</t>
        </is>
      </c>
      <c r="B288" s="5" t="inlineStr">
        <is>
          <t>Londis Hall Green</t>
        </is>
      </c>
      <c r="C288" s="5" t="inlineStr">
        <is>
          <t>Birmingham</t>
        </is>
      </c>
      <c r="D288" s="5" t="inlineStr">
        <is>
          <t>Convenience Store</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WY-0113</t>
        </is>
      </c>
      <c r="B289" s="10" t="inlineStr">
        <is>
          <t>Londis Normanton (313 Castleford Road)</t>
        </is>
      </c>
      <c r="C289" s="10" t="inlineStr">
        <is>
          <t>Normanton</t>
        </is>
      </c>
      <c r="D289" s="10" t="inlineStr">
        <is>
          <t>Convenience Store</t>
        </is>
      </c>
      <c r="E289" s="10" t="inlineStr">
        <is>
          <t>Medium</t>
        </is>
      </c>
      <c r="F289" s="10" t="inlineStr">
        <is>
          <t>01924 892113</t>
        </is>
      </c>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WY-0114</t>
        </is>
      </c>
      <c r="B290" s="5" t="inlineStr">
        <is>
          <t>Londis Normanton (Castleford Road, WF6 2DW)</t>
        </is>
      </c>
      <c r="C290" s="5" t="inlineStr">
        <is>
          <t>Normanton</t>
        </is>
      </c>
      <c r="D290" s="5" t="inlineStr">
        <is>
          <t>Convenience Store</t>
        </is>
      </c>
      <c r="E290" s="5" t="inlineStr">
        <is>
          <t>Medium</t>
        </is>
      </c>
      <c r="F290" s="5" t="inlineStr">
        <is>
          <t>01924 890438</t>
        </is>
      </c>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WY-0115</t>
        </is>
      </c>
      <c r="B291" s="10" t="inlineStr">
        <is>
          <t>Londis Ravensthorpe</t>
        </is>
      </c>
      <c r="C291" s="10" t="inlineStr">
        <is>
          <t>Dewsbury</t>
        </is>
      </c>
      <c r="D291" s="10" t="inlineStr">
        <is>
          <t>Convenience Store</t>
        </is>
      </c>
      <c r="E291" s="10" t="inlineStr">
        <is>
          <t>Medium</t>
        </is>
      </c>
      <c r="F291" s="10" t="inlineStr">
        <is>
          <t>01924 461300</t>
        </is>
      </c>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UK-000629</t>
        </is>
      </c>
      <c r="B292" s="5" t="inlineStr">
        <is>
          <t>London Fog Vapery</t>
        </is>
      </c>
      <c r="C292" s="5" t="inlineStr">
        <is>
          <t>Islington</t>
        </is>
      </c>
      <c r="D292" s="5" t="inlineStr">
        <is>
          <t>Vape Shop</t>
        </is>
      </c>
      <c r="E292" s="5" t="inlineStr">
        <is>
          <t>Medium</t>
        </is>
      </c>
      <c r="F292" s="5" t="inlineStr">
        <is>
          <t>07754 181177</t>
        </is>
      </c>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UK-000797</t>
        </is>
      </c>
      <c r="B293" s="10" t="inlineStr">
        <is>
          <t>Lots Of Vape</t>
        </is>
      </c>
      <c r="C293" s="10" t="inlineStr">
        <is>
          <t>Liverpool</t>
        </is>
      </c>
      <c r="D293" s="10" t="inlineStr">
        <is>
          <t>Vape Shop</t>
        </is>
      </c>
      <c r="E293" s="10" t="inlineStr">
        <is>
          <t>Medium</t>
        </is>
      </c>
      <c r="F293" s="10" t="inlineStr">
        <is>
          <t>07852 392659</t>
        </is>
      </c>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UK-000265</t>
        </is>
      </c>
      <c r="B294" s="5" t="inlineStr">
        <is>
          <t>Lounge 418</t>
        </is>
      </c>
      <c r="C294" s="5" t="inlineStr">
        <is>
          <t>Sheffield</t>
        </is>
      </c>
      <c r="D294" s="5" t="inlineStr">
        <is>
          <t>Smoke / Shisha Shop</t>
        </is>
      </c>
      <c r="E294" s="5" t="inlineStr">
        <is>
          <t>Medium</t>
        </is>
      </c>
      <c r="F294" s="5" t="inlineStr"/>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UK-000630</t>
        </is>
      </c>
      <c r="B295" s="10" t="inlineStr">
        <is>
          <t>Love Vape Brixton</t>
        </is>
      </c>
      <c r="C295" s="10" t="inlineStr">
        <is>
          <t>London</t>
        </is>
      </c>
      <c r="D295" s="10" t="inlineStr">
        <is>
          <t>Vape Shop</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WY-0116</t>
        </is>
      </c>
      <c r="B296" s="5" t="inlineStr">
        <is>
          <t>Low Lane Convenience Store (Premier)</t>
        </is>
      </c>
      <c r="C296" s="5" t="inlineStr">
        <is>
          <t>Batley</t>
        </is>
      </c>
      <c r="D296" s="5" t="inlineStr">
        <is>
          <t>Convenience Store</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UK-000368</t>
        </is>
      </c>
      <c r="B297" s="10" t="inlineStr">
        <is>
          <t>Luxury Shisha Lounge (Rusholme)</t>
        </is>
      </c>
      <c r="C297" s="10" t="inlineStr">
        <is>
          <t>Manchester</t>
        </is>
      </c>
      <c r="D297" s="10" t="inlineStr">
        <is>
          <t>Smoke / Shisha Shop</t>
        </is>
      </c>
      <c r="E297" s="10" t="inlineStr">
        <is>
          <t>Medium</t>
        </is>
      </c>
      <c r="F297" s="10" t="inlineStr">
        <is>
          <t>0161 249 0077</t>
        </is>
      </c>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UK-000490</t>
        </is>
      </c>
      <c r="B298" s="5" t="inlineStr">
        <is>
          <t>M &amp; T Supermarket Ltd</t>
        </is>
      </c>
      <c r="C298" s="5" t="inlineStr">
        <is>
          <t>Walsall</t>
        </is>
      </c>
      <c r="D298" s="5" t="inlineStr">
        <is>
          <t>Independent Supermarket</t>
        </is>
      </c>
      <c r="E298" s="5" t="inlineStr">
        <is>
          <t>Medium</t>
        </is>
      </c>
      <c r="F298" s="5" t="inlineStr">
        <is>
          <t>01922 620607</t>
        </is>
      </c>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UK-000798</t>
        </is>
      </c>
      <c r="B299" s="10" t="inlineStr">
        <is>
          <t>MNS Shisha Shop</t>
        </is>
      </c>
      <c r="C299" s="10" t="inlineStr">
        <is>
          <t>Liverpool</t>
        </is>
      </c>
      <c r="D299" s="10" t="inlineStr">
        <is>
          <t>Smoke / Shisha Shop</t>
        </is>
      </c>
      <c r="E299" s="10" t="inlineStr">
        <is>
          <t>Medium</t>
        </is>
      </c>
      <c r="F299" s="10" t="inlineStr"/>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WY-0017</t>
        </is>
      </c>
      <c r="B300" s="5" t="inlineStr">
        <is>
          <t>Manchester Superstore (Wakefield)</t>
        </is>
      </c>
      <c r="C300" s="5" t="inlineStr">
        <is>
          <t>Wakefield</t>
        </is>
      </c>
      <c r="D300" s="5" t="inlineStr">
        <is>
          <t>Independent Supermarket</t>
        </is>
      </c>
      <c r="E300" s="5" t="inlineStr">
        <is>
          <t>Medium</t>
        </is>
      </c>
      <c r="F300" s="5" t="inlineStr">
        <is>
          <t>01924 369105</t>
        </is>
      </c>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UK-000369</t>
        </is>
      </c>
      <c r="B301" s="10" t="inlineStr">
        <is>
          <t>Marfast &amp; Co Ltd (Cheetham Hill)</t>
        </is>
      </c>
      <c r="C301" s="10" t="inlineStr">
        <is>
          <t>Manchester</t>
        </is>
      </c>
      <c r="D301" s="10" t="inlineStr">
        <is>
          <t>Cash &amp; Carry</t>
        </is>
      </c>
      <c r="E301" s="10" t="inlineStr">
        <is>
          <t>Medium</t>
        </is>
      </c>
      <c r="F301" s="10" t="inlineStr">
        <is>
          <t>0161 833 0024</t>
        </is>
      </c>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UK-000372</t>
        </is>
      </c>
      <c r="B302" s="5" t="inlineStr">
        <is>
          <t>Mazzalini Shisha Lounge</t>
        </is>
      </c>
      <c r="C302" s="5" t="inlineStr">
        <is>
          <t>Oldham</t>
        </is>
      </c>
      <c r="D302" s="5" t="inlineStr">
        <is>
          <t>Smoke / Shisha Shop</t>
        </is>
      </c>
      <c r="E302" s="5" t="inlineStr">
        <is>
          <t>Medium</t>
        </is>
      </c>
      <c r="F302" s="5" t="inlineStr"/>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UK-000800</t>
        </is>
      </c>
      <c r="B303" s="10" t="inlineStr">
        <is>
          <t>Mersey Vapour Maghull</t>
        </is>
      </c>
      <c r="C303" s="10" t="inlineStr">
        <is>
          <t>Maghull</t>
        </is>
      </c>
      <c r="D303" s="10" t="inlineStr">
        <is>
          <t>Vape Shop</t>
        </is>
      </c>
      <c r="E303" s="10" t="inlineStr">
        <is>
          <t>Medium</t>
        </is>
      </c>
      <c r="F303" s="10" t="inlineStr"/>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UK-000803</t>
        </is>
      </c>
      <c r="B304" s="5" t="inlineStr">
        <is>
          <t>Minar Superstore &amp; Halal Meat Shop</t>
        </is>
      </c>
      <c r="C304" s="5" t="inlineStr">
        <is>
          <t>Glasgow</t>
        </is>
      </c>
      <c r="D304" s="5" t="inlineStr">
        <is>
          <t>Independent Supermarket</t>
        </is>
      </c>
      <c r="E304" s="5" t="inlineStr">
        <is>
          <t>Medium</t>
        </is>
      </c>
      <c r="F304" s="5" t="inlineStr">
        <is>
          <t>0141 429 4348</t>
        </is>
      </c>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WY-0121</t>
        </is>
      </c>
      <c r="B305" s="10" t="inlineStr">
        <is>
          <t>Mister Motivaper</t>
        </is>
      </c>
      <c r="C305" s="10" t="inlineStr">
        <is>
          <t>Pontefract</t>
        </is>
      </c>
      <c r="D305" s="10" t="inlineStr">
        <is>
          <t>Vape Shop</t>
        </is>
      </c>
      <c r="E305" s="10" t="inlineStr">
        <is>
          <t>Medium</t>
        </is>
      </c>
      <c r="F305" s="10" t="inlineStr">
        <is>
          <t>01274 987430</t>
        </is>
      </c>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UK-000804</t>
        </is>
      </c>
      <c r="B306" s="5" t="inlineStr">
        <is>
          <t>Mobile Tech &amp; Vape</t>
        </is>
      </c>
      <c r="C306" s="5" t="inlineStr">
        <is>
          <t>Falkirk</t>
        </is>
      </c>
      <c r="D306" s="5" t="inlineStr">
        <is>
          <t>Vape Shop</t>
        </is>
      </c>
      <c r="E306" s="5" t="inlineStr">
        <is>
          <t>Medium</t>
        </is>
      </c>
      <c r="F306" s="5" t="inlineStr">
        <is>
          <t>07450 116416</t>
        </is>
      </c>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UK-000373</t>
        </is>
      </c>
      <c r="B307" s="10" t="inlineStr">
        <is>
          <t>Mobile and Vape Shop Hindley</t>
        </is>
      </c>
      <c r="C307" s="10" t="inlineStr">
        <is>
          <t>Wigan</t>
        </is>
      </c>
      <c r="D307" s="10" t="inlineStr">
        <is>
          <t>Vape Shop</t>
        </is>
      </c>
      <c r="E307" s="10" t="inlineStr">
        <is>
          <t>Medium</t>
        </is>
      </c>
      <c r="F307" s="10" t="inlineStr"/>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UK-000494</t>
        </is>
      </c>
      <c r="B308" s="5" t="inlineStr">
        <is>
          <t>Monmore Confectionery (Midlands) Ltd</t>
        </is>
      </c>
      <c r="C308" s="5" t="inlineStr">
        <is>
          <t>Bilston</t>
        </is>
      </c>
      <c r="D308" s="5" t="inlineStr">
        <is>
          <t>Cash &amp; Carry</t>
        </is>
      </c>
      <c r="E308" s="5" t="inlineStr">
        <is>
          <t>Medium</t>
        </is>
      </c>
      <c r="F308" s="5" t="inlineStr">
        <is>
          <t>01902 403336</t>
        </is>
      </c>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WY-0123</t>
        </is>
      </c>
      <c r="B309" s="10" t="inlineStr">
        <is>
          <t>Mount Vapes</t>
        </is>
      </c>
      <c r="C309" s="10" t="inlineStr">
        <is>
          <t>Halifax</t>
        </is>
      </c>
      <c r="D309" s="10" t="inlineStr">
        <is>
          <t>Vape Shop</t>
        </is>
      </c>
      <c r="E309" s="10" t="inlineStr">
        <is>
          <t>Medium</t>
        </is>
      </c>
      <c r="F309" s="10" t="inlineStr">
        <is>
          <t>07843 846154</t>
        </is>
      </c>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UK-000374</t>
        </is>
      </c>
      <c r="B310" s="5" t="inlineStr">
        <is>
          <t>Mr Ciggies</t>
        </is>
      </c>
      <c r="C310" s="5" t="inlineStr">
        <is>
          <t>Stalybridge</t>
        </is>
      </c>
      <c r="D310" s="5" t="inlineStr">
        <is>
          <t>Vape Shop</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UK-000805</t>
        </is>
      </c>
      <c r="B311" s="10" t="inlineStr">
        <is>
          <t>Mr MotiVapor</t>
        </is>
      </c>
      <c r="C311" s="10" t="inlineStr">
        <is>
          <t>Bathgate</t>
        </is>
      </c>
      <c r="D311" s="10" t="inlineStr">
        <is>
          <t>Vape Shop</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UK-000638</t>
        </is>
      </c>
      <c r="B312" s="5" t="inlineStr">
        <is>
          <t>Mr Vape</t>
        </is>
      </c>
      <c r="C312" s="5" t="inlineStr">
        <is>
          <t>London</t>
        </is>
      </c>
      <c r="D312" s="5" t="inlineStr">
        <is>
          <t>Vape Shop</t>
        </is>
      </c>
      <c r="E312" s="5" t="inlineStr">
        <is>
          <t>Medium</t>
        </is>
      </c>
      <c r="F312" s="5" t="inlineStr"/>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WY-0019</t>
        </is>
      </c>
      <c r="B313" s="10" t="inlineStr">
        <is>
          <t>Mullaco (Batley)</t>
        </is>
      </c>
      <c r="C313" s="10" t="inlineStr">
        <is>
          <t>Batley</t>
        </is>
      </c>
      <c r="D313" s="10" t="inlineStr">
        <is>
          <t>Independent Supermarket</t>
        </is>
      </c>
      <c r="E313" s="10" t="inlineStr">
        <is>
          <t>Medium</t>
        </is>
      </c>
      <c r="F313" s="10" t="inlineStr">
        <is>
          <t>01924 939128</t>
        </is>
      </c>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WY-0020</t>
        </is>
      </c>
      <c r="B314" s="5" t="inlineStr">
        <is>
          <t>Mullaco Minimarket (Dewsbury)</t>
        </is>
      </c>
      <c r="C314" s="5" t="inlineStr">
        <is>
          <t>Dewsbury</t>
        </is>
      </c>
      <c r="D314" s="5" t="inlineStr">
        <is>
          <t>Convenience Store</t>
        </is>
      </c>
      <c r="E314" s="5" t="inlineStr">
        <is>
          <t>Medium</t>
        </is>
      </c>
      <c r="F314" s="5" t="inlineStr"/>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WY-0021</t>
        </is>
      </c>
      <c r="B315" s="10" t="inlineStr">
        <is>
          <t>Mullaco Supermarket (Dewsbury)</t>
        </is>
      </c>
      <c r="C315" s="10" t="inlineStr">
        <is>
          <t>Dewsbury</t>
        </is>
      </c>
      <c r="D315" s="10" t="inlineStr">
        <is>
          <t>Independent Supermarket</t>
        </is>
      </c>
      <c r="E315" s="10" t="inlineStr">
        <is>
          <t>Medium</t>
        </is>
      </c>
      <c r="F315" s="10" t="inlineStr">
        <is>
          <t>01924 465909</t>
        </is>
      </c>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UK-000313</t>
        </is>
      </c>
      <c r="B316" s="5" t="inlineStr">
        <is>
          <t>Multisaver Nisa Local Dukinfield</t>
        </is>
      </c>
      <c r="C316" s="5" t="inlineStr">
        <is>
          <t>Dukinfield</t>
        </is>
      </c>
      <c r="D316" s="5" t="inlineStr">
        <is>
          <t>Convenience Store</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UK-000375</t>
        </is>
      </c>
      <c r="B317" s="10" t="inlineStr">
        <is>
          <t>NJ Vapes (Urmston, Trafford)</t>
        </is>
      </c>
      <c r="C317" s="10" t="inlineStr">
        <is>
          <t>Urmston</t>
        </is>
      </c>
      <c r="D317" s="10" t="inlineStr">
        <is>
          <t>Vape Shop</t>
        </is>
      </c>
      <c r="E317" s="10" t="inlineStr">
        <is>
          <t>Medium</t>
        </is>
      </c>
      <c r="F317" s="10" t="inlineStr">
        <is>
          <t>0161 376 4170</t>
        </is>
      </c>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UK-000495</t>
        </is>
      </c>
      <c r="B318" s="5" t="inlineStr">
        <is>
          <t>Nanostix Birmingham</t>
        </is>
      </c>
      <c r="C318" s="5" t="inlineStr">
        <is>
          <t>Birmingham</t>
        </is>
      </c>
      <c r="D318" s="5" t="inlineStr">
        <is>
          <t>Vape Shop</t>
        </is>
      </c>
      <c r="E318" s="5" t="inlineStr">
        <is>
          <t>Medium</t>
        </is>
      </c>
      <c r="F318" s="5" t="inlineStr"/>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UK-000376</t>
        </is>
      </c>
      <c r="B319" s="10" t="inlineStr">
        <is>
          <t>Neon Vaperz CBD (Salford)</t>
        </is>
      </c>
      <c r="C319" s="10" t="inlineStr">
        <is>
          <t>Salford</t>
        </is>
      </c>
      <c r="D319" s="10" t="inlineStr">
        <is>
          <t>Vape Shop</t>
        </is>
      </c>
      <c r="E319" s="10" t="inlineStr">
        <is>
          <t>Medium</t>
        </is>
      </c>
      <c r="F319" s="10" t="inlineStr">
        <is>
          <t>0161 707 2228</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UK-000724</t>
        </is>
      </c>
      <c r="B320" s="5" t="inlineStr">
        <is>
          <t>New Delhi Cash &amp; Carry</t>
        </is>
      </c>
      <c r="C320" s="5" t="inlineStr">
        <is>
          <t>Liverpool</t>
        </is>
      </c>
      <c r="D320" s="5" t="inlineStr">
        <is>
          <t>Cash &amp; Carry</t>
        </is>
      </c>
      <c r="E320" s="5" t="inlineStr">
        <is>
          <t>Medium</t>
        </is>
      </c>
      <c r="F320" s="5" t="inlineStr"/>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UK-000711</t>
        </is>
      </c>
      <c r="B321" s="10" t="inlineStr">
        <is>
          <t>News Plus (Bruntsfield)</t>
        </is>
      </c>
      <c r="C321" s="10" t="inlineStr">
        <is>
          <t>Edinburgh</t>
        </is>
      </c>
      <c r="D321" s="10" t="inlineStr">
        <is>
          <t>Newsagent</t>
        </is>
      </c>
      <c r="E321" s="10" t="inlineStr">
        <is>
          <t>Medium</t>
        </is>
      </c>
      <c r="F321" s="10" t="inlineStr">
        <is>
          <t>0131 229 3415</t>
        </is>
      </c>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UK-000266</t>
        </is>
      </c>
      <c r="B322" s="5" t="inlineStr">
        <is>
          <t>Ninnsi</t>
        </is>
      </c>
      <c r="C322" s="5" t="inlineStr">
        <is>
          <t>Kingston upon Hull</t>
        </is>
      </c>
      <c r="D322" s="5" t="inlineStr">
        <is>
          <t>Independent Supermarket</t>
        </is>
      </c>
      <c r="E322" s="5" t="inlineStr">
        <is>
          <t>Medium</t>
        </is>
      </c>
      <c r="F322" s="5" t="inlineStr"/>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UK-000201</t>
        </is>
      </c>
      <c r="B323" s="10" t="inlineStr">
        <is>
          <t>Nisa Express Grimsby (Victor Street)</t>
        </is>
      </c>
      <c r="C323" s="10" t="inlineStr">
        <is>
          <t>Grimsby</t>
        </is>
      </c>
      <c r="D323" s="10" t="inlineStr">
        <is>
          <t>Convenience Store</t>
        </is>
      </c>
      <c r="E323" s="10" t="inlineStr">
        <is>
          <t>Medium</t>
        </is>
      </c>
      <c r="F323" s="10" t="inlineStr"/>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UK-000315</t>
        </is>
      </c>
      <c r="B324" s="5" t="inlineStr">
        <is>
          <t>Nisa Local (Manor Avenue, Sale)</t>
        </is>
      </c>
      <c r="C324" s="5" t="inlineStr">
        <is>
          <t>Sale</t>
        </is>
      </c>
      <c r="D324" s="5" t="inlineStr">
        <is>
          <t>Convenience Store</t>
        </is>
      </c>
      <c r="E324" s="5" t="inlineStr">
        <is>
          <t>Medium</t>
        </is>
      </c>
      <c r="F324" s="5" t="inlineStr">
        <is>
          <t>0161 929 5143</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UK-000434</t>
        </is>
      </c>
      <c r="B325" s="10" t="inlineStr">
        <is>
          <t>Nisa Local - 555 Bloxwich Road</t>
        </is>
      </c>
      <c r="C325" s="10" t="inlineStr">
        <is>
          <t>Walsall</t>
        </is>
      </c>
      <c r="D325" s="10" t="inlineStr">
        <is>
          <t>Convenience Store</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UK-000435</t>
        </is>
      </c>
      <c r="B326" s="5" t="inlineStr">
        <is>
          <t>Nisa Local - Sneyd Hall Road</t>
        </is>
      </c>
      <c r="C326" s="5" t="inlineStr">
        <is>
          <t>Walsall</t>
        </is>
      </c>
      <c r="D326" s="5" t="inlineStr">
        <is>
          <t>Convenience Store</t>
        </is>
      </c>
      <c r="E326" s="5" t="inlineStr">
        <is>
          <t>Medium</t>
        </is>
      </c>
      <c r="F326" s="5" t="inlineStr"/>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UK-000202</t>
        </is>
      </c>
      <c r="B327" s="10" t="inlineStr">
        <is>
          <t>Nisa Local Cleethorpes (Grimsby Road)</t>
        </is>
      </c>
      <c r="C327" s="10" t="inlineStr">
        <is>
          <t>Cleethorpes</t>
        </is>
      </c>
      <c r="D327" s="10" t="inlineStr">
        <is>
          <t>Convenience Store</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WY-0125</t>
        </is>
      </c>
      <c r="B328" s="5" t="inlineStr">
        <is>
          <t>Nisa Local Knottingley</t>
        </is>
      </c>
      <c r="C328" s="5" t="inlineStr">
        <is>
          <t>Knottingley</t>
        </is>
      </c>
      <c r="D328" s="5" t="inlineStr">
        <is>
          <t>Convenience Store</t>
        </is>
      </c>
      <c r="E328" s="5" t="inlineStr">
        <is>
          <t>Medium</t>
        </is>
      </c>
      <c r="F328" s="5" t="inlineStr">
        <is>
          <t>01977 607202</t>
        </is>
      </c>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UK-000314</t>
        </is>
      </c>
      <c r="B329" s="10" t="inlineStr">
        <is>
          <t>Nisa Local Marsh Green</t>
        </is>
      </c>
      <c r="C329" s="10" t="inlineStr">
        <is>
          <t>Wigan</t>
        </is>
      </c>
      <c r="D329" s="10" t="inlineStr">
        <is>
          <t>Convenience Store</t>
        </is>
      </c>
      <c r="E329" s="10" t="inlineStr">
        <is>
          <t>Medium</t>
        </is>
      </c>
      <c r="F329" s="10" t="inlineStr"/>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UK-000436</t>
        </is>
      </c>
      <c r="B330" s="5" t="inlineStr">
        <is>
          <t>Nisa Today's - 619 Bloxwich Road</t>
        </is>
      </c>
      <c r="C330" s="5" t="inlineStr">
        <is>
          <t>Walsall</t>
        </is>
      </c>
      <c r="D330" s="5" t="inlineStr">
        <is>
          <t>Convenience Store</t>
        </is>
      </c>
      <c r="E330" s="5" t="inlineStr">
        <is>
          <t>Medium</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UK-000639</t>
        </is>
      </c>
      <c r="B331" s="10" t="inlineStr">
        <is>
          <t>Nita Cash and Carry</t>
        </is>
      </c>
      <c r="C331" s="10" t="inlineStr">
        <is>
          <t>Wembley</t>
        </is>
      </c>
      <c r="D331" s="10" t="inlineStr">
        <is>
          <t>Cash &amp; Carry</t>
        </is>
      </c>
      <c r="E331" s="10" t="inlineStr">
        <is>
          <t>Medium</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UK-000640</t>
        </is>
      </c>
      <c r="B332" s="5" t="inlineStr">
        <is>
          <t>No 5 Dining &amp; Lounge</t>
        </is>
      </c>
      <c r="C332" s="5" t="inlineStr">
        <is>
          <t>Hornsey</t>
        </is>
      </c>
      <c r="D332" s="5" t="inlineStr">
        <is>
          <t>Smoke / Shisha Shop</t>
        </is>
      </c>
      <c r="E332" s="5" t="inlineStr">
        <is>
          <t>Medium</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WY-0127</t>
        </is>
      </c>
      <c r="B333" s="10" t="inlineStr">
        <is>
          <t>Notay Convenience Store (Premier)</t>
        </is>
      </c>
      <c r="C333" s="10" t="inlineStr">
        <is>
          <t>Batley</t>
        </is>
      </c>
      <c r="D333" s="10" t="inlineStr">
        <is>
          <t>Convenience Store</t>
        </is>
      </c>
      <c r="E333" s="10" t="inlineStr">
        <is>
          <t>Medium</t>
        </is>
      </c>
      <c r="F333" s="10" t="inlineStr">
        <is>
          <t>01924 471483</t>
        </is>
      </c>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UK-000378</t>
        </is>
      </c>
      <c r="B334" s="5" t="inlineStr">
        <is>
          <t>Oldham Cash and Carry</t>
        </is>
      </c>
      <c r="C334" s="5" t="inlineStr">
        <is>
          <t>Oldham</t>
        </is>
      </c>
      <c r="D334" s="5" t="inlineStr">
        <is>
          <t>Cash &amp; Carry</t>
        </is>
      </c>
      <c r="E334" s="5" t="inlineStr">
        <is>
          <t>Medium</t>
        </is>
      </c>
      <c r="F334" s="5" t="inlineStr"/>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UK-000714</t>
        </is>
      </c>
      <c r="B335" s="10" t="inlineStr">
        <is>
          <t>One Stop Convenience Store - Glovers Brow</t>
        </is>
      </c>
      <c r="C335" s="10" t="inlineStr">
        <is>
          <t>Liverpool</t>
        </is>
      </c>
      <c r="D335" s="10" t="inlineStr">
        <is>
          <t>Convenience Store</t>
        </is>
      </c>
      <c r="E335" s="10" t="inlineStr">
        <is>
          <t>Medium</t>
        </is>
      </c>
      <c r="F335" s="10" t="inlineStr">
        <is>
          <t>0151 792 5986</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WY-0130</t>
        </is>
      </c>
      <c r="B336" s="5" t="inlineStr">
        <is>
          <t>Pakeezah Superstore</t>
        </is>
      </c>
      <c r="C336" s="5" t="inlineStr">
        <is>
          <t>Bradford</t>
        </is>
      </c>
      <c r="D336" s="5" t="inlineStr">
        <is>
          <t>Independent Supermarket</t>
        </is>
      </c>
      <c r="E336" s="5" t="inlineStr">
        <is>
          <t>Medium</t>
        </is>
      </c>
      <c r="F336" s="5" t="inlineStr">
        <is>
          <t>01274 739500</t>
        </is>
      </c>
      <c r="G336" s="5" t="inlineStr">
        <is>
          <t>info@pakeezah.com</t>
        </is>
      </c>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UK-000645</t>
        </is>
      </c>
      <c r="B337" s="10" t="inlineStr">
        <is>
          <t>Pembridge Food and Wine</t>
        </is>
      </c>
      <c r="C337" s="10" t="inlineStr">
        <is>
          <t>London</t>
        </is>
      </c>
      <c r="D337" s="10" t="inlineStr">
        <is>
          <t>Off-Licence</t>
        </is>
      </c>
      <c r="E337" s="10" t="inlineStr">
        <is>
          <t>Medium</t>
        </is>
      </c>
      <c r="F337" s="10" t="inlineStr">
        <is>
          <t>020 3092 8444</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WY-0131</t>
        </is>
      </c>
      <c r="B338" s="5" t="inlineStr">
        <is>
          <t>Phantom Vape Store</t>
        </is>
      </c>
      <c r="C338" s="5" t="inlineStr">
        <is>
          <t>Dewsbury</t>
        </is>
      </c>
      <c r="D338" s="5" t="inlineStr">
        <is>
          <t>Vape Shop</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WY-0132</t>
        </is>
      </c>
      <c r="B339" s="10" t="inlineStr">
        <is>
          <t>Phoenix Filling Station</t>
        </is>
      </c>
      <c r="C339" s="10" t="inlineStr">
        <is>
          <t>Bradford</t>
        </is>
      </c>
      <c r="D339" s="10" t="inlineStr">
        <is>
          <t>Petrol Station / Forecourt</t>
        </is>
      </c>
      <c r="E339" s="10" t="inlineStr">
        <is>
          <t>Medium</t>
        </is>
      </c>
      <c r="F339" s="10" t="inlineStr">
        <is>
          <t>01274 721896</t>
        </is>
      </c>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UK-000499</t>
        </is>
      </c>
      <c r="B340" s="5" t="inlineStr">
        <is>
          <t>Phone Care &amp; Vape</t>
        </is>
      </c>
      <c r="C340" s="5" t="inlineStr">
        <is>
          <t>Walsall</t>
        </is>
      </c>
      <c r="D340" s="5" t="inlineStr">
        <is>
          <t>Vape Shop</t>
        </is>
      </c>
      <c r="E340" s="5" t="inlineStr">
        <is>
          <t>Medium</t>
        </is>
      </c>
      <c r="F340" s="5" t="inlineStr">
        <is>
          <t>01922 320998</t>
        </is>
      </c>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UK-000500</t>
        </is>
      </c>
      <c r="B341" s="10" t="inlineStr">
        <is>
          <t>Phone Fix &amp; Vape Ltd</t>
        </is>
      </c>
      <c r="C341" s="10" t="inlineStr">
        <is>
          <t>Birmingham</t>
        </is>
      </c>
      <c r="D341" s="10" t="inlineStr">
        <is>
          <t>Vape Shop</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UK-000501</t>
        </is>
      </c>
      <c r="B342" s="5" t="inlineStr">
        <is>
          <t>Phones &amp; Vapes Kings Heath</t>
        </is>
      </c>
      <c r="C342" s="5" t="inlineStr">
        <is>
          <t>Birmingham</t>
        </is>
      </c>
      <c r="D342" s="5" t="inlineStr">
        <is>
          <t>Vape Shop</t>
        </is>
      </c>
      <c r="E342" s="5" t="inlineStr">
        <is>
          <t>Medium</t>
        </is>
      </c>
      <c r="F342" s="5" t="inlineStr">
        <is>
          <t>07516 034606</t>
        </is>
      </c>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UK-000267</t>
        </is>
      </c>
      <c r="B343" s="10" t="inlineStr">
        <is>
          <t>Platinum Vape Hull</t>
        </is>
      </c>
      <c r="C343" s="10" t="inlineStr">
        <is>
          <t>Kingston upon Hull</t>
        </is>
      </c>
      <c r="D343" s="10" t="inlineStr">
        <is>
          <t>Vape Shop</t>
        </is>
      </c>
      <c r="E343" s="10" t="inlineStr">
        <is>
          <t>Medium</t>
        </is>
      </c>
      <c r="F343" s="10" t="inlineStr"/>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UK-000206</t>
        </is>
      </c>
      <c r="B344" s="5" t="inlineStr">
        <is>
          <t>Premier (Grimsby Road, Cleethorpes)</t>
        </is>
      </c>
      <c r="C344" s="5" t="inlineStr">
        <is>
          <t>Cleethorpes</t>
        </is>
      </c>
      <c r="D344" s="5" t="inlineStr">
        <is>
          <t>Convenience Store</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UK-000439</t>
        </is>
      </c>
      <c r="B345" s="10" t="inlineStr">
        <is>
          <t>Premier - 570 Bloxwich Road</t>
        </is>
      </c>
      <c r="C345" s="10" t="inlineStr">
        <is>
          <t>Walsall</t>
        </is>
      </c>
      <c r="D345" s="10" t="inlineStr">
        <is>
          <t>Convenience Store</t>
        </is>
      </c>
      <c r="E345" s="10" t="inlineStr">
        <is>
          <t>Medium</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UK-000717</t>
        </is>
      </c>
      <c r="B346" s="5" t="inlineStr">
        <is>
          <t>Premier - Shawlands Convenience Store</t>
        </is>
      </c>
      <c r="C346" s="5" t="inlineStr">
        <is>
          <t>Glasgow</t>
        </is>
      </c>
      <c r="D346" s="5" t="inlineStr">
        <is>
          <t>Convenience Store</t>
        </is>
      </c>
      <c r="E346" s="5" t="inlineStr">
        <is>
          <t>Medium</t>
        </is>
      </c>
      <c r="F346" s="5" t="inlineStr">
        <is>
          <t>0141 632 3236</t>
        </is>
      </c>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UK-000316</t>
        </is>
      </c>
      <c r="B347" s="10" t="inlineStr">
        <is>
          <t>Premier Store Leigh (Kirkhall Lane)</t>
        </is>
      </c>
      <c r="C347" s="10" t="inlineStr">
        <is>
          <t>Leigh</t>
        </is>
      </c>
      <c r="D347" s="10" t="inlineStr">
        <is>
          <t>Convenience Store</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UK-000317</t>
        </is>
      </c>
      <c r="B348" s="5" t="inlineStr">
        <is>
          <t>Premier Store Wigan (Ormskirk Road)</t>
        </is>
      </c>
      <c r="C348" s="5" t="inlineStr">
        <is>
          <t>Wigan</t>
        </is>
      </c>
      <c r="D348" s="5" t="inlineStr">
        <is>
          <t>Convenience Store</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UK-000204</t>
        </is>
      </c>
      <c r="B349" s="10" t="inlineStr">
        <is>
          <t>Premier Stores Ripon</t>
        </is>
      </c>
      <c r="C349" s="10" t="inlineStr">
        <is>
          <t>Ripon</t>
        </is>
      </c>
      <c r="D349" s="10" t="inlineStr">
        <is>
          <t>Convenience Store</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UK-000208</t>
        </is>
      </c>
      <c r="B350" s="5" t="inlineStr">
        <is>
          <t>Premier Super Convenience Store Barnsley</t>
        </is>
      </c>
      <c r="C350" s="5" t="inlineStr">
        <is>
          <t>Barnsley</t>
        </is>
      </c>
      <c r="D350" s="5" t="inlineStr">
        <is>
          <t>Convenience Store</t>
        </is>
      </c>
      <c r="E350" s="5" t="inlineStr">
        <is>
          <t>Medium</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WY-0135</t>
        </is>
      </c>
      <c r="B351" s="10" t="inlineStr">
        <is>
          <t>Premier Wholesale Cash &amp; Carry</t>
        </is>
      </c>
      <c r="C351" s="10" t="inlineStr">
        <is>
          <t>Huddersfield</t>
        </is>
      </c>
      <c r="D351" s="10" t="inlineStr">
        <is>
          <t>Cash &amp; Carry</t>
        </is>
      </c>
      <c r="E351" s="10" t="inlineStr">
        <is>
          <t>Medium</t>
        </is>
      </c>
      <c r="F351" s="10" t="inlineStr"/>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UK-000209</t>
        </is>
      </c>
      <c r="B352" s="5" t="inlineStr">
        <is>
          <t>Premier Wombwell Convenience Store</t>
        </is>
      </c>
      <c r="C352" s="5" t="inlineStr">
        <is>
          <t>Barnsley</t>
        </is>
      </c>
      <c r="D352" s="5" t="inlineStr">
        <is>
          <t>Convenience Store</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UK-000718</t>
        </is>
      </c>
      <c r="B353" s="10" t="inlineStr">
        <is>
          <t>Prime Vapour East Kilbride</t>
        </is>
      </c>
      <c r="C353" s="10" t="inlineStr">
        <is>
          <t>East Kilbride</t>
        </is>
      </c>
      <c r="D353" s="10" t="inlineStr">
        <is>
          <t>Vape Shop</t>
        </is>
      </c>
      <c r="E353" s="10" t="inlineStr">
        <is>
          <t>Medium</t>
        </is>
      </c>
      <c r="F353" s="10" t="inlineStr">
        <is>
          <t>01355 458188</t>
        </is>
      </c>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UK-000719</t>
        </is>
      </c>
      <c r="B354" s="5" t="inlineStr">
        <is>
          <t>Prime Vapour Motherwell</t>
        </is>
      </c>
      <c r="C354" s="5" t="inlineStr">
        <is>
          <t>Motherwell</t>
        </is>
      </c>
      <c r="D354" s="5" t="inlineStr">
        <is>
          <t>Vape Shop</t>
        </is>
      </c>
      <c r="E354" s="5" t="inlineStr">
        <is>
          <t>Medium</t>
        </is>
      </c>
      <c r="F354" s="5" t="inlineStr">
        <is>
          <t>01698 253423</t>
        </is>
      </c>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UK-000646</t>
        </is>
      </c>
      <c r="B355" s="10" t="inlineStr">
        <is>
          <t>Prince Cash &amp; Carry Ltd</t>
        </is>
      </c>
      <c r="C355" s="10" t="inlineStr">
        <is>
          <t>Southall</t>
        </is>
      </c>
      <c r="D355" s="10" t="inlineStr">
        <is>
          <t>Cash &amp; Carry</t>
        </is>
      </c>
      <c r="E355" s="10" t="inlineStr">
        <is>
          <t>Medium</t>
        </is>
      </c>
      <c r="F355" s="10" t="inlineStr">
        <is>
          <t>020 8574 0892</t>
        </is>
      </c>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UK-000720</t>
        </is>
      </c>
      <c r="B356" s="5" t="inlineStr">
        <is>
          <t>Pro Vapor Leith Walk</t>
        </is>
      </c>
      <c r="C356" s="5" t="inlineStr">
        <is>
          <t>Edinburgh</t>
        </is>
      </c>
      <c r="D356" s="5" t="inlineStr">
        <is>
          <t>Vape Shop</t>
        </is>
      </c>
      <c r="E356" s="5" t="inlineStr">
        <is>
          <t>Medium</t>
        </is>
      </c>
      <c r="F356" s="5" t="inlineStr">
        <is>
          <t>0131 556 4151</t>
        </is>
      </c>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UK-000559</t>
        </is>
      </c>
      <c r="B357" s="10" t="inlineStr">
        <is>
          <t>Quality Foods</t>
        </is>
      </c>
      <c r="C357" s="10" t="inlineStr">
        <is>
          <t>Southall</t>
        </is>
      </c>
      <c r="D357" s="10" t="inlineStr">
        <is>
          <t>Independent Supermarket</t>
        </is>
      </c>
      <c r="E357" s="10" t="inlineStr">
        <is>
          <t>Medium</t>
        </is>
      </c>
      <c r="F357" s="10" t="inlineStr">
        <is>
          <t>020 8571 6966</t>
        </is>
      </c>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UK-000560</t>
        </is>
      </c>
      <c r="B358" s="5" t="inlineStr">
        <is>
          <t>Quality Foods (Ilford)</t>
        </is>
      </c>
      <c r="C358" s="5" t="inlineStr">
        <is>
          <t>Ilford</t>
        </is>
      </c>
      <c r="D358" s="5" t="inlineStr">
        <is>
          <t>Independent Supermarket</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UK-000647</t>
        </is>
      </c>
      <c r="B359" s="10" t="inlineStr">
        <is>
          <t>Rakkas</t>
        </is>
      </c>
      <c r="C359" s="10" t="inlineStr">
        <is>
          <t>Harringay</t>
        </is>
      </c>
      <c r="D359" s="10" t="inlineStr">
        <is>
          <t>Smoke / Shisha Shop</t>
        </is>
      </c>
      <c r="E359" s="10" t="inlineStr">
        <is>
          <t>Medium</t>
        </is>
      </c>
      <c r="F359" s="10" t="inlineStr"/>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UK-000268</t>
        </is>
      </c>
      <c r="B360" s="5" t="inlineStr">
        <is>
          <t>Rawal Lounge Sheffield</t>
        </is>
      </c>
      <c r="C360" s="5" t="inlineStr">
        <is>
          <t>Sheffield</t>
        </is>
      </c>
      <c r="D360" s="5" t="inlineStr">
        <is>
          <t>Smoke / Shisha Shop</t>
        </is>
      </c>
      <c r="E360" s="5" t="inlineStr">
        <is>
          <t>Medium</t>
        </is>
      </c>
      <c r="F360" s="5" t="inlineStr"/>
      <c r="G360" s="5" t="inlineStr">
        <is>
          <t>rawalloungesheffield@hotmail.com</t>
        </is>
      </c>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UK-000503</t>
        </is>
      </c>
      <c r="B361" s="10" t="inlineStr">
        <is>
          <t>Red Hot Vaping</t>
        </is>
      </c>
      <c r="C361" s="10" t="inlineStr">
        <is>
          <t>Wednesbury</t>
        </is>
      </c>
      <c r="D361" s="10" t="inlineStr">
        <is>
          <t>Vape Shop</t>
        </is>
      </c>
      <c r="E361" s="10" t="inlineStr">
        <is>
          <t>Medium</t>
        </is>
      </c>
      <c r="F361" s="10" t="inlineStr"/>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UK-000269</t>
        </is>
      </c>
      <c r="B362" s="5" t="inlineStr">
        <is>
          <t>Retreat Sheesha Lounge</t>
        </is>
      </c>
      <c r="C362" s="5" t="inlineStr">
        <is>
          <t>Kingston upon Hull</t>
        </is>
      </c>
      <c r="D362" s="5" t="inlineStr">
        <is>
          <t>Smoke / Shisha Shop</t>
        </is>
      </c>
      <c r="E362" s="5" t="inlineStr">
        <is>
          <t>Medium</t>
        </is>
      </c>
      <c r="F362" s="5" t="inlineStr"/>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WY-0138</t>
        </is>
      </c>
      <c r="B363" s="10" t="inlineStr">
        <is>
          <t>Revo Vapes</t>
        </is>
      </c>
      <c r="C363" s="10" t="inlineStr">
        <is>
          <t>Morley</t>
        </is>
      </c>
      <c r="D363" s="10" t="inlineStr">
        <is>
          <t>Vape Shop</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UK-000270</t>
        </is>
      </c>
      <c r="B364" s="5" t="inlineStr">
        <is>
          <t>Revolution Vape</t>
        </is>
      </c>
      <c r="C364" s="5" t="inlineStr">
        <is>
          <t>Rotherham</t>
        </is>
      </c>
      <c r="D364" s="5" t="inlineStr">
        <is>
          <t>Vape Shop</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UK-000505</t>
        </is>
      </c>
      <c r="B365" s="10" t="inlineStr">
        <is>
          <t>Rhythm 'N' Vape Sedgley</t>
        </is>
      </c>
      <c r="C365" s="10" t="inlineStr">
        <is>
          <t>Dudley</t>
        </is>
      </c>
      <c r="D365" s="10" t="inlineStr">
        <is>
          <t>Vape Shop</t>
        </is>
      </c>
      <c r="E365" s="10" t="inlineStr">
        <is>
          <t>Medium</t>
        </is>
      </c>
      <c r="F365" s="10" t="inlineStr"/>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UK-000811</t>
        </is>
      </c>
      <c r="B366" s="5" t="inlineStr">
        <is>
          <t>Roots, Fruits &amp; Flowers</t>
        </is>
      </c>
      <c r="C366" s="5" t="inlineStr">
        <is>
          <t>Glasgow</t>
        </is>
      </c>
      <c r="D366" s="5" t="inlineStr">
        <is>
          <t>Independent Supermarket</t>
        </is>
      </c>
      <c r="E366" s="5" t="inlineStr">
        <is>
          <t>Medium</t>
        </is>
      </c>
      <c r="F366" s="5" t="inlineStr">
        <is>
          <t>0141 334 3530</t>
        </is>
      </c>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UK-000273</t>
        </is>
      </c>
      <c r="B367" s="10" t="inlineStr">
        <is>
          <t>Ryedale Vapour</t>
        </is>
      </c>
      <c r="C367" s="10" t="inlineStr">
        <is>
          <t>Malton</t>
        </is>
      </c>
      <c r="D367" s="10" t="inlineStr">
        <is>
          <t>Vape Shop</t>
        </is>
      </c>
      <c r="E367" s="10" t="inlineStr">
        <is>
          <t>Medium</t>
        </is>
      </c>
      <c r="F367" s="10" t="inlineStr">
        <is>
          <t>01653 228160</t>
        </is>
      </c>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UK-000211</t>
        </is>
      </c>
      <c r="B368" s="5" t="inlineStr">
        <is>
          <t>SMKD Barnsley</t>
        </is>
      </c>
      <c r="C368" s="5" t="inlineStr">
        <is>
          <t>Barnsley</t>
        </is>
      </c>
      <c r="D368" s="5" t="inlineStr">
        <is>
          <t>Vape Shop</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UK-000212</t>
        </is>
      </c>
      <c r="B369" s="10" t="inlineStr">
        <is>
          <t>SMKD Rotherham</t>
        </is>
      </c>
      <c r="C369" s="10" t="inlineStr">
        <is>
          <t>Rotherham</t>
        </is>
      </c>
      <c r="D369" s="10" t="inlineStr">
        <is>
          <t>Vape Shop</t>
        </is>
      </c>
      <c r="E369" s="10" t="inlineStr">
        <is>
          <t>Medium</t>
        </is>
      </c>
      <c r="F369" s="10" t="inlineStr">
        <is>
          <t>01274 270303</t>
        </is>
      </c>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UK-000213</t>
        </is>
      </c>
      <c r="B370" s="5" t="inlineStr">
        <is>
          <t>SPAR Barnsley Road</t>
        </is>
      </c>
      <c r="C370" s="5" t="inlineStr">
        <is>
          <t>Barnsley</t>
        </is>
      </c>
      <c r="D370" s="5" t="inlineStr">
        <is>
          <t>Convenience Store</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UK-000721</t>
        </is>
      </c>
      <c r="B371" s="10" t="inlineStr">
        <is>
          <t>SPAR Coopers Lane</t>
        </is>
      </c>
      <c r="C371" s="10" t="inlineStr">
        <is>
          <t>Kirkby</t>
        </is>
      </c>
      <c r="D371" s="10" t="inlineStr">
        <is>
          <t>Convenience Store</t>
        </is>
      </c>
      <c r="E371" s="10" t="inlineStr">
        <is>
          <t>Medium</t>
        </is>
      </c>
      <c r="F371" s="10" t="inlineStr">
        <is>
          <t>0151 305 6865</t>
        </is>
      </c>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UK-000722</t>
        </is>
      </c>
      <c r="B372" s="5" t="inlineStr">
        <is>
          <t>SPAR Harington Road</t>
        </is>
      </c>
      <c r="C372" s="5" t="inlineStr">
        <is>
          <t>Formby</t>
        </is>
      </c>
      <c r="D372" s="5" t="inlineStr">
        <is>
          <t>Convenience Store</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WY-0141</t>
        </is>
      </c>
      <c r="B373" s="10" t="inlineStr">
        <is>
          <t>SPAR Huddersfield Road</t>
        </is>
      </c>
      <c r="C373" s="10" t="inlineStr">
        <is>
          <t>Elland</t>
        </is>
      </c>
      <c r="D373" s="10" t="inlineStr">
        <is>
          <t>Convenience Store</t>
        </is>
      </c>
      <c r="E373" s="10" t="inlineStr">
        <is>
          <t>Medium</t>
        </is>
      </c>
      <c r="F373" s="10" t="inlineStr">
        <is>
          <t>01422 648232</t>
        </is>
      </c>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WY-0142</t>
        </is>
      </c>
      <c r="B374" s="5" t="inlineStr">
        <is>
          <t>SPAR Outwood</t>
        </is>
      </c>
      <c r="C374" s="5" t="inlineStr">
        <is>
          <t>Wakefield</t>
        </is>
      </c>
      <c r="D374" s="5" t="inlineStr">
        <is>
          <t>Convenience Store</t>
        </is>
      </c>
      <c r="E374" s="5" t="inlineStr">
        <is>
          <t>Medium</t>
        </is>
      </c>
      <c r="F374" s="5" t="inlineStr">
        <is>
          <t>01924 822641</t>
        </is>
      </c>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UK-000319</t>
        </is>
      </c>
      <c r="B375" s="10" t="inlineStr">
        <is>
          <t>SPAR Radcliffe</t>
        </is>
      </c>
      <c r="C375" s="10" t="inlineStr">
        <is>
          <t>Radcliffe</t>
        </is>
      </c>
      <c r="D375" s="10" t="inlineStr">
        <is>
          <t>Convenience Store</t>
        </is>
      </c>
      <c r="E375" s="10" t="inlineStr">
        <is>
          <t>Medium</t>
        </is>
      </c>
      <c r="F375" s="10" t="inlineStr"/>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UK-000508</t>
        </is>
      </c>
      <c r="B376" s="5" t="inlineStr">
        <is>
          <t>SR Catering Ltd</t>
        </is>
      </c>
      <c r="C376" s="5" t="inlineStr">
        <is>
          <t>Wolverhampton</t>
        </is>
      </c>
      <c r="D376" s="5" t="inlineStr">
        <is>
          <t>Cash &amp; Carry</t>
        </is>
      </c>
      <c r="E376" s="5" t="inlineStr">
        <is>
          <t>Medium</t>
        </is>
      </c>
      <c r="F376" s="5" t="inlineStr">
        <is>
          <t>01902 456430</t>
        </is>
      </c>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UK-000652</t>
        </is>
      </c>
      <c r="B377" s="10" t="inlineStr">
        <is>
          <t>SW9 Vapes</t>
        </is>
      </c>
      <c r="C377" s="10" t="inlineStr">
        <is>
          <t>London</t>
        </is>
      </c>
      <c r="D377" s="10" t="inlineStr">
        <is>
          <t>Vape Shop</t>
        </is>
      </c>
      <c r="E377" s="10" t="inlineStr">
        <is>
          <t>Medium</t>
        </is>
      </c>
      <c r="F377" s="10" t="inlineStr"/>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UK-000275</t>
        </is>
      </c>
      <c r="B378" s="5" t="inlineStr">
        <is>
          <t>Sako Polish Shop Doncaster</t>
        </is>
      </c>
      <c r="C378" s="5" t="inlineStr">
        <is>
          <t>Doncaster</t>
        </is>
      </c>
      <c r="D378" s="5" t="inlineStr">
        <is>
          <t>Independent Supermarket</t>
        </is>
      </c>
      <c r="E378" s="5" t="inlineStr">
        <is>
          <t>Medium</t>
        </is>
      </c>
      <c r="F378" s="5" t="inlineStr"/>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UK-000654</t>
        </is>
      </c>
      <c r="B379" s="10" t="inlineStr">
        <is>
          <t>Sameer Bazaar Cash &amp; Carry</t>
        </is>
      </c>
      <c r="C379" s="10" t="inlineStr">
        <is>
          <t>Upton Park</t>
        </is>
      </c>
      <c r="D379" s="10" t="inlineStr">
        <is>
          <t>Cash &amp; Carry</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UK-000509</t>
        </is>
      </c>
      <c r="B380" s="5" t="inlineStr">
        <is>
          <t>Samis Wholesale Cash &amp; Carry</t>
        </is>
      </c>
      <c r="C380" s="5" t="inlineStr">
        <is>
          <t>Birmingham</t>
        </is>
      </c>
      <c r="D380" s="5" t="inlineStr">
        <is>
          <t>Cash &amp; Carry</t>
        </is>
      </c>
      <c r="E380" s="5" t="inlineStr">
        <is>
          <t>Medium</t>
        </is>
      </c>
      <c r="F380" s="5" t="inlineStr"/>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UK-000655</t>
        </is>
      </c>
      <c r="B381" s="10" t="inlineStr">
        <is>
          <t>Sautter Cigars</t>
        </is>
      </c>
      <c r="C381" s="10" t="inlineStr">
        <is>
          <t>London</t>
        </is>
      </c>
      <c r="D381" s="10" t="inlineStr">
        <is>
          <t>Tobacco Specialist</t>
        </is>
      </c>
      <c r="E381" s="10" t="inlineStr">
        <is>
          <t>Medium</t>
        </is>
      </c>
      <c r="F381" s="10" t="inlineStr">
        <is>
          <t>020 7499 4866</t>
        </is>
      </c>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WY-0143</t>
        </is>
      </c>
      <c r="B382" s="5" t="inlineStr">
        <is>
          <t>SaveCo Cash &amp; Carry Bradford</t>
        </is>
      </c>
      <c r="C382" s="5" t="inlineStr">
        <is>
          <t>Bradford</t>
        </is>
      </c>
      <c r="D382" s="5" t="inlineStr">
        <is>
          <t>Cash &amp; Carry</t>
        </is>
      </c>
      <c r="E382" s="5" t="inlineStr">
        <is>
          <t>Medium</t>
        </is>
      </c>
      <c r="F382" s="5" t="inlineStr">
        <is>
          <t>01274 665555</t>
        </is>
      </c>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UK-000511</t>
        </is>
      </c>
      <c r="B383" s="10" t="inlineStr">
        <is>
          <t>Savemore Cash &amp; Carry</t>
        </is>
      </c>
      <c r="C383" s="10" t="inlineStr">
        <is>
          <t>Wolverhampton</t>
        </is>
      </c>
      <c r="D383" s="10" t="inlineStr">
        <is>
          <t>Cash &amp; Carry</t>
        </is>
      </c>
      <c r="E383" s="10" t="inlineStr">
        <is>
          <t>Medium</t>
        </is>
      </c>
      <c r="F383" s="10" t="inlineStr">
        <is>
          <t>07440 590515</t>
        </is>
      </c>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UK-000318</t>
        </is>
      </c>
      <c r="B384" s="5" t="inlineStr">
        <is>
          <t>Seedley Road Service Station (Costcutter, Salford)</t>
        </is>
      </c>
      <c r="C384" s="5" t="inlineStr">
        <is>
          <t>Salford</t>
        </is>
      </c>
      <c r="D384" s="5" t="inlineStr">
        <is>
          <t>Petrol Station / Forecourt</t>
        </is>
      </c>
      <c r="E384" s="5" t="inlineStr">
        <is>
          <t>Medium</t>
        </is>
      </c>
      <c r="F384" s="5" t="inlineStr">
        <is>
          <t>0161 737 8126</t>
        </is>
      </c>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UK-000276</t>
        </is>
      </c>
      <c r="B385" s="10" t="inlineStr">
        <is>
          <t>Selby Vapes</t>
        </is>
      </c>
      <c r="C385" s="10" t="inlineStr">
        <is>
          <t>Selby</t>
        </is>
      </c>
      <c r="D385" s="10" t="inlineStr">
        <is>
          <t>Vape Shop</t>
        </is>
      </c>
      <c r="E385" s="10" t="inlineStr">
        <is>
          <t>Medium</t>
        </is>
      </c>
      <c r="F385" s="10" t="inlineStr">
        <is>
          <t>07772 913458</t>
        </is>
      </c>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UK-000514</t>
        </is>
      </c>
      <c r="B386" s="5" t="inlineStr">
        <is>
          <t>Shade E-Vaping</t>
        </is>
      </c>
      <c r="C386" s="5" t="inlineStr">
        <is>
          <t>Dudley</t>
        </is>
      </c>
      <c r="D386" s="5" t="inlineStr">
        <is>
          <t>Vape Shop</t>
        </is>
      </c>
      <c r="E386" s="5" t="inlineStr">
        <is>
          <t>Medium</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WY-0145</t>
        </is>
      </c>
      <c r="B387" s="10" t="inlineStr">
        <is>
          <t>Shans Supermarket</t>
        </is>
      </c>
      <c r="C387" s="10" t="inlineStr">
        <is>
          <t>Keighley</t>
        </is>
      </c>
      <c r="D387" s="10" t="inlineStr">
        <is>
          <t>Independent Supermarket</t>
        </is>
      </c>
      <c r="E387" s="10" t="inlineStr">
        <is>
          <t>Medium</t>
        </is>
      </c>
      <c r="F387" s="10" t="inlineStr">
        <is>
          <t>01535 667889</t>
        </is>
      </c>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UK-000210</t>
        </is>
      </c>
      <c r="B388" s="5" t="inlineStr">
        <is>
          <t>Sheffield Road Premier Convenience Store</t>
        </is>
      </c>
      <c r="C388" s="5" t="inlineStr">
        <is>
          <t>Barnsley</t>
        </is>
      </c>
      <c r="D388" s="5" t="inlineStr">
        <is>
          <t>Convenience Store</t>
        </is>
      </c>
      <c r="E388" s="5" t="inlineStr">
        <is>
          <t>Medium</t>
        </is>
      </c>
      <c r="F388" s="5" t="inlineStr"/>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UK-000309</t>
        </is>
      </c>
      <c r="B389" s="10" t="inlineStr">
        <is>
          <t>Shell Bramhall Service Station</t>
        </is>
      </c>
      <c r="C389" s="10" t="inlineStr">
        <is>
          <t>Bramhall</t>
        </is>
      </c>
      <c r="D389" s="10" t="inlineStr">
        <is>
          <t>Petrol Station / Forecourt</t>
        </is>
      </c>
      <c r="E389" s="10" t="inlineStr">
        <is>
          <t>Medium</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UK-000432</t>
        </is>
      </c>
      <c r="B390" s="5" t="inlineStr">
        <is>
          <t>Shell Yardley Wood Service Station</t>
        </is>
      </c>
      <c r="C390" s="5" t="inlineStr">
        <is>
          <t>Birmingham</t>
        </is>
      </c>
      <c r="D390" s="5" t="inlineStr">
        <is>
          <t>Petrol Station / Forecourt</t>
        </is>
      </c>
      <c r="E390" s="5" t="inlineStr">
        <is>
          <t>Medium</t>
        </is>
      </c>
      <c r="F390" s="5" t="inlineStr">
        <is>
          <t>0121 474 4928</t>
        </is>
      </c>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UK-000380</t>
        </is>
      </c>
      <c r="B391" s="10" t="inlineStr">
        <is>
          <t>Shesha Lounge (Cheetham Hill)</t>
        </is>
      </c>
      <c r="C391" s="10" t="inlineStr">
        <is>
          <t>Manchester</t>
        </is>
      </c>
      <c r="D391" s="10" t="inlineStr">
        <is>
          <t>Smoke / Shisha Shop</t>
        </is>
      </c>
      <c r="E391" s="10" t="inlineStr">
        <is>
          <t>Medium</t>
        </is>
      </c>
      <c r="F391" s="10" t="inlineStr">
        <is>
          <t>0161 834 8007</t>
        </is>
      </c>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UK-000381</t>
        </is>
      </c>
      <c r="B392" s="5" t="inlineStr">
        <is>
          <t>Shisha Club UK</t>
        </is>
      </c>
      <c r="C392" s="5" t="inlineStr">
        <is>
          <t>Oldham</t>
        </is>
      </c>
      <c r="D392" s="5" t="inlineStr">
        <is>
          <t>Smoke / Shisha Shop</t>
        </is>
      </c>
      <c r="E392" s="5" t="inlineStr">
        <is>
          <t>Medium</t>
        </is>
      </c>
      <c r="F392" s="5" t="inlineStr"/>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UK-000656</t>
        </is>
      </c>
      <c r="B393" s="10" t="inlineStr">
        <is>
          <t>Shisha Town Market</t>
        </is>
      </c>
      <c r="C393" s="10" t="inlineStr">
        <is>
          <t>Edmonton</t>
        </is>
      </c>
      <c r="D393" s="10" t="inlineStr">
        <is>
          <t>Smoke / Shisha Shop</t>
        </is>
      </c>
      <c r="E393" s="10" t="inlineStr">
        <is>
          <t>Medium</t>
        </is>
      </c>
      <c r="F393" s="10" t="inlineStr">
        <is>
          <t>07404 066331</t>
        </is>
      </c>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UK-000515</t>
        </is>
      </c>
      <c r="B394" s="5" t="inlineStr">
        <is>
          <t>Shisha-Wala</t>
        </is>
      </c>
      <c r="C394" s="5" t="inlineStr">
        <is>
          <t>Birmingham</t>
        </is>
      </c>
      <c r="D394" s="5" t="inlineStr">
        <is>
          <t>Smoke / Shisha Shop</t>
        </is>
      </c>
      <c r="E394" s="5" t="inlineStr">
        <is>
          <t>Medium</t>
        </is>
      </c>
      <c r="F394" s="5" t="inlineStr">
        <is>
          <t>0121 245 2229</t>
        </is>
      </c>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WY-0147</t>
        </is>
      </c>
      <c r="B395" s="10" t="inlineStr">
        <is>
          <t>Shoesmiths Tobacconist</t>
        </is>
      </c>
      <c r="C395" s="10" t="inlineStr">
        <is>
          <t>Halifax</t>
        </is>
      </c>
      <c r="D395" s="10" t="inlineStr">
        <is>
          <t>Tobacco Specialist</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UK-000657</t>
        </is>
      </c>
      <c r="B396" s="5" t="inlineStr">
        <is>
          <t>Silverpoint Cash &amp; Carry Ltd</t>
        </is>
      </c>
      <c r="C396" s="5" t="inlineStr">
        <is>
          <t>Forest Gate</t>
        </is>
      </c>
      <c r="D396" s="5" t="inlineStr">
        <is>
          <t>Cash &amp; Carry</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UK-000812</t>
        </is>
      </c>
      <c r="B397" s="10" t="inlineStr">
        <is>
          <t>Simply Vape</t>
        </is>
      </c>
      <c r="C397" s="10" t="inlineStr">
        <is>
          <t>Bootle</t>
        </is>
      </c>
      <c r="D397" s="10" t="inlineStr">
        <is>
          <t>Vape Shop</t>
        </is>
      </c>
      <c r="E397" s="10" t="inlineStr">
        <is>
          <t>Medium</t>
        </is>
      </c>
      <c r="F397" s="10" t="inlineStr"/>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UK-000277</t>
        </is>
      </c>
      <c r="B398" s="5" t="inlineStr">
        <is>
          <t>Smoke &amp; Vape Barnsley</t>
        </is>
      </c>
      <c r="C398" s="5" t="inlineStr">
        <is>
          <t>Barnsley</t>
        </is>
      </c>
      <c r="D398" s="5" t="inlineStr">
        <is>
          <t>Smoke / Shisha Shop</t>
        </is>
      </c>
      <c r="E398" s="5" t="inlineStr">
        <is>
          <t>Medium</t>
        </is>
      </c>
      <c r="F398" s="5" t="inlineStr">
        <is>
          <t>01226 953777</t>
        </is>
      </c>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UK-000278</t>
        </is>
      </c>
      <c r="B399" s="10" t="inlineStr">
        <is>
          <t>Smoke Free Skipton</t>
        </is>
      </c>
      <c r="C399" s="10" t="inlineStr">
        <is>
          <t>Skipton</t>
        </is>
      </c>
      <c r="D399" s="10" t="inlineStr">
        <is>
          <t>Vape Shop</t>
        </is>
      </c>
      <c r="E399" s="10" t="inlineStr">
        <is>
          <t>Medium</t>
        </is>
      </c>
      <c r="F399" s="10" t="inlineStr"/>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UK-000659</t>
        </is>
      </c>
      <c r="B400" s="5" t="inlineStr">
        <is>
          <t>Smoke n Shisha</t>
        </is>
      </c>
      <c r="C400" s="5" t="inlineStr">
        <is>
          <t>London</t>
        </is>
      </c>
      <c r="D400" s="5" t="inlineStr">
        <is>
          <t>Smoke / Shisha Shop</t>
        </is>
      </c>
      <c r="E400" s="5" t="inlineStr">
        <is>
          <t>Medium</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WY-0149</t>
        </is>
      </c>
      <c r="B401" s="10" t="inlineStr">
        <is>
          <t>Smokers D'Lite</t>
        </is>
      </c>
      <c r="C401" s="10" t="inlineStr">
        <is>
          <t>Leeds</t>
        </is>
      </c>
      <c r="D401" s="10" t="inlineStr">
        <is>
          <t>Vape Shop</t>
        </is>
      </c>
      <c r="E401" s="10" t="inlineStr">
        <is>
          <t>Medium</t>
        </is>
      </c>
      <c r="F401" s="10" t="inlineStr"/>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UK-000814</t>
        </is>
      </c>
      <c r="B402" s="5" t="inlineStr">
        <is>
          <t>Smokers Lounge</t>
        </is>
      </c>
      <c r="C402" s="5" t="inlineStr">
        <is>
          <t>Glasgow</t>
        </is>
      </c>
      <c r="D402" s="5" t="inlineStr">
        <is>
          <t>Tobacco Specialist</t>
        </is>
      </c>
      <c r="E402" s="5" t="inlineStr">
        <is>
          <t>Medium</t>
        </is>
      </c>
      <c r="F402" s="5" t="inlineStr">
        <is>
          <t>0141 552 0127</t>
        </is>
      </c>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UK-000660</t>
        </is>
      </c>
      <c r="B403" s="10" t="inlineStr">
        <is>
          <t>Smoketronics Vape &amp; Coffee Shop</t>
        </is>
      </c>
      <c r="C403" s="10" t="inlineStr">
        <is>
          <t>Croydon</t>
        </is>
      </c>
      <c r="D403" s="10" t="inlineStr">
        <is>
          <t>Vape Shop</t>
        </is>
      </c>
      <c r="E403" s="10" t="inlineStr">
        <is>
          <t>Medium</t>
        </is>
      </c>
      <c r="F403" s="10" t="inlineStr">
        <is>
          <t>020 8656 6683</t>
        </is>
      </c>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WY-0150</t>
        </is>
      </c>
      <c r="B404" s="5" t="inlineStr">
        <is>
          <t>Somers of Keighley</t>
        </is>
      </c>
      <c r="C404" s="5" t="inlineStr">
        <is>
          <t>Keighley</t>
        </is>
      </c>
      <c r="D404" s="5" t="inlineStr">
        <is>
          <t>Tobacco Specialist</t>
        </is>
      </c>
      <c r="E404" s="5" t="inlineStr">
        <is>
          <t>Medium</t>
        </is>
      </c>
      <c r="F404" s="5" t="inlineStr">
        <is>
          <t>01535 604678</t>
        </is>
      </c>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UK-000214</t>
        </is>
      </c>
      <c r="B405" s="10" t="inlineStr">
        <is>
          <t>Spar (Trinity Road, Cleethorpes)</t>
        </is>
      </c>
      <c r="C405" s="10" t="inlineStr">
        <is>
          <t>Cleethorpes</t>
        </is>
      </c>
      <c r="D405" s="10" t="inlineStr">
        <is>
          <t>Convenience Store</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UK-000516</t>
        </is>
      </c>
      <c r="B406" s="5" t="inlineStr">
        <is>
          <t>Star Supermarket</t>
        </is>
      </c>
      <c r="C406" s="5" t="inlineStr">
        <is>
          <t>Smethwick</t>
        </is>
      </c>
      <c r="D406" s="5" t="inlineStr">
        <is>
          <t>Independent Supermarket</t>
        </is>
      </c>
      <c r="E406" s="5" t="inlineStr">
        <is>
          <t>Medium</t>
        </is>
      </c>
      <c r="F406" s="5" t="inlineStr"/>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UK-000819</t>
        </is>
      </c>
      <c r="B407" s="10" t="inlineStr">
        <is>
          <t>Steamworx Vape Room</t>
        </is>
      </c>
      <c r="C407" s="10" t="inlineStr">
        <is>
          <t>Bootle</t>
        </is>
      </c>
      <c r="D407" s="10" t="inlineStr">
        <is>
          <t>Vape Shop</t>
        </is>
      </c>
      <c r="E407" s="10" t="inlineStr">
        <is>
          <t>Medium</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UK-000518</t>
        </is>
      </c>
      <c r="B408" s="5" t="inlineStr">
        <is>
          <t>Stirchley Wines &amp; Spirits</t>
        </is>
      </c>
      <c r="C408" s="5" t="inlineStr">
        <is>
          <t>Birmingham</t>
        </is>
      </c>
      <c r="D408" s="5" t="inlineStr">
        <is>
          <t>Off-Licence</t>
        </is>
      </c>
      <c r="E408" s="5" t="inlineStr">
        <is>
          <t>Medium</t>
        </is>
      </c>
      <c r="F408" s="5" t="inlineStr">
        <is>
          <t>0121 459 9936</t>
        </is>
      </c>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UK-000519</t>
        </is>
      </c>
      <c r="B409" s="10" t="inlineStr">
        <is>
          <t>Stourbridge Gadgets And Vape House LTD</t>
        </is>
      </c>
      <c r="C409" s="10" t="inlineStr">
        <is>
          <t>Stourbridge</t>
        </is>
      </c>
      <c r="D409" s="10" t="inlineStr">
        <is>
          <t>Vape Shop</t>
        </is>
      </c>
      <c r="E409" s="10" t="inlineStr">
        <is>
          <t>Medium</t>
        </is>
      </c>
      <c r="F409" s="10" t="inlineStr">
        <is>
          <t>07884 477704</t>
        </is>
      </c>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WY-0156</t>
        </is>
      </c>
      <c r="B410" s="5" t="inlineStr">
        <is>
          <t>Suki's Cash &amp; Carry</t>
        </is>
      </c>
      <c r="C410" s="5" t="inlineStr">
        <is>
          <t>Bradford</t>
        </is>
      </c>
      <c r="D410" s="5" t="inlineStr">
        <is>
          <t>Cash &amp; Carry</t>
        </is>
      </c>
      <c r="E410" s="5" t="inlineStr">
        <is>
          <t>Medium</t>
        </is>
      </c>
      <c r="F410" s="5" t="inlineStr">
        <is>
          <t>01274 736093</t>
        </is>
      </c>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WY-0157</t>
        </is>
      </c>
      <c r="B411" s="10" t="inlineStr">
        <is>
          <t>Sup Mirfield</t>
        </is>
      </c>
      <c r="C411" s="10" t="inlineStr">
        <is>
          <t>Mirfield</t>
        </is>
      </c>
      <c r="D411" s="10" t="inlineStr">
        <is>
          <t>Convenience Store</t>
        </is>
      </c>
      <c r="E411" s="10" t="inlineStr">
        <is>
          <t>Medium</t>
        </is>
      </c>
      <c r="F411" s="10" t="inlineStr">
        <is>
          <t>07387 294049</t>
        </is>
      </c>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UK-000820</t>
        </is>
      </c>
      <c r="B412" s="5" t="inlineStr">
        <is>
          <t>Super Vapes Coatbridge</t>
        </is>
      </c>
      <c r="C412" s="5" t="inlineStr">
        <is>
          <t>Coatbridge</t>
        </is>
      </c>
      <c r="D412" s="5" t="inlineStr">
        <is>
          <t>Vape Shop</t>
        </is>
      </c>
      <c r="E412" s="5" t="inlineStr">
        <is>
          <t>Medium</t>
        </is>
      </c>
      <c r="F412" s="5" t="inlineStr">
        <is>
          <t>01236 341834</t>
        </is>
      </c>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UK-000383</t>
        </is>
      </c>
      <c r="B413" s="10" t="inlineStr">
        <is>
          <t>Swinton Vape (Swinton Market, Salford)</t>
        </is>
      </c>
      <c r="C413" s="10" t="inlineStr">
        <is>
          <t>Salford</t>
        </is>
      </c>
      <c r="D413" s="10" t="inlineStr">
        <is>
          <t>Vape Shop</t>
        </is>
      </c>
      <c r="E413" s="10" t="inlineStr">
        <is>
          <t>Medium</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UK-000280</t>
        </is>
      </c>
      <c r="B414" s="5" t="inlineStr">
        <is>
          <t>TLC (Top Lines Catering Supplies)</t>
        </is>
      </c>
      <c r="C414" s="5" t="inlineStr">
        <is>
          <t>Sheffield</t>
        </is>
      </c>
      <c r="D414" s="5" t="inlineStr">
        <is>
          <t>Cash &amp; Carry</t>
        </is>
      </c>
      <c r="E414" s="5" t="inlineStr">
        <is>
          <t>Medium</t>
        </is>
      </c>
      <c r="F414" s="5" t="inlineStr">
        <is>
          <t>0114 261 9999</t>
        </is>
      </c>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UK-000385</t>
        </is>
      </c>
      <c r="B415" s="10" t="inlineStr">
        <is>
          <t>Tameside Ecigs</t>
        </is>
      </c>
      <c r="C415" s="10" t="inlineStr">
        <is>
          <t>Ashton-under-Lyne</t>
        </is>
      </c>
      <c r="D415" s="10" t="inlineStr">
        <is>
          <t>Vape Shop</t>
        </is>
      </c>
      <c r="E415" s="10" t="inlineStr">
        <is>
          <t>Medium</t>
        </is>
      </c>
      <c r="F415" s="10" t="inlineStr"/>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UK-000664</t>
        </is>
      </c>
      <c r="B416" s="5" t="inlineStr">
        <is>
          <t>Tech Repairs &amp; Ladbroke Vapes</t>
        </is>
      </c>
      <c r="C416" s="5" t="inlineStr">
        <is>
          <t>London</t>
        </is>
      </c>
      <c r="D416" s="5" t="inlineStr">
        <is>
          <t>Vape Shop</t>
        </is>
      </c>
      <c r="E416" s="5" t="inlineStr">
        <is>
          <t>Medium</t>
        </is>
      </c>
      <c r="F416" s="5" t="inlineStr"/>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UK-000322</t>
        </is>
      </c>
      <c r="B417" s="10" t="inlineStr">
        <is>
          <t>Texaco Horwich Service Station</t>
        </is>
      </c>
      <c r="C417" s="10" t="inlineStr">
        <is>
          <t>Bolton</t>
        </is>
      </c>
      <c r="D417" s="10" t="inlineStr">
        <is>
          <t>Petrol Station / Forecourt</t>
        </is>
      </c>
      <c r="E417" s="10" t="inlineStr">
        <is>
          <t>Medium</t>
        </is>
      </c>
      <c r="F417" s="10" t="inlineStr">
        <is>
          <t>01204 667182</t>
        </is>
      </c>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UK-000442</t>
        </is>
      </c>
      <c r="B418" s="5" t="inlineStr">
        <is>
          <t>The Ace Of Vapez - Bilston</t>
        </is>
      </c>
      <c r="C418" s="5" t="inlineStr">
        <is>
          <t>Bilston</t>
        </is>
      </c>
      <c r="D418" s="5" t="inlineStr">
        <is>
          <t>Vape Shop</t>
        </is>
      </c>
      <c r="E418" s="5" t="inlineStr">
        <is>
          <t>Medium</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UK-000443</t>
        </is>
      </c>
      <c r="B419" s="10" t="inlineStr">
        <is>
          <t>The Ace Of Vapez - Caldmore Green</t>
        </is>
      </c>
      <c r="C419" s="10" t="inlineStr">
        <is>
          <t>Walsall</t>
        </is>
      </c>
      <c r="D419" s="10" t="inlineStr">
        <is>
          <t>Vape Shop</t>
        </is>
      </c>
      <c r="E419" s="10" t="inlineStr">
        <is>
          <t>Medium</t>
        </is>
      </c>
      <c r="F419" s="10" t="inlineStr"/>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UK-000448</t>
        </is>
      </c>
      <c r="B420" s="5" t="inlineStr">
        <is>
          <t>The Ace of Vapez - Acocks Green</t>
        </is>
      </c>
      <c r="C420" s="5" t="inlineStr">
        <is>
          <t>Birmingham</t>
        </is>
      </c>
      <c r="D420" s="5" t="inlineStr">
        <is>
          <t>Vape Shop</t>
        </is>
      </c>
      <c r="E420" s="5" t="inlineStr">
        <is>
          <t>Medium</t>
        </is>
      </c>
      <c r="F420" s="5" t="inlineStr">
        <is>
          <t>0121 492 1290</t>
        </is>
      </c>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UK-000665</t>
        </is>
      </c>
      <c r="B421" s="10" t="inlineStr">
        <is>
          <t>The Canary Wharf Vapour Co</t>
        </is>
      </c>
      <c r="C421" s="10" t="inlineStr">
        <is>
          <t>Whitechapel</t>
        </is>
      </c>
      <c r="D421" s="10" t="inlineStr">
        <is>
          <t>Vape Shop</t>
        </is>
      </c>
      <c r="E421" s="10" t="inlineStr">
        <is>
          <t>Medium</t>
        </is>
      </c>
      <c r="F421" s="10" t="inlineStr"/>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UK-000215</t>
        </is>
      </c>
      <c r="B422" s="5" t="inlineStr">
        <is>
          <t>The Dram Shop</t>
        </is>
      </c>
      <c r="C422" s="5" t="inlineStr">
        <is>
          <t>Sheffield</t>
        </is>
      </c>
      <c r="D422" s="5" t="inlineStr">
        <is>
          <t>Off-Licence</t>
        </is>
      </c>
      <c r="E422" s="5" t="inlineStr">
        <is>
          <t>Medium</t>
        </is>
      </c>
      <c r="F422" s="5" t="inlineStr">
        <is>
          <t>0114 268 3117</t>
        </is>
      </c>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UK-000520</t>
        </is>
      </c>
      <c r="B423" s="10" t="inlineStr">
        <is>
          <t>The Juicy Joint</t>
        </is>
      </c>
      <c r="C423" s="10" t="inlineStr">
        <is>
          <t>Birmingham</t>
        </is>
      </c>
      <c r="D423" s="10" t="inlineStr">
        <is>
          <t>Vape Shop</t>
        </is>
      </c>
      <c r="E423" s="10" t="inlineStr">
        <is>
          <t>Medium</t>
        </is>
      </c>
      <c r="F423" s="10" t="inlineStr">
        <is>
          <t>0121 373 7051</t>
        </is>
      </c>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UK-000282</t>
        </is>
      </c>
      <c r="B424" s="5" t="inlineStr">
        <is>
          <t>The Little Shop of Vapes</t>
        </is>
      </c>
      <c r="C424" s="5" t="inlineStr">
        <is>
          <t>Scarborough</t>
        </is>
      </c>
      <c r="D424" s="5" t="inlineStr">
        <is>
          <t>Vape Shop</t>
        </is>
      </c>
      <c r="E424" s="5" t="inlineStr">
        <is>
          <t>Medium</t>
        </is>
      </c>
      <c r="F424" s="5" t="inlineStr">
        <is>
          <t>01723 449978</t>
        </is>
      </c>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UK-000203</t>
        </is>
      </c>
      <c r="B425" s="10" t="inlineStr">
        <is>
          <t>The Local (Marfleet Lane)</t>
        </is>
      </c>
      <c r="C425" s="10" t="inlineStr">
        <is>
          <t>Kingston upon Hull</t>
        </is>
      </c>
      <c r="D425" s="10" t="inlineStr">
        <is>
          <t>Convenience Store</t>
        </is>
      </c>
      <c r="E425" s="10" t="inlineStr">
        <is>
          <t>Medium</t>
        </is>
      </c>
      <c r="F425" s="10" t="inlineStr"/>
      <c r="G425" s="10" t="inlineStr"/>
      <c r="H425" s="10" t="inlineStr"/>
      <c r="I425" s="10" t="inlineStr">
        <is>
          <t>Prasath Balakrishnan</t>
        </is>
      </c>
      <c r="J425" s="10" t="inlineStr">
        <is>
          <t>Owner</t>
        </is>
      </c>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UK-000666</t>
        </is>
      </c>
      <c r="B426" s="5" t="inlineStr">
        <is>
          <t>The London Vape Company (Holloway)</t>
        </is>
      </c>
      <c r="C426" s="5" t="inlineStr">
        <is>
          <t>Holloway</t>
        </is>
      </c>
      <c r="D426" s="5" t="inlineStr">
        <is>
          <t>Vape Shop</t>
        </is>
      </c>
      <c r="E426" s="5" t="inlineStr">
        <is>
          <t>Medium</t>
        </is>
      </c>
      <c r="F426" s="5" t="inlineStr"/>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UK-000825</t>
        </is>
      </c>
      <c r="B427" s="10" t="inlineStr">
        <is>
          <t>The Pipe Shop</t>
        </is>
      </c>
      <c r="C427" s="10" t="inlineStr">
        <is>
          <t>Edinburgh</t>
        </is>
      </c>
      <c r="D427" s="10" t="inlineStr">
        <is>
          <t>Tobacco Specialist</t>
        </is>
      </c>
      <c r="E427" s="10" t="inlineStr">
        <is>
          <t>Medium</t>
        </is>
      </c>
      <c r="F427" s="10" t="inlineStr">
        <is>
          <t>0131 553 3561</t>
        </is>
      </c>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UK-000522</t>
        </is>
      </c>
      <c r="B428" s="5" t="inlineStr">
        <is>
          <t>The Polish Shop Cash &amp; Carry Ltd</t>
        </is>
      </c>
      <c r="C428" s="5" t="inlineStr">
        <is>
          <t>West Bromwich</t>
        </is>
      </c>
      <c r="D428" s="5" t="inlineStr">
        <is>
          <t>Cash &amp; Carry</t>
        </is>
      </c>
      <c r="E428" s="5" t="inlineStr">
        <is>
          <t>Medium</t>
        </is>
      </c>
      <c r="F428" s="5" t="inlineStr"/>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UK-000523</t>
        </is>
      </c>
      <c r="B429" s="10" t="inlineStr">
        <is>
          <t>The Seafood Centre</t>
        </is>
      </c>
      <c r="C429" s="10" t="inlineStr">
        <is>
          <t>Walsall</t>
        </is>
      </c>
      <c r="D429" s="10" t="inlineStr">
        <is>
          <t>Cash &amp; Carry</t>
        </is>
      </c>
      <c r="E429" s="10" t="inlineStr">
        <is>
          <t>Medium</t>
        </is>
      </c>
      <c r="F429" s="10" t="inlineStr"/>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UK-000388</t>
        </is>
      </c>
      <c r="B430" s="5" t="inlineStr">
        <is>
          <t>The Shack Horwich</t>
        </is>
      </c>
      <c r="C430" s="5" t="inlineStr">
        <is>
          <t>Bolton</t>
        </is>
      </c>
      <c r="D430" s="5" t="inlineStr">
        <is>
          <t>Vape Shop</t>
        </is>
      </c>
      <c r="E430" s="5" t="inlineStr">
        <is>
          <t>Medium</t>
        </is>
      </c>
      <c r="F430" s="5" t="inlineStr"/>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WY-0160</t>
        </is>
      </c>
      <c r="B431" s="10" t="inlineStr">
        <is>
          <t>The Shisha Shop Bradford</t>
        </is>
      </c>
      <c r="C431" s="10" t="inlineStr">
        <is>
          <t>Bradford</t>
        </is>
      </c>
      <c r="D431" s="10" t="inlineStr">
        <is>
          <t>Smoke / Shisha Shop</t>
        </is>
      </c>
      <c r="E431" s="10" t="inlineStr">
        <is>
          <t>Medium</t>
        </is>
      </c>
      <c r="F431" s="10" t="inlineStr">
        <is>
          <t>07466 392838</t>
        </is>
      </c>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UK-000283</t>
        </is>
      </c>
      <c r="B432" s="5" t="inlineStr">
        <is>
          <t>The Vape Centre York</t>
        </is>
      </c>
      <c r="C432" s="5" t="inlineStr">
        <is>
          <t>York</t>
        </is>
      </c>
      <c r="D432" s="5" t="inlineStr">
        <is>
          <t>Vape Shop</t>
        </is>
      </c>
      <c r="E432" s="5" t="inlineStr">
        <is>
          <t>Medium</t>
        </is>
      </c>
      <c r="F432" s="5" t="inlineStr">
        <is>
          <t>01904 927903</t>
        </is>
      </c>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WY-0161</t>
        </is>
      </c>
      <c r="B433" s="10" t="inlineStr">
        <is>
          <t>The Vape Hub</t>
        </is>
      </c>
      <c r="C433" s="10" t="inlineStr">
        <is>
          <t>Bradford</t>
        </is>
      </c>
      <c r="D433" s="10" t="inlineStr">
        <is>
          <t>Vape Shop</t>
        </is>
      </c>
      <c r="E433" s="10" t="inlineStr">
        <is>
          <t>Medium</t>
        </is>
      </c>
      <c r="F433" s="10" t="inlineStr">
        <is>
          <t>01274 785496</t>
        </is>
      </c>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UK-000826</t>
        </is>
      </c>
      <c r="B434" s="5" t="inlineStr">
        <is>
          <t>The Vape Hut</t>
        </is>
      </c>
      <c r="C434" s="5" t="inlineStr">
        <is>
          <t>St Helens</t>
        </is>
      </c>
      <c r="D434" s="5" t="inlineStr">
        <is>
          <t>Vape Shop</t>
        </is>
      </c>
      <c r="E434" s="5" t="inlineStr">
        <is>
          <t>Medium</t>
        </is>
      </c>
      <c r="F434" s="5" t="inlineStr">
        <is>
          <t>01942 726072</t>
        </is>
      </c>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UK-000284</t>
        </is>
      </c>
      <c r="B435" s="10" t="inlineStr">
        <is>
          <t>The Vape Lounge Scunthorpe</t>
        </is>
      </c>
      <c r="C435" s="10" t="inlineStr">
        <is>
          <t>Scunthorpe</t>
        </is>
      </c>
      <c r="D435" s="10" t="inlineStr">
        <is>
          <t>Vape Shop</t>
        </is>
      </c>
      <c r="E435" s="10" t="inlineStr">
        <is>
          <t>Medium</t>
        </is>
      </c>
      <c r="F435" s="10" t="inlineStr">
        <is>
          <t>01724 858999</t>
        </is>
      </c>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UK-000285</t>
        </is>
      </c>
      <c r="B436" s="5" t="inlineStr">
        <is>
          <t>The Vape Lounge Thirsk</t>
        </is>
      </c>
      <c r="C436" s="5" t="inlineStr">
        <is>
          <t>Thirsk</t>
        </is>
      </c>
      <c r="D436" s="5" t="inlineStr">
        <is>
          <t>Vape Shop</t>
        </is>
      </c>
      <c r="E436" s="5" t="inlineStr">
        <is>
          <t>Medium</t>
        </is>
      </c>
      <c r="F436" s="5" t="inlineStr">
        <is>
          <t>01845 525571</t>
        </is>
      </c>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UK-000524</t>
        </is>
      </c>
      <c r="B437" s="10" t="inlineStr">
        <is>
          <t>The Vape Shack - Acocks Green</t>
        </is>
      </c>
      <c r="C437" s="10" t="inlineStr">
        <is>
          <t>Birmingham</t>
        </is>
      </c>
      <c r="D437" s="10" t="inlineStr">
        <is>
          <t>Vape Shop</t>
        </is>
      </c>
      <c r="E437" s="10" t="inlineStr">
        <is>
          <t>Medium</t>
        </is>
      </c>
      <c r="F437" s="10" t="inlineStr">
        <is>
          <t>0121 792 9004</t>
        </is>
      </c>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UK-000827</t>
        </is>
      </c>
      <c r="B438" s="5" t="inlineStr">
        <is>
          <t>The Vape Shop (Huyton)</t>
        </is>
      </c>
      <c r="C438" s="5" t="inlineStr">
        <is>
          <t>Liverpool</t>
        </is>
      </c>
      <c r="D438" s="5" t="inlineStr">
        <is>
          <t>Vape Shop</t>
        </is>
      </c>
      <c r="E438" s="5" t="inlineStr">
        <is>
          <t>Medium</t>
        </is>
      </c>
      <c r="F438" s="5" t="inlineStr">
        <is>
          <t>07894 970122</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WY-0162</t>
        </is>
      </c>
      <c r="B439" s="10" t="inlineStr">
        <is>
          <t>The Vape Shop Wakefield</t>
        </is>
      </c>
      <c r="C439" s="10" t="inlineStr">
        <is>
          <t>Wakefield</t>
        </is>
      </c>
      <c r="D439" s="10" t="inlineStr">
        <is>
          <t>Vape Shop</t>
        </is>
      </c>
      <c r="E439" s="10" t="inlineStr">
        <is>
          <t>Medium</t>
        </is>
      </c>
      <c r="F439" s="10" t="inlineStr"/>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UK-000389</t>
        </is>
      </c>
      <c r="B440" s="5" t="inlineStr">
        <is>
          <t>The Vape Store (Sale, Trafford)</t>
        </is>
      </c>
      <c r="C440" s="5" t="inlineStr">
        <is>
          <t>Sale</t>
        </is>
      </c>
      <c r="D440" s="5" t="inlineStr">
        <is>
          <t>Vape Shop</t>
        </is>
      </c>
      <c r="E440" s="5" t="inlineStr">
        <is>
          <t>Medium</t>
        </is>
      </c>
      <c r="F440" s="5" t="inlineStr"/>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UK-000390</t>
        </is>
      </c>
      <c r="B441" s="10" t="inlineStr">
        <is>
          <t>The Vape Store (Urmston, Trafford)</t>
        </is>
      </c>
      <c r="C441" s="10" t="inlineStr">
        <is>
          <t>Urmston</t>
        </is>
      </c>
      <c r="D441" s="10" t="inlineStr">
        <is>
          <t>Vape Shop</t>
        </is>
      </c>
      <c r="E441" s="10" t="inlineStr">
        <is>
          <t>Medium</t>
        </is>
      </c>
      <c r="F441" s="10" t="inlineStr">
        <is>
          <t>0161 637 5051</t>
        </is>
      </c>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UK-000391</t>
        </is>
      </c>
      <c r="B442" s="5" t="inlineStr">
        <is>
          <t>The Vape Store Bolton</t>
        </is>
      </c>
      <c r="C442" s="5" t="inlineStr">
        <is>
          <t>Bolton</t>
        </is>
      </c>
      <c r="D442" s="5" t="inlineStr">
        <is>
          <t>Vape Shop</t>
        </is>
      </c>
      <c r="E442" s="5" t="inlineStr">
        <is>
          <t>Medium</t>
        </is>
      </c>
      <c r="F442" s="5" t="inlineStr">
        <is>
          <t>07784 983386</t>
        </is>
      </c>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UK-000392</t>
        </is>
      </c>
      <c r="B443" s="10" t="inlineStr">
        <is>
          <t>The Vape Store Oldham</t>
        </is>
      </c>
      <c r="C443" s="10" t="inlineStr">
        <is>
          <t>Oldham</t>
        </is>
      </c>
      <c r="D443" s="10" t="inlineStr">
        <is>
          <t>Vape Shop</t>
        </is>
      </c>
      <c r="E443" s="10" t="inlineStr">
        <is>
          <t>Medium</t>
        </is>
      </c>
      <c r="F443" s="10" t="inlineStr">
        <is>
          <t>0161 258 8289</t>
        </is>
      </c>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UK-000286</t>
        </is>
      </c>
      <c r="B444" s="5" t="inlineStr">
        <is>
          <t>The Vape Supermarket</t>
        </is>
      </c>
      <c r="C444" s="5" t="inlineStr">
        <is>
          <t>Barnsley</t>
        </is>
      </c>
      <c r="D444" s="5" t="inlineStr">
        <is>
          <t>Vape Shop</t>
        </is>
      </c>
      <c r="E444" s="5" t="inlineStr">
        <is>
          <t>Medium</t>
        </is>
      </c>
      <c r="F444" s="5" t="inlineStr"/>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UK-000393</t>
        </is>
      </c>
      <c r="B445" s="10" t="inlineStr">
        <is>
          <t>The Vape Tavern Stalybridge</t>
        </is>
      </c>
      <c r="C445" s="10" t="inlineStr">
        <is>
          <t>Stalybridge</t>
        </is>
      </c>
      <c r="D445" s="10" t="inlineStr">
        <is>
          <t>Vape Shop</t>
        </is>
      </c>
      <c r="E445" s="10" t="inlineStr">
        <is>
          <t>Medium</t>
        </is>
      </c>
      <c r="F445" s="10" t="inlineStr"/>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UK-000394</t>
        </is>
      </c>
      <c r="B446" s="5" t="inlineStr">
        <is>
          <t>The Vape Volt Farnworth</t>
        </is>
      </c>
      <c r="C446" s="5" t="inlineStr">
        <is>
          <t>Bolton</t>
        </is>
      </c>
      <c r="D446" s="5" t="inlineStr">
        <is>
          <t>Vape Shop</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UK-000667</t>
        </is>
      </c>
      <c r="B447" s="10" t="inlineStr">
        <is>
          <t>The Vaper</t>
        </is>
      </c>
      <c r="C447" s="10" t="inlineStr">
        <is>
          <t>London</t>
        </is>
      </c>
      <c r="D447" s="10" t="inlineStr">
        <is>
          <t>Vape Shop</t>
        </is>
      </c>
      <c r="E447" s="10" t="inlineStr">
        <is>
          <t>Medium</t>
        </is>
      </c>
      <c r="F447" s="10" t="inlineStr"/>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UK-000287</t>
        </is>
      </c>
      <c r="B448" s="5" t="inlineStr">
        <is>
          <t>The Vapers Guild</t>
        </is>
      </c>
      <c r="C448" s="5" t="inlineStr">
        <is>
          <t>Kingston upon Hull</t>
        </is>
      </c>
      <c r="D448" s="5" t="inlineStr">
        <is>
          <t>Vape Shop</t>
        </is>
      </c>
      <c r="E448" s="5" t="inlineStr">
        <is>
          <t>Medium</t>
        </is>
      </c>
      <c r="F448" s="5" t="inlineStr"/>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UK-000828</t>
        </is>
      </c>
      <c r="B449" s="10" t="inlineStr">
        <is>
          <t>The Vapour Shop Paisley</t>
        </is>
      </c>
      <c r="C449" s="10" t="inlineStr">
        <is>
          <t>Paisley</t>
        </is>
      </c>
      <c r="D449" s="10" t="inlineStr">
        <is>
          <t>Vape Shop</t>
        </is>
      </c>
      <c r="E449" s="10" t="inlineStr">
        <is>
          <t>Medium</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WY-0163</t>
        </is>
      </c>
      <c r="B450" s="5" t="inlineStr">
        <is>
          <t>The Vintage Vapour Co</t>
        </is>
      </c>
      <c r="C450" s="5" t="inlineStr">
        <is>
          <t>Ossett</t>
        </is>
      </c>
      <c r="D450" s="5" t="inlineStr">
        <is>
          <t>Vape Shop</t>
        </is>
      </c>
      <c r="E450" s="5" t="inlineStr">
        <is>
          <t>Medium</t>
        </is>
      </c>
      <c r="F450" s="5" t="inlineStr"/>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UK-000525</t>
        </is>
      </c>
      <c r="B451" s="10" t="inlineStr">
        <is>
          <t>The Wine Shop</t>
        </is>
      </c>
      <c r="C451" s="10" t="inlineStr">
        <is>
          <t>Wolverhampton</t>
        </is>
      </c>
      <c r="D451" s="10" t="inlineStr">
        <is>
          <t>Off-Licence</t>
        </is>
      </c>
      <c r="E451" s="10" t="inlineStr">
        <is>
          <t>Medium</t>
        </is>
      </c>
      <c r="F451" s="10" t="inlineStr">
        <is>
          <t>01902 656833</t>
        </is>
      </c>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WY-0166</t>
        </is>
      </c>
      <c r="B452" s="5" t="inlineStr">
        <is>
          <t>Told Vape Co</t>
        </is>
      </c>
      <c r="C452" s="5" t="inlineStr">
        <is>
          <t>Horbury</t>
        </is>
      </c>
      <c r="D452" s="5" t="inlineStr">
        <is>
          <t>Vape Shop</t>
        </is>
      </c>
      <c r="E452" s="5" t="inlineStr">
        <is>
          <t>Medium</t>
        </is>
      </c>
      <c r="F452" s="5" t="inlineStr"/>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WY-0032</t>
        </is>
      </c>
      <c r="B453" s="10" t="inlineStr">
        <is>
          <t>Totally Wicked</t>
        </is>
      </c>
      <c r="C453" s="10" t="inlineStr">
        <is>
          <t>Brighouse</t>
        </is>
      </c>
      <c r="D453" s="10" t="inlineStr">
        <is>
          <t>Vape Shop</t>
        </is>
      </c>
      <c r="E453" s="10" t="inlineStr">
        <is>
          <t>Medium</t>
        </is>
      </c>
      <c r="F453" s="10" t="inlineStr">
        <is>
          <t>01484 769431</t>
        </is>
      </c>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WY-0033</t>
        </is>
      </c>
      <c r="B454" s="5" t="inlineStr">
        <is>
          <t>Totally Wicked</t>
        </is>
      </c>
      <c r="C454" s="5" t="inlineStr">
        <is>
          <t>Halifax</t>
        </is>
      </c>
      <c r="D454" s="5" t="inlineStr">
        <is>
          <t>Vape Shop</t>
        </is>
      </c>
      <c r="E454" s="5" t="inlineStr">
        <is>
          <t>Medium</t>
        </is>
      </c>
      <c r="F454" s="5" t="inlineStr">
        <is>
          <t>01422 320223</t>
        </is>
      </c>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UK-000561</t>
        </is>
      </c>
      <c r="B455" s="10" t="inlineStr">
        <is>
          <t>Turkish Food Centre (Edmonton)</t>
        </is>
      </c>
      <c r="C455" s="10" t="inlineStr">
        <is>
          <t>Edmonton</t>
        </is>
      </c>
      <c r="D455" s="10" t="inlineStr">
        <is>
          <t>Independent Supermarket</t>
        </is>
      </c>
      <c r="E455" s="10" t="inlineStr">
        <is>
          <t>Medium</t>
        </is>
      </c>
      <c r="F455" s="10" t="inlineStr"/>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UK-000671</t>
        </is>
      </c>
      <c r="B456" s="5" t="inlineStr">
        <is>
          <t>Twilight2Go</t>
        </is>
      </c>
      <c r="C456" s="5" t="inlineStr">
        <is>
          <t>Finsbury Park</t>
        </is>
      </c>
      <c r="D456" s="5" t="inlineStr">
        <is>
          <t>Vape Shop</t>
        </is>
      </c>
      <c r="E456" s="5" t="inlineStr">
        <is>
          <t>Medium</t>
        </is>
      </c>
      <c r="F456" s="5" t="inlineStr">
        <is>
          <t>07950 255905</t>
        </is>
      </c>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UK-000396</t>
        </is>
      </c>
      <c r="B457" s="10" t="inlineStr">
        <is>
          <t>Two Apples Restaurant &amp; Shisha Lounge</t>
        </is>
      </c>
      <c r="C457" s="10" t="inlineStr">
        <is>
          <t>Oldham</t>
        </is>
      </c>
      <c r="D457" s="10" t="inlineStr">
        <is>
          <t>Smoke / Shisha Shop</t>
        </is>
      </c>
      <c r="E457" s="10" t="inlineStr">
        <is>
          <t>Medium</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UK-000397</t>
        </is>
      </c>
      <c r="B458" s="5" t="inlineStr">
        <is>
          <t>Two Apples Shisha (Cheetham Hill)</t>
        </is>
      </c>
      <c r="C458" s="5" t="inlineStr">
        <is>
          <t>Manchester</t>
        </is>
      </c>
      <c r="D458" s="5" t="inlineStr">
        <is>
          <t>Smoke / Shisha Shop</t>
        </is>
      </c>
      <c r="E458" s="5" t="inlineStr">
        <is>
          <t>Medium</t>
        </is>
      </c>
      <c r="F458" s="5" t="inlineStr">
        <is>
          <t>0161 278 7264</t>
        </is>
      </c>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UK-000527</t>
        </is>
      </c>
      <c r="B459" s="10" t="inlineStr">
        <is>
          <t>U Wish Lounge</t>
        </is>
      </c>
      <c r="C459" s="10" t="inlineStr">
        <is>
          <t>Birmingham</t>
        </is>
      </c>
      <c r="D459" s="10" t="inlineStr">
        <is>
          <t>Smoke / Shisha Shop</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UK-000562</t>
        </is>
      </c>
      <c r="B460" s="5" t="inlineStr">
        <is>
          <t>UK E-Cig Store (Camden High Street)</t>
        </is>
      </c>
      <c r="C460" s="5" t="inlineStr">
        <is>
          <t>London</t>
        </is>
      </c>
      <c r="D460" s="5" t="inlineStr">
        <is>
          <t>Vape Shop</t>
        </is>
      </c>
      <c r="E460" s="5" t="inlineStr">
        <is>
          <t>Medium</t>
        </is>
      </c>
      <c r="F460" s="5" t="inlineStr">
        <is>
          <t>020 7388 8704</t>
        </is>
      </c>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UK-000528</t>
        </is>
      </c>
      <c r="B461" s="10" t="inlineStr">
        <is>
          <t>Ultimate Vape Lounge - Stourbridge</t>
        </is>
      </c>
      <c r="C461" s="10" t="inlineStr">
        <is>
          <t>Stourbridge</t>
        </is>
      </c>
      <c r="D461" s="10" t="inlineStr">
        <is>
          <t>Vape Shop</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UK-000529</t>
        </is>
      </c>
      <c r="B462" s="5" t="inlineStr">
        <is>
          <t>Ultimate Vapes Acocks Green</t>
        </is>
      </c>
      <c r="C462" s="5" t="inlineStr">
        <is>
          <t>Birmingham</t>
        </is>
      </c>
      <c r="D462" s="5" t="inlineStr">
        <is>
          <t>Vape Shop</t>
        </is>
      </c>
      <c r="E462" s="5" t="inlineStr">
        <is>
          <t>Medium</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WY-0170</t>
        </is>
      </c>
      <c r="B463" s="10" t="inlineStr">
        <is>
          <t>Umrah Supermarket</t>
        </is>
      </c>
      <c r="C463" s="10" t="inlineStr">
        <is>
          <t>Huddersfield</t>
        </is>
      </c>
      <c r="D463" s="10" t="inlineStr">
        <is>
          <t>Independent Supermarket</t>
        </is>
      </c>
      <c r="E463" s="10" t="inlineStr">
        <is>
          <t>Medium</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UK-000830</t>
        </is>
      </c>
      <c r="B464" s="5" t="inlineStr">
        <is>
          <t>Umrah Supermarket</t>
        </is>
      </c>
      <c r="C464" s="5" t="inlineStr">
        <is>
          <t>Liverpool</t>
        </is>
      </c>
      <c r="D464" s="5" t="inlineStr">
        <is>
          <t>Independent Supermarket</t>
        </is>
      </c>
      <c r="E464" s="5" t="inlineStr">
        <is>
          <t>Medium</t>
        </is>
      </c>
      <c r="F464" s="5" t="inlineStr"/>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UK-000831</t>
        </is>
      </c>
      <c r="B465" s="10" t="inlineStr">
        <is>
          <t>Unique Vaper</t>
        </is>
      </c>
      <c r="C465" s="10" t="inlineStr">
        <is>
          <t>Bootle</t>
        </is>
      </c>
      <c r="D465" s="10" t="inlineStr">
        <is>
          <t>Vape Shop</t>
        </is>
      </c>
      <c r="E465" s="10" t="inlineStr">
        <is>
          <t>Medium</t>
        </is>
      </c>
      <c r="F465" s="10" t="inlineStr">
        <is>
          <t>07732 381513</t>
        </is>
      </c>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UK-000728</t>
        </is>
      </c>
      <c r="B466" s="5" t="inlineStr">
        <is>
          <t>United Wholesale (Scotland) Ltd - Queenslie</t>
        </is>
      </c>
      <c r="C466" s="5" t="inlineStr">
        <is>
          <t>Glasgow</t>
        </is>
      </c>
      <c r="D466" s="5" t="inlineStr">
        <is>
          <t>Cash &amp; Carry</t>
        </is>
      </c>
      <c r="E466" s="5" t="inlineStr">
        <is>
          <t>Medium</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WY-0171</t>
        </is>
      </c>
      <c r="B467" s="10" t="inlineStr">
        <is>
          <t>VAPE (Heckmondwike)</t>
        </is>
      </c>
      <c r="C467" s="10" t="inlineStr">
        <is>
          <t>Heckmondwike</t>
        </is>
      </c>
      <c r="D467" s="10" t="inlineStr">
        <is>
          <t>Vape Shop</t>
        </is>
      </c>
      <c r="E467" s="10" t="inlineStr">
        <is>
          <t>Medium</t>
        </is>
      </c>
      <c r="F467" s="10" t="inlineStr">
        <is>
          <t>01924 650140</t>
        </is>
      </c>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UK-000673</t>
        </is>
      </c>
      <c r="B468" s="5" t="inlineStr">
        <is>
          <t>VAPE BAR (Paddington)</t>
        </is>
      </c>
      <c r="C468" s="5" t="inlineStr">
        <is>
          <t>London</t>
        </is>
      </c>
      <c r="D468" s="5" t="inlineStr">
        <is>
          <t>Vape Shop</t>
        </is>
      </c>
      <c r="E468" s="5" t="inlineStr">
        <is>
          <t>Medium</t>
        </is>
      </c>
      <c r="F468" s="5" t="inlineStr">
        <is>
          <t>07727 485503</t>
        </is>
      </c>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UK-000398</t>
        </is>
      </c>
      <c r="B469" s="10" t="inlineStr">
        <is>
          <t>VAPE CITI (Mount Street, Manchester)</t>
        </is>
      </c>
      <c r="C469" s="10" t="inlineStr">
        <is>
          <t>Manchester</t>
        </is>
      </c>
      <c r="D469" s="10" t="inlineStr">
        <is>
          <t>Vape Shop</t>
        </is>
      </c>
      <c r="E469" s="10" t="inlineStr">
        <is>
          <t>Medium</t>
        </is>
      </c>
      <c r="F469" s="10" t="inlineStr"/>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UK-000729</t>
        </is>
      </c>
      <c r="B470" s="5" t="inlineStr">
        <is>
          <t>VPZ Bathgate</t>
        </is>
      </c>
      <c r="C470" s="5" t="inlineStr">
        <is>
          <t>Bathgate</t>
        </is>
      </c>
      <c r="D470" s="5" t="inlineStr">
        <is>
          <t>Vape Shop</t>
        </is>
      </c>
      <c r="E470" s="5" t="inlineStr">
        <is>
          <t>Medium</t>
        </is>
      </c>
      <c r="F470" s="5" t="inlineStr"/>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UK-000730</t>
        </is>
      </c>
      <c r="B471" s="10" t="inlineStr">
        <is>
          <t>VPZ Clydebank</t>
        </is>
      </c>
      <c r="C471" s="10" t="inlineStr">
        <is>
          <t>Clydebank</t>
        </is>
      </c>
      <c r="D471" s="10" t="inlineStr">
        <is>
          <t>Vape Shop</t>
        </is>
      </c>
      <c r="E471" s="10" t="inlineStr">
        <is>
          <t>Medium</t>
        </is>
      </c>
      <c r="F471" s="10" t="inlineStr">
        <is>
          <t>0141 230 1996</t>
        </is>
      </c>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UK-000731</t>
        </is>
      </c>
      <c r="B472" s="5" t="inlineStr">
        <is>
          <t>VPZ Dunfermline</t>
        </is>
      </c>
      <c r="C472" s="5" t="inlineStr">
        <is>
          <t>Dunfermline</t>
        </is>
      </c>
      <c r="D472" s="5" t="inlineStr">
        <is>
          <t>Vape Shop</t>
        </is>
      </c>
      <c r="E472" s="5" t="inlineStr">
        <is>
          <t>Medium</t>
        </is>
      </c>
      <c r="F472" s="5" t="inlineStr">
        <is>
          <t>01383 871778</t>
        </is>
      </c>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UK-000732</t>
        </is>
      </c>
      <c r="B473" s="10" t="inlineStr">
        <is>
          <t>VPZ East Kilbride</t>
        </is>
      </c>
      <c r="C473" s="10" t="inlineStr">
        <is>
          <t>East Kilbride</t>
        </is>
      </c>
      <c r="D473" s="10" t="inlineStr">
        <is>
          <t>Vape Shop</t>
        </is>
      </c>
      <c r="E473" s="10" t="inlineStr">
        <is>
          <t>Medium</t>
        </is>
      </c>
      <c r="F473" s="10" t="inlineStr">
        <is>
          <t>01355 231707</t>
        </is>
      </c>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UK-000733</t>
        </is>
      </c>
      <c r="B474" s="5" t="inlineStr">
        <is>
          <t>VPZ Grangemouth</t>
        </is>
      </c>
      <c r="C474" s="5" t="inlineStr">
        <is>
          <t>Grangemouth</t>
        </is>
      </c>
      <c r="D474" s="5" t="inlineStr">
        <is>
          <t>Vape Shop</t>
        </is>
      </c>
      <c r="E474" s="5" t="inlineStr">
        <is>
          <t>Medium</t>
        </is>
      </c>
      <c r="F474" s="5" t="inlineStr">
        <is>
          <t>01324 473182</t>
        </is>
      </c>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UK-000734</t>
        </is>
      </c>
      <c r="B475" s="10" t="inlineStr">
        <is>
          <t>VPZ Hamilton</t>
        </is>
      </c>
      <c r="C475" s="10" t="inlineStr">
        <is>
          <t>Hamilton</t>
        </is>
      </c>
      <c r="D475" s="10" t="inlineStr">
        <is>
          <t>Vape Shop</t>
        </is>
      </c>
      <c r="E475" s="10" t="inlineStr">
        <is>
          <t>Medium</t>
        </is>
      </c>
      <c r="F475" s="10" t="inlineStr">
        <is>
          <t>01698 423137</t>
        </is>
      </c>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UK-000735</t>
        </is>
      </c>
      <c r="B476" s="5" t="inlineStr">
        <is>
          <t>VPZ Kirkcaldy</t>
        </is>
      </c>
      <c r="C476" s="5" t="inlineStr">
        <is>
          <t>Kirkcaldy</t>
        </is>
      </c>
      <c r="D476" s="5" t="inlineStr">
        <is>
          <t>Vape Shop</t>
        </is>
      </c>
      <c r="E476" s="5" t="inlineStr">
        <is>
          <t>Medium</t>
        </is>
      </c>
      <c r="F476" s="5" t="inlineStr"/>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UK-000736</t>
        </is>
      </c>
      <c r="B477" s="10" t="inlineStr">
        <is>
          <t>VPZ Leith Walk</t>
        </is>
      </c>
      <c r="C477" s="10" t="inlineStr">
        <is>
          <t>Edinburgh</t>
        </is>
      </c>
      <c r="D477" s="10" t="inlineStr">
        <is>
          <t>Vape Shop</t>
        </is>
      </c>
      <c r="E477" s="10" t="inlineStr">
        <is>
          <t>Medium</t>
        </is>
      </c>
      <c r="F477" s="10" t="inlineStr">
        <is>
          <t>0131 561 1300</t>
        </is>
      </c>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UK-000737</t>
        </is>
      </c>
      <c r="B478" s="5" t="inlineStr">
        <is>
          <t>VPZ Livingston</t>
        </is>
      </c>
      <c r="C478" s="5" t="inlineStr">
        <is>
          <t>Livingston</t>
        </is>
      </c>
      <c r="D478" s="5" t="inlineStr">
        <is>
          <t>Vape Shop</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UK-000738</t>
        </is>
      </c>
      <c r="B479" s="10" t="inlineStr">
        <is>
          <t>VPZ Motherwell</t>
        </is>
      </c>
      <c r="C479" s="10" t="inlineStr">
        <is>
          <t>Motherwell</t>
        </is>
      </c>
      <c r="D479" s="10" t="inlineStr">
        <is>
          <t>Vape Shop</t>
        </is>
      </c>
      <c r="E479" s="10" t="inlineStr">
        <is>
          <t>Medium</t>
        </is>
      </c>
      <c r="F479" s="10" t="inlineStr">
        <is>
          <t>01698 265111</t>
        </is>
      </c>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UK-000739</t>
        </is>
      </c>
      <c r="B480" s="5" t="inlineStr">
        <is>
          <t>VPZ Paisley</t>
        </is>
      </c>
      <c r="C480" s="5" t="inlineStr">
        <is>
          <t>Paisley</t>
        </is>
      </c>
      <c r="D480" s="5" t="inlineStr">
        <is>
          <t>Vape Shop</t>
        </is>
      </c>
      <c r="E480" s="5" t="inlineStr">
        <is>
          <t>Medium</t>
        </is>
      </c>
      <c r="F480" s="5" t="inlineStr">
        <is>
          <t>0141 889 3463</t>
        </is>
      </c>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UK-000740</t>
        </is>
      </c>
      <c r="B481" s="10" t="inlineStr">
        <is>
          <t>VPZ Wishaw</t>
        </is>
      </c>
      <c r="C481" s="10" t="inlineStr">
        <is>
          <t>Wishaw</t>
        </is>
      </c>
      <c r="D481" s="10" t="inlineStr">
        <is>
          <t>Vape Shop</t>
        </is>
      </c>
      <c r="E481" s="10" t="inlineStr">
        <is>
          <t>Medium</t>
        </is>
      </c>
      <c r="F481" s="10" t="inlineStr">
        <is>
          <t>01698 355102</t>
        </is>
      </c>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UK-000531</t>
        </is>
      </c>
      <c r="B482" s="5" t="inlineStr">
        <is>
          <t>VVAPES</t>
        </is>
      </c>
      <c r="C482" s="5" t="inlineStr">
        <is>
          <t>Birmingham</t>
        </is>
      </c>
      <c r="D482" s="5" t="inlineStr">
        <is>
          <t>Vape Shop</t>
        </is>
      </c>
      <c r="E482" s="5" t="inlineStr">
        <is>
          <t>Medium</t>
        </is>
      </c>
      <c r="F482" s="5" t="inlineStr"/>
      <c r="G482" s="5" t="inlineStr">
        <is>
          <t>info@vvapes.co.uk</t>
        </is>
      </c>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UK-000217</t>
        </is>
      </c>
      <c r="B483" s="10" t="inlineStr">
        <is>
          <t>Valli Forecourts (Bawtry Road)</t>
        </is>
      </c>
      <c r="C483" s="10" t="inlineStr">
        <is>
          <t>Doncaster</t>
        </is>
      </c>
      <c r="D483" s="10" t="inlineStr">
        <is>
          <t>Petrol Station / Forecourt</t>
        </is>
      </c>
      <c r="E483" s="10" t="inlineStr">
        <is>
          <t>Medium</t>
        </is>
      </c>
      <c r="F483" s="10" t="inlineStr"/>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WY-0035</t>
        </is>
      </c>
      <c r="B484" s="5" t="inlineStr">
        <is>
          <t>Valli Forecourts Ltd (Head Office)</t>
        </is>
      </c>
      <c r="C484" s="5" t="inlineStr">
        <is>
          <t>Leeds</t>
        </is>
      </c>
      <c r="D484" s="5" t="inlineStr">
        <is>
          <t>Petrol Station / Forecourt</t>
        </is>
      </c>
      <c r="E484" s="5" t="inlineStr">
        <is>
          <t>Medium</t>
        </is>
      </c>
      <c r="F484" s="5" t="inlineStr"/>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UK-000532</t>
        </is>
      </c>
      <c r="B485" s="10" t="inlineStr">
        <is>
          <t>Value Vapes</t>
        </is>
      </c>
      <c r="C485" s="10" t="inlineStr">
        <is>
          <t>Birmingham</t>
        </is>
      </c>
      <c r="D485" s="10" t="inlineStr">
        <is>
          <t>Vape Shop</t>
        </is>
      </c>
      <c r="E485" s="10" t="inlineStr">
        <is>
          <t>Medium</t>
        </is>
      </c>
      <c r="F485" s="10" t="inlineStr"/>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UK-000399</t>
        </is>
      </c>
      <c r="B486" s="5" t="inlineStr">
        <is>
          <t>Vape &amp; Mobiles (Fallowfield, Manchester)</t>
        </is>
      </c>
      <c r="C486" s="5" t="inlineStr">
        <is>
          <t>Manchester</t>
        </is>
      </c>
      <c r="D486" s="5" t="inlineStr">
        <is>
          <t>Vape Shop</t>
        </is>
      </c>
      <c r="E486" s="5" t="inlineStr">
        <is>
          <t>Medium</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UK-000400</t>
        </is>
      </c>
      <c r="B487" s="10" t="inlineStr">
        <is>
          <t>Vape 360 (Withington, Manchester)</t>
        </is>
      </c>
      <c r="C487" s="10" t="inlineStr">
        <is>
          <t>Manchester</t>
        </is>
      </c>
      <c r="D487" s="10" t="inlineStr">
        <is>
          <t>Vape Shop</t>
        </is>
      </c>
      <c r="E487" s="10" t="inlineStr">
        <is>
          <t>Medium</t>
        </is>
      </c>
      <c r="F487" s="10" t="inlineStr"/>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UK-000533</t>
        </is>
      </c>
      <c r="B488" s="5" t="inlineStr">
        <is>
          <t>Vape Bar Brierley Hill</t>
        </is>
      </c>
      <c r="C488" s="5" t="inlineStr">
        <is>
          <t>Brierley Hill</t>
        </is>
      </c>
      <c r="D488" s="5" t="inlineStr">
        <is>
          <t>Vape Shop</t>
        </is>
      </c>
      <c r="E488" s="5" t="inlineStr">
        <is>
          <t>Medium</t>
        </is>
      </c>
      <c r="F488" s="5" t="inlineStr"/>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UK-000401</t>
        </is>
      </c>
      <c r="B489" s="10" t="inlineStr">
        <is>
          <t>Vape Bar Wigan</t>
        </is>
      </c>
      <c r="C489" s="10" t="inlineStr">
        <is>
          <t>Wigan</t>
        </is>
      </c>
      <c r="D489" s="10" t="inlineStr">
        <is>
          <t>Vape Shop</t>
        </is>
      </c>
      <c r="E489" s="10" t="inlineStr">
        <is>
          <t>Medium</t>
        </is>
      </c>
      <c r="F489" s="10" t="inlineStr">
        <is>
          <t>07752 465566</t>
        </is>
      </c>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UK-000402</t>
        </is>
      </c>
      <c r="B490" s="5" t="inlineStr">
        <is>
          <t>Vape Citi Bury</t>
        </is>
      </c>
      <c r="C490" s="5" t="inlineStr">
        <is>
          <t>Bury</t>
        </is>
      </c>
      <c r="D490" s="5" t="inlineStr">
        <is>
          <t>Vape Shop</t>
        </is>
      </c>
      <c r="E490" s="5" t="inlineStr">
        <is>
          <t>Medium</t>
        </is>
      </c>
      <c r="F490" s="5" t="inlineStr"/>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WY-0172</t>
        </is>
      </c>
      <c r="B491" s="10" t="inlineStr">
        <is>
          <t>Vape Dream</t>
        </is>
      </c>
      <c r="C491" s="10" t="inlineStr">
        <is>
          <t>Dewsbury</t>
        </is>
      </c>
      <c r="D491" s="10" t="inlineStr">
        <is>
          <t>Vape Shop</t>
        </is>
      </c>
      <c r="E491" s="10" t="inlineStr">
        <is>
          <t>Medium</t>
        </is>
      </c>
      <c r="F491" s="10" t="inlineStr"/>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UK-000288</t>
        </is>
      </c>
      <c r="B492" s="5" t="inlineStr">
        <is>
          <t>Vape HQ Stocksbridge</t>
        </is>
      </c>
      <c r="C492" s="5" t="inlineStr">
        <is>
          <t>Sheffield</t>
        </is>
      </c>
      <c r="D492" s="5" t="inlineStr">
        <is>
          <t>Vape Shop</t>
        </is>
      </c>
      <c r="E492" s="5" t="inlineStr">
        <is>
          <t>Medium</t>
        </is>
      </c>
      <c r="F492" s="5" t="inlineStr"/>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UK-000403</t>
        </is>
      </c>
      <c r="B493" s="10" t="inlineStr">
        <is>
          <t>Vape Huts</t>
        </is>
      </c>
      <c r="C493" s="10" t="inlineStr">
        <is>
          <t>Chadderton</t>
        </is>
      </c>
      <c r="D493" s="10" t="inlineStr">
        <is>
          <t>Vape Shop</t>
        </is>
      </c>
      <c r="E493" s="10" t="inlineStr">
        <is>
          <t>Medium</t>
        </is>
      </c>
      <c r="F493" s="10" t="inlineStr"/>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UK-000674</t>
        </is>
      </c>
      <c r="B494" s="5" t="inlineStr">
        <is>
          <t>Vape Inc</t>
        </is>
      </c>
      <c r="C494" s="5" t="inlineStr">
        <is>
          <t>Walthamstow</t>
        </is>
      </c>
      <c r="D494" s="5" t="inlineStr">
        <is>
          <t>Vape Shop</t>
        </is>
      </c>
      <c r="E494" s="5" t="inlineStr">
        <is>
          <t>Medium</t>
        </is>
      </c>
      <c r="F494" s="5" t="inlineStr">
        <is>
          <t>020 8521 9004</t>
        </is>
      </c>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UK-000534</t>
        </is>
      </c>
      <c r="B495" s="10" t="inlineStr">
        <is>
          <t>Vape Inn Ltd</t>
        </is>
      </c>
      <c r="C495" s="10" t="inlineStr">
        <is>
          <t>Wednesbury</t>
        </is>
      </c>
      <c r="D495" s="10" t="inlineStr">
        <is>
          <t>Vape Shop</t>
        </is>
      </c>
      <c r="E495" s="10" t="inlineStr">
        <is>
          <t>Medium</t>
        </is>
      </c>
      <c r="F495" s="10" t="inlineStr"/>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UK-000675</t>
        </is>
      </c>
      <c r="B496" s="5" t="inlineStr">
        <is>
          <t>Vape Island Ltd</t>
        </is>
      </c>
      <c r="C496" s="5" t="inlineStr">
        <is>
          <t>Forest Gate</t>
        </is>
      </c>
      <c r="D496" s="5" t="inlineStr">
        <is>
          <t>Vape Shop</t>
        </is>
      </c>
      <c r="E496" s="5" t="inlineStr">
        <is>
          <t>Medium</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UK-000832</t>
        </is>
      </c>
      <c r="B497" s="10" t="inlineStr">
        <is>
          <t>Vape Kingdom UK</t>
        </is>
      </c>
      <c r="C497" s="10" t="inlineStr">
        <is>
          <t>St Helens</t>
        </is>
      </c>
      <c r="D497" s="10" t="inlineStr">
        <is>
          <t>Vape Shop</t>
        </is>
      </c>
      <c r="E497" s="10" t="inlineStr">
        <is>
          <t>Medium</t>
        </is>
      </c>
      <c r="F497" s="10" t="inlineStr">
        <is>
          <t>07910 552233</t>
        </is>
      </c>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UK-000833</t>
        </is>
      </c>
      <c r="B498" s="5" t="inlineStr">
        <is>
          <t>Vape Made Easy</t>
        </is>
      </c>
      <c r="C498" s="5" t="inlineStr">
        <is>
          <t>Glasgow</t>
        </is>
      </c>
      <c r="D498" s="5" t="inlineStr">
        <is>
          <t>Vape Shop</t>
        </is>
      </c>
      <c r="E498" s="5" t="inlineStr">
        <is>
          <t>Medium</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UK-000404</t>
        </is>
      </c>
      <c r="B499" s="10" t="inlineStr">
        <is>
          <t>Vape Maze Westhoughton</t>
        </is>
      </c>
      <c r="C499" s="10" t="inlineStr">
        <is>
          <t>Bolton</t>
        </is>
      </c>
      <c r="D499" s="10" t="inlineStr">
        <is>
          <t>Vape Shop</t>
        </is>
      </c>
      <c r="E499" s="10" t="inlineStr">
        <is>
          <t>Medium</t>
        </is>
      </c>
      <c r="F499" s="10" t="inlineStr"/>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UK-000405</t>
        </is>
      </c>
      <c r="B500" s="5" t="inlineStr">
        <is>
          <t>Vape My Day</t>
        </is>
      </c>
      <c r="C500" s="5" t="inlineStr">
        <is>
          <t>Shaw</t>
        </is>
      </c>
      <c r="D500" s="5" t="inlineStr">
        <is>
          <t>Vape Shop</t>
        </is>
      </c>
      <c r="E500" s="5" t="inlineStr">
        <is>
          <t>Medium</t>
        </is>
      </c>
      <c r="F500" s="5" t="inlineStr"/>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UK-000535</t>
        </is>
      </c>
      <c r="B501" s="10" t="inlineStr">
        <is>
          <t>Vape N Chase</t>
        </is>
      </c>
      <c r="C501" s="10" t="inlineStr">
        <is>
          <t>West Bromwich</t>
        </is>
      </c>
      <c r="D501" s="10" t="inlineStr">
        <is>
          <t>Vape Shop</t>
        </is>
      </c>
      <c r="E501" s="10" t="inlineStr">
        <is>
          <t>Medium</t>
        </is>
      </c>
      <c r="F501" s="10" t="inlineStr">
        <is>
          <t>0121 572 0040</t>
        </is>
      </c>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WY-0173</t>
        </is>
      </c>
      <c r="B502" s="5" t="inlineStr">
        <is>
          <t>Vape N Go</t>
        </is>
      </c>
      <c r="C502" s="5" t="inlineStr">
        <is>
          <t>Halifax</t>
        </is>
      </c>
      <c r="D502" s="5" t="inlineStr">
        <is>
          <t>Vape Shop</t>
        </is>
      </c>
      <c r="E502" s="5" t="inlineStr">
        <is>
          <t>Medium</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WY-0174</t>
        </is>
      </c>
      <c r="B503" s="10" t="inlineStr">
        <is>
          <t>Vape Nation UK</t>
        </is>
      </c>
      <c r="C503" s="10" t="inlineStr">
        <is>
          <t>Huddersfield</t>
        </is>
      </c>
      <c r="D503" s="10" t="inlineStr">
        <is>
          <t>Vape Shop</t>
        </is>
      </c>
      <c r="E503" s="10" t="inlineStr">
        <is>
          <t>Medium</t>
        </is>
      </c>
      <c r="F503" s="10" t="inlineStr">
        <is>
          <t>07809 655738</t>
        </is>
      </c>
      <c r="G503" s="10" t="inlineStr">
        <is>
          <t>info@vapenationeshop.co.uk</t>
        </is>
      </c>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UK-000289</t>
        </is>
      </c>
      <c r="B504" s="5" t="inlineStr">
        <is>
          <t>Vape Newland</t>
        </is>
      </c>
      <c r="C504" s="5" t="inlineStr">
        <is>
          <t>Kingston upon Hull</t>
        </is>
      </c>
      <c r="D504" s="5" t="inlineStr">
        <is>
          <t>Vape Shop</t>
        </is>
      </c>
      <c r="E504" s="5" t="inlineStr">
        <is>
          <t>Medium</t>
        </is>
      </c>
      <c r="F504" s="5" t="inlineStr"/>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UK-000676</t>
        </is>
      </c>
      <c r="B505" s="10" t="inlineStr">
        <is>
          <t>Vape Pure Ltd</t>
        </is>
      </c>
      <c r="C505" s="10" t="inlineStr">
        <is>
          <t>Wood Green</t>
        </is>
      </c>
      <c r="D505" s="10" t="inlineStr">
        <is>
          <t>Vape Shop</t>
        </is>
      </c>
      <c r="E505" s="10" t="inlineStr">
        <is>
          <t>Medium</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WY-0175</t>
        </is>
      </c>
      <c r="B506" s="5" t="inlineStr">
        <is>
          <t>Vape Road</t>
        </is>
      </c>
      <c r="C506" s="5" t="inlineStr">
        <is>
          <t>Brighouse</t>
        </is>
      </c>
      <c r="D506" s="5" t="inlineStr">
        <is>
          <t>Vape Shop</t>
        </is>
      </c>
      <c r="E506" s="5" t="inlineStr">
        <is>
          <t>Medium</t>
        </is>
      </c>
      <c r="F506" s="5" t="inlineStr">
        <is>
          <t>01484 917785</t>
        </is>
      </c>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WY-0176</t>
        </is>
      </c>
      <c r="B507" s="10" t="inlineStr">
        <is>
          <t>Vape Road Cleckheaton</t>
        </is>
      </c>
      <c r="C507" s="10" t="inlineStr">
        <is>
          <t>Cleckheaton</t>
        </is>
      </c>
      <c r="D507" s="10" t="inlineStr">
        <is>
          <t>Vape Shop</t>
        </is>
      </c>
      <c r="E507" s="10" t="inlineStr">
        <is>
          <t>Medium</t>
        </is>
      </c>
      <c r="F507" s="10" t="inlineStr"/>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UK-000290</t>
        </is>
      </c>
      <c r="B508" s="5" t="inlineStr">
        <is>
          <t>Vape Safe Bridlington</t>
        </is>
      </c>
      <c r="C508" s="5" t="inlineStr">
        <is>
          <t>Bridlington</t>
        </is>
      </c>
      <c r="D508" s="5" t="inlineStr">
        <is>
          <t>Vape Shop</t>
        </is>
      </c>
      <c r="E508" s="5" t="inlineStr">
        <is>
          <t>Medium</t>
        </is>
      </c>
      <c r="F508" s="5" t="inlineStr"/>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UK-000406</t>
        </is>
      </c>
      <c r="B509" s="10" t="inlineStr">
        <is>
          <t>Vape Saloon Leigh</t>
        </is>
      </c>
      <c r="C509" s="10" t="inlineStr">
        <is>
          <t>Leigh</t>
        </is>
      </c>
      <c r="D509" s="10" t="inlineStr">
        <is>
          <t>Vape Shop</t>
        </is>
      </c>
      <c r="E509" s="10" t="inlineStr">
        <is>
          <t>Medium</t>
        </is>
      </c>
      <c r="F509" s="10" t="inlineStr"/>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UK-000450</t>
        </is>
      </c>
      <c r="B510" s="5" t="inlineStr">
        <is>
          <t>Vape Shop Birmingham</t>
        </is>
      </c>
      <c r="C510" s="5" t="inlineStr">
        <is>
          <t>Birmingham</t>
        </is>
      </c>
      <c r="D510" s="5" t="inlineStr">
        <is>
          <t>Vape Shop</t>
        </is>
      </c>
      <c r="E510" s="5" t="inlineStr">
        <is>
          <t>Medium</t>
        </is>
      </c>
      <c r="F510" s="5" t="inlineStr"/>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UK-000407</t>
        </is>
      </c>
      <c r="B511" s="10" t="inlineStr">
        <is>
          <t>Vape Spot Bury</t>
        </is>
      </c>
      <c r="C511" s="10" t="inlineStr">
        <is>
          <t>Bury</t>
        </is>
      </c>
      <c r="D511" s="10" t="inlineStr">
        <is>
          <t>Vape Shop</t>
        </is>
      </c>
      <c r="E511" s="10" t="inlineStr">
        <is>
          <t>Medium</t>
        </is>
      </c>
      <c r="F511" s="10" t="inlineStr">
        <is>
          <t>07478 496993</t>
        </is>
      </c>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UK-000291</t>
        </is>
      </c>
      <c r="B512" s="5" t="inlineStr">
        <is>
          <t>Vape Store &amp; Bargains Galore</t>
        </is>
      </c>
      <c r="C512" s="5" t="inlineStr">
        <is>
          <t>Barnsley</t>
        </is>
      </c>
      <c r="D512" s="5" t="inlineStr">
        <is>
          <t>Vape Shop</t>
        </is>
      </c>
      <c r="E512" s="5" t="inlineStr">
        <is>
          <t>Medium</t>
        </is>
      </c>
      <c r="F512" s="5" t="inlineStr"/>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WY-0177</t>
        </is>
      </c>
      <c r="B513" s="10" t="inlineStr">
        <is>
          <t>Vape Suite</t>
        </is>
      </c>
      <c r="C513" s="10" t="inlineStr">
        <is>
          <t>Huddersfield</t>
        </is>
      </c>
      <c r="D513" s="10" t="inlineStr">
        <is>
          <t>Vape Shop</t>
        </is>
      </c>
      <c r="E513" s="10" t="inlineStr">
        <is>
          <t>Medium</t>
        </is>
      </c>
      <c r="F513" s="10" t="inlineStr">
        <is>
          <t>01484 312366</t>
        </is>
      </c>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UK-000563</t>
        </is>
      </c>
      <c r="B514" s="5" t="inlineStr">
        <is>
          <t>Vape Superstore (Walthamstow)</t>
        </is>
      </c>
      <c r="C514" s="5" t="inlineStr">
        <is>
          <t>Walthamstow</t>
        </is>
      </c>
      <c r="D514" s="5" t="inlineStr">
        <is>
          <t>Vape Shop</t>
        </is>
      </c>
      <c r="E514" s="5" t="inlineStr">
        <is>
          <t>Medium</t>
        </is>
      </c>
      <c r="F514" s="5" t="inlineStr">
        <is>
          <t>020 8520 5777</t>
        </is>
      </c>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UK-000564</t>
        </is>
      </c>
      <c r="B515" s="10" t="inlineStr">
        <is>
          <t>Vape Superstore Soho</t>
        </is>
      </c>
      <c r="C515" s="10" t="inlineStr">
        <is>
          <t>London</t>
        </is>
      </c>
      <c r="D515" s="10" t="inlineStr">
        <is>
          <t>Vape Shop</t>
        </is>
      </c>
      <c r="E515" s="10" t="inlineStr">
        <is>
          <t>Medium</t>
        </is>
      </c>
      <c r="F515" s="10" t="inlineStr">
        <is>
          <t>020 7287 4524</t>
        </is>
      </c>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UK-000536</t>
        </is>
      </c>
      <c r="B516" s="5" t="inlineStr">
        <is>
          <t>Vape Vision Gornal</t>
        </is>
      </c>
      <c r="C516" s="5" t="inlineStr">
        <is>
          <t>Dudley</t>
        </is>
      </c>
      <c r="D516" s="5" t="inlineStr">
        <is>
          <t>Vape Shop</t>
        </is>
      </c>
      <c r="E516" s="5" t="inlineStr">
        <is>
          <t>Medium</t>
        </is>
      </c>
      <c r="F516" s="5" t="inlineStr"/>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UK-000408</t>
        </is>
      </c>
      <c r="B517" s="10" t="inlineStr">
        <is>
          <t>Vape World (Eccles, Salford)</t>
        </is>
      </c>
      <c r="C517" s="10" t="inlineStr">
        <is>
          <t>Eccles</t>
        </is>
      </c>
      <c r="D517" s="10" t="inlineStr">
        <is>
          <t>Vape Shop</t>
        </is>
      </c>
      <c r="E517" s="10" t="inlineStr">
        <is>
          <t>Medium</t>
        </is>
      </c>
      <c r="F517" s="10" t="inlineStr"/>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UK-000292</t>
        </is>
      </c>
      <c r="B518" s="5" t="inlineStr">
        <is>
          <t>Vape with Us Northallerton</t>
        </is>
      </c>
      <c r="C518" s="5" t="inlineStr">
        <is>
          <t>Northallerton</t>
        </is>
      </c>
      <c r="D518" s="5" t="inlineStr">
        <is>
          <t>Vape Shop</t>
        </is>
      </c>
      <c r="E518" s="5" t="inlineStr">
        <is>
          <t>Medium</t>
        </is>
      </c>
      <c r="F518" s="5" t="inlineStr">
        <is>
          <t>01609 772799</t>
        </is>
      </c>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UK-000537</t>
        </is>
      </c>
      <c r="B519" s="10" t="inlineStr">
        <is>
          <t>VapeSense Kingswinford</t>
        </is>
      </c>
      <c r="C519" s="10" t="inlineStr">
        <is>
          <t>Kingswinford</t>
        </is>
      </c>
      <c r="D519" s="10" t="inlineStr">
        <is>
          <t>Vape Shop</t>
        </is>
      </c>
      <c r="E519" s="10" t="inlineStr">
        <is>
          <t>Medium</t>
        </is>
      </c>
      <c r="F519" s="10" t="inlineStr">
        <is>
          <t>01384 918900</t>
        </is>
      </c>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WY-0179</t>
        </is>
      </c>
      <c r="B520" s="5" t="inlineStr">
        <is>
          <t>VapeShop Leeds</t>
        </is>
      </c>
      <c r="C520" s="5" t="inlineStr">
        <is>
          <t>Leeds</t>
        </is>
      </c>
      <c r="D520" s="5" t="inlineStr">
        <is>
          <t>Vape Shop</t>
        </is>
      </c>
      <c r="E520" s="5" t="inlineStr">
        <is>
          <t>Medium</t>
        </is>
      </c>
      <c r="F520" s="5" t="inlineStr"/>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UK-000677</t>
        </is>
      </c>
      <c r="B521" s="10" t="inlineStr">
        <is>
          <t>Vapecore (Ladbroke Grove)</t>
        </is>
      </c>
      <c r="C521" s="10" t="inlineStr">
        <is>
          <t>London</t>
        </is>
      </c>
      <c r="D521" s="10" t="inlineStr">
        <is>
          <t>Vape Shop</t>
        </is>
      </c>
      <c r="E521" s="10" t="inlineStr">
        <is>
          <t>Medium</t>
        </is>
      </c>
      <c r="F521" s="10" t="inlineStr">
        <is>
          <t>0333 305 2822</t>
        </is>
      </c>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UK-000835</t>
        </is>
      </c>
      <c r="B522" s="5" t="inlineStr">
        <is>
          <t>Vapedrop</t>
        </is>
      </c>
      <c r="C522" s="5" t="inlineStr">
        <is>
          <t>Edinburgh</t>
        </is>
      </c>
      <c r="D522" s="5" t="inlineStr">
        <is>
          <t>Vape Shop</t>
        </is>
      </c>
      <c r="E522" s="5" t="inlineStr">
        <is>
          <t>Medium</t>
        </is>
      </c>
      <c r="F522" s="5" t="inlineStr">
        <is>
          <t>0131 281 6507</t>
        </is>
      </c>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UK-000409</t>
        </is>
      </c>
      <c r="B523" s="10" t="inlineStr">
        <is>
          <t>Vapenation Hindley</t>
        </is>
      </c>
      <c r="C523" s="10" t="inlineStr">
        <is>
          <t>Wigan</t>
        </is>
      </c>
      <c r="D523" s="10" t="inlineStr">
        <is>
          <t>Vape Shop</t>
        </is>
      </c>
      <c r="E523" s="10" t="inlineStr">
        <is>
          <t>Medium</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UK-000678</t>
        </is>
      </c>
      <c r="B524" s="5" t="inlineStr">
        <is>
          <t>Vapeology (Leyton)</t>
        </is>
      </c>
      <c r="C524" s="5" t="inlineStr">
        <is>
          <t>Leyton</t>
        </is>
      </c>
      <c r="D524" s="5" t="inlineStr">
        <is>
          <t>Vape Shop</t>
        </is>
      </c>
      <c r="E524" s="5" t="inlineStr">
        <is>
          <t>Medium</t>
        </is>
      </c>
      <c r="F524" s="5" t="inlineStr"/>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UK-000679</t>
        </is>
      </c>
      <c r="B525" s="10" t="inlineStr">
        <is>
          <t>Vapers City</t>
        </is>
      </c>
      <c r="C525" s="10" t="inlineStr">
        <is>
          <t>London</t>
        </is>
      </c>
      <c r="D525" s="10" t="inlineStr">
        <is>
          <t>Vape Shop</t>
        </is>
      </c>
      <c r="E525" s="10" t="inlineStr">
        <is>
          <t>Medium</t>
        </is>
      </c>
      <c r="F525" s="10" t="inlineStr"/>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UK-000836</t>
        </is>
      </c>
      <c r="B526" s="5" t="inlineStr">
        <is>
          <t>Vapes N Shakes</t>
        </is>
      </c>
      <c r="C526" s="5" t="inlineStr">
        <is>
          <t>Dunfermline</t>
        </is>
      </c>
      <c r="D526" s="5" t="inlineStr">
        <is>
          <t>Vape Shop</t>
        </is>
      </c>
      <c r="E526" s="5" t="inlineStr">
        <is>
          <t>Medium</t>
        </is>
      </c>
      <c r="F526" s="5" t="inlineStr">
        <is>
          <t>01383 624763</t>
        </is>
      </c>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UK-000837</t>
        </is>
      </c>
      <c r="B527" s="10" t="inlineStr">
        <is>
          <t>Vapes Wirral</t>
        </is>
      </c>
      <c r="C527" s="10" t="inlineStr">
        <is>
          <t>Wirral</t>
        </is>
      </c>
      <c r="D527" s="10" t="inlineStr">
        <is>
          <t>Vape Shop</t>
        </is>
      </c>
      <c r="E527" s="10" t="inlineStr">
        <is>
          <t>Medium</t>
        </is>
      </c>
      <c r="F527" s="10" t="inlineStr"/>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WY-0181</t>
        </is>
      </c>
      <c r="B528" s="5" t="inlineStr">
        <is>
          <t>Vapestation</t>
        </is>
      </c>
      <c r="C528" s="5" t="inlineStr">
        <is>
          <t>Halifax</t>
        </is>
      </c>
      <c r="D528" s="5" t="inlineStr">
        <is>
          <t>Vape Shop</t>
        </is>
      </c>
      <c r="E528" s="5" t="inlineStr">
        <is>
          <t>Medium</t>
        </is>
      </c>
      <c r="F528" s="5" t="inlineStr">
        <is>
          <t>01422 365557</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WY-0182</t>
        </is>
      </c>
      <c r="B529" s="10" t="inlineStr">
        <is>
          <t>Vaping Bar Normanton</t>
        </is>
      </c>
      <c r="C529" s="10" t="inlineStr">
        <is>
          <t>Normanton</t>
        </is>
      </c>
      <c r="D529" s="10" t="inlineStr">
        <is>
          <t>Vape Shop</t>
        </is>
      </c>
      <c r="E529" s="10" t="inlineStr">
        <is>
          <t>Medium</t>
        </is>
      </c>
      <c r="F529" s="10" t="inlineStr"/>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UK-000293</t>
        </is>
      </c>
      <c r="B530" s="5" t="inlineStr">
        <is>
          <t>Vaping Cloud</t>
        </is>
      </c>
      <c r="C530" s="5" t="inlineStr">
        <is>
          <t>Cleethorpes</t>
        </is>
      </c>
      <c r="D530" s="5" t="inlineStr">
        <is>
          <t>Vape Shop</t>
        </is>
      </c>
      <c r="E530" s="5" t="inlineStr">
        <is>
          <t>Medium</t>
        </is>
      </c>
      <c r="F530" s="5" t="inlineStr">
        <is>
          <t>01472 488770</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UK-000680</t>
        </is>
      </c>
      <c r="B531" s="10" t="inlineStr">
        <is>
          <t>Vaporz &amp; Shisha</t>
        </is>
      </c>
      <c r="C531" s="10" t="inlineStr">
        <is>
          <t>London</t>
        </is>
      </c>
      <c r="D531" s="10" t="inlineStr">
        <is>
          <t>Smoke / Shisha Shop</t>
        </is>
      </c>
      <c r="E531" s="10" t="inlineStr">
        <is>
          <t>Medium</t>
        </is>
      </c>
      <c r="F531" s="10" t="inlineStr">
        <is>
          <t>07521 262536</t>
        </is>
      </c>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UK-000410</t>
        </is>
      </c>
      <c r="B532" s="5" t="inlineStr">
        <is>
          <t>Vapour Chase Farnworth</t>
        </is>
      </c>
      <c r="C532" s="5" t="inlineStr">
        <is>
          <t>Bolton</t>
        </is>
      </c>
      <c r="D532" s="5" t="inlineStr">
        <is>
          <t>Vape Shop</t>
        </is>
      </c>
      <c r="E532" s="5" t="inlineStr">
        <is>
          <t>Medium</t>
        </is>
      </c>
      <c r="F532" s="5" t="inlineStr"/>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UK-000681</t>
        </is>
      </c>
      <c r="B533" s="10" t="inlineStr">
        <is>
          <t>Vapour Gallery (Stratford)</t>
        </is>
      </c>
      <c r="C533" s="10" t="inlineStr">
        <is>
          <t>Stratford</t>
        </is>
      </c>
      <c r="D533" s="10" t="inlineStr">
        <is>
          <t>Vape Shop</t>
        </is>
      </c>
      <c r="E533" s="10" t="inlineStr">
        <is>
          <t>Medium</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WY-0184</t>
        </is>
      </c>
      <c r="B534" s="5" t="inlineStr">
        <is>
          <t>Vapour Parlour</t>
        </is>
      </c>
      <c r="C534" s="5" t="inlineStr">
        <is>
          <t>Hemsworth</t>
        </is>
      </c>
      <c r="D534" s="5" t="inlineStr">
        <is>
          <t>Vape Shop</t>
        </is>
      </c>
      <c r="E534" s="5" t="inlineStr">
        <is>
          <t>Medium</t>
        </is>
      </c>
      <c r="F534" s="5" t="inlineStr"/>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UK-000294</t>
        </is>
      </c>
      <c r="B535" s="10" t="inlineStr">
        <is>
          <t>VapourWave Harrogate</t>
        </is>
      </c>
      <c r="C535" s="10" t="inlineStr">
        <is>
          <t>Harrogate</t>
        </is>
      </c>
      <c r="D535" s="10" t="inlineStr">
        <is>
          <t>Vape Shop</t>
        </is>
      </c>
      <c r="E535" s="10" t="inlineStr">
        <is>
          <t>Medium</t>
        </is>
      </c>
      <c r="F535" s="10" t="inlineStr">
        <is>
          <t>01423 601806</t>
        </is>
      </c>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UK-000838</t>
        </is>
      </c>
      <c r="B536" s="5" t="inlineStr">
        <is>
          <t>Vapourohm Airdrie</t>
        </is>
      </c>
      <c r="C536" s="5" t="inlineStr">
        <is>
          <t>Airdrie</t>
        </is>
      </c>
      <c r="D536" s="5" t="inlineStr">
        <is>
          <t>Vape Shop</t>
        </is>
      </c>
      <c r="E536" s="5" t="inlineStr">
        <is>
          <t>Medium</t>
        </is>
      </c>
      <c r="F536" s="5" t="inlineStr">
        <is>
          <t>01236 779111</t>
        </is>
      </c>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UK-000839</t>
        </is>
      </c>
      <c r="B537" s="10" t="inlineStr">
        <is>
          <t>Vapourz Airdrie</t>
        </is>
      </c>
      <c r="C537" s="10" t="inlineStr">
        <is>
          <t>Airdrie</t>
        </is>
      </c>
      <c r="D537" s="10" t="inlineStr">
        <is>
          <t>Vape Shop</t>
        </is>
      </c>
      <c r="E537" s="10" t="inlineStr">
        <is>
          <t>Medium</t>
        </is>
      </c>
      <c r="F537" s="10" t="inlineStr">
        <is>
          <t>01236 763833</t>
        </is>
      </c>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UK-000746</t>
        </is>
      </c>
      <c r="B538" s="5" t="inlineStr">
        <is>
          <t>Vapourz Alloa</t>
        </is>
      </c>
      <c r="C538" s="5" t="inlineStr">
        <is>
          <t>Alloa</t>
        </is>
      </c>
      <c r="D538" s="5" t="inlineStr">
        <is>
          <t>Vape Shop</t>
        </is>
      </c>
      <c r="E538" s="5" t="inlineStr">
        <is>
          <t>Medium</t>
        </is>
      </c>
      <c r="F538" s="5" t="inlineStr"/>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UK-000747</t>
        </is>
      </c>
      <c r="B539" s="10" t="inlineStr">
        <is>
          <t>Vapourz Falkirk</t>
        </is>
      </c>
      <c r="C539" s="10" t="inlineStr">
        <is>
          <t>Falkirk</t>
        </is>
      </c>
      <c r="D539" s="10" t="inlineStr">
        <is>
          <t>Vape Shop</t>
        </is>
      </c>
      <c r="E539" s="10" t="inlineStr">
        <is>
          <t>Medium</t>
        </is>
      </c>
      <c r="F539" s="10" t="inlineStr">
        <is>
          <t>01324 626390</t>
        </is>
      </c>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UK-000748</t>
        </is>
      </c>
      <c r="B540" s="5" t="inlineStr">
        <is>
          <t>Vapourz Kirkcaldy</t>
        </is>
      </c>
      <c r="C540" s="5" t="inlineStr">
        <is>
          <t>Kirkcaldy</t>
        </is>
      </c>
      <c r="D540" s="5" t="inlineStr">
        <is>
          <t>Vape Shop</t>
        </is>
      </c>
      <c r="E540" s="5" t="inlineStr">
        <is>
          <t>Medium</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UK-000749</t>
        </is>
      </c>
      <c r="B541" s="10" t="inlineStr">
        <is>
          <t>Vapourz Stirling</t>
        </is>
      </c>
      <c r="C541" s="10" t="inlineStr">
        <is>
          <t>Stirling</t>
        </is>
      </c>
      <c r="D541" s="10" t="inlineStr">
        <is>
          <t>Vape Shop</t>
        </is>
      </c>
      <c r="E541" s="10" t="inlineStr">
        <is>
          <t>Medium</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UK-000840</t>
        </is>
      </c>
      <c r="B542" s="5" t="inlineStr">
        <is>
          <t>Vapourzone Waterloo</t>
        </is>
      </c>
      <c r="C542" s="5" t="inlineStr">
        <is>
          <t>Liverpool</t>
        </is>
      </c>
      <c r="D542" s="5" t="inlineStr">
        <is>
          <t>Vape Shop</t>
        </is>
      </c>
      <c r="E542" s="5" t="inlineStr">
        <is>
          <t>Medium</t>
        </is>
      </c>
      <c r="F542" s="5" t="inlineStr"/>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UK-000411</t>
        </is>
      </c>
      <c r="B543" s="10" t="inlineStr">
        <is>
          <t>Village &amp; Shisha Lounge (Rusholme)</t>
        </is>
      </c>
      <c r="C543" s="10" t="inlineStr">
        <is>
          <t>Manchester</t>
        </is>
      </c>
      <c r="D543" s="10" t="inlineStr">
        <is>
          <t>Smoke / Shisha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UK-000841</t>
        </is>
      </c>
      <c r="B544" s="5" t="inlineStr">
        <is>
          <t>Viper Vapes</t>
        </is>
      </c>
      <c r="C544" s="5" t="inlineStr">
        <is>
          <t>Newton-le-Willows</t>
        </is>
      </c>
      <c r="D544" s="5" t="inlineStr">
        <is>
          <t>Vape Shop</t>
        </is>
      </c>
      <c r="E544" s="5" t="inlineStr">
        <is>
          <t>Medium</t>
        </is>
      </c>
      <c r="F544" s="5" t="inlineStr">
        <is>
          <t>07526 275877</t>
        </is>
      </c>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UK-000842</t>
        </is>
      </c>
      <c r="B545" s="10" t="inlineStr">
        <is>
          <t>Virgin Vapours</t>
        </is>
      </c>
      <c r="C545" s="10" t="inlineStr">
        <is>
          <t>Crosby</t>
        </is>
      </c>
      <c r="D545" s="10" t="inlineStr">
        <is>
          <t>Vape Shop</t>
        </is>
      </c>
      <c r="E545" s="10" t="inlineStr">
        <is>
          <t>Medium</t>
        </is>
      </c>
      <c r="F545" s="10" t="inlineStr">
        <is>
          <t>0151 538 3868</t>
        </is>
      </c>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UK-000540</t>
        </is>
      </c>
      <c r="B546" s="5" t="inlineStr">
        <is>
          <t>Vvapour</t>
        </is>
      </c>
      <c r="C546" s="5" t="inlineStr">
        <is>
          <t>West Bromwich</t>
        </is>
      </c>
      <c r="D546" s="5" t="inlineStr">
        <is>
          <t>Vape Shop</t>
        </is>
      </c>
      <c r="E546" s="5" t="inlineStr">
        <is>
          <t>Medium</t>
        </is>
      </c>
      <c r="F546" s="5" t="inlineStr">
        <is>
          <t>0800 292 2345</t>
        </is>
      </c>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UK-000684</t>
        </is>
      </c>
      <c r="B547" s="10" t="inlineStr">
        <is>
          <t>Vx-Change</t>
        </is>
      </c>
      <c r="C547" s="10" t="inlineStr">
        <is>
          <t>Hounslow</t>
        </is>
      </c>
      <c r="D547" s="10" t="inlineStr">
        <is>
          <t>Vape Shop</t>
        </is>
      </c>
      <c r="E547" s="10" t="inlineStr">
        <is>
          <t>Medium</t>
        </is>
      </c>
      <c r="F547" s="10" t="inlineStr"/>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UK-000685</t>
        </is>
      </c>
      <c r="B548" s="5" t="inlineStr">
        <is>
          <t>W2 Vapes Central London</t>
        </is>
      </c>
      <c r="C548" s="5" t="inlineStr">
        <is>
          <t>London</t>
        </is>
      </c>
      <c r="D548" s="5" t="inlineStr">
        <is>
          <t>Vape Shop</t>
        </is>
      </c>
      <c r="E548" s="5" t="inlineStr">
        <is>
          <t>Medium</t>
        </is>
      </c>
      <c r="F548" s="5" t="inlineStr">
        <is>
          <t>07438 556033</t>
        </is>
      </c>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WY-0185</t>
        </is>
      </c>
      <c r="B549" s="10" t="inlineStr">
        <is>
          <t>Wakefield Road Service Station (Featherstone)</t>
        </is>
      </c>
      <c r="C549" s="10" t="inlineStr">
        <is>
          <t>Featherstone</t>
        </is>
      </c>
      <c r="D549" s="10" t="inlineStr">
        <is>
          <t>Petrol Station / Forecourt</t>
        </is>
      </c>
      <c r="E549" s="10" t="inlineStr">
        <is>
          <t>Medium</t>
        </is>
      </c>
      <c r="F549" s="10" t="inlineStr"/>
      <c r="G549" s="10" t="inlineStr"/>
      <c r="H549" s="10" t="inlineStr"/>
      <c r="I549" s="10" t="inlineStr">
        <is>
          <t>Saqib Javaid; Zeeshan Ali</t>
        </is>
      </c>
      <c r="J549" s="10" t="inlineStr">
        <is>
          <t>Owners / Operators</t>
        </is>
      </c>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UK-000296</t>
        </is>
      </c>
      <c r="B550" s="5" t="inlineStr">
        <is>
          <t>Weetons Food Hall</t>
        </is>
      </c>
      <c r="C550" s="5" t="inlineStr">
        <is>
          <t>Harrogate</t>
        </is>
      </c>
      <c r="D550" s="5" t="inlineStr">
        <is>
          <t>Independent Supermarket</t>
        </is>
      </c>
      <c r="E550" s="5" t="inlineStr">
        <is>
          <t>Medium</t>
        </is>
      </c>
      <c r="F550" s="5" t="inlineStr">
        <is>
          <t>01423 507100</t>
        </is>
      </c>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UK-000688</t>
        </is>
      </c>
      <c r="B551" s="10" t="inlineStr">
        <is>
          <t>Western Cash &amp; Carry</t>
        </is>
      </c>
      <c r="C551" s="10" t="inlineStr">
        <is>
          <t>Southall</t>
        </is>
      </c>
      <c r="D551" s="10" t="inlineStr">
        <is>
          <t>Cash &amp; Carry</t>
        </is>
      </c>
      <c r="E551" s="10" t="inlineStr">
        <is>
          <t>Medium</t>
        </is>
      </c>
      <c r="F551" s="10" t="inlineStr"/>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WY-0188</t>
        </is>
      </c>
      <c r="B552" s="5" t="inlineStr">
        <is>
          <t>White Rose Catering</t>
        </is>
      </c>
      <c r="C552" s="5" t="inlineStr">
        <is>
          <t>Dewsbury</t>
        </is>
      </c>
      <c r="D552" s="5" t="inlineStr">
        <is>
          <t>Cash &amp; Carry</t>
        </is>
      </c>
      <c r="E552" s="5" t="inlineStr">
        <is>
          <t>Medium</t>
        </is>
      </c>
      <c r="F552" s="5" t="inlineStr">
        <is>
          <t>01924 467054</t>
        </is>
      </c>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WY-0189</t>
        </is>
      </c>
      <c r="B553" s="10" t="inlineStr">
        <is>
          <t>Wigton Cash &amp; Carry (Wigton Distribution)</t>
        </is>
      </c>
      <c r="C553" s="10" t="inlineStr">
        <is>
          <t>Leeds</t>
        </is>
      </c>
      <c r="D553" s="10" t="inlineStr">
        <is>
          <t>Cash &amp; Carry</t>
        </is>
      </c>
      <c r="E553" s="10" t="inlineStr">
        <is>
          <t>Medium</t>
        </is>
      </c>
      <c r="F553" s="10" t="inlineStr">
        <is>
          <t>07833 840327</t>
        </is>
      </c>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UK-000750</t>
        </is>
      </c>
      <c r="B554" s="5" t="inlineStr">
        <is>
          <t>WoodWinters Wines &amp; Whiskies</t>
        </is>
      </c>
      <c r="C554" s="5" t="inlineStr">
        <is>
          <t>Stirling</t>
        </is>
      </c>
      <c r="D554" s="5" t="inlineStr">
        <is>
          <t>Off-Licence</t>
        </is>
      </c>
      <c r="E554" s="5" t="inlineStr">
        <is>
          <t>Medium</t>
        </is>
      </c>
      <c r="F554" s="5" t="inlineStr">
        <is>
          <t>01786 448687</t>
        </is>
      </c>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UK-000848</t>
        </is>
      </c>
      <c r="B555" s="10" t="inlineStr">
        <is>
          <t>World Foods Glasgow</t>
        </is>
      </c>
      <c r="C555" s="10" t="inlineStr">
        <is>
          <t>Glasgow</t>
        </is>
      </c>
      <c r="D555" s="10" t="inlineStr">
        <is>
          <t>Independent Supermarket</t>
        </is>
      </c>
      <c r="E555" s="10" t="inlineStr">
        <is>
          <t>Medium</t>
        </is>
      </c>
      <c r="F555" s="10" t="inlineStr"/>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UK-000542</t>
        </is>
      </c>
      <c r="B556" s="5" t="inlineStr">
        <is>
          <t>World Foods Superstore</t>
        </is>
      </c>
      <c r="C556" s="5" t="inlineStr">
        <is>
          <t>Wolverhampton</t>
        </is>
      </c>
      <c r="D556" s="5" t="inlineStr">
        <is>
          <t>Independent Supermarket</t>
        </is>
      </c>
      <c r="E556" s="5" t="inlineStr">
        <is>
          <t>Medium</t>
        </is>
      </c>
      <c r="F556" s="5" t="inlineStr">
        <is>
          <t>01902 421222</t>
        </is>
      </c>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UK-000543</t>
        </is>
      </c>
      <c r="B557" s="10" t="inlineStr">
        <is>
          <t>Worldwide Foods</t>
        </is>
      </c>
      <c r="C557" s="10" t="inlineStr">
        <is>
          <t>Birmingham</t>
        </is>
      </c>
      <c r="D557" s="10" t="inlineStr">
        <is>
          <t>Independent Supermarket</t>
        </is>
      </c>
      <c r="E557" s="10" t="inlineStr">
        <is>
          <t>Medium</t>
        </is>
      </c>
      <c r="F557" s="10" t="inlineStr">
        <is>
          <t>0121 327 0074</t>
        </is>
      </c>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UK-000328</t>
        </is>
      </c>
      <c r="B558" s="5" t="inlineStr">
        <is>
          <t>Worldwide Foods (Cheetham Hill)</t>
        </is>
      </c>
      <c r="C558" s="5" t="inlineStr">
        <is>
          <t>Manchester</t>
        </is>
      </c>
      <c r="D558" s="5" t="inlineStr">
        <is>
          <t>Independent Supermarket</t>
        </is>
      </c>
      <c r="E558" s="5" t="inlineStr">
        <is>
          <t>Medium</t>
        </is>
      </c>
      <c r="F558" s="5" t="inlineStr">
        <is>
          <t>0161 740 2690</t>
        </is>
      </c>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UK-000329</t>
        </is>
      </c>
      <c r="B559" s="10" t="inlineStr">
        <is>
          <t>Worldwide Foods (Longsight)</t>
        </is>
      </c>
      <c r="C559" s="10" t="inlineStr">
        <is>
          <t>Manchester</t>
        </is>
      </c>
      <c r="D559" s="10" t="inlineStr">
        <is>
          <t>Independent Supermarket</t>
        </is>
      </c>
      <c r="E559" s="10" t="inlineStr">
        <is>
          <t>Medium</t>
        </is>
      </c>
      <c r="F559" s="10" t="inlineStr">
        <is>
          <t>0161 256 2985</t>
        </is>
      </c>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UK-000330</t>
        </is>
      </c>
      <c r="B560" s="5" t="inlineStr">
        <is>
          <t>Worldwide Foods (Old Trafford)</t>
        </is>
      </c>
      <c r="C560" s="5" t="inlineStr">
        <is>
          <t>Manchester</t>
        </is>
      </c>
      <c r="D560" s="5" t="inlineStr">
        <is>
          <t>Independent Supermarket</t>
        </is>
      </c>
      <c r="E560" s="5" t="inlineStr">
        <is>
          <t>Medium</t>
        </is>
      </c>
      <c r="F560" s="5" t="inlineStr"/>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UK-000331</t>
        </is>
      </c>
      <c r="B561" s="10" t="inlineStr">
        <is>
          <t>Worldwide Foods (Rusholme)</t>
        </is>
      </c>
      <c r="C561" s="10" t="inlineStr">
        <is>
          <t>Manchester</t>
        </is>
      </c>
      <c r="D561" s="10" t="inlineStr">
        <is>
          <t>Independent Supermarket</t>
        </is>
      </c>
      <c r="E561" s="10" t="inlineStr">
        <is>
          <t>Medium</t>
        </is>
      </c>
      <c r="F561" s="10" t="inlineStr">
        <is>
          <t>0161 248 6727</t>
        </is>
      </c>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WY-0045</t>
        </is>
      </c>
      <c r="B562" s="5" t="inlineStr">
        <is>
          <t>Worldwide Foods Bradford (Leeds Road)</t>
        </is>
      </c>
      <c r="C562" s="5" t="inlineStr">
        <is>
          <t>Bradford</t>
        </is>
      </c>
      <c r="D562" s="5" t="inlineStr">
        <is>
          <t>Independent Supermarket</t>
        </is>
      </c>
      <c r="E562" s="5" t="inlineStr">
        <is>
          <t>Medium</t>
        </is>
      </c>
      <c r="F562" s="5" t="inlineStr">
        <is>
          <t>01274 656638</t>
        </is>
      </c>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WY-0046</t>
        </is>
      </c>
      <c r="B563" s="10" t="inlineStr">
        <is>
          <t>Worldwide Foods Bradford (Woodhead Road)</t>
        </is>
      </c>
      <c r="C563" s="10" t="inlineStr">
        <is>
          <t>Bradford</t>
        </is>
      </c>
      <c r="D563" s="10" t="inlineStr">
        <is>
          <t>Independent Supermarket</t>
        </is>
      </c>
      <c r="E563" s="10" t="inlineStr">
        <is>
          <t>Medium</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UK-000332</t>
        </is>
      </c>
      <c r="B564" s="5" t="inlineStr">
        <is>
          <t>Worldwide Foods Rochdale</t>
        </is>
      </c>
      <c r="C564" s="5" t="inlineStr">
        <is>
          <t>Rochdale</t>
        </is>
      </c>
      <c r="D564" s="5" t="inlineStr">
        <is>
          <t>Independent Supermarket</t>
        </is>
      </c>
      <c r="E564" s="5" t="inlineStr">
        <is>
          <t>Medium</t>
        </is>
      </c>
      <c r="F564" s="5" t="inlineStr"/>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UK-000545</t>
        </is>
      </c>
      <c r="B565" s="10" t="inlineStr">
        <is>
          <t>Yalda Nights Shisha Lounge</t>
        </is>
      </c>
      <c r="C565" s="10" t="inlineStr">
        <is>
          <t>Wolverhampton</t>
        </is>
      </c>
      <c r="D565" s="10" t="inlineStr">
        <is>
          <t>Smoke / Shisha Shop</t>
        </is>
      </c>
      <c r="E565" s="10" t="inlineStr">
        <is>
          <t>Medium</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WY-0191</t>
        </is>
      </c>
      <c r="B566" s="5" t="inlineStr">
        <is>
          <t>Zesty Vape</t>
        </is>
      </c>
      <c r="C566" s="5" t="inlineStr">
        <is>
          <t>Brighouse</t>
        </is>
      </c>
      <c r="D566" s="5" t="inlineStr">
        <is>
          <t>Vape Shop</t>
        </is>
      </c>
      <c r="E566" s="5" t="inlineStr">
        <is>
          <t>Medium</t>
        </is>
      </c>
      <c r="F566" s="5" t="inlineStr">
        <is>
          <t>01484 722183</t>
        </is>
      </c>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UK-000849</t>
        </is>
      </c>
      <c r="B567" s="10" t="inlineStr">
        <is>
          <t>e-Vapes Dunfermline</t>
        </is>
      </c>
      <c r="C567" s="10" t="inlineStr">
        <is>
          <t>Dunfermline</t>
        </is>
      </c>
      <c r="D567" s="10" t="inlineStr">
        <is>
          <t>Vape Shop</t>
        </is>
      </c>
      <c r="E567" s="10" t="inlineStr">
        <is>
          <t>Medium</t>
        </is>
      </c>
      <c r="F567" s="10" t="inlineStr">
        <is>
          <t>01383 432335</t>
        </is>
      </c>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UK-000751</t>
        </is>
      </c>
      <c r="B568" s="5" t="inlineStr">
        <is>
          <t>e.cig.a.rus Hamilton</t>
        </is>
      </c>
      <c r="C568" s="5" t="inlineStr">
        <is>
          <t>Hamilton</t>
        </is>
      </c>
      <c r="D568" s="5" t="inlineStr">
        <is>
          <t>Vape Shop</t>
        </is>
      </c>
      <c r="E568" s="5" t="inlineStr">
        <is>
          <t>Medium</t>
        </is>
      </c>
      <c r="F568" s="5" t="inlineStr">
        <is>
          <t>01698 420068</t>
        </is>
      </c>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UK-000752</t>
        </is>
      </c>
      <c r="B569" s="10" t="inlineStr">
        <is>
          <t>e.cig.a.rus Wishaw</t>
        </is>
      </c>
      <c r="C569" s="10" t="inlineStr">
        <is>
          <t>Wishaw</t>
        </is>
      </c>
      <c r="D569" s="10" t="inlineStr">
        <is>
          <t>Vape Shop</t>
        </is>
      </c>
      <c r="E569" s="10" t="inlineStr">
        <is>
          <t>Medium</t>
        </is>
      </c>
      <c r="F569" s="10" t="inlineStr">
        <is>
          <t>01698 296440</t>
        </is>
      </c>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UK-000417</t>
        </is>
      </c>
      <c r="B570" s="5" t="inlineStr">
        <is>
          <t>eCig Factory 2</t>
        </is>
      </c>
      <c r="C570" s="5" t="inlineStr">
        <is>
          <t>Oldham</t>
        </is>
      </c>
      <c r="D570" s="5" t="inlineStr">
        <is>
          <t>Vape Shop</t>
        </is>
      </c>
      <c r="E570" s="5" t="inlineStr">
        <is>
          <t>Medium</t>
        </is>
      </c>
      <c r="F570" s="5" t="inlineStr"/>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UK-000418</t>
        </is>
      </c>
      <c r="B571" s="10" t="inlineStr">
        <is>
          <t>eQuit.it Horwich</t>
        </is>
      </c>
      <c r="C571" s="10" t="inlineStr">
        <is>
          <t>Bolton</t>
        </is>
      </c>
      <c r="D571" s="10" t="inlineStr">
        <is>
          <t>Vape Shop</t>
        </is>
      </c>
      <c r="E571" s="10" t="inlineStr">
        <is>
          <t>Medium</t>
        </is>
      </c>
      <c r="F571" s="10" t="inlineStr">
        <is>
          <t>01204 694112</t>
        </is>
      </c>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WY-0192</t>
        </is>
      </c>
      <c r="B572" s="5" t="inlineStr">
        <is>
          <t>eVape Outlet</t>
        </is>
      </c>
      <c r="C572" s="5" t="inlineStr">
        <is>
          <t>Keighley</t>
        </is>
      </c>
      <c r="D572" s="5" t="inlineStr">
        <is>
          <t>Vape Shop</t>
        </is>
      </c>
      <c r="E572" s="5" t="inlineStr">
        <is>
          <t>Medium</t>
        </is>
      </c>
      <c r="F572" s="5" t="inlineStr"/>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UK-000546</t>
        </is>
      </c>
      <c r="B573" s="10" t="inlineStr">
        <is>
          <t>i Vape Guru Ltd</t>
        </is>
      </c>
      <c r="C573" s="10" t="inlineStr">
        <is>
          <t>Stourbridge</t>
        </is>
      </c>
      <c r="D573" s="10" t="inlineStr">
        <is>
          <t>Vape Shop</t>
        </is>
      </c>
      <c r="E573" s="10" t="inlineStr">
        <is>
          <t>Medium</t>
        </is>
      </c>
      <c r="F573" s="10" t="inlineStr"/>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UK-000547</t>
        </is>
      </c>
      <c r="B574" s="5" t="inlineStr">
        <is>
          <t>iVAPE QB</t>
        </is>
      </c>
      <c r="C574" s="5" t="inlineStr">
        <is>
          <t>Kingswinford</t>
        </is>
      </c>
      <c r="D574" s="5" t="inlineStr">
        <is>
          <t>Vape Shop</t>
        </is>
      </c>
      <c r="E574" s="5" t="inlineStr">
        <is>
          <t>Medium</t>
        </is>
      </c>
      <c r="F574" s="5" t="inlineStr">
        <is>
          <t>07842 131532</t>
        </is>
      </c>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WY-0193</t>
        </is>
      </c>
      <c r="B575" s="10" t="inlineStr">
        <is>
          <t>iVape Lounge</t>
        </is>
      </c>
      <c r="C575" s="10" t="inlineStr">
        <is>
          <t>Todmorden</t>
        </is>
      </c>
      <c r="D575" s="10" t="inlineStr">
        <is>
          <t>Vape Shop</t>
        </is>
      </c>
      <c r="E575" s="10" t="inlineStr">
        <is>
          <t>Medium</t>
        </is>
      </c>
      <c r="F575" s="10" t="inlineStr"/>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UK-000565</t>
        </is>
      </c>
      <c r="B576" s="5" t="inlineStr">
        <is>
          <t>myCigara - Hammersmith (King Street)</t>
        </is>
      </c>
      <c r="C576" s="5" t="inlineStr">
        <is>
          <t>London</t>
        </is>
      </c>
      <c r="D576" s="5" t="inlineStr">
        <is>
          <t>Vape Shop</t>
        </is>
      </c>
      <c r="E576" s="5" t="inlineStr">
        <is>
          <t>Medium</t>
        </is>
      </c>
      <c r="F576" s="5" t="inlineStr"/>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UK-000566</t>
        </is>
      </c>
      <c r="B577" s="10" t="inlineStr">
        <is>
          <t>myCigara - Holborn (Theobald's Road)</t>
        </is>
      </c>
      <c r="C577" s="10" t="inlineStr">
        <is>
          <t>London</t>
        </is>
      </c>
      <c r="D577" s="10" t="inlineStr">
        <is>
          <t>Vape Shop</t>
        </is>
      </c>
      <c r="E577" s="10" t="inlineStr">
        <is>
          <t>Medium</t>
        </is>
      </c>
      <c r="F577" s="10" t="inlineStr">
        <is>
          <t>020 7242 0800</t>
        </is>
      </c>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WY-0047</t>
        </is>
      </c>
      <c r="B578" s="5" t="inlineStr">
        <is>
          <t>A &amp; B Stores</t>
        </is>
      </c>
      <c r="C578" s="5" t="inlineStr">
        <is>
          <t>Bingley</t>
        </is>
      </c>
      <c r="D578" s="5" t="inlineStr">
        <is>
          <t>Off-Licence</t>
        </is>
      </c>
      <c r="E578" s="5" t="inlineStr">
        <is>
          <t>Low</t>
        </is>
      </c>
      <c r="F578" s="5" t="inlineStr"/>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UK-000567</t>
        </is>
      </c>
      <c r="B579" s="10" t="inlineStr">
        <is>
          <t>A &amp; J Minimarket</t>
        </is>
      </c>
      <c r="C579" s="10" t="inlineStr">
        <is>
          <t>Mitcham</t>
        </is>
      </c>
      <c r="D579" s="10" t="inlineStr">
        <is>
          <t>Convenience Store</t>
        </is>
      </c>
      <c r="E579" s="10" t="inlineStr">
        <is>
          <t>Low</t>
        </is>
      </c>
      <c r="F579" s="10" t="inlineStr"/>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UK-000569</t>
        </is>
      </c>
      <c r="B580" s="5" t="inlineStr">
        <is>
          <t>A K S U Food Centre</t>
        </is>
      </c>
      <c r="C580" s="5" t="inlineStr">
        <is>
          <t>Palmers Green</t>
        </is>
      </c>
      <c r="D580" s="5" t="inlineStr">
        <is>
          <t>Independent Supermarket</t>
        </is>
      </c>
      <c r="E580" s="5" t="inlineStr">
        <is>
          <t>Low</t>
        </is>
      </c>
      <c r="F580" s="5" t="inlineStr"/>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UK-000232</t>
        </is>
      </c>
      <c r="B581" s="10" t="inlineStr">
        <is>
          <t>AA Off Licence</t>
        </is>
      </c>
      <c r="C581" s="10" t="inlineStr">
        <is>
          <t>Kingston upon Hull</t>
        </is>
      </c>
      <c r="D581" s="10" t="inlineStr">
        <is>
          <t>Off-Licence</t>
        </is>
      </c>
      <c r="E581" s="10" t="inlineStr">
        <is>
          <t>Low</t>
        </is>
      </c>
      <c r="F581" s="10" t="inlineStr"/>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UK-000570</t>
        </is>
      </c>
      <c r="B582" s="5" t="inlineStr">
        <is>
          <t>AJ Bros Express</t>
        </is>
      </c>
      <c r="C582" s="5" t="inlineStr">
        <is>
          <t>London</t>
        </is>
      </c>
      <c r="D582" s="5" t="inlineStr">
        <is>
          <t>Convenience Store</t>
        </is>
      </c>
      <c r="E582" s="5" t="inlineStr">
        <is>
          <t>Low</t>
        </is>
      </c>
      <c r="F582" s="5" t="inlineStr">
        <is>
          <t>020 8251 7848</t>
        </is>
      </c>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UK-000335</t>
        </is>
      </c>
      <c r="B583" s="10" t="inlineStr">
        <is>
          <t>AJ Food &amp; Wine</t>
        </is>
      </c>
      <c r="C583" s="10" t="inlineStr">
        <is>
          <t>Stockport</t>
        </is>
      </c>
      <c r="D583" s="10" t="inlineStr">
        <is>
          <t>Off-Licence</t>
        </is>
      </c>
      <c r="E583" s="10" t="inlineStr">
        <is>
          <t>Low</t>
        </is>
      </c>
      <c r="F583" s="10" t="inlineStr">
        <is>
          <t>0161 428 2312</t>
        </is>
      </c>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UK-000573</t>
        </is>
      </c>
      <c r="B584" s="5" t="inlineStr">
        <is>
          <t>Al-Sultan Supermarket</t>
        </is>
      </c>
      <c r="C584" s="5" t="inlineStr">
        <is>
          <t>London</t>
        </is>
      </c>
      <c r="D584" s="5" t="inlineStr">
        <is>
          <t>Independent Supermarket</t>
        </is>
      </c>
      <c r="E584" s="5" t="inlineStr">
        <is>
          <t>Low</t>
        </is>
      </c>
      <c r="F584" s="5" t="inlineStr">
        <is>
          <t>020 7589 8614</t>
        </is>
      </c>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UK-000574</t>
        </is>
      </c>
      <c r="B585" s="10" t="inlineStr">
        <is>
          <t>Ali's Wine &amp; Grocery</t>
        </is>
      </c>
      <c r="C585" s="10" t="inlineStr">
        <is>
          <t>Islington</t>
        </is>
      </c>
      <c r="D585" s="10" t="inlineStr">
        <is>
          <t>Off-Licence</t>
        </is>
      </c>
      <c r="E585" s="10" t="inlineStr">
        <is>
          <t>Low</t>
        </is>
      </c>
      <c r="F585" s="10" t="inlineStr">
        <is>
          <t>020 7729 7522</t>
        </is>
      </c>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UK-000754</t>
        </is>
      </c>
      <c r="B586" s="5" t="inlineStr">
        <is>
          <t>All n One Mini Convenience</t>
        </is>
      </c>
      <c r="C586" s="5" t="inlineStr">
        <is>
          <t>Liverpool</t>
        </is>
      </c>
      <c r="D586" s="5" t="inlineStr">
        <is>
          <t>Convenience Store</t>
        </is>
      </c>
      <c r="E586" s="5" t="inlineStr">
        <is>
          <t>Low</t>
        </is>
      </c>
      <c r="F586" s="5" t="inlineStr"/>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UK-000576</t>
        </is>
      </c>
      <c r="B587" s="10" t="inlineStr">
        <is>
          <t>Alpha Off Licence</t>
        </is>
      </c>
      <c r="C587" s="10" t="inlineStr">
        <is>
          <t>London</t>
        </is>
      </c>
      <c r="D587" s="10" t="inlineStr">
        <is>
          <t>Off-Licence</t>
        </is>
      </c>
      <c r="E587" s="10" t="inlineStr">
        <is>
          <t>Low</t>
        </is>
      </c>
      <c r="F587" s="10" t="inlineStr">
        <is>
          <t>020 7639 5124</t>
        </is>
      </c>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UK-000577</t>
        </is>
      </c>
      <c r="B588" s="5" t="inlineStr">
        <is>
          <t>Amy News &amp; Off Licence</t>
        </is>
      </c>
      <c r="C588" s="5" t="inlineStr">
        <is>
          <t>East Ham</t>
        </is>
      </c>
      <c r="D588" s="5" t="inlineStr">
        <is>
          <t>Newsagent</t>
        </is>
      </c>
      <c r="E588" s="5" t="inlineStr">
        <is>
          <t>Low</t>
        </is>
      </c>
      <c r="F588" s="5" t="inlineStr"/>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UK-000338</t>
        </is>
      </c>
      <c r="B589" s="10" t="inlineStr">
        <is>
          <t>Anil's Off Licence</t>
        </is>
      </c>
      <c r="C589" s="10" t="inlineStr">
        <is>
          <t>Bolton</t>
        </is>
      </c>
      <c r="D589" s="10" t="inlineStr">
        <is>
          <t>Off-Licence</t>
        </is>
      </c>
      <c r="E589" s="10" t="inlineStr">
        <is>
          <t>Low</t>
        </is>
      </c>
      <c r="F589" s="10" t="inlineStr"/>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WY-0050</t>
        </is>
      </c>
      <c r="B590" s="5" t="inlineStr">
        <is>
          <t>Anwarsons Newsagency</t>
        </is>
      </c>
      <c r="C590" s="5" t="inlineStr">
        <is>
          <t>Brighouse</t>
        </is>
      </c>
      <c r="D590" s="5" t="inlineStr">
        <is>
          <t>Newsagent</t>
        </is>
      </c>
      <c r="E590" s="5" t="inlineStr">
        <is>
          <t>Low</t>
        </is>
      </c>
      <c r="F590" s="5" t="inlineStr">
        <is>
          <t>01484 717622</t>
        </is>
      </c>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UK-000755</t>
        </is>
      </c>
      <c r="B591" s="10" t="inlineStr">
        <is>
          <t>Ashok &amp; Vanita House</t>
        </is>
      </c>
      <c r="C591" s="10" t="inlineStr">
        <is>
          <t>Liverpool</t>
        </is>
      </c>
      <c r="D591" s="10" t="inlineStr">
        <is>
          <t>Off-Licence</t>
        </is>
      </c>
      <c r="E591" s="10" t="inlineStr">
        <is>
          <t>Low</t>
        </is>
      </c>
      <c r="F591" s="10" t="inlineStr">
        <is>
          <t>07956 121045</t>
        </is>
      </c>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WY-0052</t>
        </is>
      </c>
      <c r="B592" s="5" t="inlineStr">
        <is>
          <t>Asia Foods</t>
        </is>
      </c>
      <c r="C592" s="5" t="inlineStr">
        <is>
          <t>Huddersfield</t>
        </is>
      </c>
      <c r="D592" s="5" t="inlineStr">
        <is>
          <t>Independent Supermarket</t>
        </is>
      </c>
      <c r="E592" s="5" t="inlineStr">
        <is>
          <t>Low</t>
        </is>
      </c>
      <c r="F592" s="5" t="inlineStr">
        <is>
          <t>01484 514828</t>
        </is>
      </c>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UK-000579</t>
        </is>
      </c>
      <c r="B593" s="10" t="inlineStr">
        <is>
          <t>Aswat &amp; Sons</t>
        </is>
      </c>
      <c r="C593" s="10" t="inlineStr">
        <is>
          <t>Forest Gate</t>
        </is>
      </c>
      <c r="D593" s="10" t="inlineStr">
        <is>
          <t>Convenience Store</t>
        </is>
      </c>
      <c r="E593" s="10" t="inlineStr">
        <is>
          <t>Low</t>
        </is>
      </c>
      <c r="F593" s="10" t="inlineStr"/>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UK-000454</t>
        </is>
      </c>
      <c r="B594" s="5" t="inlineStr">
        <is>
          <t>B &amp; G Liquor Ltd</t>
        </is>
      </c>
      <c r="C594" s="5" t="inlineStr">
        <is>
          <t>Oldbury</t>
        </is>
      </c>
      <c r="D594" s="5" t="inlineStr">
        <is>
          <t>Off-Licence</t>
        </is>
      </c>
      <c r="E594" s="5" t="inlineStr">
        <is>
          <t>Low</t>
        </is>
      </c>
      <c r="F594" s="5" t="inlineStr">
        <is>
          <t>0121 552 3270</t>
        </is>
      </c>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UK-000756</t>
        </is>
      </c>
      <c r="B595" s="10" t="inlineStr">
        <is>
          <t>BBBBooze</t>
        </is>
      </c>
      <c r="C595" s="10" t="inlineStr">
        <is>
          <t>Liverpool</t>
        </is>
      </c>
      <c r="D595" s="10" t="inlineStr">
        <is>
          <t>Off-Licence</t>
        </is>
      </c>
      <c r="E595" s="10" t="inlineStr">
        <is>
          <t>Low</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UK-000343</t>
        </is>
      </c>
      <c r="B596" s="5" t="inlineStr">
        <is>
          <t>BK Off Licence (Salford)</t>
        </is>
      </c>
      <c r="C596" s="5" t="inlineStr">
        <is>
          <t>Salford</t>
        </is>
      </c>
      <c r="D596" s="5" t="inlineStr">
        <is>
          <t>Off-Licence</t>
        </is>
      </c>
      <c r="E596" s="5" t="inlineStr">
        <is>
          <t>Low</t>
        </is>
      </c>
      <c r="F596" s="5" t="inlineStr"/>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WY-0056</t>
        </is>
      </c>
      <c r="B597" s="10" t="inlineStr">
        <is>
          <t>Baildon Green Convenience Store</t>
        </is>
      </c>
      <c r="C597" s="10" t="inlineStr">
        <is>
          <t>Shipley</t>
        </is>
      </c>
      <c r="D597" s="10" t="inlineStr">
        <is>
          <t>Convenience Store</t>
        </is>
      </c>
      <c r="E597" s="10" t="inlineStr">
        <is>
          <t>Low</t>
        </is>
      </c>
      <c r="F597" s="10" t="inlineStr"/>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WY-0057</t>
        </is>
      </c>
      <c r="B598" s="5" t="inlineStr">
        <is>
          <t>Baildon Off Licence</t>
        </is>
      </c>
      <c r="C598" s="5" t="inlineStr">
        <is>
          <t>Shipley</t>
        </is>
      </c>
      <c r="D598" s="5" t="inlineStr">
        <is>
          <t>Off-Licence</t>
        </is>
      </c>
      <c r="E598" s="5" t="inlineStr">
        <is>
          <t>Low</t>
        </is>
      </c>
      <c r="F598" s="5" t="inlineStr"/>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WY-0058</t>
        </is>
      </c>
      <c r="B599" s="10" t="inlineStr">
        <is>
          <t>Bar Market</t>
        </is>
      </c>
      <c r="C599" s="10" t="inlineStr">
        <is>
          <t>Halifax</t>
        </is>
      </c>
      <c r="D599" s="10" t="inlineStr">
        <is>
          <t>Off-Licence</t>
        </is>
      </c>
      <c r="E599" s="10" t="inlineStr">
        <is>
          <t>Low</t>
        </is>
      </c>
      <c r="F599" s="10" t="inlineStr"/>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UK-000345</t>
        </is>
      </c>
      <c r="B600" s="5" t="inlineStr">
        <is>
          <t>Bargain Brand Food</t>
        </is>
      </c>
      <c r="C600" s="5" t="inlineStr">
        <is>
          <t>Wigan</t>
        </is>
      </c>
      <c r="D600" s="5" t="inlineStr">
        <is>
          <t>Independent Supermarket</t>
        </is>
      </c>
      <c r="E600" s="5" t="inlineStr">
        <is>
          <t>Low</t>
        </is>
      </c>
      <c r="F600" s="5" t="inlineStr"/>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UK-000346</t>
        </is>
      </c>
      <c r="B601" s="10" t="inlineStr">
        <is>
          <t>Barkway Newsagents (Stretford)</t>
        </is>
      </c>
      <c r="C601" s="10" t="inlineStr">
        <is>
          <t>Stretford</t>
        </is>
      </c>
      <c r="D601" s="10" t="inlineStr">
        <is>
          <t>Newsagent</t>
        </is>
      </c>
      <c r="E601" s="10" t="inlineStr">
        <is>
          <t>Low</t>
        </is>
      </c>
      <c r="F601" s="10" t="inlineStr">
        <is>
          <t>0161 865 0169</t>
        </is>
      </c>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UK-000580</t>
        </is>
      </c>
      <c r="B602" s="5" t="inlineStr">
        <is>
          <t>Barraka Shop</t>
        </is>
      </c>
      <c r="C602" s="5" t="inlineStr">
        <is>
          <t>London</t>
        </is>
      </c>
      <c r="D602" s="5" t="inlineStr">
        <is>
          <t>Independent Supermarket</t>
        </is>
      </c>
      <c r="E602" s="5" t="inlineStr">
        <is>
          <t>Low</t>
        </is>
      </c>
      <c r="F602" s="5" t="inlineStr"/>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UK-000455</t>
        </is>
      </c>
      <c r="B603" s="10" t="inlineStr">
        <is>
          <t>Bearwood International Supermarket</t>
        </is>
      </c>
      <c r="C603" s="10" t="inlineStr">
        <is>
          <t>Smethwick</t>
        </is>
      </c>
      <c r="D603" s="10" t="inlineStr">
        <is>
          <t>Independent Supermarket</t>
        </is>
      </c>
      <c r="E603" s="10" t="inlineStr">
        <is>
          <t>Low</t>
        </is>
      </c>
      <c r="F603" s="10" t="inlineStr"/>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UK-000757</t>
        </is>
      </c>
      <c r="B604" s="5" t="inlineStr">
        <is>
          <t>Bebington Convenience Store &amp; Off Licence</t>
        </is>
      </c>
      <c r="C604" s="5" t="inlineStr">
        <is>
          <t>Wirral</t>
        </is>
      </c>
      <c r="D604" s="5" t="inlineStr">
        <is>
          <t>Convenience Store</t>
        </is>
      </c>
      <c r="E604" s="5" t="inlineStr">
        <is>
          <t>Low</t>
        </is>
      </c>
      <c r="F604" s="5" t="inlineStr"/>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UK-000581</t>
        </is>
      </c>
      <c r="B605" s="10" t="inlineStr">
        <is>
          <t>Best Foods</t>
        </is>
      </c>
      <c r="C605" s="10" t="inlineStr">
        <is>
          <t>Wembley</t>
        </is>
      </c>
      <c r="D605" s="10" t="inlineStr">
        <is>
          <t>Independent Supermarket</t>
        </is>
      </c>
      <c r="E605" s="10" t="inlineStr">
        <is>
          <t>Low</t>
        </is>
      </c>
      <c r="F605" s="10" t="inlineStr"/>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UK-000582</t>
        </is>
      </c>
      <c r="B606" s="5" t="inlineStr">
        <is>
          <t>Best Quality Food &amp; Wines</t>
        </is>
      </c>
      <c r="C606" s="5" t="inlineStr">
        <is>
          <t>London</t>
        </is>
      </c>
      <c r="D606" s="5" t="inlineStr">
        <is>
          <t>Off-Licence</t>
        </is>
      </c>
      <c r="E606" s="5" t="inlineStr">
        <is>
          <t>Low</t>
        </is>
      </c>
      <c r="F606" s="5" t="inlineStr">
        <is>
          <t>020 7352 4083</t>
        </is>
      </c>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UK-000238</t>
        </is>
      </c>
      <c r="B607" s="10" t="inlineStr">
        <is>
          <t>Beverley International Foods</t>
        </is>
      </c>
      <c r="C607" s="10" t="inlineStr">
        <is>
          <t>Kingston upon Hull</t>
        </is>
      </c>
      <c r="D607" s="10" t="inlineStr">
        <is>
          <t>Independent Supermarket</t>
        </is>
      </c>
      <c r="E607" s="10" t="inlineStr">
        <is>
          <t>Low</t>
        </is>
      </c>
      <c r="F607" s="10" t="inlineStr"/>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UK-000584</t>
        </is>
      </c>
      <c r="B608" s="5" t="inlineStr">
        <is>
          <t>Bims African Food Store Ltd</t>
        </is>
      </c>
      <c r="C608" s="5" t="inlineStr">
        <is>
          <t>London</t>
        </is>
      </c>
      <c r="D608" s="5" t="inlineStr">
        <is>
          <t>Independent Supermarket</t>
        </is>
      </c>
      <c r="E608" s="5" t="inlineStr">
        <is>
          <t>Low</t>
        </is>
      </c>
      <c r="F608" s="5" t="inlineStr"/>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UK-000456</t>
        </is>
      </c>
      <c r="B609" s="10" t="inlineStr">
        <is>
          <t>Blockall Convenience Store</t>
        </is>
      </c>
      <c r="C609" s="10" t="inlineStr">
        <is>
          <t>Wednesbury</t>
        </is>
      </c>
      <c r="D609" s="10" t="inlineStr">
        <is>
          <t>Convenience Store</t>
        </is>
      </c>
      <c r="E609" s="10" t="inlineStr">
        <is>
          <t>Low</t>
        </is>
      </c>
      <c r="F609" s="10" t="inlineStr"/>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UK-000457</t>
        </is>
      </c>
      <c r="B610" s="5" t="inlineStr">
        <is>
          <t>Bloomfield Convenience Store</t>
        </is>
      </c>
      <c r="C610" s="5" t="inlineStr">
        <is>
          <t>Tipton</t>
        </is>
      </c>
      <c r="D610" s="5" t="inlineStr">
        <is>
          <t>Convenience Store</t>
        </is>
      </c>
      <c r="E610" s="5" t="inlineStr">
        <is>
          <t>Low</t>
        </is>
      </c>
      <c r="F610" s="5" t="inlineStr"/>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UK-000586</t>
        </is>
      </c>
      <c r="B611" s="10" t="inlineStr">
        <is>
          <t>Bondor Bazar</t>
        </is>
      </c>
      <c r="C611" s="10" t="inlineStr">
        <is>
          <t>Forest Gate</t>
        </is>
      </c>
      <c r="D611" s="10" t="inlineStr">
        <is>
          <t>Independent Supermarket</t>
        </is>
      </c>
      <c r="E611" s="10" t="inlineStr">
        <is>
          <t>Low</t>
        </is>
      </c>
      <c r="F611" s="10" t="inlineStr"/>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WY-0066</t>
        </is>
      </c>
      <c r="B612" s="5" t="inlineStr">
        <is>
          <t>Boothtown Post Office &amp; Off-Licence</t>
        </is>
      </c>
      <c r="C612" s="5" t="inlineStr">
        <is>
          <t>Halifax</t>
        </is>
      </c>
      <c r="D612" s="5" t="inlineStr">
        <is>
          <t>Off-Licence</t>
        </is>
      </c>
      <c r="E612" s="5" t="inlineStr">
        <is>
          <t>Low</t>
        </is>
      </c>
      <c r="F612" s="5" t="inlineStr"/>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UK-000458</t>
        </is>
      </c>
      <c r="B613" s="10" t="inlineStr">
        <is>
          <t>Booze Stop</t>
        </is>
      </c>
      <c r="C613" s="10" t="inlineStr">
        <is>
          <t>Oldbury</t>
        </is>
      </c>
      <c r="D613" s="10" t="inlineStr">
        <is>
          <t>Off-Licence</t>
        </is>
      </c>
      <c r="E613" s="10" t="inlineStr">
        <is>
          <t>Low</t>
        </is>
      </c>
      <c r="F613" s="10" t="inlineStr">
        <is>
          <t>0121 421 3797</t>
        </is>
      </c>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WY-0068</t>
        </is>
      </c>
      <c r="B614" s="5" t="inlineStr">
        <is>
          <t>Bottle and Bean</t>
        </is>
      </c>
      <c r="C614" s="5" t="inlineStr">
        <is>
          <t>Wetherby</t>
        </is>
      </c>
      <c r="D614" s="5" t="inlineStr">
        <is>
          <t>Off-Licence</t>
        </is>
      </c>
      <c r="E614" s="5" t="inlineStr">
        <is>
          <t>Low</t>
        </is>
      </c>
      <c r="F614" s="5" t="inlineStr"/>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UK-000758</t>
        </is>
      </c>
      <c r="B615" s="10" t="inlineStr">
        <is>
          <t>Bottoms Up</t>
        </is>
      </c>
      <c r="C615" s="10" t="inlineStr">
        <is>
          <t>Liverpool</t>
        </is>
      </c>
      <c r="D615" s="10" t="inlineStr">
        <is>
          <t>Off-Licence</t>
        </is>
      </c>
      <c r="E615" s="10" t="inlineStr">
        <is>
          <t>Low</t>
        </is>
      </c>
      <c r="F615" s="10" t="inlineStr">
        <is>
          <t>0151 263 3113</t>
        </is>
      </c>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UK-000587</t>
        </is>
      </c>
      <c r="B616" s="5" t="inlineStr">
        <is>
          <t>Bow Off Licence</t>
        </is>
      </c>
      <c r="C616" s="5" t="inlineStr">
        <is>
          <t>Bow</t>
        </is>
      </c>
      <c r="D616" s="5" t="inlineStr">
        <is>
          <t>Off-Licence</t>
        </is>
      </c>
      <c r="E616" s="5" t="inlineStr">
        <is>
          <t>Low</t>
        </is>
      </c>
      <c r="F616" s="5" t="inlineStr">
        <is>
          <t>020 7538 4695</t>
        </is>
      </c>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UK-000348</t>
        </is>
      </c>
      <c r="B617" s="10" t="inlineStr">
        <is>
          <t>Bradshawgate News &amp; Off Licence</t>
        </is>
      </c>
      <c r="C617" s="10" t="inlineStr">
        <is>
          <t>Bolton</t>
        </is>
      </c>
      <c r="D617" s="10" t="inlineStr">
        <is>
          <t>Off-Licence</t>
        </is>
      </c>
      <c r="E617" s="10" t="inlineStr">
        <is>
          <t>Low</t>
        </is>
      </c>
      <c r="F617" s="10" t="inlineStr"/>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WY-0069</t>
        </is>
      </c>
      <c r="B618" s="5" t="inlineStr">
        <is>
          <t>Bridge Off Licence Convenience Store</t>
        </is>
      </c>
      <c r="C618" s="5" t="inlineStr">
        <is>
          <t>Sowerby Bridge</t>
        </is>
      </c>
      <c r="D618" s="5" t="inlineStr">
        <is>
          <t>Off-Licence</t>
        </is>
      </c>
      <c r="E618" s="5" t="inlineStr">
        <is>
          <t>Low</t>
        </is>
      </c>
      <c r="F618" s="5" t="inlineStr"/>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WY-0070</t>
        </is>
      </c>
      <c r="B619" s="10" t="inlineStr">
        <is>
          <t>Brooks News</t>
        </is>
      </c>
      <c r="C619" s="10" t="inlineStr">
        <is>
          <t>Pudsey</t>
        </is>
      </c>
      <c r="D619" s="10" t="inlineStr">
        <is>
          <t>Newsagent</t>
        </is>
      </c>
      <c r="E619" s="10" t="inlineStr">
        <is>
          <t>Low</t>
        </is>
      </c>
      <c r="F619" s="10" t="inlineStr">
        <is>
          <t>0113 257 3382</t>
        </is>
      </c>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UK-000760</t>
        </is>
      </c>
      <c r="B620" s="5" t="inlineStr">
        <is>
          <t>Bruntsfield News</t>
        </is>
      </c>
      <c r="C620" s="5" t="inlineStr">
        <is>
          <t>Edinburgh</t>
        </is>
      </c>
      <c r="D620" s="5" t="inlineStr">
        <is>
          <t>Newsagent</t>
        </is>
      </c>
      <c r="E620" s="5" t="inlineStr">
        <is>
          <t>Low</t>
        </is>
      </c>
      <c r="F620" s="5" t="inlineStr">
        <is>
          <t>0131 229 3836</t>
        </is>
      </c>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UK-000588</t>
        </is>
      </c>
      <c r="B621" s="10" t="inlineStr">
        <is>
          <t>C H Stores Ltd</t>
        </is>
      </c>
      <c r="C621" s="10" t="inlineStr">
        <is>
          <t>Bethnal Green</t>
        </is>
      </c>
      <c r="D621" s="10" t="inlineStr">
        <is>
          <t>Convenience Store</t>
        </is>
      </c>
      <c r="E621" s="10" t="inlineStr">
        <is>
          <t>Low</t>
        </is>
      </c>
      <c r="F621" s="10" t="inlineStr"/>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UK-000761</t>
        </is>
      </c>
      <c r="B622" s="5" t="inlineStr">
        <is>
          <t>C Hoyton Off Licence</t>
        </is>
      </c>
      <c r="C622" s="5" t="inlineStr">
        <is>
          <t>St Helens</t>
        </is>
      </c>
      <c r="D622" s="5" t="inlineStr">
        <is>
          <t>Off-Licence</t>
        </is>
      </c>
      <c r="E622" s="5" t="inlineStr">
        <is>
          <t>Low</t>
        </is>
      </c>
      <c r="F622" s="5" t="inlineStr"/>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UK-000589</t>
        </is>
      </c>
      <c r="B623" s="10" t="inlineStr">
        <is>
          <t>Camberwell Grocery</t>
        </is>
      </c>
      <c r="C623" s="10" t="inlineStr">
        <is>
          <t>London</t>
        </is>
      </c>
      <c r="D623" s="10" t="inlineStr">
        <is>
          <t>Convenience Store</t>
        </is>
      </c>
      <c r="E623" s="10" t="inlineStr">
        <is>
          <t>Low</t>
        </is>
      </c>
      <c r="F623" s="10" t="inlineStr">
        <is>
          <t>020 7771 1964</t>
        </is>
      </c>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WY-0072</t>
        </is>
      </c>
      <c r="B624" s="5" t="inlineStr">
        <is>
          <t>Carlton Self Service</t>
        </is>
      </c>
      <c r="C624" s="5" t="inlineStr">
        <is>
          <t>Pontefract</t>
        </is>
      </c>
      <c r="D624" s="5" t="inlineStr">
        <is>
          <t>Newsagent</t>
        </is>
      </c>
      <c r="E624" s="5" t="inlineStr">
        <is>
          <t>Low</t>
        </is>
      </c>
      <c r="F624" s="5" t="inlineStr">
        <is>
          <t>01977 780317</t>
        </is>
      </c>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UK-000762</t>
        </is>
      </c>
      <c r="B625" s="10" t="inlineStr">
        <is>
          <t>Cashen's 2</t>
        </is>
      </c>
      <c r="C625" s="10" t="inlineStr">
        <is>
          <t>Liverpool</t>
        </is>
      </c>
      <c r="D625" s="10" t="inlineStr">
        <is>
          <t>Off-Licence</t>
        </is>
      </c>
      <c r="E625" s="10" t="inlineStr">
        <is>
          <t>Low</t>
        </is>
      </c>
      <c r="F625" s="10" t="inlineStr"/>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WY-0074</t>
        </is>
      </c>
      <c r="B626" s="5" t="inlineStr">
        <is>
          <t>Castleford Road Off Licence</t>
        </is>
      </c>
      <c r="C626" s="5" t="inlineStr">
        <is>
          <t>Normanton</t>
        </is>
      </c>
      <c r="D626" s="5" t="inlineStr">
        <is>
          <t>Off-Licence</t>
        </is>
      </c>
      <c r="E626" s="5" t="inlineStr">
        <is>
          <t>Low</t>
        </is>
      </c>
      <c r="F626" s="5" t="inlineStr">
        <is>
          <t>01924 223984</t>
        </is>
      </c>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UK-000460</t>
        </is>
      </c>
      <c r="B627" s="10" t="inlineStr">
        <is>
          <t>Causeway Wines</t>
        </is>
      </c>
      <c r="C627" s="10" t="inlineStr">
        <is>
          <t>Oldbury</t>
        </is>
      </c>
      <c r="D627" s="10" t="inlineStr">
        <is>
          <t>Off-Licence</t>
        </is>
      </c>
      <c r="E627" s="10" t="inlineStr">
        <is>
          <t>Low</t>
        </is>
      </c>
      <c r="F627" s="10" t="inlineStr">
        <is>
          <t>0121 541 2103</t>
        </is>
      </c>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WY-0075</t>
        </is>
      </c>
      <c r="B628" s="5" t="inlineStr">
        <is>
          <t>Charlesworths</t>
        </is>
      </c>
      <c r="C628" s="5" t="inlineStr">
        <is>
          <t>Holmfirth</t>
        </is>
      </c>
      <c r="D628" s="5" t="inlineStr">
        <is>
          <t>Newsagent</t>
        </is>
      </c>
      <c r="E628" s="5" t="inlineStr">
        <is>
          <t>Low</t>
        </is>
      </c>
      <c r="F628" s="5" t="inlineStr">
        <is>
          <t>01484 681111</t>
        </is>
      </c>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UK-000240</t>
        </is>
      </c>
      <c r="B629" s="10" t="inlineStr">
        <is>
          <t>Chong Wah Oriental Supermarket</t>
        </is>
      </c>
      <c r="C629" s="10" t="inlineStr">
        <is>
          <t>Kingston upon Hull</t>
        </is>
      </c>
      <c r="D629" s="10" t="inlineStr">
        <is>
          <t>Independent Supermarket</t>
        </is>
      </c>
      <c r="E629" s="10" t="inlineStr">
        <is>
          <t>Low</t>
        </is>
      </c>
      <c r="F629" s="10" t="inlineStr"/>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UK-000591</t>
        </is>
      </c>
      <c r="B630" s="5" t="inlineStr">
        <is>
          <t>Cobham Food &amp; Wine</t>
        </is>
      </c>
      <c r="C630" s="5" t="inlineStr">
        <is>
          <t>Mitcham</t>
        </is>
      </c>
      <c r="D630" s="5" t="inlineStr">
        <is>
          <t>Off-Licence</t>
        </is>
      </c>
      <c r="E630" s="5" t="inlineStr">
        <is>
          <t>Low</t>
        </is>
      </c>
      <c r="F630" s="5" t="inlineStr">
        <is>
          <t>020 8767 8854</t>
        </is>
      </c>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UK-000765</t>
        </is>
      </c>
      <c r="B631" s="10" t="inlineStr">
        <is>
          <t>Convenience Store &amp; Off Licence - Haverty Precinct</t>
        </is>
      </c>
      <c r="C631" s="10" t="inlineStr">
        <is>
          <t>Newton-le-Willows</t>
        </is>
      </c>
      <c r="D631" s="10" t="inlineStr">
        <is>
          <t>Convenience Store</t>
        </is>
      </c>
      <c r="E631" s="10" t="inlineStr">
        <is>
          <t>Low</t>
        </is>
      </c>
      <c r="F631" s="10" t="inlineStr"/>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WY-0079</t>
        </is>
      </c>
      <c r="B632" s="5" t="inlineStr">
        <is>
          <t>Crossroads Off Licence &amp; Newsagent</t>
        </is>
      </c>
      <c r="C632" s="5" t="inlineStr">
        <is>
          <t>Wakefield</t>
        </is>
      </c>
      <c r="D632" s="5" t="inlineStr">
        <is>
          <t>Off-Licence</t>
        </is>
      </c>
      <c r="E632" s="5" t="inlineStr">
        <is>
          <t>Low</t>
        </is>
      </c>
      <c r="F632" s="5" t="inlineStr"/>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UK-000350</t>
        </is>
      </c>
      <c r="B633" s="10" t="inlineStr">
        <is>
          <t>DA Shop</t>
        </is>
      </c>
      <c r="C633" s="10" t="inlineStr">
        <is>
          <t>Cheadle</t>
        </is>
      </c>
      <c r="D633" s="10" t="inlineStr">
        <is>
          <t>Convenience Store</t>
        </is>
      </c>
      <c r="E633" s="10" t="inlineStr">
        <is>
          <t>Low</t>
        </is>
      </c>
      <c r="F633" s="10" t="inlineStr">
        <is>
          <t>0161 486 1987</t>
        </is>
      </c>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UK-000464</t>
        </is>
      </c>
      <c r="B634" s="5" t="inlineStr">
        <is>
          <t>Dals Store Ltd</t>
        </is>
      </c>
      <c r="C634" s="5" t="inlineStr">
        <is>
          <t>Wolverhampton</t>
        </is>
      </c>
      <c r="D634" s="5" t="inlineStr">
        <is>
          <t>Convenience Store</t>
        </is>
      </c>
      <c r="E634" s="5" t="inlineStr">
        <is>
          <t>Low</t>
        </is>
      </c>
      <c r="F634" s="5" t="inlineStr"/>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UK-000593</t>
        </is>
      </c>
      <c r="B635" s="10" t="inlineStr">
        <is>
          <t>Dalston Food and Wine</t>
        </is>
      </c>
      <c r="C635" s="10" t="inlineStr">
        <is>
          <t>Dalston</t>
        </is>
      </c>
      <c r="D635" s="10" t="inlineStr">
        <is>
          <t>Off-Licence</t>
        </is>
      </c>
      <c r="E635" s="10" t="inlineStr">
        <is>
          <t>Low</t>
        </is>
      </c>
      <c r="F635" s="10" t="inlineStr">
        <is>
          <t>020 7226 1959</t>
        </is>
      </c>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UK-000766</t>
        </is>
      </c>
      <c r="B636" s="5" t="inlineStr">
        <is>
          <t>Daniel Store</t>
        </is>
      </c>
      <c r="C636" s="5" t="inlineStr">
        <is>
          <t>Glasgow</t>
        </is>
      </c>
      <c r="D636" s="5" t="inlineStr">
        <is>
          <t>Convenience Store</t>
        </is>
      </c>
      <c r="E636" s="5" t="inlineStr">
        <is>
          <t>Low</t>
        </is>
      </c>
      <c r="F636" s="5" t="inlineStr"/>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UK-000465</t>
        </is>
      </c>
      <c r="B637" s="10" t="inlineStr">
        <is>
          <t>Dave Wine</t>
        </is>
      </c>
      <c r="C637" s="10" t="inlineStr">
        <is>
          <t>Oldbury</t>
        </is>
      </c>
      <c r="D637" s="10" t="inlineStr">
        <is>
          <t>Off-Licence</t>
        </is>
      </c>
      <c r="E637" s="10" t="inlineStr">
        <is>
          <t>Low</t>
        </is>
      </c>
      <c r="F637" s="10" t="inlineStr">
        <is>
          <t>0121 421 2029</t>
        </is>
      </c>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UK-000351</t>
        </is>
      </c>
      <c r="B638" s="5" t="inlineStr">
        <is>
          <t>Dave's Off Licence</t>
        </is>
      </c>
      <c r="C638" s="5" t="inlineStr">
        <is>
          <t>Wigan</t>
        </is>
      </c>
      <c r="D638" s="5" t="inlineStr">
        <is>
          <t>Off-Licence</t>
        </is>
      </c>
      <c r="E638" s="5" t="inlineStr">
        <is>
          <t>Low</t>
        </is>
      </c>
      <c r="F638" s="5" t="inlineStr"/>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UK-000466</t>
        </is>
      </c>
      <c r="B639" s="10" t="inlineStr">
        <is>
          <t>Delta Wines</t>
        </is>
      </c>
      <c r="C639" s="10" t="inlineStr">
        <is>
          <t>West Bromwich</t>
        </is>
      </c>
      <c r="D639" s="10" t="inlineStr">
        <is>
          <t>Off-Licence</t>
        </is>
      </c>
      <c r="E639" s="10" t="inlineStr">
        <is>
          <t>Low</t>
        </is>
      </c>
      <c r="F639" s="10" t="inlineStr">
        <is>
          <t>0121 553 5563</t>
        </is>
      </c>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UK-000594</t>
        </is>
      </c>
      <c r="B640" s="5" t="inlineStr">
        <is>
          <t>Dennis Convenience Store</t>
        </is>
      </c>
      <c r="C640" s="5" t="inlineStr">
        <is>
          <t>London</t>
        </is>
      </c>
      <c r="D640" s="5" t="inlineStr">
        <is>
          <t>Convenience Store</t>
        </is>
      </c>
      <c r="E640" s="5" t="inlineStr">
        <is>
          <t>Low</t>
        </is>
      </c>
      <c r="F640" s="5" t="inlineStr"/>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WY-0080</t>
        </is>
      </c>
      <c r="B641" s="10" t="inlineStr">
        <is>
          <t>Dhillon's Newsagents</t>
        </is>
      </c>
      <c r="C641" s="10" t="inlineStr">
        <is>
          <t>Leeds</t>
        </is>
      </c>
      <c r="D641" s="10" t="inlineStr">
        <is>
          <t>Newsagent</t>
        </is>
      </c>
      <c r="E641" s="10" t="inlineStr">
        <is>
          <t>Low</t>
        </is>
      </c>
      <c r="F641" s="10" t="inlineStr">
        <is>
          <t>0113 257 8085</t>
        </is>
      </c>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UK-000353</t>
        </is>
      </c>
      <c r="B642" s="5" t="inlineStr">
        <is>
          <t>Didsbury Express</t>
        </is>
      </c>
      <c r="C642" s="5" t="inlineStr">
        <is>
          <t>Manchester</t>
        </is>
      </c>
      <c r="D642" s="5" t="inlineStr">
        <is>
          <t>Convenience Store</t>
        </is>
      </c>
      <c r="E642" s="5" t="inlineStr">
        <is>
          <t>Low</t>
        </is>
      </c>
      <c r="F642" s="5" t="inlineStr"/>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UK-000767</t>
        </is>
      </c>
      <c r="B643" s="10" t="inlineStr">
        <is>
          <t>Discount Booze</t>
        </is>
      </c>
      <c r="C643" s="10" t="inlineStr">
        <is>
          <t>Liverpool</t>
        </is>
      </c>
      <c r="D643" s="10" t="inlineStr">
        <is>
          <t>Off-Licence</t>
        </is>
      </c>
      <c r="E643" s="10" t="inlineStr">
        <is>
          <t>Low</t>
        </is>
      </c>
      <c r="F643" s="10" t="inlineStr"/>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UK-000595</t>
        </is>
      </c>
      <c r="B644" s="5" t="inlineStr">
        <is>
          <t>Diu Supermarket</t>
        </is>
      </c>
      <c r="C644" s="5" t="inlineStr">
        <is>
          <t>Wembley</t>
        </is>
      </c>
      <c r="D644" s="5" t="inlineStr">
        <is>
          <t>Independent Supermarket</t>
        </is>
      </c>
      <c r="E644" s="5" t="inlineStr">
        <is>
          <t>Low</t>
        </is>
      </c>
      <c r="F644" s="5" t="inlineStr"/>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UK-000596</t>
        </is>
      </c>
      <c r="B645" s="10" t="inlineStr">
        <is>
          <t>Dostlar Ltd</t>
        </is>
      </c>
      <c r="C645" s="10" t="inlineStr">
        <is>
          <t>Harringay</t>
        </is>
      </c>
      <c r="D645" s="10" t="inlineStr">
        <is>
          <t>Independent Supermarket</t>
        </is>
      </c>
      <c r="E645" s="10" t="inlineStr">
        <is>
          <t>Low</t>
        </is>
      </c>
      <c r="F645" s="10" t="inlineStr">
        <is>
          <t>020 8340 9134</t>
        </is>
      </c>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UK-000769</t>
        </is>
      </c>
      <c r="B646" s="5" t="inlineStr">
        <is>
          <t>Dubai Convenience &amp; Off Licence</t>
        </is>
      </c>
      <c r="C646" s="5" t="inlineStr">
        <is>
          <t>Liverpool</t>
        </is>
      </c>
      <c r="D646" s="5" t="inlineStr">
        <is>
          <t>Off-Licence</t>
        </is>
      </c>
      <c r="E646" s="5" t="inlineStr">
        <is>
          <t>Low</t>
        </is>
      </c>
      <c r="F646" s="5" t="inlineStr"/>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UK-000467</t>
        </is>
      </c>
      <c r="B647" s="10" t="inlineStr">
        <is>
          <t>Dylan's 24/7 Off Licence &amp; Convenience Store</t>
        </is>
      </c>
      <c r="C647" s="10" t="inlineStr">
        <is>
          <t>Wednesbury</t>
        </is>
      </c>
      <c r="D647" s="10" t="inlineStr">
        <is>
          <t>Off-Licence</t>
        </is>
      </c>
      <c r="E647" s="10" t="inlineStr">
        <is>
          <t>Low</t>
        </is>
      </c>
      <c r="F647" s="10" t="inlineStr">
        <is>
          <t>0121 505 5898</t>
        </is>
      </c>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UK-000468</t>
        </is>
      </c>
      <c r="B648" s="5" t="inlineStr">
        <is>
          <t>Dylans Drink Shop</t>
        </is>
      </c>
      <c r="C648" s="5" t="inlineStr">
        <is>
          <t>Smethwick</t>
        </is>
      </c>
      <c r="D648" s="5" t="inlineStr">
        <is>
          <t>Off-Licence</t>
        </is>
      </c>
      <c r="E648" s="5" t="inlineStr">
        <is>
          <t>Low</t>
        </is>
      </c>
      <c r="F648" s="5" t="inlineStr"/>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UK-000598</t>
        </is>
      </c>
      <c r="B649" s="10" t="inlineStr">
        <is>
          <t>Easy Off Licence (Caledonian Road)</t>
        </is>
      </c>
      <c r="C649" s="10" t="inlineStr">
        <is>
          <t>London</t>
        </is>
      </c>
      <c r="D649" s="10" t="inlineStr">
        <is>
          <t>Off-Licence</t>
        </is>
      </c>
      <c r="E649" s="10" t="inlineStr">
        <is>
          <t>Low</t>
        </is>
      </c>
      <c r="F649" s="10" t="inlineStr">
        <is>
          <t>020 7837 1799</t>
        </is>
      </c>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UK-000599</t>
        </is>
      </c>
      <c r="B650" s="5" t="inlineStr">
        <is>
          <t>Eatmore Express</t>
        </is>
      </c>
      <c r="C650" s="5" t="inlineStr">
        <is>
          <t>London</t>
        </is>
      </c>
      <c r="D650" s="5" t="inlineStr">
        <is>
          <t>Off-Licence</t>
        </is>
      </c>
      <c r="E650" s="5" t="inlineStr">
        <is>
          <t>Low</t>
        </is>
      </c>
      <c r="F650" s="5" t="inlineStr">
        <is>
          <t>020 7736 0335</t>
        </is>
      </c>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UK-000600</t>
        </is>
      </c>
      <c r="B651" s="10" t="inlineStr">
        <is>
          <t>Edmonton Supermarket</t>
        </is>
      </c>
      <c r="C651" s="10" t="inlineStr">
        <is>
          <t>Edmonton</t>
        </is>
      </c>
      <c r="D651" s="10" t="inlineStr">
        <is>
          <t>Independent Supermarket</t>
        </is>
      </c>
      <c r="E651" s="10" t="inlineStr">
        <is>
          <t>Low</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UK-000602</t>
        </is>
      </c>
      <c r="B652" s="5" t="inlineStr">
        <is>
          <t>Elite Wine Merchants</t>
        </is>
      </c>
      <c r="C652" s="5" t="inlineStr">
        <is>
          <t>London</t>
        </is>
      </c>
      <c r="D652" s="5" t="inlineStr">
        <is>
          <t>Off-Licence</t>
        </is>
      </c>
      <c r="E652" s="5" t="inlineStr">
        <is>
          <t>Low</t>
        </is>
      </c>
      <c r="F652" s="5" t="inlineStr"/>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UK-000469</t>
        </is>
      </c>
      <c r="B653" s="10" t="inlineStr">
        <is>
          <t>Elite Wines</t>
        </is>
      </c>
      <c r="C653" s="10" t="inlineStr">
        <is>
          <t>West Bromwich</t>
        </is>
      </c>
      <c r="D653" s="10" t="inlineStr">
        <is>
          <t>Off-Licence</t>
        </is>
      </c>
      <c r="E653" s="10" t="inlineStr">
        <is>
          <t>Low</t>
        </is>
      </c>
      <c r="F653" s="10" t="inlineStr">
        <is>
          <t>0121 553 5218</t>
        </is>
      </c>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UK-000772</t>
        </is>
      </c>
      <c r="B654" s="5" t="inlineStr">
        <is>
          <t>Ellie's Cellar</t>
        </is>
      </c>
      <c r="C654" s="5" t="inlineStr">
        <is>
          <t>Stirling</t>
        </is>
      </c>
      <c r="D654" s="5" t="inlineStr">
        <is>
          <t>Off-Licence</t>
        </is>
      </c>
      <c r="E654" s="5" t="inlineStr">
        <is>
          <t>Low</t>
        </is>
      </c>
      <c r="F654" s="5" t="inlineStr">
        <is>
          <t>01786 834894</t>
        </is>
      </c>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UK-000773</t>
        </is>
      </c>
      <c r="B655" s="10" t="inlineStr">
        <is>
          <t>Elm Row Grocer &amp; Off Licence</t>
        </is>
      </c>
      <c r="C655" s="10" t="inlineStr">
        <is>
          <t>Edinburgh</t>
        </is>
      </c>
      <c r="D655" s="10" t="inlineStr">
        <is>
          <t>Off-Licence</t>
        </is>
      </c>
      <c r="E655" s="10" t="inlineStr">
        <is>
          <t>Low</t>
        </is>
      </c>
      <c r="F655" s="10" t="inlineStr">
        <is>
          <t>0131 558 3058</t>
        </is>
      </c>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UK-000603</t>
        </is>
      </c>
      <c r="B656" s="5" t="inlineStr">
        <is>
          <t>Express Kentish Town Food &amp; Wine</t>
        </is>
      </c>
      <c r="C656" s="5" t="inlineStr">
        <is>
          <t>London</t>
        </is>
      </c>
      <c r="D656" s="5" t="inlineStr">
        <is>
          <t>Off-Licence</t>
        </is>
      </c>
      <c r="E656" s="5" t="inlineStr">
        <is>
          <t>Low</t>
        </is>
      </c>
      <c r="F656" s="5" t="inlineStr"/>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UK-000471</t>
        </is>
      </c>
      <c r="B657" s="10" t="inlineStr">
        <is>
          <t>F B Supermarket</t>
        </is>
      </c>
      <c r="C657" s="10" t="inlineStr">
        <is>
          <t>Walsall</t>
        </is>
      </c>
      <c r="D657" s="10" t="inlineStr">
        <is>
          <t>Independent Supermarket</t>
        </is>
      </c>
      <c r="E657" s="10" t="inlineStr">
        <is>
          <t>Low</t>
        </is>
      </c>
      <c r="F657" s="10" t="inlineStr">
        <is>
          <t>01922 640177</t>
        </is>
      </c>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UK-000604</t>
        </is>
      </c>
      <c r="B658" s="5" t="inlineStr">
        <is>
          <t>Falcon Supermarket Ltd</t>
        </is>
      </c>
      <c r="C658" s="5" t="inlineStr">
        <is>
          <t>Barking</t>
        </is>
      </c>
      <c r="D658" s="5" t="inlineStr">
        <is>
          <t>Independent Supermarket</t>
        </is>
      </c>
      <c r="E658" s="5" t="inlineStr">
        <is>
          <t>Low</t>
        </is>
      </c>
      <c r="F658" s="5" t="inlineStr"/>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UK-000605</t>
        </is>
      </c>
      <c r="B659" s="10" t="inlineStr">
        <is>
          <t>First Gear Convenience Store</t>
        </is>
      </c>
      <c r="C659" s="10" t="inlineStr">
        <is>
          <t>London</t>
        </is>
      </c>
      <c r="D659" s="10" t="inlineStr">
        <is>
          <t>Convenience Store</t>
        </is>
      </c>
      <c r="E659" s="10" t="inlineStr">
        <is>
          <t>Low</t>
        </is>
      </c>
      <c r="F659" s="10" t="inlineStr">
        <is>
          <t>020 3633 3986</t>
        </is>
      </c>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UK-000246</t>
        </is>
      </c>
      <c r="B660" s="5" t="inlineStr">
        <is>
          <t>Flemingate News</t>
        </is>
      </c>
      <c r="C660" s="5" t="inlineStr">
        <is>
          <t>Beverley</t>
        </is>
      </c>
      <c r="D660" s="5" t="inlineStr">
        <is>
          <t>Newsagent</t>
        </is>
      </c>
      <c r="E660" s="5" t="inlineStr">
        <is>
          <t>Low</t>
        </is>
      </c>
      <c r="F660" s="5" t="inlineStr">
        <is>
          <t>01482 881429</t>
        </is>
      </c>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UK-000248</t>
        </is>
      </c>
      <c r="B661" s="10" t="inlineStr">
        <is>
          <t>Food Plus (Babylon Supermarket 7)</t>
        </is>
      </c>
      <c r="C661" s="10" t="inlineStr">
        <is>
          <t>Kingston upon Hull</t>
        </is>
      </c>
      <c r="D661" s="10" t="inlineStr">
        <is>
          <t>Independent Supermarket</t>
        </is>
      </c>
      <c r="E661" s="10" t="inlineStr">
        <is>
          <t>Low</t>
        </is>
      </c>
      <c r="F661" s="10" t="inlineStr"/>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UK-000775</t>
        </is>
      </c>
      <c r="B662" s="5" t="inlineStr">
        <is>
          <t>Food World</t>
        </is>
      </c>
      <c r="C662" s="5" t="inlineStr">
        <is>
          <t>Liverpool</t>
        </is>
      </c>
      <c r="D662" s="5" t="inlineStr">
        <is>
          <t>Independent Supermarket</t>
        </is>
      </c>
      <c r="E662" s="5" t="inlineStr">
        <is>
          <t>Low</t>
        </is>
      </c>
      <c r="F662" s="5" t="inlineStr"/>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UK-000606</t>
        </is>
      </c>
      <c r="B663" s="10" t="inlineStr">
        <is>
          <t>Fresh Bazaar Ltd</t>
        </is>
      </c>
      <c r="C663" s="10" t="inlineStr">
        <is>
          <t>Bethnal Green</t>
        </is>
      </c>
      <c r="D663" s="10" t="inlineStr">
        <is>
          <t>Convenience Store</t>
        </is>
      </c>
      <c r="E663" s="10" t="inlineStr">
        <is>
          <t>Low</t>
        </is>
      </c>
      <c r="F663" s="10" t="inlineStr"/>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WY-0087</t>
        </is>
      </c>
      <c r="B664" s="5" t="inlineStr">
        <is>
          <t>Freshco UK</t>
        </is>
      </c>
      <c r="C664" s="5" t="inlineStr">
        <is>
          <t>Bradford</t>
        </is>
      </c>
      <c r="D664" s="5" t="inlineStr">
        <is>
          <t>Convenience Store</t>
        </is>
      </c>
      <c r="E664" s="5" t="inlineStr">
        <is>
          <t>Low</t>
        </is>
      </c>
      <c r="F664" s="5" t="inlineStr"/>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UK-000607</t>
        </is>
      </c>
      <c r="B665" s="10" t="inlineStr">
        <is>
          <t>Fulham Food &amp; Wine</t>
        </is>
      </c>
      <c r="C665" s="10" t="inlineStr">
        <is>
          <t>London</t>
        </is>
      </c>
      <c r="D665" s="10" t="inlineStr">
        <is>
          <t>Off-Licence</t>
        </is>
      </c>
      <c r="E665" s="10" t="inlineStr">
        <is>
          <t>Low</t>
        </is>
      </c>
      <c r="F665" s="10" t="inlineStr">
        <is>
          <t>020 7610 0070</t>
        </is>
      </c>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UK-000608</t>
        </is>
      </c>
      <c r="B666" s="5" t="inlineStr">
        <is>
          <t>G S Wines</t>
        </is>
      </c>
      <c r="C666" s="5" t="inlineStr">
        <is>
          <t>Dagenham</t>
        </is>
      </c>
      <c r="D666" s="5" t="inlineStr">
        <is>
          <t>Off-Licence</t>
        </is>
      </c>
      <c r="E666" s="5" t="inlineStr">
        <is>
          <t>Low</t>
        </is>
      </c>
      <c r="F666" s="5" t="inlineStr">
        <is>
          <t>020 8592 5465</t>
        </is>
      </c>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UK-000609</t>
        </is>
      </c>
      <c r="B667" s="10" t="inlineStr">
        <is>
          <t>Galaxy Convenient Store</t>
        </is>
      </c>
      <c r="C667" s="10" t="inlineStr">
        <is>
          <t>Mitcham</t>
        </is>
      </c>
      <c r="D667" s="10" t="inlineStr">
        <is>
          <t>Convenience Store</t>
        </is>
      </c>
      <c r="E667" s="10" t="inlineStr">
        <is>
          <t>Low</t>
        </is>
      </c>
      <c r="F667" s="10" t="inlineStr"/>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WY-0089</t>
        </is>
      </c>
      <c r="B668" s="5" t="inlineStr">
        <is>
          <t>Gibraltar Mini Mart</t>
        </is>
      </c>
      <c r="C668" s="5" t="inlineStr">
        <is>
          <t>Halifax</t>
        </is>
      </c>
      <c r="D668" s="5" t="inlineStr">
        <is>
          <t>Convenience Store</t>
        </is>
      </c>
      <c r="E668" s="5" t="inlineStr">
        <is>
          <t>Low</t>
        </is>
      </c>
      <c r="F668" s="5" t="inlineStr"/>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WY-0090</t>
        </is>
      </c>
      <c r="B669" s="10" t="inlineStr">
        <is>
          <t>Global Mini Market 2</t>
        </is>
      </c>
      <c r="C669" s="10" t="inlineStr">
        <is>
          <t>Bingley</t>
        </is>
      </c>
      <c r="D669" s="10" t="inlineStr">
        <is>
          <t>Convenience Store</t>
        </is>
      </c>
      <c r="E669" s="10" t="inlineStr">
        <is>
          <t>Low</t>
        </is>
      </c>
      <c r="F669" s="10" t="inlineStr"/>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UK-000611</t>
        </is>
      </c>
      <c r="B670" s="5" t="inlineStr">
        <is>
          <t>Global News</t>
        </is>
      </c>
      <c r="C670" s="5" t="inlineStr">
        <is>
          <t>Stratford</t>
        </is>
      </c>
      <c r="D670" s="5" t="inlineStr">
        <is>
          <t>Newsagent</t>
        </is>
      </c>
      <c r="E670" s="5" t="inlineStr">
        <is>
          <t>Low</t>
        </is>
      </c>
      <c r="F670" s="5" t="inlineStr"/>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UK-000777</t>
        </is>
      </c>
      <c r="B671" s="10" t="inlineStr">
        <is>
          <t>Goldenacre Wines</t>
        </is>
      </c>
      <c r="C671" s="10" t="inlineStr">
        <is>
          <t>Edinburgh</t>
        </is>
      </c>
      <c r="D671" s="10" t="inlineStr">
        <is>
          <t>Off-Licence</t>
        </is>
      </c>
      <c r="E671" s="10" t="inlineStr">
        <is>
          <t>Low</t>
        </is>
      </c>
      <c r="F671" s="10" t="inlineStr">
        <is>
          <t>0131 552 8064</t>
        </is>
      </c>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UK-000778</t>
        </is>
      </c>
      <c r="B672" s="5" t="inlineStr">
        <is>
          <t>Granby Supermarkets</t>
        </is>
      </c>
      <c r="C672" s="5" t="inlineStr">
        <is>
          <t>Liverpool</t>
        </is>
      </c>
      <c r="D672" s="5" t="inlineStr">
        <is>
          <t>Independent Supermarket</t>
        </is>
      </c>
      <c r="E672" s="5" t="inlineStr">
        <is>
          <t>Low</t>
        </is>
      </c>
      <c r="F672" s="5" t="inlineStr">
        <is>
          <t>0151 709 7732</t>
        </is>
      </c>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UK-000473</t>
        </is>
      </c>
      <c r="B673" s="10" t="inlineStr">
        <is>
          <t>Green Supermarket</t>
        </is>
      </c>
      <c r="C673" s="10" t="inlineStr">
        <is>
          <t>Birmingham</t>
        </is>
      </c>
      <c r="D673" s="10" t="inlineStr">
        <is>
          <t>Independent Supermarket</t>
        </is>
      </c>
      <c r="E673" s="10" t="inlineStr">
        <is>
          <t>Low</t>
        </is>
      </c>
      <c r="F673" s="10" t="inlineStr"/>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WY-0091</t>
        </is>
      </c>
      <c r="B674" s="5" t="inlineStr">
        <is>
          <t>Greengates Service Station</t>
        </is>
      </c>
      <c r="C674" s="5" t="inlineStr">
        <is>
          <t>Bradford</t>
        </is>
      </c>
      <c r="D674" s="5" t="inlineStr">
        <is>
          <t>Petrol Station / Forecourt</t>
        </is>
      </c>
      <c r="E674" s="5" t="inlineStr">
        <is>
          <t>Low</t>
        </is>
      </c>
      <c r="F674" s="5" t="inlineStr"/>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UK-000251</t>
        </is>
      </c>
      <c r="B675" s="10" t="inlineStr">
        <is>
          <t>Greenroof Service Station</t>
        </is>
      </c>
      <c r="C675" s="10" t="inlineStr">
        <is>
          <t>Goole</t>
        </is>
      </c>
      <c r="D675" s="10" t="inlineStr">
        <is>
          <t>Petrol Station / Forecourt</t>
        </is>
      </c>
      <c r="E675" s="10" t="inlineStr">
        <is>
          <t>Low</t>
        </is>
      </c>
      <c r="F675" s="10" t="inlineStr"/>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UK-000779</t>
        </is>
      </c>
      <c r="B676" s="5" t="inlineStr">
        <is>
          <t>Grog Shop</t>
        </is>
      </c>
      <c r="C676" s="5" t="inlineStr">
        <is>
          <t>Liverpool</t>
        </is>
      </c>
      <c r="D676" s="5" t="inlineStr">
        <is>
          <t>Off-Licence</t>
        </is>
      </c>
      <c r="E676" s="5" t="inlineStr">
        <is>
          <t>Low</t>
        </is>
      </c>
      <c r="F676" s="5" t="inlineStr">
        <is>
          <t>0151 549 1773</t>
        </is>
      </c>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WY-0092</t>
        </is>
      </c>
      <c r="B677" s="10" t="inlineStr">
        <is>
          <t>Gulf Service Station Featherstone</t>
        </is>
      </c>
      <c r="C677" s="10" t="inlineStr">
        <is>
          <t>Featherstone</t>
        </is>
      </c>
      <c r="D677" s="10" t="inlineStr">
        <is>
          <t>Petrol Station / Forecourt</t>
        </is>
      </c>
      <c r="E677" s="10" t="inlineStr">
        <is>
          <t>Low</t>
        </is>
      </c>
      <c r="F677" s="10" t="inlineStr"/>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UK-000474</t>
        </is>
      </c>
      <c r="B678" s="5" t="inlineStr">
        <is>
          <t>Hall Green Convenience Store</t>
        </is>
      </c>
      <c r="C678" s="5" t="inlineStr">
        <is>
          <t>Birmingham</t>
        </is>
      </c>
      <c r="D678" s="5" t="inlineStr">
        <is>
          <t>Convenience Store</t>
        </is>
      </c>
      <c r="E678" s="5" t="inlineStr">
        <is>
          <t>Low</t>
        </is>
      </c>
      <c r="F678" s="5" t="inlineStr"/>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UK-000475</t>
        </is>
      </c>
      <c r="B679" s="10" t="inlineStr">
        <is>
          <t>Hall Green News &amp; Mini Mart Ltd</t>
        </is>
      </c>
      <c r="C679" s="10" t="inlineStr">
        <is>
          <t>Birmingham</t>
        </is>
      </c>
      <c r="D679" s="10" t="inlineStr">
        <is>
          <t>Newsagent</t>
        </is>
      </c>
      <c r="E679" s="10" t="inlineStr">
        <is>
          <t>Low</t>
        </is>
      </c>
      <c r="F679" s="10" t="inlineStr"/>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UK-000476</t>
        </is>
      </c>
      <c r="B680" s="5" t="inlineStr">
        <is>
          <t>Hall Green PFS</t>
        </is>
      </c>
      <c r="C680" s="5" t="inlineStr">
        <is>
          <t>Birmingham</t>
        </is>
      </c>
      <c r="D680" s="5" t="inlineStr">
        <is>
          <t>Petrol Station / Forecourt</t>
        </is>
      </c>
      <c r="E680" s="5" t="inlineStr">
        <is>
          <t>Low</t>
        </is>
      </c>
      <c r="F680" s="5" t="inlineStr"/>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WY-0094</t>
        </is>
      </c>
      <c r="B681" s="10" t="inlineStr">
        <is>
          <t>Hang Sing Hong</t>
        </is>
      </c>
      <c r="C681" s="10" t="inlineStr">
        <is>
          <t>Leeds</t>
        </is>
      </c>
      <c r="D681" s="10" t="inlineStr">
        <is>
          <t>Independent Supermarket</t>
        </is>
      </c>
      <c r="E681" s="10" t="inlineStr">
        <is>
          <t>Low</t>
        </is>
      </c>
      <c r="F681" s="10" t="inlineStr"/>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UK-000612</t>
        </is>
      </c>
      <c r="B682" s="5" t="inlineStr">
        <is>
          <t>Happy Wines</t>
        </is>
      </c>
      <c r="C682" s="5" t="inlineStr">
        <is>
          <t>Dagenham</t>
        </is>
      </c>
      <c r="D682" s="5" t="inlineStr">
        <is>
          <t>Off-Licence</t>
        </is>
      </c>
      <c r="E682" s="5" t="inlineStr">
        <is>
          <t>Low</t>
        </is>
      </c>
      <c r="F682" s="5" t="inlineStr"/>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UK-000254</t>
        </is>
      </c>
      <c r="B683" s="10" t="inlineStr">
        <is>
          <t>Harvest Service Station</t>
        </is>
      </c>
      <c r="C683" s="10" t="inlineStr">
        <is>
          <t>Doncaster</t>
        </is>
      </c>
      <c r="D683" s="10" t="inlineStr">
        <is>
          <t>Petrol Station / Forecourt</t>
        </is>
      </c>
      <c r="E683" s="10" t="inlineStr">
        <is>
          <t>Low</t>
        </is>
      </c>
      <c r="F683" s="10" t="inlineStr"/>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UK-000477</t>
        </is>
      </c>
      <c r="B684" s="5" t="inlineStr">
        <is>
          <t>Hayer Brothers Groceries &amp; Off Licence</t>
        </is>
      </c>
      <c r="C684" s="5" t="inlineStr">
        <is>
          <t>Birmingham</t>
        </is>
      </c>
      <c r="D684" s="5" t="inlineStr">
        <is>
          <t>Off-Licence</t>
        </is>
      </c>
      <c r="E684" s="5" t="inlineStr">
        <is>
          <t>Low</t>
        </is>
      </c>
      <c r="F684" s="5" t="inlineStr">
        <is>
          <t>0121 725 6829</t>
        </is>
      </c>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WY-0095</t>
        </is>
      </c>
      <c r="B685" s="10" t="inlineStr">
        <is>
          <t>Heckmondwike Service Station</t>
        </is>
      </c>
      <c r="C685" s="10" t="inlineStr">
        <is>
          <t>Heckmondwike</t>
        </is>
      </c>
      <c r="D685" s="10" t="inlineStr">
        <is>
          <t>Petrol Station / Forecourt</t>
        </is>
      </c>
      <c r="E685" s="10" t="inlineStr">
        <is>
          <t>Low</t>
        </is>
      </c>
      <c r="F685" s="10" t="inlineStr"/>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UK-000614</t>
        </is>
      </c>
      <c r="B686" s="5" t="inlineStr">
        <is>
          <t>Helena News</t>
        </is>
      </c>
      <c r="C686" s="5" t="inlineStr">
        <is>
          <t>Feltham</t>
        </is>
      </c>
      <c r="D686" s="5" t="inlineStr">
        <is>
          <t>Newsagent</t>
        </is>
      </c>
      <c r="E686" s="5" t="inlineStr">
        <is>
          <t>Low</t>
        </is>
      </c>
      <c r="F686" s="5" t="inlineStr">
        <is>
          <t>020 8572 0227</t>
        </is>
      </c>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UK-000360</t>
        </is>
      </c>
      <c r="B687" s="10" t="inlineStr">
        <is>
          <t>High Bank Convenience Store &amp; Off Licence (Gorton)</t>
        </is>
      </c>
      <c r="C687" s="10" t="inlineStr">
        <is>
          <t>Manchester</t>
        </is>
      </c>
      <c r="D687" s="10" t="inlineStr">
        <is>
          <t>Convenience Store</t>
        </is>
      </c>
      <c r="E687" s="10" t="inlineStr">
        <is>
          <t>Low</t>
        </is>
      </c>
      <c r="F687" s="10" t="inlineStr">
        <is>
          <t>0161 223 5982</t>
        </is>
      </c>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UK-000780</t>
        </is>
      </c>
      <c r="B688" s="5" t="inlineStr">
        <is>
          <t>High Park Off Licence</t>
        </is>
      </c>
      <c r="C688" s="5" t="inlineStr">
        <is>
          <t>Liverpool</t>
        </is>
      </c>
      <c r="D688" s="5" t="inlineStr">
        <is>
          <t>Off-Licence</t>
        </is>
      </c>
      <c r="E688" s="5" t="inlineStr">
        <is>
          <t>Low</t>
        </is>
      </c>
      <c r="F688" s="5" t="inlineStr">
        <is>
          <t>0151 475 5764</t>
        </is>
      </c>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UK-000478</t>
        </is>
      </c>
      <c r="B689" s="10" t="inlineStr">
        <is>
          <t>High Street Wine Stores</t>
        </is>
      </c>
      <c r="C689" s="10" t="inlineStr">
        <is>
          <t>West Bromwich</t>
        </is>
      </c>
      <c r="D689" s="10" t="inlineStr">
        <is>
          <t>Off-Licence</t>
        </is>
      </c>
      <c r="E689" s="10" t="inlineStr">
        <is>
          <t>Low</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UK-000781</t>
        </is>
      </c>
      <c r="B690" s="5" t="inlineStr">
        <is>
          <t>Hing Sing Chinese Supermarket</t>
        </is>
      </c>
      <c r="C690" s="5" t="inlineStr">
        <is>
          <t>Edinburgh</t>
        </is>
      </c>
      <c r="D690" s="5" t="inlineStr">
        <is>
          <t>Independent Supermarket</t>
        </is>
      </c>
      <c r="E690" s="5" t="inlineStr">
        <is>
          <t>Low</t>
        </is>
      </c>
      <c r="F690" s="5" t="inlineStr">
        <is>
          <t>0131 554 4333</t>
        </is>
      </c>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UK-000256</t>
        </is>
      </c>
      <c r="B691" s="10" t="inlineStr">
        <is>
          <t>Holderness Convenience &amp; Spirits</t>
        </is>
      </c>
      <c r="C691" s="10" t="inlineStr">
        <is>
          <t>Kingston upon Hull</t>
        </is>
      </c>
      <c r="D691" s="10" t="inlineStr">
        <is>
          <t>Off-Licence</t>
        </is>
      </c>
      <c r="E691" s="10" t="inlineStr">
        <is>
          <t>Low</t>
        </is>
      </c>
      <c r="F691" s="10" t="inlineStr"/>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UK-000782</t>
        </is>
      </c>
      <c r="B692" s="5" t="inlineStr">
        <is>
          <t>Holliday's</t>
        </is>
      </c>
      <c r="C692" s="5" t="inlineStr">
        <is>
          <t>Liverpool</t>
        </is>
      </c>
      <c r="D692" s="5" t="inlineStr">
        <is>
          <t>Convenience Store</t>
        </is>
      </c>
      <c r="E692" s="5" t="inlineStr">
        <is>
          <t>Low</t>
        </is>
      </c>
      <c r="F692" s="5" t="inlineStr">
        <is>
          <t>0151 546 0738</t>
        </is>
      </c>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WY-0096</t>
        </is>
      </c>
      <c r="B693" s="10" t="inlineStr">
        <is>
          <t>Hopes News</t>
        </is>
      </c>
      <c r="C693" s="10" t="inlineStr">
        <is>
          <t>Shipley</t>
        </is>
      </c>
      <c r="D693" s="10" t="inlineStr">
        <is>
          <t>Newsagent</t>
        </is>
      </c>
      <c r="E693" s="10" t="inlineStr">
        <is>
          <t>Low</t>
        </is>
      </c>
      <c r="F693" s="10" t="inlineStr"/>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UK-000364</t>
        </is>
      </c>
      <c r="B694" s="5" t="inlineStr">
        <is>
          <t>Hyde Convenience Store</t>
        </is>
      </c>
      <c r="C694" s="5" t="inlineStr">
        <is>
          <t>Hyde</t>
        </is>
      </c>
      <c r="D694" s="5" t="inlineStr">
        <is>
          <t>Convenience Store</t>
        </is>
      </c>
      <c r="E694" s="5" t="inlineStr">
        <is>
          <t>Low</t>
        </is>
      </c>
      <c r="F694" s="5" t="inlineStr">
        <is>
          <t>0161 368 3057</t>
        </is>
      </c>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WY-0098</t>
        </is>
      </c>
      <c r="B695" s="10" t="inlineStr">
        <is>
          <t>Ilkley Convenience Store</t>
        </is>
      </c>
      <c r="C695" s="10" t="inlineStr">
        <is>
          <t>Ilkley</t>
        </is>
      </c>
      <c r="D695" s="10" t="inlineStr">
        <is>
          <t>Convenience Store</t>
        </is>
      </c>
      <c r="E695" s="10" t="inlineStr">
        <is>
          <t>Low</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UK-000615</t>
        </is>
      </c>
      <c r="B696" s="5" t="inlineStr">
        <is>
          <t>Intcont Food &amp; Wine</t>
        </is>
      </c>
      <c r="C696" s="5" t="inlineStr">
        <is>
          <t>London</t>
        </is>
      </c>
      <c r="D696" s="5" t="inlineStr">
        <is>
          <t>Convenience Store</t>
        </is>
      </c>
      <c r="E696" s="5" t="inlineStr">
        <is>
          <t>Low</t>
        </is>
      </c>
      <c r="F696" s="5" t="inlineStr">
        <is>
          <t>020 8749 6193</t>
        </is>
      </c>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WY-0099</t>
        </is>
      </c>
      <c r="B697" s="10" t="inlineStr">
        <is>
          <t>International Foods</t>
        </is>
      </c>
      <c r="C697" s="10" t="inlineStr">
        <is>
          <t>Leeds</t>
        </is>
      </c>
      <c r="D697" s="10" t="inlineStr">
        <is>
          <t>Independent Supermarket</t>
        </is>
      </c>
      <c r="E697" s="10" t="inlineStr">
        <is>
          <t>Low</t>
        </is>
      </c>
      <c r="F697" s="10" t="inlineStr"/>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UK-000480</t>
        </is>
      </c>
      <c r="B698" s="5" t="inlineStr">
        <is>
          <t>International Mini Market</t>
        </is>
      </c>
      <c r="C698" s="5" t="inlineStr">
        <is>
          <t>Birmingham</t>
        </is>
      </c>
      <c r="D698" s="5" t="inlineStr">
        <is>
          <t>Off-Licence</t>
        </is>
      </c>
      <c r="E698" s="5" t="inlineStr">
        <is>
          <t>Low</t>
        </is>
      </c>
      <c r="F698" s="5" t="inlineStr">
        <is>
          <t>0121 554 5363</t>
        </is>
      </c>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UK-000257</t>
        </is>
      </c>
      <c r="B699" s="10" t="inlineStr">
        <is>
          <t>J A &amp; S Cowie Newsagent</t>
        </is>
      </c>
      <c r="C699" s="10" t="inlineStr">
        <is>
          <t>Ripon</t>
        </is>
      </c>
      <c r="D699" s="10" t="inlineStr">
        <is>
          <t>Newsagent</t>
        </is>
      </c>
      <c r="E699" s="10" t="inlineStr">
        <is>
          <t>Low</t>
        </is>
      </c>
      <c r="F699" s="10" t="inlineStr">
        <is>
          <t>01765 603153</t>
        </is>
      </c>
      <c r="G699" s="10" t="inlineStr"/>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UK-000785</t>
        </is>
      </c>
      <c r="B700" s="5" t="inlineStr">
        <is>
          <t>J B Halal Superstore</t>
        </is>
      </c>
      <c r="C700" s="5" t="inlineStr">
        <is>
          <t>Liverpool</t>
        </is>
      </c>
      <c r="D700" s="5" t="inlineStr">
        <is>
          <t>Independent Supermarket</t>
        </is>
      </c>
      <c r="E700" s="5" t="inlineStr">
        <is>
          <t>Low</t>
        </is>
      </c>
      <c r="F700" s="5" t="inlineStr"/>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UK-000481</t>
        </is>
      </c>
      <c r="B701" s="10" t="inlineStr">
        <is>
          <t>JS Convenience Store</t>
        </is>
      </c>
      <c r="C701" s="10" t="inlineStr">
        <is>
          <t>Wednesbury</t>
        </is>
      </c>
      <c r="D701" s="10" t="inlineStr">
        <is>
          <t>Convenience Store</t>
        </is>
      </c>
      <c r="E701" s="10" t="inlineStr">
        <is>
          <t>Low</t>
        </is>
      </c>
      <c r="F701" s="10" t="inlineStr"/>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UK-000366</t>
        </is>
      </c>
      <c r="B702" s="5" t="inlineStr">
        <is>
          <t>Jaffa Convenience Store Ltd (Stretford)</t>
        </is>
      </c>
      <c r="C702" s="5" t="inlineStr">
        <is>
          <t>Stretford</t>
        </is>
      </c>
      <c r="D702" s="5" t="inlineStr">
        <is>
          <t>Convenience Store</t>
        </is>
      </c>
      <c r="E702" s="5" t="inlineStr">
        <is>
          <t>Low</t>
        </is>
      </c>
      <c r="F702" s="5" t="inlineStr"/>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UK-000259</t>
        </is>
      </c>
      <c r="B703" s="10" t="inlineStr">
        <is>
          <t>Jah's Off Licence</t>
        </is>
      </c>
      <c r="C703" s="10" t="inlineStr">
        <is>
          <t>Sheffield</t>
        </is>
      </c>
      <c r="D703" s="10" t="inlineStr">
        <is>
          <t>Off-Licence</t>
        </is>
      </c>
      <c r="E703" s="10" t="inlineStr">
        <is>
          <t>Low</t>
        </is>
      </c>
      <c r="F703" s="10" t="inlineStr"/>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UK-000616</t>
        </is>
      </c>
      <c r="B704" s="5" t="inlineStr">
        <is>
          <t>Jalaram Supermarket</t>
        </is>
      </c>
      <c r="C704" s="5" t="inlineStr">
        <is>
          <t>Wembley</t>
        </is>
      </c>
      <c r="D704" s="5" t="inlineStr">
        <is>
          <t>Independent Supermarket</t>
        </is>
      </c>
      <c r="E704" s="5" t="inlineStr">
        <is>
          <t>Low</t>
        </is>
      </c>
      <c r="F704" s="5" t="inlineStr">
        <is>
          <t>020 8900 1141</t>
        </is>
      </c>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UK-000482</t>
        </is>
      </c>
      <c r="B705" s="10" t="inlineStr">
        <is>
          <t>Jay Mini Market</t>
        </is>
      </c>
      <c r="C705" s="10" t="inlineStr">
        <is>
          <t>Birmingham</t>
        </is>
      </c>
      <c r="D705" s="10" t="inlineStr">
        <is>
          <t>Convenience Store</t>
        </is>
      </c>
      <c r="E705" s="10" t="inlineStr">
        <is>
          <t>Low</t>
        </is>
      </c>
      <c r="F705" s="10" t="inlineStr">
        <is>
          <t>0121 554 2063</t>
        </is>
      </c>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UK-000787</t>
        </is>
      </c>
      <c r="B706" s="5" t="inlineStr">
        <is>
          <t>K Douglas Newsagent</t>
        </is>
      </c>
      <c r="C706" s="5" t="inlineStr">
        <is>
          <t>Liverpool</t>
        </is>
      </c>
      <c r="D706" s="5" t="inlineStr">
        <is>
          <t>Newsagent</t>
        </is>
      </c>
      <c r="E706" s="5" t="inlineStr">
        <is>
          <t>Low</t>
        </is>
      </c>
      <c r="F706" s="5" t="inlineStr"/>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UK-000788</t>
        </is>
      </c>
      <c r="B707" s="10" t="inlineStr">
        <is>
          <t>K K Stores</t>
        </is>
      </c>
      <c r="C707" s="10" t="inlineStr">
        <is>
          <t>Bootle</t>
        </is>
      </c>
      <c r="D707" s="10" t="inlineStr">
        <is>
          <t>Convenience Store</t>
        </is>
      </c>
      <c r="E707" s="10" t="inlineStr">
        <is>
          <t>Low</t>
        </is>
      </c>
      <c r="F707" s="10" t="inlineStr"/>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WY-0101</t>
        </is>
      </c>
      <c r="B708" s="5" t="inlineStr">
        <is>
          <t>KV Convenience &amp; Off Licence</t>
        </is>
      </c>
      <c r="C708" s="5" t="inlineStr">
        <is>
          <t>Huddersfield</t>
        </is>
      </c>
      <c r="D708" s="5" t="inlineStr">
        <is>
          <t>Convenience Store</t>
        </is>
      </c>
      <c r="E708" s="5" t="inlineStr">
        <is>
          <t>Low</t>
        </is>
      </c>
      <c r="F708" s="5" t="inlineStr">
        <is>
          <t>01484 644192</t>
        </is>
      </c>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WY-0103</t>
        </is>
      </c>
      <c r="B709" s="10" t="inlineStr">
        <is>
          <t>Kash News &amp; Gifts</t>
        </is>
      </c>
      <c r="C709" s="10" t="inlineStr">
        <is>
          <t>Brighouse</t>
        </is>
      </c>
      <c r="D709" s="10" t="inlineStr">
        <is>
          <t>Newsagent</t>
        </is>
      </c>
      <c r="E709" s="10" t="inlineStr">
        <is>
          <t>Low</t>
        </is>
      </c>
      <c r="F709" s="10" t="inlineStr">
        <is>
          <t>01484 400405</t>
        </is>
      </c>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UK-000789</t>
        </is>
      </c>
      <c r="B710" s="5" t="inlineStr">
        <is>
          <t>Kavery Convenience Store</t>
        </is>
      </c>
      <c r="C710" s="5" t="inlineStr">
        <is>
          <t>Edinburgh</t>
        </is>
      </c>
      <c r="D710" s="5" t="inlineStr">
        <is>
          <t>Convenience Store</t>
        </is>
      </c>
      <c r="E710" s="5" t="inlineStr">
        <is>
          <t>Low</t>
        </is>
      </c>
      <c r="F710" s="5" t="inlineStr">
        <is>
          <t>0131 623 7192</t>
        </is>
      </c>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WY-0104</t>
        </is>
      </c>
      <c r="B711" s="10" t="inlineStr">
        <is>
          <t>Keep In Touch</t>
        </is>
      </c>
      <c r="C711" s="10" t="inlineStr">
        <is>
          <t>Castleford</t>
        </is>
      </c>
      <c r="D711" s="10" t="inlineStr">
        <is>
          <t>Newsagent</t>
        </is>
      </c>
      <c r="E711" s="10" t="inlineStr">
        <is>
          <t>Low</t>
        </is>
      </c>
      <c r="F711" s="10" t="inlineStr"/>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UK-000790</t>
        </is>
      </c>
      <c r="B712" s="5" t="inlineStr">
        <is>
          <t>Keerthi Superstore</t>
        </is>
      </c>
      <c r="C712" s="5" t="inlineStr">
        <is>
          <t>Wallasey</t>
        </is>
      </c>
      <c r="D712" s="5" t="inlineStr">
        <is>
          <t>Convenience Store</t>
        </is>
      </c>
      <c r="E712" s="5" t="inlineStr">
        <is>
          <t>Low</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WY-0105</t>
        </is>
      </c>
      <c r="B713" s="10" t="inlineStr">
        <is>
          <t>Keighley Newsagent</t>
        </is>
      </c>
      <c r="C713" s="10" t="inlineStr">
        <is>
          <t>Keighley</t>
        </is>
      </c>
      <c r="D713" s="10" t="inlineStr">
        <is>
          <t>Newsagent</t>
        </is>
      </c>
      <c r="E713" s="10" t="inlineStr">
        <is>
          <t>Low</t>
        </is>
      </c>
      <c r="F713" s="10" t="inlineStr"/>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UK-000791</t>
        </is>
      </c>
      <c r="B714" s="5" t="inlineStr">
        <is>
          <t>Kellys Wines</t>
        </is>
      </c>
      <c r="C714" s="5" t="inlineStr">
        <is>
          <t>Liverpool</t>
        </is>
      </c>
      <c r="D714" s="5" t="inlineStr">
        <is>
          <t>Off-Licence</t>
        </is>
      </c>
      <c r="E714" s="5" t="inlineStr">
        <is>
          <t>Low</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WY-0106</t>
        </is>
      </c>
      <c r="B715" s="10" t="inlineStr">
        <is>
          <t>Khadim Supersave</t>
        </is>
      </c>
      <c r="C715" s="10" t="inlineStr">
        <is>
          <t>Huddersfield</t>
        </is>
      </c>
      <c r="D715" s="10" t="inlineStr">
        <is>
          <t>Independent Supermarket</t>
        </is>
      </c>
      <c r="E715" s="10" t="inlineStr">
        <is>
          <t>Low</t>
        </is>
      </c>
      <c r="F715" s="10" t="inlineStr">
        <is>
          <t>01484 360513</t>
        </is>
      </c>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UK-000619</t>
        </is>
      </c>
      <c r="B716" s="5" t="inlineStr">
        <is>
          <t>King Edward Off Licence</t>
        </is>
      </c>
      <c r="C716" s="5" t="inlineStr">
        <is>
          <t>Hackney</t>
        </is>
      </c>
      <c r="D716" s="5" t="inlineStr">
        <is>
          <t>Off-Licence</t>
        </is>
      </c>
      <c r="E716" s="5" t="inlineStr">
        <is>
          <t>Low</t>
        </is>
      </c>
      <c r="F716" s="5" t="inlineStr">
        <is>
          <t>020 8510 9079</t>
        </is>
      </c>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UK-000620</t>
        </is>
      </c>
      <c r="B717" s="10" t="inlineStr">
        <is>
          <t>Kings Cross Continental Stores</t>
        </is>
      </c>
      <c r="C717" s="10" t="inlineStr">
        <is>
          <t>London</t>
        </is>
      </c>
      <c r="D717" s="10" t="inlineStr">
        <is>
          <t>Convenience Store</t>
        </is>
      </c>
      <c r="E717" s="10" t="inlineStr">
        <is>
          <t>Low</t>
        </is>
      </c>
      <c r="F717" s="10" t="inlineStr"/>
      <c r="G717" s="10" t="inlineStr"/>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UK-000621</t>
        </is>
      </c>
      <c r="B718" s="5" t="inlineStr">
        <is>
          <t>Kings Cross Food &amp; Wine</t>
        </is>
      </c>
      <c r="C718" s="5" t="inlineStr">
        <is>
          <t>London</t>
        </is>
      </c>
      <c r="D718" s="5" t="inlineStr">
        <is>
          <t>Convenience Store</t>
        </is>
      </c>
      <c r="E718" s="5" t="inlineStr">
        <is>
          <t>Low</t>
        </is>
      </c>
      <c r="F718" s="5" t="inlineStr"/>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UK-000623</t>
        </is>
      </c>
      <c r="B719" s="10" t="inlineStr">
        <is>
          <t>Kingsland Wines</t>
        </is>
      </c>
      <c r="C719" s="10" t="inlineStr">
        <is>
          <t>Dalston</t>
        </is>
      </c>
      <c r="D719" s="10" t="inlineStr">
        <is>
          <t>Off-Licence</t>
        </is>
      </c>
      <c r="E719" s="10" t="inlineStr">
        <is>
          <t>Low</t>
        </is>
      </c>
      <c r="F719" s="10" t="inlineStr"/>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UK-000624</t>
        </is>
      </c>
      <c r="B720" s="5" t="inlineStr">
        <is>
          <t>Knights Express</t>
        </is>
      </c>
      <c r="C720" s="5" t="inlineStr">
        <is>
          <t>London</t>
        </is>
      </c>
      <c r="D720" s="5" t="inlineStr">
        <is>
          <t>Convenience Store</t>
        </is>
      </c>
      <c r="E720" s="5" t="inlineStr">
        <is>
          <t>Low</t>
        </is>
      </c>
      <c r="F720" s="5" t="inlineStr">
        <is>
          <t>020 8947 3299</t>
        </is>
      </c>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UK-000625</t>
        </is>
      </c>
      <c r="B721" s="10" t="inlineStr">
        <is>
          <t>Krystals Food &amp; Wine</t>
        </is>
      </c>
      <c r="C721" s="10" t="inlineStr">
        <is>
          <t>London</t>
        </is>
      </c>
      <c r="D721" s="10" t="inlineStr">
        <is>
          <t>Off-Licence</t>
        </is>
      </c>
      <c r="E721" s="10" t="inlineStr">
        <is>
          <t>Low</t>
        </is>
      </c>
      <c r="F721" s="10" t="inlineStr"/>
      <c r="G721" s="10" t="inlineStr"/>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WY-0107</t>
        </is>
      </c>
      <c r="B722" s="5" t="inlineStr">
        <is>
          <t>Kubus International Food</t>
        </is>
      </c>
      <c r="C722" s="5" t="inlineStr">
        <is>
          <t>Wakefield</t>
        </is>
      </c>
      <c r="D722" s="5" t="inlineStr">
        <is>
          <t>Convenience Store</t>
        </is>
      </c>
      <c r="E722" s="5" t="inlineStr">
        <is>
          <t>Low</t>
        </is>
      </c>
      <c r="F722" s="5" t="inlineStr"/>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UK-000626</t>
        </is>
      </c>
      <c r="B723" s="10" t="inlineStr">
        <is>
          <t>Lauries Afro Caribbean Food Centre</t>
        </is>
      </c>
      <c r="C723" s="10" t="inlineStr">
        <is>
          <t>London</t>
        </is>
      </c>
      <c r="D723" s="10" t="inlineStr">
        <is>
          <t>Independent Supermarket</t>
        </is>
      </c>
      <c r="E723" s="10" t="inlineStr">
        <is>
          <t>Low</t>
        </is>
      </c>
      <c r="F723" s="10" t="inlineStr"/>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UK-000627</t>
        </is>
      </c>
      <c r="B724" s="5" t="inlineStr">
        <is>
          <t>Lewisham Best Food Supermarket</t>
        </is>
      </c>
      <c r="C724" s="5" t="inlineStr">
        <is>
          <t>London</t>
        </is>
      </c>
      <c r="D724" s="5" t="inlineStr">
        <is>
          <t>Independent Supermarket</t>
        </is>
      </c>
      <c r="E724" s="5" t="inlineStr">
        <is>
          <t>Low</t>
        </is>
      </c>
      <c r="F724" s="5" t="inlineStr"/>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UK-000628</t>
        </is>
      </c>
      <c r="B725" s="10" t="inlineStr">
        <is>
          <t>Leyton Food</t>
        </is>
      </c>
      <c r="C725" s="10" t="inlineStr">
        <is>
          <t>Leyton</t>
        </is>
      </c>
      <c r="D725" s="10" t="inlineStr">
        <is>
          <t>Convenience Store</t>
        </is>
      </c>
      <c r="E725" s="10" t="inlineStr">
        <is>
          <t>Low</t>
        </is>
      </c>
      <c r="F725" s="10" t="inlineStr"/>
      <c r="G725" s="10" t="inlineStr"/>
      <c r="H725" s="10" t="inlineStr"/>
      <c r="I725" s="10" t="inlineStr"/>
      <c r="J725" s="10" t="inlineStr"/>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UK-000489</t>
        </is>
      </c>
      <c r="B726" s="5" t="inlineStr">
        <is>
          <t>Liquor Bins</t>
        </is>
      </c>
      <c r="C726" s="5" t="inlineStr">
        <is>
          <t>Smethwick</t>
        </is>
      </c>
      <c r="D726" s="5" t="inlineStr">
        <is>
          <t>Off-Licence</t>
        </is>
      </c>
      <c r="E726" s="5" t="inlineStr">
        <is>
          <t>Low</t>
        </is>
      </c>
      <c r="F726" s="5" t="inlineStr"/>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UK-000794</t>
        </is>
      </c>
      <c r="B727" s="10" t="inlineStr">
        <is>
          <t>Liverpool 8 Superstore</t>
        </is>
      </c>
      <c r="C727" s="10" t="inlineStr">
        <is>
          <t>Liverpool</t>
        </is>
      </c>
      <c r="D727" s="10" t="inlineStr">
        <is>
          <t>Independent Supermarket</t>
        </is>
      </c>
      <c r="E727" s="10" t="inlineStr">
        <is>
          <t>Low</t>
        </is>
      </c>
      <c r="F727" s="10" t="inlineStr"/>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WY-0111</t>
        </is>
      </c>
      <c r="B728" s="5" t="inlineStr">
        <is>
          <t>Local Convenience Store (Elsinore Avenue)</t>
        </is>
      </c>
      <c r="C728" s="5" t="inlineStr">
        <is>
          <t>Elland</t>
        </is>
      </c>
      <c r="D728" s="5" t="inlineStr">
        <is>
          <t>Convenience Store</t>
        </is>
      </c>
      <c r="E728" s="5" t="inlineStr">
        <is>
          <t>Low</t>
        </is>
      </c>
      <c r="F728" s="5" t="inlineStr"/>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WY-0112</t>
        </is>
      </c>
      <c r="B729" s="10" t="inlineStr">
        <is>
          <t>Local Express Off Licence</t>
        </is>
      </c>
      <c r="C729" s="10" t="inlineStr">
        <is>
          <t>Batley</t>
        </is>
      </c>
      <c r="D729" s="10" t="inlineStr">
        <is>
          <t>Off-Licence</t>
        </is>
      </c>
      <c r="E729" s="10" t="inlineStr">
        <is>
          <t>Low</t>
        </is>
      </c>
      <c r="F729" s="10" t="inlineStr"/>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UK-000796</t>
        </is>
      </c>
      <c r="B730" s="5" t="inlineStr">
        <is>
          <t>Loon Fung</t>
        </is>
      </c>
      <c r="C730" s="5" t="inlineStr">
        <is>
          <t>Edinburgh</t>
        </is>
      </c>
      <c r="D730" s="5" t="inlineStr">
        <is>
          <t>Independent Supermarket</t>
        </is>
      </c>
      <c r="E730" s="5" t="inlineStr">
        <is>
          <t>Low</t>
        </is>
      </c>
      <c r="F730" s="5" t="inlineStr">
        <is>
          <t>0131 555 1098</t>
        </is>
      </c>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WY-0117</t>
        </is>
      </c>
      <c r="B731" s="10" t="inlineStr">
        <is>
          <t>Mace News &amp; Off Licence</t>
        </is>
      </c>
      <c r="C731" s="10" t="inlineStr">
        <is>
          <t>Shipley</t>
        </is>
      </c>
      <c r="D731" s="10" t="inlineStr">
        <is>
          <t>Newsagent</t>
        </is>
      </c>
      <c r="E731" s="10" t="inlineStr">
        <is>
          <t>Low</t>
        </is>
      </c>
      <c r="F731" s="10" t="inlineStr"/>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UK-000799</t>
        </is>
      </c>
      <c r="B732" s="5" t="inlineStr">
        <is>
          <t>Makkah Halal Meats And Delhi Ltd</t>
        </is>
      </c>
      <c r="C732" s="5" t="inlineStr">
        <is>
          <t>Liverpool</t>
        </is>
      </c>
      <c r="D732" s="5" t="inlineStr">
        <is>
          <t>Independent Supermarket</t>
        </is>
      </c>
      <c r="E732" s="5" t="inlineStr">
        <is>
          <t>Low</t>
        </is>
      </c>
      <c r="F732" s="5" t="inlineStr"/>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UK-000631</t>
        </is>
      </c>
      <c r="B733" s="10" t="inlineStr">
        <is>
          <t>Malar Supermarket</t>
        </is>
      </c>
      <c r="C733" s="10" t="inlineStr">
        <is>
          <t>Wembley</t>
        </is>
      </c>
      <c r="D733" s="10" t="inlineStr">
        <is>
          <t>Independent Supermarket</t>
        </is>
      </c>
      <c r="E733" s="10" t="inlineStr">
        <is>
          <t>Low</t>
        </is>
      </c>
      <c r="F733" s="10" t="inlineStr"/>
      <c r="G733" s="10" t="inlineStr"/>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UK-000491</t>
        </is>
      </c>
      <c r="B734" s="5" t="inlineStr">
        <is>
          <t>Malhi Wine &amp; Beer Convenience Store</t>
        </is>
      </c>
      <c r="C734" s="5" t="inlineStr">
        <is>
          <t>Birmingham</t>
        </is>
      </c>
      <c r="D734" s="5" t="inlineStr">
        <is>
          <t>Off-Licence</t>
        </is>
      </c>
      <c r="E734" s="5" t="inlineStr">
        <is>
          <t>Low</t>
        </is>
      </c>
      <c r="F734" s="5" t="inlineStr">
        <is>
          <t>0121 250 4968</t>
        </is>
      </c>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UK-000492</t>
        </is>
      </c>
      <c r="B735" s="10" t="inlineStr">
        <is>
          <t>Malvern Convenience Store</t>
        </is>
      </c>
      <c r="C735" s="10" t="inlineStr">
        <is>
          <t>Birmingham</t>
        </is>
      </c>
      <c r="D735" s="10" t="inlineStr">
        <is>
          <t>Convenience Store</t>
        </is>
      </c>
      <c r="E735" s="10" t="inlineStr">
        <is>
          <t>Low</t>
        </is>
      </c>
      <c r="F735" s="10" t="inlineStr"/>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UK-000370</t>
        </is>
      </c>
      <c r="B736" s="5" t="inlineStr">
        <is>
          <t>Marple Bridge Stores</t>
        </is>
      </c>
      <c r="C736" s="5" t="inlineStr">
        <is>
          <t>Marple</t>
        </is>
      </c>
      <c r="D736" s="5" t="inlineStr">
        <is>
          <t>Newsagent</t>
        </is>
      </c>
      <c r="E736" s="5" t="inlineStr">
        <is>
          <t>Low</t>
        </is>
      </c>
      <c r="F736" s="5" t="inlineStr">
        <is>
          <t>0161 427 2046</t>
        </is>
      </c>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UK-000371</t>
        </is>
      </c>
      <c r="B737" s="10" t="inlineStr">
        <is>
          <t>Marple News</t>
        </is>
      </c>
      <c r="C737" s="10" t="inlineStr">
        <is>
          <t>Marple</t>
        </is>
      </c>
      <c r="D737" s="10" t="inlineStr">
        <is>
          <t>Newsagent</t>
        </is>
      </c>
      <c r="E737" s="10" t="inlineStr">
        <is>
          <t>Low</t>
        </is>
      </c>
      <c r="F737" s="10" t="inlineStr">
        <is>
          <t>0161 427 7493</t>
        </is>
      </c>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UK-000632</t>
        </is>
      </c>
      <c r="B738" s="5" t="inlineStr">
        <is>
          <t>Maruti Wines</t>
        </is>
      </c>
      <c r="C738" s="5" t="inlineStr">
        <is>
          <t>Dagenham</t>
        </is>
      </c>
      <c r="D738" s="5" t="inlineStr">
        <is>
          <t>Off-Licence</t>
        </is>
      </c>
      <c r="E738" s="5" t="inlineStr">
        <is>
          <t>Low</t>
        </is>
      </c>
      <c r="F738" s="5" t="inlineStr"/>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UK-000633</t>
        </is>
      </c>
      <c r="B739" s="10" t="inlineStr">
        <is>
          <t>Marylebone News</t>
        </is>
      </c>
      <c r="C739" s="10" t="inlineStr">
        <is>
          <t>London</t>
        </is>
      </c>
      <c r="D739" s="10" t="inlineStr">
        <is>
          <t>Newsagent</t>
        </is>
      </c>
      <c r="E739" s="10" t="inlineStr">
        <is>
          <t>Low</t>
        </is>
      </c>
      <c r="F739" s="10" t="inlineStr"/>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WY-0119</t>
        </is>
      </c>
      <c r="B740" s="5" t="inlineStr">
        <is>
          <t>Matharu Newsagents</t>
        </is>
      </c>
      <c r="C740" s="5" t="inlineStr">
        <is>
          <t>Leeds</t>
        </is>
      </c>
      <c r="D740" s="5" t="inlineStr">
        <is>
          <t>Newsagent</t>
        </is>
      </c>
      <c r="E740" s="5" t="inlineStr">
        <is>
          <t>Low</t>
        </is>
      </c>
      <c r="F740" s="5" t="inlineStr">
        <is>
          <t>0113 275 1851</t>
        </is>
      </c>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WY-0120</t>
        </is>
      </c>
      <c r="B741" s="10" t="inlineStr">
        <is>
          <t>Meltham Convenience Store</t>
        </is>
      </c>
      <c r="C741" s="10" t="inlineStr">
        <is>
          <t>Meltham</t>
        </is>
      </c>
      <c r="D741" s="10" t="inlineStr">
        <is>
          <t>Convenience Store</t>
        </is>
      </c>
      <c r="E741" s="10" t="inlineStr">
        <is>
          <t>Low</t>
        </is>
      </c>
      <c r="F741" s="10" t="inlineStr">
        <is>
          <t>01484 618211</t>
        </is>
      </c>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UK-000801</t>
        </is>
      </c>
      <c r="B742" s="5" t="inlineStr">
        <is>
          <t>Mick's Convenience Store</t>
        </is>
      </c>
      <c r="C742" s="5" t="inlineStr">
        <is>
          <t>Bootle</t>
        </is>
      </c>
      <c r="D742" s="5" t="inlineStr">
        <is>
          <t>Convenience Store</t>
        </is>
      </c>
      <c r="E742" s="5" t="inlineStr">
        <is>
          <t>Low</t>
        </is>
      </c>
      <c r="F742" s="5" t="inlineStr"/>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UK-000634</t>
        </is>
      </c>
      <c r="B743" s="10" t="inlineStr">
        <is>
          <t>Millennium Food &amp; Wine</t>
        </is>
      </c>
      <c r="C743" s="10" t="inlineStr">
        <is>
          <t>Stratford</t>
        </is>
      </c>
      <c r="D743" s="10" t="inlineStr">
        <is>
          <t>Off-Licence</t>
        </is>
      </c>
      <c r="E743" s="10" t="inlineStr">
        <is>
          <t>Low</t>
        </is>
      </c>
      <c r="F743" s="10" t="inlineStr"/>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UK-000802</t>
        </is>
      </c>
      <c r="B744" s="5" t="inlineStr">
        <is>
          <t>Millstreet Wines</t>
        </is>
      </c>
      <c r="C744" s="5" t="inlineStr">
        <is>
          <t>Liverpool</t>
        </is>
      </c>
      <c r="D744" s="5" t="inlineStr">
        <is>
          <t>Off-Licence</t>
        </is>
      </c>
      <c r="E744" s="5" t="inlineStr">
        <is>
          <t>Low</t>
        </is>
      </c>
      <c r="F744" s="5" t="inlineStr">
        <is>
          <t>0151 726 0900</t>
        </is>
      </c>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UK-000635</t>
        </is>
      </c>
      <c r="B745" s="10" t="inlineStr">
        <is>
          <t>Mina Stores</t>
        </is>
      </c>
      <c r="C745" s="10" t="inlineStr">
        <is>
          <t>Forest Gate</t>
        </is>
      </c>
      <c r="D745" s="10" t="inlineStr">
        <is>
          <t>Convenience Store</t>
        </is>
      </c>
      <c r="E745" s="10" t="inlineStr">
        <is>
          <t>Low</t>
        </is>
      </c>
      <c r="F745" s="10" t="inlineStr"/>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UK-000636</t>
        </is>
      </c>
      <c r="B746" s="5" t="inlineStr">
        <is>
          <t>Mini Free Off Licence</t>
        </is>
      </c>
      <c r="C746" s="5" t="inlineStr">
        <is>
          <t>Bethnal Green</t>
        </is>
      </c>
      <c r="D746" s="5" t="inlineStr">
        <is>
          <t>Off-Licence</t>
        </is>
      </c>
      <c r="E746" s="5" t="inlineStr">
        <is>
          <t>Low</t>
        </is>
      </c>
      <c r="F746" s="5" t="inlineStr">
        <is>
          <t>020 8980 4690</t>
        </is>
      </c>
      <c r="G746" s="5" t="inlineStr"/>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UK-000493</t>
        </is>
      </c>
      <c r="B747" s="10" t="inlineStr">
        <is>
          <t>Mini-Stop Express</t>
        </is>
      </c>
      <c r="C747" s="10" t="inlineStr">
        <is>
          <t>Smethwick</t>
        </is>
      </c>
      <c r="D747" s="10" t="inlineStr">
        <is>
          <t>Convenience Store</t>
        </is>
      </c>
      <c r="E747" s="10" t="inlineStr">
        <is>
          <t>Low</t>
        </is>
      </c>
      <c r="F747" s="10" t="inlineStr"/>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WY-0122</t>
        </is>
      </c>
      <c r="B748" s="5" t="inlineStr">
        <is>
          <t>Mount Pellon Newsagent</t>
        </is>
      </c>
      <c r="C748" s="5" t="inlineStr">
        <is>
          <t>Halifax</t>
        </is>
      </c>
      <c r="D748" s="5" t="inlineStr">
        <is>
          <t>Newsagent</t>
        </is>
      </c>
      <c r="E748" s="5" t="inlineStr">
        <is>
          <t>Low</t>
        </is>
      </c>
      <c r="F748" s="5" t="inlineStr">
        <is>
          <t>01422 361609</t>
        </is>
      </c>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UK-000637</t>
        </is>
      </c>
      <c r="B749" s="10" t="inlineStr">
        <is>
          <t>Mount Superstore</t>
        </is>
      </c>
      <c r="C749" s="10" t="inlineStr">
        <is>
          <t>Feltham</t>
        </is>
      </c>
      <c r="D749" s="10" t="inlineStr">
        <is>
          <t>Convenience Store</t>
        </is>
      </c>
      <c r="E749" s="10" t="inlineStr">
        <is>
          <t>Low</t>
        </is>
      </c>
      <c r="F749" s="10" t="inlineStr">
        <is>
          <t>020 8707 4977</t>
        </is>
      </c>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UK-000806</t>
        </is>
      </c>
      <c r="B750" s="5" t="inlineStr">
        <is>
          <t>Muirhead Convenience</t>
        </is>
      </c>
      <c r="C750" s="5" t="inlineStr">
        <is>
          <t>Dunfermline</t>
        </is>
      </c>
      <c r="D750" s="5" t="inlineStr">
        <is>
          <t>Convenience Store</t>
        </is>
      </c>
      <c r="E750" s="5" t="inlineStr">
        <is>
          <t>Low</t>
        </is>
      </c>
      <c r="F750" s="5" t="inlineStr">
        <is>
          <t>01383 873510</t>
        </is>
      </c>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WY-0124</t>
        </is>
      </c>
      <c r="B751" s="10" t="inlineStr">
        <is>
          <t>Mytholmroyd Post Office</t>
        </is>
      </c>
      <c r="C751" s="10" t="inlineStr">
        <is>
          <t>Mytholmroyd</t>
        </is>
      </c>
      <c r="D751" s="10" t="inlineStr">
        <is>
          <t>Convenience Store</t>
        </is>
      </c>
      <c r="E751" s="10" t="inlineStr">
        <is>
          <t>Low</t>
        </is>
      </c>
      <c r="F751" s="10" t="inlineStr"/>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UK-000377</t>
        </is>
      </c>
      <c r="B752" s="5" t="inlineStr">
        <is>
          <t>News And Booze Off Licence And Convenience Store</t>
        </is>
      </c>
      <c r="C752" s="5" t="inlineStr">
        <is>
          <t>Hazel Grove</t>
        </is>
      </c>
      <c r="D752" s="5" t="inlineStr">
        <is>
          <t>Off-Licence</t>
        </is>
      </c>
      <c r="E752" s="5" t="inlineStr">
        <is>
          <t>Low</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UK-000807</t>
        </is>
      </c>
      <c r="B753" s="10" t="inlineStr">
        <is>
          <t>News and Booze Convenience Store</t>
        </is>
      </c>
      <c r="C753" s="10" t="inlineStr">
        <is>
          <t>Birkenhead</t>
        </is>
      </c>
      <c r="D753" s="10" t="inlineStr">
        <is>
          <t>Convenience Store</t>
        </is>
      </c>
      <c r="E753" s="10" t="inlineStr">
        <is>
          <t>Low</t>
        </is>
      </c>
      <c r="F753" s="10" t="inlineStr"/>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UK-000808</t>
        </is>
      </c>
      <c r="B754" s="5" t="inlineStr">
        <is>
          <t>North Hill Food &amp; Wines</t>
        </is>
      </c>
      <c r="C754" s="5" t="inlineStr">
        <is>
          <t>Liverpool</t>
        </is>
      </c>
      <c r="D754" s="5" t="inlineStr">
        <is>
          <t>Off-Licence</t>
        </is>
      </c>
      <c r="E754" s="5" t="inlineStr">
        <is>
          <t>Low</t>
        </is>
      </c>
      <c r="F754" s="5" t="inlineStr">
        <is>
          <t>0151 727 4254</t>
        </is>
      </c>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WY-0126</t>
        </is>
      </c>
      <c r="B755" s="10" t="inlineStr">
        <is>
          <t>Northowram Post Office</t>
        </is>
      </c>
      <c r="C755" s="10" t="inlineStr">
        <is>
          <t>Halifax</t>
        </is>
      </c>
      <c r="D755" s="10" t="inlineStr">
        <is>
          <t>Convenience Store</t>
        </is>
      </c>
      <c r="E755" s="10" t="inlineStr">
        <is>
          <t>Low</t>
        </is>
      </c>
      <c r="F755" s="10" t="inlineStr"/>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WY-0128</t>
        </is>
      </c>
      <c r="B756" s="5" t="inlineStr">
        <is>
          <t>Off Licence and Convenience Store (Cutsyke)</t>
        </is>
      </c>
      <c r="C756" s="5" t="inlineStr">
        <is>
          <t>Castleford</t>
        </is>
      </c>
      <c r="D756" s="5" t="inlineStr">
        <is>
          <t>Off-Licence</t>
        </is>
      </c>
      <c r="E756" s="5" t="inlineStr">
        <is>
          <t>Low</t>
        </is>
      </c>
      <c r="F756" s="5" t="inlineStr"/>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UK-000641</t>
        </is>
      </c>
      <c r="B757" s="10" t="inlineStr">
        <is>
          <t>Onur Supermarket</t>
        </is>
      </c>
      <c r="C757" s="10" t="inlineStr">
        <is>
          <t>Stratford</t>
        </is>
      </c>
      <c r="D757" s="10" t="inlineStr">
        <is>
          <t>Independent Supermarket</t>
        </is>
      </c>
      <c r="E757" s="10" t="inlineStr">
        <is>
          <t>Low</t>
        </is>
      </c>
      <c r="F757" s="10" t="inlineStr"/>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UK-000496</t>
        </is>
      </c>
      <c r="B758" s="5" t="inlineStr">
        <is>
          <t>Oscars Newsagents (Select Xpress)</t>
        </is>
      </c>
      <c r="C758" s="5" t="inlineStr">
        <is>
          <t>Walsall</t>
        </is>
      </c>
      <c r="D758" s="5" t="inlineStr">
        <is>
          <t>Newsagent</t>
        </is>
      </c>
      <c r="E758" s="5" t="inlineStr">
        <is>
          <t>Low</t>
        </is>
      </c>
      <c r="F758" s="5" t="inlineStr"/>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WY-0129</t>
        </is>
      </c>
      <c r="B759" s="10" t="inlineStr">
        <is>
          <t>Outwood Express</t>
        </is>
      </c>
      <c r="C759" s="10" t="inlineStr">
        <is>
          <t>Wakefield</t>
        </is>
      </c>
      <c r="D759" s="10" t="inlineStr">
        <is>
          <t>Convenience Store</t>
        </is>
      </c>
      <c r="E759" s="10" t="inlineStr">
        <is>
          <t>Low</t>
        </is>
      </c>
      <c r="F759" s="10" t="inlineStr"/>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UK-000809</t>
        </is>
      </c>
      <c r="B760" s="5" t="inlineStr">
        <is>
          <t>PCY Oriental</t>
        </is>
      </c>
      <c r="C760" s="5" t="inlineStr">
        <is>
          <t>Edinburgh</t>
        </is>
      </c>
      <c r="D760" s="5" t="inlineStr">
        <is>
          <t>Independent Supermarket</t>
        </is>
      </c>
      <c r="E760" s="5" t="inlineStr">
        <is>
          <t>Low</t>
        </is>
      </c>
      <c r="F760" s="5" t="inlineStr"/>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UK-000497</t>
        </is>
      </c>
      <c r="B761" s="10" t="inlineStr">
        <is>
          <t>Padda Store</t>
        </is>
      </c>
      <c r="C761" s="10" t="inlineStr">
        <is>
          <t>Oldbury</t>
        </is>
      </c>
      <c r="D761" s="10" t="inlineStr">
        <is>
          <t>Off-Licence</t>
        </is>
      </c>
      <c r="E761" s="10" t="inlineStr">
        <is>
          <t>Low</t>
        </is>
      </c>
      <c r="F761" s="10" t="inlineStr">
        <is>
          <t>0121 439 4384</t>
        </is>
      </c>
      <c r="G761" s="10" t="inlineStr"/>
      <c r="H761" s="10" t="inlineStr"/>
      <c r="I761" s="10" t="inlineStr"/>
      <c r="J761" s="10" t="inlineStr"/>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UK-000642</t>
        </is>
      </c>
      <c r="B762" s="5" t="inlineStr">
        <is>
          <t>Park Vintners</t>
        </is>
      </c>
      <c r="C762" s="5" t="inlineStr">
        <is>
          <t>London</t>
        </is>
      </c>
      <c r="D762" s="5" t="inlineStr">
        <is>
          <t>Off-Licence</t>
        </is>
      </c>
      <c r="E762" s="5" t="inlineStr">
        <is>
          <t>Low</t>
        </is>
      </c>
      <c r="F762" s="5" t="inlineStr"/>
      <c r="G762" s="5" t="inlineStr"/>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UK-000498</t>
        </is>
      </c>
      <c r="B763" s="10" t="inlineStr">
        <is>
          <t>Paul's Convenience &amp; Off Licence Store</t>
        </is>
      </c>
      <c r="C763" s="10" t="inlineStr">
        <is>
          <t>Rowley Regis</t>
        </is>
      </c>
      <c r="D763" s="10" t="inlineStr">
        <is>
          <t>Off-Licence</t>
        </is>
      </c>
      <c r="E763" s="10" t="inlineStr">
        <is>
          <t>Low</t>
        </is>
      </c>
      <c r="F763" s="10" t="inlineStr">
        <is>
          <t>0121 559 4902</t>
        </is>
      </c>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UK-000643</t>
        </is>
      </c>
      <c r="B764" s="5" t="inlineStr">
        <is>
          <t>Pearl Supermarket</t>
        </is>
      </c>
      <c r="C764" s="5" t="inlineStr">
        <is>
          <t>Wembley</t>
        </is>
      </c>
      <c r="D764" s="5" t="inlineStr">
        <is>
          <t>Independent Supermarket</t>
        </is>
      </c>
      <c r="E764" s="5" t="inlineStr">
        <is>
          <t>Low</t>
        </is>
      </c>
      <c r="F764" s="5" t="inlineStr"/>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UK-000644</t>
        </is>
      </c>
      <c r="B765" s="10" t="inlineStr">
        <is>
          <t>Peckham Afro Foods Ltd</t>
        </is>
      </c>
      <c r="C765" s="10" t="inlineStr">
        <is>
          <t>London</t>
        </is>
      </c>
      <c r="D765" s="10" t="inlineStr">
        <is>
          <t>Independent Supermarket</t>
        </is>
      </c>
      <c r="E765" s="10" t="inlineStr">
        <is>
          <t>Low</t>
        </is>
      </c>
      <c r="F765" s="10" t="inlineStr"/>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UK-000379</t>
        </is>
      </c>
      <c r="B766" s="5" t="inlineStr">
        <is>
          <t>Peerless Stores Limited</t>
        </is>
      </c>
      <c r="C766" s="5" t="inlineStr">
        <is>
          <t>Wigan</t>
        </is>
      </c>
      <c r="D766" s="5" t="inlineStr">
        <is>
          <t>Independent Supermarket</t>
        </is>
      </c>
      <c r="E766" s="5" t="inlineStr">
        <is>
          <t>Low</t>
        </is>
      </c>
      <c r="F766" s="5" t="inlineStr">
        <is>
          <t>07951 816502</t>
        </is>
      </c>
      <c r="G766" s="5" t="inlineStr"/>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WY-0133</t>
        </is>
      </c>
      <c r="B767" s="10" t="inlineStr">
        <is>
          <t>Premier (Bingley Convenience Store)</t>
        </is>
      </c>
      <c r="C767" s="10" t="inlineStr">
        <is>
          <t>Bingley</t>
        </is>
      </c>
      <c r="D767" s="10" t="inlineStr">
        <is>
          <t>Convenience Store</t>
        </is>
      </c>
      <c r="E767" s="10" t="inlineStr">
        <is>
          <t>Low</t>
        </is>
      </c>
      <c r="F767" s="10" t="inlineStr"/>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WY-0134</t>
        </is>
      </c>
      <c r="B768" s="5" t="inlineStr">
        <is>
          <t>Premier Hemsworth</t>
        </is>
      </c>
      <c r="C768" s="5" t="inlineStr">
        <is>
          <t>Hemsworth</t>
        </is>
      </c>
      <c r="D768" s="5" t="inlineStr">
        <is>
          <t>Convenience Store</t>
        </is>
      </c>
      <c r="E768" s="5" t="inlineStr">
        <is>
          <t>Low</t>
        </is>
      </c>
      <c r="F768" s="5" t="inlineStr"/>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UK-000810</t>
        </is>
      </c>
      <c r="B769" s="10" t="inlineStr">
        <is>
          <t>Prime Convenience Store St Helens</t>
        </is>
      </c>
      <c r="C769" s="10" t="inlineStr">
        <is>
          <t>St Helens</t>
        </is>
      </c>
      <c r="D769" s="10" t="inlineStr">
        <is>
          <t>Convenience Store</t>
        </is>
      </c>
      <c r="E769" s="10" t="inlineStr">
        <is>
          <t>Low</t>
        </is>
      </c>
      <c r="F769" s="10" t="inlineStr"/>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UK-000502</t>
        </is>
      </c>
      <c r="B770" s="5" t="inlineStr">
        <is>
          <t>Princes End Convenience Store</t>
        </is>
      </c>
      <c r="C770" s="5" t="inlineStr">
        <is>
          <t>Tipton</t>
        </is>
      </c>
      <c r="D770" s="5" t="inlineStr">
        <is>
          <t>Convenience Store</t>
        </is>
      </c>
      <c r="E770" s="5" t="inlineStr">
        <is>
          <t>Low</t>
        </is>
      </c>
      <c r="F770" s="5" t="inlineStr"/>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WY-0136</t>
        </is>
      </c>
      <c r="B771" s="10" t="inlineStr">
        <is>
          <t>Quix Newsagents, Off Licence &amp; Convenience Store</t>
        </is>
      </c>
      <c r="C771" s="10" t="inlineStr">
        <is>
          <t>Shipley</t>
        </is>
      </c>
      <c r="D771" s="10" t="inlineStr">
        <is>
          <t>Convenience Store</t>
        </is>
      </c>
      <c r="E771" s="10" t="inlineStr">
        <is>
          <t>Low</t>
        </is>
      </c>
      <c r="F771" s="10" t="inlineStr"/>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WY-0137</t>
        </is>
      </c>
      <c r="B772" s="5" t="inlineStr">
        <is>
          <t>Rahien Mini Market</t>
        </is>
      </c>
      <c r="C772" s="5" t="inlineStr">
        <is>
          <t>Leeds</t>
        </is>
      </c>
      <c r="D772" s="5" t="inlineStr">
        <is>
          <t>Convenience Store</t>
        </is>
      </c>
      <c r="E772" s="5" t="inlineStr">
        <is>
          <t>Low</t>
        </is>
      </c>
      <c r="F772" s="5" t="inlineStr"/>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UK-000648</t>
        </is>
      </c>
      <c r="B773" s="10" t="inlineStr">
        <is>
          <t>Red Lion Wine</t>
        </is>
      </c>
      <c r="C773" s="10" t="inlineStr">
        <is>
          <t>London</t>
        </is>
      </c>
      <c r="D773" s="10" t="inlineStr">
        <is>
          <t>Off-Licence</t>
        </is>
      </c>
      <c r="E773" s="10" t="inlineStr">
        <is>
          <t>Low</t>
        </is>
      </c>
      <c r="F773" s="10" t="inlineStr">
        <is>
          <t>020 8852 5801</t>
        </is>
      </c>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UK-000272</t>
        </is>
      </c>
      <c r="B774" s="5" t="inlineStr">
        <is>
          <t>Ripon News</t>
        </is>
      </c>
      <c r="C774" s="5" t="inlineStr">
        <is>
          <t>Ripon</t>
        </is>
      </c>
      <c r="D774" s="5" t="inlineStr">
        <is>
          <t>Newsagent</t>
        </is>
      </c>
      <c r="E774" s="5" t="inlineStr">
        <is>
          <t>Low</t>
        </is>
      </c>
      <c r="F774" s="5" t="inlineStr">
        <is>
          <t>01765 604337</t>
        </is>
      </c>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UK-000506</t>
        </is>
      </c>
      <c r="B775" s="10" t="inlineStr">
        <is>
          <t>Rowley News</t>
        </is>
      </c>
      <c r="C775" s="10" t="inlineStr">
        <is>
          <t>Rowley Regis</t>
        </is>
      </c>
      <c r="D775" s="10" t="inlineStr">
        <is>
          <t>Newsagent</t>
        </is>
      </c>
      <c r="E775" s="10" t="inlineStr">
        <is>
          <t>Low</t>
        </is>
      </c>
      <c r="F775" s="10" t="inlineStr"/>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UK-000507</t>
        </is>
      </c>
      <c r="B776" s="5" t="inlineStr">
        <is>
          <t>Royal Liquors</t>
        </is>
      </c>
      <c r="C776" s="5" t="inlineStr">
        <is>
          <t>Oldbury</t>
        </is>
      </c>
      <c r="D776" s="5" t="inlineStr">
        <is>
          <t>Off-Licence</t>
        </is>
      </c>
      <c r="E776" s="5" t="inlineStr">
        <is>
          <t>Low</t>
        </is>
      </c>
      <c r="F776" s="5" t="inlineStr">
        <is>
          <t>0121 544 2719</t>
        </is>
      </c>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UK-000649</t>
        </is>
      </c>
      <c r="B777" s="10" t="inlineStr">
        <is>
          <t>Rushey Green Food &amp; Wine</t>
        </is>
      </c>
      <c r="C777" s="10" t="inlineStr">
        <is>
          <t>London</t>
        </is>
      </c>
      <c r="D777" s="10" t="inlineStr">
        <is>
          <t>Off-Licence</t>
        </is>
      </c>
      <c r="E777" s="10" t="inlineStr">
        <is>
          <t>Low</t>
        </is>
      </c>
      <c r="F777" s="10" t="inlineStr">
        <is>
          <t>020 3632 7442</t>
        </is>
      </c>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UK-000274</t>
        </is>
      </c>
      <c r="B778" s="5" t="inlineStr">
        <is>
          <t>S.J. Convenience Store</t>
        </is>
      </c>
      <c r="C778" s="5" t="inlineStr">
        <is>
          <t>Kingston upon Hull</t>
        </is>
      </c>
      <c r="D778" s="5" t="inlineStr">
        <is>
          <t>Convenience Store</t>
        </is>
      </c>
      <c r="E778" s="5" t="inlineStr">
        <is>
          <t>Low</t>
        </is>
      </c>
      <c r="F778" s="5" t="inlineStr"/>
      <c r="G778" s="5" t="inlineStr"/>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UK-000650</t>
        </is>
      </c>
      <c r="B779" s="10" t="inlineStr">
        <is>
          <t>S.S. Supermarket</t>
        </is>
      </c>
      <c r="C779" s="10" t="inlineStr">
        <is>
          <t>Ilford</t>
        </is>
      </c>
      <c r="D779" s="10" t="inlineStr">
        <is>
          <t>Independent Supermarket</t>
        </is>
      </c>
      <c r="E779" s="10" t="inlineStr">
        <is>
          <t>Low</t>
        </is>
      </c>
      <c r="F779" s="10" t="inlineStr"/>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UK-000651</t>
        </is>
      </c>
      <c r="B780" s="5" t="inlineStr">
        <is>
          <t>SD Off License</t>
        </is>
      </c>
      <c r="C780" s="5" t="inlineStr">
        <is>
          <t>London</t>
        </is>
      </c>
      <c r="D780" s="5" t="inlineStr">
        <is>
          <t>Off-Licence</t>
        </is>
      </c>
      <c r="E780" s="5" t="inlineStr">
        <is>
          <t>Low</t>
        </is>
      </c>
      <c r="F780" s="5" t="inlineStr">
        <is>
          <t>020 8672 0151</t>
        </is>
      </c>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UK-000653</t>
        </is>
      </c>
      <c r="B781" s="10" t="inlineStr">
        <is>
          <t>Salon Wine Store</t>
        </is>
      </c>
      <c r="C781" s="10" t="inlineStr">
        <is>
          <t>London</t>
        </is>
      </c>
      <c r="D781" s="10" t="inlineStr">
        <is>
          <t>Off-Licence</t>
        </is>
      </c>
      <c r="E781" s="10" t="inlineStr">
        <is>
          <t>Low</t>
        </is>
      </c>
      <c r="F781" s="10" t="inlineStr"/>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UK-000510</t>
        </is>
      </c>
      <c r="B782" s="5" t="inlineStr">
        <is>
          <t>Sandhu Grocers</t>
        </is>
      </c>
      <c r="C782" s="5" t="inlineStr">
        <is>
          <t>Oldbury</t>
        </is>
      </c>
      <c r="D782" s="5" t="inlineStr">
        <is>
          <t>Off-Licence</t>
        </is>
      </c>
      <c r="E782" s="5" t="inlineStr">
        <is>
          <t>Low</t>
        </is>
      </c>
      <c r="F782" s="5" t="inlineStr">
        <is>
          <t>0121 552 4845</t>
        </is>
      </c>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UK-000512</t>
        </is>
      </c>
      <c r="B783" s="10" t="inlineStr">
        <is>
          <t>Savers Express</t>
        </is>
      </c>
      <c r="C783" s="10" t="inlineStr">
        <is>
          <t>Cradley Heath</t>
        </is>
      </c>
      <c r="D783" s="10" t="inlineStr">
        <is>
          <t>Convenience Store</t>
        </is>
      </c>
      <c r="E783" s="10" t="inlineStr">
        <is>
          <t>Low</t>
        </is>
      </c>
      <c r="F783" s="10" t="inlineStr"/>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UK-000513</t>
        </is>
      </c>
      <c r="B784" s="5" t="inlineStr">
        <is>
          <t>Sekhon Supermarket Ltd</t>
        </is>
      </c>
      <c r="C784" s="5" t="inlineStr">
        <is>
          <t>Wolverhampton</t>
        </is>
      </c>
      <c r="D784" s="5" t="inlineStr">
        <is>
          <t>Independent Supermarket</t>
        </is>
      </c>
      <c r="E784" s="5" t="inlineStr">
        <is>
          <t>Low</t>
        </is>
      </c>
      <c r="F784" s="5" t="inlineStr"/>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WY-0144</t>
        </is>
      </c>
      <c r="B785" s="10" t="inlineStr">
        <is>
          <t>Select Newsagent</t>
        </is>
      </c>
      <c r="C785" s="10" t="inlineStr">
        <is>
          <t>Mirfield</t>
        </is>
      </c>
      <c r="D785" s="10" t="inlineStr">
        <is>
          <t>Newsagent</t>
        </is>
      </c>
      <c r="E785" s="10" t="inlineStr">
        <is>
          <t>Low</t>
        </is>
      </c>
      <c r="F785" s="10" t="inlineStr">
        <is>
          <t>01924 695779</t>
        </is>
      </c>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WY-0146</t>
        </is>
      </c>
      <c r="B786" s="5" t="inlineStr">
        <is>
          <t>Sheepridge Off Licence</t>
        </is>
      </c>
      <c r="C786" s="5" t="inlineStr">
        <is>
          <t>Huddersfield</t>
        </is>
      </c>
      <c r="D786" s="5" t="inlineStr">
        <is>
          <t>Off-Licence</t>
        </is>
      </c>
      <c r="E786" s="5" t="inlineStr">
        <is>
          <t>Low</t>
        </is>
      </c>
      <c r="F786" s="5" t="inlineStr"/>
      <c r="G786" s="5" t="inlineStr"/>
      <c r="H786" s="5" t="inlineStr"/>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UK-000658</t>
        </is>
      </c>
      <c r="B787" s="10" t="inlineStr">
        <is>
          <t>Single Tree Foods Ltd</t>
        </is>
      </c>
      <c r="C787" s="10" t="inlineStr">
        <is>
          <t>Edmonton</t>
        </is>
      </c>
      <c r="D787" s="10" t="inlineStr">
        <is>
          <t>Convenience Store</t>
        </is>
      </c>
      <c r="E787" s="10" t="inlineStr">
        <is>
          <t>Low</t>
        </is>
      </c>
      <c r="F787" s="10" t="inlineStr"/>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UK-000813</t>
        </is>
      </c>
      <c r="B788" s="5" t="inlineStr">
        <is>
          <t>Skaus Store &amp; Cafe</t>
        </is>
      </c>
      <c r="C788" s="5" t="inlineStr">
        <is>
          <t>Liverpool</t>
        </is>
      </c>
      <c r="D788" s="5" t="inlineStr">
        <is>
          <t>Convenience Store</t>
        </is>
      </c>
      <c r="E788" s="5" t="inlineStr">
        <is>
          <t>Low</t>
        </is>
      </c>
      <c r="F788" s="5" t="inlineStr">
        <is>
          <t>0151 733 3673</t>
        </is>
      </c>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UK-000815</t>
        </is>
      </c>
      <c r="B789" s="10" t="inlineStr">
        <is>
          <t>Sohal Licensed Grocers</t>
        </is>
      </c>
      <c r="C789" s="10" t="inlineStr">
        <is>
          <t>Glasgow</t>
        </is>
      </c>
      <c r="D789" s="10" t="inlineStr">
        <is>
          <t>Off-Licence</t>
        </is>
      </c>
      <c r="E789" s="10" t="inlineStr">
        <is>
          <t>Low</t>
        </is>
      </c>
      <c r="F789" s="10" t="inlineStr"/>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UK-000661</t>
        </is>
      </c>
      <c r="B790" s="5" t="inlineStr">
        <is>
          <t>Soho Food &amp; Wine</t>
        </is>
      </c>
      <c r="C790" s="5" t="inlineStr">
        <is>
          <t>London</t>
        </is>
      </c>
      <c r="D790" s="5" t="inlineStr">
        <is>
          <t>Convenience Store</t>
        </is>
      </c>
      <c r="E790" s="5" t="inlineStr">
        <is>
          <t>Low</t>
        </is>
      </c>
      <c r="F790" s="5" t="inlineStr"/>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WY-0151</t>
        </is>
      </c>
      <c r="B791" s="10" t="inlineStr">
        <is>
          <t>Soothill Convenience Store &amp; Off Licence</t>
        </is>
      </c>
      <c r="C791" s="10" t="inlineStr">
        <is>
          <t>Batley</t>
        </is>
      </c>
      <c r="D791" s="10" t="inlineStr">
        <is>
          <t>Convenience Store</t>
        </is>
      </c>
      <c r="E791" s="10" t="inlineStr">
        <is>
          <t>Low</t>
        </is>
      </c>
      <c r="F791" s="10" t="inlineStr"/>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UK-000816</t>
        </is>
      </c>
      <c r="B792" s="5" t="inlineStr">
        <is>
          <t>Southdene Newsagents</t>
        </is>
      </c>
      <c r="C792" s="5" t="inlineStr">
        <is>
          <t>Liverpool</t>
        </is>
      </c>
      <c r="D792" s="5" t="inlineStr">
        <is>
          <t>Newsagent</t>
        </is>
      </c>
      <c r="E792" s="5" t="inlineStr">
        <is>
          <t>Low</t>
        </is>
      </c>
      <c r="F792" s="5" t="inlineStr">
        <is>
          <t>0151 549 1663</t>
        </is>
      </c>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UK-000817</t>
        </is>
      </c>
      <c r="B793" s="10" t="inlineStr">
        <is>
          <t>Southside Drinks Company</t>
        </is>
      </c>
      <c r="C793" s="10" t="inlineStr">
        <is>
          <t>Glasgow</t>
        </is>
      </c>
      <c r="D793" s="10" t="inlineStr">
        <is>
          <t>Off-Licence</t>
        </is>
      </c>
      <c r="E793" s="10" t="inlineStr">
        <is>
          <t>Low</t>
        </is>
      </c>
      <c r="F793" s="10" t="inlineStr"/>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UK-000662</t>
        </is>
      </c>
      <c r="B794" s="5" t="inlineStr">
        <is>
          <t>Spicebazar</t>
        </is>
      </c>
      <c r="C794" s="5" t="inlineStr">
        <is>
          <t>Ilford</t>
        </is>
      </c>
      <c r="D794" s="5" t="inlineStr">
        <is>
          <t>Independent Supermarket</t>
        </is>
      </c>
      <c r="E794" s="5" t="inlineStr">
        <is>
          <t>Low</t>
        </is>
      </c>
      <c r="F794" s="5" t="inlineStr"/>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WY-0152</t>
        </is>
      </c>
      <c r="B795" s="10" t="inlineStr">
        <is>
          <t>Springfield Garage (Keighley)</t>
        </is>
      </c>
      <c r="C795" s="10" t="inlineStr">
        <is>
          <t>Keighley</t>
        </is>
      </c>
      <c r="D795" s="10" t="inlineStr">
        <is>
          <t>Petrol Station / Forecourt</t>
        </is>
      </c>
      <c r="E795" s="10" t="inlineStr">
        <is>
          <t>Low</t>
        </is>
      </c>
      <c r="F795" s="10" t="inlineStr">
        <is>
          <t>01535 604629</t>
        </is>
      </c>
      <c r="G795" s="10" t="inlineStr"/>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UK-000382</t>
        </is>
      </c>
      <c r="B796" s="5" t="inlineStr">
        <is>
          <t>Springwater Off Licence</t>
        </is>
      </c>
      <c r="C796" s="5" t="inlineStr">
        <is>
          <t>Whitefield</t>
        </is>
      </c>
      <c r="D796" s="5" t="inlineStr">
        <is>
          <t>Off-Licence</t>
        </is>
      </c>
      <c r="E796" s="5" t="inlineStr">
        <is>
          <t>Low</t>
        </is>
      </c>
      <c r="F796" s="5" t="inlineStr">
        <is>
          <t>0161 796 2910</t>
        </is>
      </c>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UK-000279</t>
        </is>
      </c>
      <c r="B797" s="10" t="inlineStr">
        <is>
          <t>Sprouts Supermarket</t>
        </is>
      </c>
      <c r="C797" s="10" t="inlineStr">
        <is>
          <t>Rotherham</t>
        </is>
      </c>
      <c r="D797" s="10" t="inlineStr">
        <is>
          <t>Independent Supermarket</t>
        </is>
      </c>
      <c r="E797" s="10" t="inlineStr">
        <is>
          <t>Low</t>
        </is>
      </c>
      <c r="F797" s="10" t="inlineStr">
        <is>
          <t>01709 839980</t>
        </is>
      </c>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WY-0153</t>
        </is>
      </c>
      <c r="B798" s="5" t="inlineStr">
        <is>
          <t>Stainbeck Off Licence (Best-one)</t>
        </is>
      </c>
      <c r="C798" s="5" t="inlineStr">
        <is>
          <t>Leeds</t>
        </is>
      </c>
      <c r="D798" s="5" t="inlineStr">
        <is>
          <t>Off-Licence</t>
        </is>
      </c>
      <c r="E798" s="5" t="inlineStr">
        <is>
          <t>Low</t>
        </is>
      </c>
      <c r="F798" s="5" t="inlineStr"/>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WY-0154</t>
        </is>
      </c>
      <c r="B799" s="10" t="inlineStr">
        <is>
          <t>Star Express Off-Licence &amp; Convenience Store</t>
        </is>
      </c>
      <c r="C799" s="10" t="inlineStr">
        <is>
          <t>Huddersfield</t>
        </is>
      </c>
      <c r="D799" s="10" t="inlineStr">
        <is>
          <t>Off-Licence</t>
        </is>
      </c>
      <c r="E799" s="10" t="inlineStr">
        <is>
          <t>Low</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UK-000818</t>
        </is>
      </c>
      <c r="B800" s="5" t="inlineStr">
        <is>
          <t>Star News</t>
        </is>
      </c>
      <c r="C800" s="5" t="inlineStr">
        <is>
          <t>Liverpool</t>
        </is>
      </c>
      <c r="D800" s="5" t="inlineStr">
        <is>
          <t>Newsagent</t>
        </is>
      </c>
      <c r="E800" s="5" t="inlineStr">
        <is>
          <t>Low</t>
        </is>
      </c>
      <c r="F800" s="5" t="inlineStr"/>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UK-000517</t>
        </is>
      </c>
      <c r="B801" s="10" t="inlineStr">
        <is>
          <t>Stirchley Food &amp; Wine</t>
        </is>
      </c>
      <c r="C801" s="10" t="inlineStr">
        <is>
          <t>Birmingham</t>
        </is>
      </c>
      <c r="D801" s="10" t="inlineStr">
        <is>
          <t>Off-Licence</t>
        </is>
      </c>
      <c r="E801" s="10" t="inlineStr">
        <is>
          <t>Low</t>
        </is>
      </c>
      <c r="F801" s="10" t="inlineStr">
        <is>
          <t>0121 459 7611</t>
        </is>
      </c>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WY-0155</t>
        </is>
      </c>
      <c r="B802" s="5" t="inlineStr">
        <is>
          <t>Stringers Service Station</t>
        </is>
      </c>
      <c r="C802" s="5" t="inlineStr">
        <is>
          <t>Pontefract</t>
        </is>
      </c>
      <c r="D802" s="5" t="inlineStr">
        <is>
          <t>Petrol Station / Forecourt</t>
        </is>
      </c>
      <c r="E802" s="5" t="inlineStr">
        <is>
          <t>Low</t>
        </is>
      </c>
      <c r="F802" s="5" t="inlineStr"/>
      <c r="G802" s="5" t="inlineStr"/>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UK-000821</t>
        </is>
      </c>
      <c r="B803" s="10" t="inlineStr">
        <is>
          <t>T &amp; C Mills Newsagent</t>
        </is>
      </c>
      <c r="C803" s="10" t="inlineStr">
        <is>
          <t>Liverpool</t>
        </is>
      </c>
      <c r="D803" s="10" t="inlineStr">
        <is>
          <t>Newsagent</t>
        </is>
      </c>
      <c r="E803" s="10" t="inlineStr">
        <is>
          <t>Low</t>
        </is>
      </c>
      <c r="F803" s="10" t="inlineStr">
        <is>
          <t>0151 928 5934</t>
        </is>
      </c>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UK-000384</t>
        </is>
      </c>
      <c r="B804" s="5" t="inlineStr">
        <is>
          <t>TJ News &amp; Off Licence (Gorton)</t>
        </is>
      </c>
      <c r="C804" s="5" t="inlineStr">
        <is>
          <t>Manchester</t>
        </is>
      </c>
      <c r="D804" s="5" t="inlineStr">
        <is>
          <t>Newsagent</t>
        </is>
      </c>
      <c r="E804" s="5" t="inlineStr">
        <is>
          <t>Low</t>
        </is>
      </c>
      <c r="F804" s="5" t="inlineStr">
        <is>
          <t>0161 223 3020</t>
        </is>
      </c>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UK-000663</t>
        </is>
      </c>
      <c r="B805" s="10" t="inlineStr">
        <is>
          <t>Tad's Coffee Offie</t>
        </is>
      </c>
      <c r="C805" s="10" t="inlineStr">
        <is>
          <t>Bethnal Green</t>
        </is>
      </c>
      <c r="D805" s="10" t="inlineStr">
        <is>
          <t>Off-Licence</t>
        </is>
      </c>
      <c r="E805" s="10" t="inlineStr">
        <is>
          <t>Low</t>
        </is>
      </c>
      <c r="F805" s="10" t="inlineStr">
        <is>
          <t>020 7702 8297</t>
        </is>
      </c>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UK-000281</t>
        </is>
      </c>
      <c r="B806" s="5" t="inlineStr">
        <is>
          <t>Tang Hall Food &amp; Wine</t>
        </is>
      </c>
      <c r="C806" s="5" t="inlineStr">
        <is>
          <t>York</t>
        </is>
      </c>
      <c r="D806" s="5" t="inlineStr">
        <is>
          <t>Off-Licence</t>
        </is>
      </c>
      <c r="E806" s="5" t="inlineStr">
        <is>
          <t>Low</t>
        </is>
      </c>
      <c r="F806" s="5" t="inlineStr"/>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UK-000822</t>
        </is>
      </c>
      <c r="B807" s="10" t="inlineStr">
        <is>
          <t>Taste of Poland</t>
        </is>
      </c>
      <c r="C807" s="10" t="inlineStr">
        <is>
          <t>Edinburgh</t>
        </is>
      </c>
      <c r="D807" s="10" t="inlineStr">
        <is>
          <t>Independent Supermarket</t>
        </is>
      </c>
      <c r="E807" s="10" t="inlineStr">
        <is>
          <t>Low</t>
        </is>
      </c>
      <c r="F807" s="10" t="inlineStr"/>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UK-000823</t>
        </is>
      </c>
      <c r="B808" s="5" t="inlineStr">
        <is>
          <t>The Continental Food</t>
        </is>
      </c>
      <c r="C808" s="5" t="inlineStr">
        <is>
          <t>Edinburgh</t>
        </is>
      </c>
      <c r="D808" s="5" t="inlineStr">
        <is>
          <t>Independent Supermarket</t>
        </is>
      </c>
      <c r="E808" s="5" t="inlineStr">
        <is>
          <t>Low</t>
        </is>
      </c>
      <c r="F808" s="5" t="inlineStr"/>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UK-000824</t>
        </is>
      </c>
      <c r="B809" s="10" t="inlineStr">
        <is>
          <t>The Dairy Convenience Store</t>
        </is>
      </c>
      <c r="C809" s="10" t="inlineStr">
        <is>
          <t>Liverpool</t>
        </is>
      </c>
      <c r="D809" s="10" t="inlineStr">
        <is>
          <t>Convenience Store</t>
        </is>
      </c>
      <c r="E809" s="10" t="inlineStr">
        <is>
          <t>Low</t>
        </is>
      </c>
      <c r="F809" s="10" t="inlineStr"/>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UK-000386</t>
        </is>
      </c>
      <c r="B810" s="5" t="inlineStr">
        <is>
          <t>The Local Ramsbottom</t>
        </is>
      </c>
      <c r="C810" s="5" t="inlineStr">
        <is>
          <t>Bury</t>
        </is>
      </c>
      <c r="D810" s="5" t="inlineStr">
        <is>
          <t>Convenience Store</t>
        </is>
      </c>
      <c r="E810" s="5" t="inlineStr">
        <is>
          <t>Low</t>
        </is>
      </c>
      <c r="F810" s="5" t="inlineStr">
        <is>
          <t>01706 822265</t>
        </is>
      </c>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WY-0159</t>
        </is>
      </c>
      <c r="B811" s="10" t="inlineStr">
        <is>
          <t>The Local: Elland</t>
        </is>
      </c>
      <c r="C811" s="10" t="inlineStr">
        <is>
          <t>Elland</t>
        </is>
      </c>
      <c r="D811" s="10" t="inlineStr">
        <is>
          <t>Off-Licence</t>
        </is>
      </c>
      <c r="E811" s="10" t="inlineStr">
        <is>
          <t>Low</t>
        </is>
      </c>
      <c r="F811" s="10" t="inlineStr"/>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UK-000521</t>
        </is>
      </c>
      <c r="B812" s="5" t="inlineStr">
        <is>
          <t>The Maltings Convenience Store</t>
        </is>
      </c>
      <c r="C812" s="5" t="inlineStr">
        <is>
          <t>Smethwick</t>
        </is>
      </c>
      <c r="D812" s="5" t="inlineStr">
        <is>
          <t>Convenience Store</t>
        </is>
      </c>
      <c r="E812" s="5" t="inlineStr">
        <is>
          <t>Low</t>
        </is>
      </c>
      <c r="F812" s="5" t="inlineStr"/>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UK-000387</t>
        </is>
      </c>
      <c r="B813" s="10" t="inlineStr">
        <is>
          <t>The Off Licence (Chorley Old Road)</t>
        </is>
      </c>
      <c r="C813" s="10" t="inlineStr">
        <is>
          <t>Bolton</t>
        </is>
      </c>
      <c r="D813" s="10" t="inlineStr">
        <is>
          <t>Off-Licence</t>
        </is>
      </c>
      <c r="E813" s="10" t="inlineStr">
        <is>
          <t>Low</t>
        </is>
      </c>
      <c r="F813" s="10" t="inlineStr">
        <is>
          <t>07411 497826</t>
        </is>
      </c>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UK-000395</t>
        </is>
      </c>
      <c r="B814" s="5" t="inlineStr">
        <is>
          <t>The Village Convenience Store</t>
        </is>
      </c>
      <c r="C814" s="5" t="inlineStr">
        <is>
          <t>Rochdale</t>
        </is>
      </c>
      <c r="D814" s="5" t="inlineStr">
        <is>
          <t>Convenience Store</t>
        </is>
      </c>
      <c r="E814" s="5" t="inlineStr">
        <is>
          <t>Low</t>
        </is>
      </c>
      <c r="F814" s="5" t="inlineStr"/>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UK-000668</t>
        </is>
      </c>
      <c r="B815" s="10" t="inlineStr">
        <is>
          <t>The Vintner</t>
        </is>
      </c>
      <c r="C815" s="10" t="inlineStr">
        <is>
          <t>London</t>
        </is>
      </c>
      <c r="D815" s="10" t="inlineStr">
        <is>
          <t>Off-Licence</t>
        </is>
      </c>
      <c r="E815" s="10" t="inlineStr">
        <is>
          <t>Low</t>
        </is>
      </c>
      <c r="F815" s="10" t="inlineStr">
        <is>
          <t>020 7385 4436</t>
        </is>
      </c>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UK-000829</t>
        </is>
      </c>
      <c r="B816" s="5" t="inlineStr">
        <is>
          <t>The Wine Lodge</t>
        </is>
      </c>
      <c r="C816" s="5" t="inlineStr">
        <is>
          <t>Liverpool</t>
        </is>
      </c>
      <c r="D816" s="5" t="inlineStr">
        <is>
          <t>Off-Licence</t>
        </is>
      </c>
      <c r="E816" s="5" t="inlineStr">
        <is>
          <t>Low</t>
        </is>
      </c>
      <c r="F816" s="5" t="inlineStr"/>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WY-0164</t>
        </is>
      </c>
      <c r="B817" s="10" t="inlineStr">
        <is>
          <t>Thornhill Convenience Store</t>
        </is>
      </c>
      <c r="C817" s="10" t="inlineStr">
        <is>
          <t>Dewsbury</t>
        </is>
      </c>
      <c r="D817" s="10" t="inlineStr">
        <is>
          <t>Convenience Store</t>
        </is>
      </c>
      <c r="E817" s="10" t="inlineStr">
        <is>
          <t>Low</t>
        </is>
      </c>
      <c r="F817" s="10" t="inlineStr">
        <is>
          <t>01924 462478</t>
        </is>
      </c>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WY-0165</t>
        </is>
      </c>
      <c r="B818" s="5" t="inlineStr">
        <is>
          <t>Todmorden Newscentre</t>
        </is>
      </c>
      <c r="C818" s="5" t="inlineStr">
        <is>
          <t>Todmorden</t>
        </is>
      </c>
      <c r="D818" s="5" t="inlineStr">
        <is>
          <t>Newsagent</t>
        </is>
      </c>
      <c r="E818" s="5" t="inlineStr">
        <is>
          <t>Low</t>
        </is>
      </c>
      <c r="F818" s="5" t="inlineStr">
        <is>
          <t>01706 819889</t>
        </is>
      </c>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UK-000526</t>
        </is>
      </c>
      <c r="B819" s="10" t="inlineStr">
        <is>
          <t>Toor Supermarket</t>
        </is>
      </c>
      <c r="C819" s="10" t="inlineStr">
        <is>
          <t>Smethwick</t>
        </is>
      </c>
      <c r="D819" s="10" t="inlineStr">
        <is>
          <t>Independent Supermarket</t>
        </is>
      </c>
      <c r="E819" s="10" t="inlineStr">
        <is>
          <t>Low</t>
        </is>
      </c>
      <c r="F819" s="10" t="inlineStr"/>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UK-000669</t>
        </is>
      </c>
      <c r="B820" s="5" t="inlineStr">
        <is>
          <t>Tooting Food &amp; Wine</t>
        </is>
      </c>
      <c r="C820" s="5" t="inlineStr">
        <is>
          <t>London</t>
        </is>
      </c>
      <c r="D820" s="5" t="inlineStr">
        <is>
          <t>Off-Licence</t>
        </is>
      </c>
      <c r="E820" s="5" t="inlineStr">
        <is>
          <t>Low</t>
        </is>
      </c>
      <c r="F820" s="5" t="inlineStr">
        <is>
          <t>07534 741161</t>
        </is>
      </c>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WY-0167</t>
        </is>
      </c>
      <c r="B821" s="10" t="inlineStr">
        <is>
          <t>Top Shelf Off Licence</t>
        </is>
      </c>
      <c r="C821" s="10" t="inlineStr">
        <is>
          <t>Wakefield</t>
        </is>
      </c>
      <c r="D821" s="10" t="inlineStr">
        <is>
          <t>Off-Licence</t>
        </is>
      </c>
      <c r="E821" s="10" t="inlineStr">
        <is>
          <t>Low</t>
        </is>
      </c>
      <c r="F821" s="10" t="inlineStr"/>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UK-000670</t>
        </is>
      </c>
      <c r="B822" s="5" t="inlineStr">
        <is>
          <t>Turkish Food Market</t>
        </is>
      </c>
      <c r="C822" s="5" t="inlineStr">
        <is>
          <t>Harringay</t>
        </is>
      </c>
      <c r="D822" s="5" t="inlineStr">
        <is>
          <t>Independent Supermarket</t>
        </is>
      </c>
      <c r="E822" s="5" t="inlineStr">
        <is>
          <t>Low</t>
        </is>
      </c>
      <c r="F822" s="5" t="inlineStr">
        <is>
          <t>020 8340 4547</t>
        </is>
      </c>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WY-0168</t>
        </is>
      </c>
      <c r="B823" s="10" t="inlineStr">
        <is>
          <t>Turners Food &amp; Wine</t>
        </is>
      </c>
      <c r="C823" s="10" t="inlineStr">
        <is>
          <t>Leeds</t>
        </is>
      </c>
      <c r="D823" s="10" t="inlineStr">
        <is>
          <t>Convenience Store</t>
        </is>
      </c>
      <c r="E823" s="10" t="inlineStr">
        <is>
          <t>Low</t>
        </is>
      </c>
      <c r="F823" s="10" t="inlineStr"/>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WY-0169</t>
        </is>
      </c>
      <c r="B824" s="5" t="inlineStr">
        <is>
          <t>Tylor's Booze</t>
        </is>
      </c>
      <c r="C824" s="5" t="inlineStr">
        <is>
          <t>Castleford</t>
        </is>
      </c>
      <c r="D824" s="5" t="inlineStr">
        <is>
          <t>Off-Licence</t>
        </is>
      </c>
      <c r="E824" s="5" t="inlineStr">
        <is>
          <t>Low</t>
        </is>
      </c>
      <c r="F824" s="5" t="inlineStr"/>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UK-000672</t>
        </is>
      </c>
      <c r="B825" s="10" t="inlineStr">
        <is>
          <t>Universal Liquor Mart</t>
        </is>
      </c>
      <c r="C825" s="10" t="inlineStr">
        <is>
          <t>London</t>
        </is>
      </c>
      <c r="D825" s="10" t="inlineStr">
        <is>
          <t>Off-Licence</t>
        </is>
      </c>
      <c r="E825" s="10" t="inlineStr">
        <is>
          <t>Low</t>
        </is>
      </c>
      <c r="F825" s="10" t="inlineStr">
        <is>
          <t>020 3080 0700</t>
        </is>
      </c>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UK-000530</t>
        </is>
      </c>
      <c r="B826" s="5" t="inlineStr">
        <is>
          <t>VT Off Licence &amp; Convenience Store</t>
        </is>
      </c>
      <c r="C826" s="5" t="inlineStr">
        <is>
          <t>Birmingham</t>
        </is>
      </c>
      <c r="D826" s="5" t="inlineStr">
        <is>
          <t>Off-Licence</t>
        </is>
      </c>
      <c r="E826" s="5" t="inlineStr">
        <is>
          <t>Low</t>
        </is>
      </c>
      <c r="F826" s="5" t="inlineStr"/>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WY-0178</t>
        </is>
      </c>
      <c r="B827" s="10" t="inlineStr">
        <is>
          <t>Vape and Wine Village</t>
        </is>
      </c>
      <c r="C827" s="10" t="inlineStr">
        <is>
          <t>Leeds</t>
        </is>
      </c>
      <c r="D827" s="10" t="inlineStr">
        <is>
          <t>Off-Licence</t>
        </is>
      </c>
      <c r="E827" s="10" t="inlineStr">
        <is>
          <t>Low</t>
        </is>
      </c>
      <c r="F827" s="10" t="inlineStr"/>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WY-0183</t>
        </is>
      </c>
      <c r="B828" s="5" t="inlineStr">
        <is>
          <t>Vaporized Meanwood</t>
        </is>
      </c>
      <c r="C828" s="5" t="inlineStr">
        <is>
          <t>Leeds</t>
        </is>
      </c>
      <c r="D828" s="5" t="inlineStr">
        <is>
          <t>Vape Shop</t>
        </is>
      </c>
      <c r="E828" s="5" t="inlineStr">
        <is>
          <t>Low</t>
        </is>
      </c>
      <c r="F828" s="5" t="inlineStr">
        <is>
          <t>0113 274 8997</t>
        </is>
      </c>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UK-000539</t>
        </is>
      </c>
      <c r="B829" s="10" t="inlineStr">
        <is>
          <t>Veg Express Superstore</t>
        </is>
      </c>
      <c r="C829" s="10" t="inlineStr">
        <is>
          <t>Darlaston</t>
        </is>
      </c>
      <c r="D829" s="10" t="inlineStr">
        <is>
          <t>Independent Supermarket</t>
        </is>
      </c>
      <c r="E829" s="10" t="inlineStr">
        <is>
          <t>Low</t>
        </is>
      </c>
      <c r="F829" s="10" t="inlineStr">
        <is>
          <t>0121 526 5433</t>
        </is>
      </c>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UK-000682</t>
        </is>
      </c>
      <c r="B830" s="5" t="inlineStr">
        <is>
          <t>Victoria News</t>
        </is>
      </c>
      <c r="C830" s="5" t="inlineStr">
        <is>
          <t>London</t>
        </is>
      </c>
      <c r="D830" s="5" t="inlineStr">
        <is>
          <t>Newsagent</t>
        </is>
      </c>
      <c r="E830" s="5" t="inlineStr">
        <is>
          <t>Low</t>
        </is>
      </c>
      <c r="F830" s="5" t="inlineStr"/>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UK-000683</t>
        </is>
      </c>
      <c r="B831" s="10" t="inlineStr">
        <is>
          <t>Vini Italia</t>
        </is>
      </c>
      <c r="C831" s="10" t="inlineStr">
        <is>
          <t>London</t>
        </is>
      </c>
      <c r="D831" s="10" t="inlineStr">
        <is>
          <t>Off-Licence</t>
        </is>
      </c>
      <c r="E831" s="10" t="inlineStr">
        <is>
          <t>Low</t>
        </is>
      </c>
      <c r="F831" s="10" t="inlineStr">
        <is>
          <t>07825 178842</t>
        </is>
      </c>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UK-000412</t>
        </is>
      </c>
      <c r="B832" s="5" t="inlineStr">
        <is>
          <t>Vish Off Licence Ltd</t>
        </is>
      </c>
      <c r="C832" s="5" t="inlineStr">
        <is>
          <t>Bolton</t>
        </is>
      </c>
      <c r="D832" s="5" t="inlineStr">
        <is>
          <t>Off-Licence</t>
        </is>
      </c>
      <c r="E832" s="5" t="inlineStr">
        <is>
          <t>Low</t>
        </is>
      </c>
      <c r="F832" s="5" t="inlineStr">
        <is>
          <t>01204 418222</t>
        </is>
      </c>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UK-000295</t>
        </is>
      </c>
      <c r="B833" s="10" t="inlineStr">
        <is>
          <t>Walkley Beer Company</t>
        </is>
      </c>
      <c r="C833" s="10" t="inlineStr">
        <is>
          <t>Sheffield</t>
        </is>
      </c>
      <c r="D833" s="10" t="inlineStr">
        <is>
          <t>Off-Licence</t>
        </is>
      </c>
      <c r="E833" s="10" t="inlineStr">
        <is>
          <t>Low</t>
        </is>
      </c>
      <c r="F833" s="10" t="inlineStr"/>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UK-000843</t>
        </is>
      </c>
      <c r="B834" s="5" t="inlineStr">
        <is>
          <t>Wallasey Off Licence and Convenience</t>
        </is>
      </c>
      <c r="C834" s="5" t="inlineStr">
        <is>
          <t>Wallasey</t>
        </is>
      </c>
      <c r="D834" s="5" t="inlineStr">
        <is>
          <t>Off-Licence</t>
        </is>
      </c>
      <c r="E834" s="5" t="inlineStr">
        <is>
          <t>Low</t>
        </is>
      </c>
      <c r="F834" s="5" t="inlineStr"/>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UK-000844</t>
        </is>
      </c>
      <c r="B835" s="10" t="inlineStr">
        <is>
          <t>Watan Food Store</t>
        </is>
      </c>
      <c r="C835" s="10" t="inlineStr">
        <is>
          <t>Glasgow</t>
        </is>
      </c>
      <c r="D835" s="10" t="inlineStr">
        <is>
          <t>Independent Supermarket</t>
        </is>
      </c>
      <c r="E835" s="10" t="inlineStr">
        <is>
          <t>Low</t>
        </is>
      </c>
      <c r="F835" s="10" t="inlineStr">
        <is>
          <t>0141 423 7722</t>
        </is>
      </c>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WY-0186</t>
        </is>
      </c>
      <c r="B836" s="5" t="inlineStr">
        <is>
          <t>Wayward Wines</t>
        </is>
      </c>
      <c r="C836" s="5" t="inlineStr">
        <is>
          <t>Leeds</t>
        </is>
      </c>
      <c r="D836" s="5" t="inlineStr">
        <is>
          <t>Off-Licence</t>
        </is>
      </c>
      <c r="E836" s="5" t="inlineStr">
        <is>
          <t>Low</t>
        </is>
      </c>
      <c r="F836" s="5" t="inlineStr"/>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UK-000686</t>
        </is>
      </c>
      <c r="B837" s="10" t="inlineStr">
        <is>
          <t>Well Street Wines</t>
        </is>
      </c>
      <c r="C837" s="10" t="inlineStr">
        <is>
          <t>Hackney</t>
        </is>
      </c>
      <c r="D837" s="10" t="inlineStr">
        <is>
          <t>Off-Licence</t>
        </is>
      </c>
      <c r="E837" s="10" t="inlineStr">
        <is>
          <t>Low</t>
        </is>
      </c>
      <c r="F837" s="10" t="inlineStr"/>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UK-000687</t>
        </is>
      </c>
      <c r="B838" s="5" t="inlineStr">
        <is>
          <t>West 9 Food &amp; Wine</t>
        </is>
      </c>
      <c r="C838" s="5" t="inlineStr">
        <is>
          <t>Bethnal Green</t>
        </is>
      </c>
      <c r="D838" s="5" t="inlineStr">
        <is>
          <t>Convenience Store</t>
        </is>
      </c>
      <c r="E838" s="5" t="inlineStr">
        <is>
          <t>Low</t>
        </is>
      </c>
      <c r="F838" s="5" t="inlineStr"/>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WY-0187</t>
        </is>
      </c>
      <c r="B839" s="10" t="inlineStr">
        <is>
          <t>West End Off Licence</t>
        </is>
      </c>
      <c r="C839" s="10" t="inlineStr">
        <is>
          <t>Halifax</t>
        </is>
      </c>
      <c r="D839" s="10" t="inlineStr">
        <is>
          <t>Off-Licence</t>
        </is>
      </c>
      <c r="E839" s="10" t="inlineStr">
        <is>
          <t>Low</t>
        </is>
      </c>
      <c r="F839" s="10" t="inlineStr"/>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UK-000845</t>
        </is>
      </c>
      <c r="B840" s="5" t="inlineStr">
        <is>
          <t>West Street Off Licence</t>
        </is>
      </c>
      <c r="C840" s="5" t="inlineStr">
        <is>
          <t>Southport</t>
        </is>
      </c>
      <c r="D840" s="5" t="inlineStr">
        <is>
          <t>Off-Licence</t>
        </is>
      </c>
      <c r="E840" s="5" t="inlineStr">
        <is>
          <t>Low</t>
        </is>
      </c>
      <c r="F840" s="5" t="inlineStr"/>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UK-000689</t>
        </is>
      </c>
      <c r="B841" s="10" t="inlineStr">
        <is>
          <t>Whirly Wines Ltd</t>
        </is>
      </c>
      <c r="C841" s="10" t="inlineStr">
        <is>
          <t>London</t>
        </is>
      </c>
      <c r="D841" s="10" t="inlineStr">
        <is>
          <t>Off-Licence</t>
        </is>
      </c>
      <c r="E841" s="10" t="inlineStr">
        <is>
          <t>Low</t>
        </is>
      </c>
      <c r="F841" s="10" t="inlineStr">
        <is>
          <t>020 3489 2242</t>
        </is>
      </c>
      <c r="G841" s="10" t="inlineStr"/>
      <c r="H841" s="10" t="inlineStr"/>
      <c r="I841" s="10" t="inlineStr"/>
      <c r="J841" s="10" t="inlineStr"/>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UK-000541</t>
        </is>
      </c>
      <c r="B842" s="5" t="inlineStr">
        <is>
          <t>Windmill Grocery</t>
        </is>
      </c>
      <c r="C842" s="5" t="inlineStr">
        <is>
          <t>Smethwick</t>
        </is>
      </c>
      <c r="D842" s="5" t="inlineStr">
        <is>
          <t>Independent Supermarket</t>
        </is>
      </c>
      <c r="E842" s="5" t="inlineStr">
        <is>
          <t>Low</t>
        </is>
      </c>
      <c r="F842" s="5" t="inlineStr"/>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UK-000846</t>
        </is>
      </c>
      <c r="B843" s="10" t="inlineStr">
        <is>
          <t>Windsor Wines &amp; Spirits</t>
        </is>
      </c>
      <c r="C843" s="10" t="inlineStr">
        <is>
          <t>Liverpool</t>
        </is>
      </c>
      <c r="D843" s="10" t="inlineStr">
        <is>
          <t>Off-Licence</t>
        </is>
      </c>
      <c r="E843" s="10" t="inlineStr">
        <is>
          <t>Low</t>
        </is>
      </c>
      <c r="F843" s="10" t="inlineStr"/>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UK-000847</t>
        </is>
      </c>
      <c r="B844" s="5" t="inlineStr">
        <is>
          <t>Wisla Supermarket &amp; Off Licence</t>
        </is>
      </c>
      <c r="C844" s="5" t="inlineStr">
        <is>
          <t>Southport</t>
        </is>
      </c>
      <c r="D844" s="5" t="inlineStr">
        <is>
          <t>Independent Supermarket</t>
        </is>
      </c>
      <c r="E844" s="5" t="inlineStr">
        <is>
          <t>Low</t>
        </is>
      </c>
      <c r="F844" s="5" t="inlineStr"/>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UK-000544</t>
        </is>
      </c>
      <c r="B845" s="10" t="inlineStr">
        <is>
          <t>XO Convenience Store</t>
        </is>
      </c>
      <c r="C845" s="10" t="inlineStr">
        <is>
          <t>Birmingham</t>
        </is>
      </c>
      <c r="D845" s="10" t="inlineStr">
        <is>
          <t>Convenience Store</t>
        </is>
      </c>
      <c r="E845" s="10" t="inlineStr">
        <is>
          <t>Low</t>
        </is>
      </c>
      <c r="F845" s="10" t="inlineStr"/>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UK-000690</t>
        </is>
      </c>
      <c r="B846" s="5" t="inlineStr">
        <is>
          <t>Yagmur</t>
        </is>
      </c>
      <c r="C846" s="5" t="inlineStr">
        <is>
          <t>Dagenham</t>
        </is>
      </c>
      <c r="D846" s="5" t="inlineStr">
        <is>
          <t>Off-Licence</t>
        </is>
      </c>
      <c r="E846" s="5" t="inlineStr">
        <is>
          <t>Low</t>
        </is>
      </c>
      <c r="F846" s="5" t="inlineStr">
        <is>
          <t>020 8592 1818</t>
        </is>
      </c>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UK-000414</t>
        </is>
      </c>
      <c r="B847" s="10" t="inlineStr">
        <is>
          <t>Yo1stop Convenience Store</t>
        </is>
      </c>
      <c r="C847" s="10" t="inlineStr">
        <is>
          <t>Heywood</t>
        </is>
      </c>
      <c r="D847" s="10" t="inlineStr">
        <is>
          <t>Convenience Store</t>
        </is>
      </c>
      <c r="E847" s="10" t="inlineStr">
        <is>
          <t>Low</t>
        </is>
      </c>
      <c r="F847" s="10" t="inlineStr"/>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UK-000415</t>
        </is>
      </c>
      <c r="B848" s="5" t="inlineStr">
        <is>
          <t>York Street Convenience Store</t>
        </is>
      </c>
      <c r="C848" s="5" t="inlineStr">
        <is>
          <t>Heywood</t>
        </is>
      </c>
      <c r="D848" s="5" t="inlineStr">
        <is>
          <t>Convenience Store</t>
        </is>
      </c>
      <c r="E848" s="5" t="inlineStr">
        <is>
          <t>Low</t>
        </is>
      </c>
      <c r="F848" s="5" t="inlineStr"/>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WY-0190</t>
        </is>
      </c>
      <c r="B849" s="10" t="inlineStr">
        <is>
          <t>Yorkshire Fuels (Green Lane Service Station)</t>
        </is>
      </c>
      <c r="C849" s="10" t="inlineStr">
        <is>
          <t>Yeadon</t>
        </is>
      </c>
      <c r="D849" s="10" t="inlineStr">
        <is>
          <t>Petrol Station / Forecourt</t>
        </is>
      </c>
      <c r="E849" s="10" t="inlineStr">
        <is>
          <t>Low</t>
        </is>
      </c>
      <c r="F849" s="10" t="inlineStr"/>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UK-000416</t>
        </is>
      </c>
      <c r="B850" s="5" t="inlineStr">
        <is>
          <t>Your Local Convenience Store (Eccles)</t>
        </is>
      </c>
      <c r="C850" s="5" t="inlineStr">
        <is>
          <t>Eccles</t>
        </is>
      </c>
      <c r="D850" s="5" t="inlineStr">
        <is>
          <t>Convenience Store</t>
        </is>
      </c>
      <c r="E850" s="5" t="inlineStr">
        <is>
          <t>Low</t>
        </is>
      </c>
      <c r="F850" s="5" t="inlineStr">
        <is>
          <t>0161 707 2863</t>
        </is>
      </c>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2">
      <c r="A852" s="15" t="inlineStr">
        <is>
          <t>Editable CRM columns: Lead Status, Last Contact, Next Follow-Up, Contact Method, Salesperson, Outcome, CRM Notes, Opt-Out Status, Do Not Contact. Never delete a row with Opt-Out/Do Not Contact set - suppression must survive re-imports.</t>
        </is>
      </c>
    </row>
  </sheetData>
  <autoFilter ref="A1:U8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2026-09-17T10:26:12Z</dcterms:created>
  <dcterms:modified xsi:type="dcterms:W3CDTF">2026-09-17T10:26:14Z</dcterms:modified>
</cp:coreProperties>
</file>